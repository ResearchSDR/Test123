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Offer" sheetId="2" state="visible" r:id="rId2"/>
    <sheet name="Slots" sheetId="3" state="visible" r:id="rId3"/>
    <sheet name="Venues" sheetId="4" state="visible" r:id="rId4"/>
    <sheet name="Totals" sheetId="5" state="visible" r:id="rId5"/>
    <sheet name="Read me" sheetId="6" state="visible" r:id="rId6"/>
  </sheets>
  <definedNames>
    <definedName name="_xlnm._FilterDatabase" localSheetId="0" hidden="1">'Outreach'!$A$2:$AW$402</definedName>
    <definedName name="_xlnm._FilterDatabase" localSheetId="2" hidden="1">'Slots'!$A$1:$R$72</definedName>
    <definedName name="_xlnm._FilterDatabase" localSheetId="3" hidden="1">'Venues'!$A$1:$X$15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d d mmm yyyy"/>
    <numFmt numFmtId="165" formatCode="hh:mm"/>
    <numFmt numFmtId="166" formatCode="ddd d mmm yyyy hh:mm"/>
    <numFmt numFmtId="167" formatCode="£#,##0.00;-£#,##0.00;-"/>
    <numFmt numFmtId="168" formatCode="yyyy-mm-dd"/>
    <numFmt numFmtId="169" formatCode="d mmm yyyy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color rgb="001155CC"/>
      <sz val="10"/>
      <u val="single"/>
    </font>
    <font>
      <name val="Arial"/>
      <b val="1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BF9000"/>
      </patternFill>
    </fill>
    <fill>
      <patternFill patternType="solid">
        <fgColor rgb="00548235"/>
      </patternFill>
    </fill>
    <fill>
      <patternFill patternType="solid">
        <fgColor rgb="00C55A11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4" borderId="0" applyAlignment="1" pivotButton="0" quotePrefix="0" xfId="0">
      <alignment vertical="center"/>
    </xf>
    <xf numFmtId="0" fontId="0" fillId="4" borderId="0" pivotButton="0" quotePrefix="0" xfId="0"/>
    <xf numFmtId="0" fontId="1" fillId="5" borderId="0" applyAlignment="1" pivotButton="0" quotePrefix="0" xfId="0">
      <alignment vertical="center"/>
    </xf>
    <xf numFmtId="0" fontId="0" fillId="5" borderId="0" pivotButton="0" quotePrefix="0" xfId="0"/>
    <xf numFmtId="0" fontId="1" fillId="6" borderId="0" applyAlignment="1" pivotButton="0" quotePrefix="0" xfId="0">
      <alignment vertical="center"/>
    </xf>
    <xf numFmtId="0" fontId="0" fillId="6" borderId="0" pivotButton="0" quotePrefix="0" xfId="0"/>
    <xf numFmtId="0" fontId="1" fillId="7" borderId="0" applyAlignment="1" pivotButton="0" quotePrefix="0" xfId="0">
      <alignment vertical="center"/>
    </xf>
    <xf numFmtId="0" fontId="0" fillId="7" borderId="0" pivotButton="0" quotePrefix="0" xfId="0"/>
    <xf numFmtId="0" fontId="1" fillId="2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169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166" fontId="3" fillId="0" borderId="1" applyAlignment="1" pivotButton="0" quotePrefix="0" xfId="0">
      <alignment vertical="top"/>
    </xf>
    <xf numFmtId="167" fontId="3" fillId="0" borderId="1" applyAlignment="1" pivotButton="0" quotePrefix="0" xfId="0">
      <alignment vertical="top"/>
    </xf>
    <xf numFmtId="164" fontId="0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7" fontId="4" fillId="3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164" fontId="4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3" fillId="0" borderId="1" pivotButton="0" quotePrefix="0" xfId="0"/>
    <xf numFmtId="0" fontId="3" fillId="0" borderId="1" pivotButton="0" quotePrefix="0" xfId="0"/>
    <xf numFmtId="167" fontId="4" fillId="0" borderId="1" pivotButton="0" quotePrefix="0" xfId="0"/>
    <xf numFmtId="167" fontId="3" fillId="0" borderId="1" pivotButton="0" quotePrefix="0" xfId="0"/>
    <xf numFmtId="0" fontId="5" fillId="0" borderId="1" pivotButton="0" quotePrefix="0" xfId="0"/>
    <xf numFmtId="166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FC Urban</author>
  </authors>
  <commentList>
    <comment ref="B2" authorId="0" shapeId="0">
      <text>
        <t>1 = target sector (law, bank, public bank, private bank, fund admin) with group/large accounts. 2 = target sector, or any sector with group accounts. 3 = fund managers / insurers / advisory with full accounts.</t>
      </text>
    </comment>
    <comment ref="N2" authorId="0" shapeId="0">
      <text>
        <t>Yes = the company also appears in the earlier 933-company City research list, which was never messaged. It is not in the top-100 (Joep), the 117 LinkedIn list, the Haggerston leads or the FC Urban London sheet.</t>
      </text>
    </comment>
    <comment ref="V2" authorId="0" shapeId="0">
      <text>
        <t>Straight-line distance × 1.3 for streets, at 4.8 km/h. From the registered office postcode.</t>
      </text>
    </comment>
    <comment ref="X2" authorId="0" shapeId="0">
      <text>
        <t>Nearest pitch within 19 min that had open after-work slots when checked; otherwise the nearest pitch. Change the slot for all companies at once on Venues › Chosen slot (override).</t>
      </text>
    </comment>
  </commentList>
</comments>
</file>

<file path=xl/comments/comment2.xml><?xml version="1.0" encoding="utf-8"?>
<comments xmlns="http://schemas.openxmlformats.org/spreadsheetml/2006/main">
  <authors>
    <author>FC Urban</author>
  </authors>
  <commentList>
    <comment ref="J1" authorId="0" shapeId="0">
      <text>
        <t>Whole-pitch price per slot as listed by the venue on the day it was checked.</t>
      </text>
    </comment>
  </commentList>
</comments>
</file>

<file path=xl/comments/comment3.xml><?xml version="1.0" encoding="utf-8"?>
<comments xmlns="http://schemas.openxmlformats.org/spreadsheetml/2006/main">
  <authors>
    <author>FC Urban</author>
  </authors>
  <commentList>
    <comment ref="K1" authorId="0" shapeId="0">
      <text>
        <t>Fill once a slot is confirmed with the venue (date + time, e.g. 6/10/2026 19:00). Overrides the earliest open slot everywhere, including the drafts. Use this for "Contact required" venues.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find-and-update.company-information.service.gov.uk/company/OC306763" TargetMode="External" Id="rId1" /><Relationship Type="http://schemas.openxmlformats.org/officeDocument/2006/relationships/hyperlink" Target="https://www.linkedin.com/search/results/companies/?keywords=A%26O%20Shearman" TargetMode="External" Id="rId2" /><Relationship Type="http://schemas.openxmlformats.org/officeDocument/2006/relationships/hyperlink" Target="https://find-and-update.company-information.service.gov.uk/company/OC311297" TargetMode="External" Id="rId3" /><Relationship Type="http://schemas.openxmlformats.org/officeDocument/2006/relationships/hyperlink" Target="https://www.linkedin.com/search/results/companies/?keywords=Baker%20McKenzie" TargetMode="External" Id="rId4" /><Relationship Type="http://schemas.openxmlformats.org/officeDocument/2006/relationships/hyperlink" Target="https://find-and-update.company-information.service.gov.uk/company/OC375784" TargetMode="External" Id="rId5" /><Relationship Type="http://schemas.openxmlformats.org/officeDocument/2006/relationships/hyperlink" Target="https://www.linkedin.com/search/results/companies/?keywords=Herbert%20Smith%20Freehills%20Kramer" TargetMode="External" Id="rId6" /><Relationship Type="http://schemas.openxmlformats.org/officeDocument/2006/relationships/hyperlink" Target="https://find-and-update.company-information.service.gov.uk/company/OC330252" TargetMode="External" Id="rId7" /><Relationship Type="http://schemas.openxmlformats.org/officeDocument/2006/relationships/hyperlink" Target="https://www.linkedin.com/search/results/companies/?keywords=Ashurst%20Perkins%20Coie" TargetMode="External" Id="rId8" /><Relationship Type="http://schemas.openxmlformats.org/officeDocument/2006/relationships/hyperlink" Target="https://find-and-update.company-information.service.gov.uk/company/OC328697" TargetMode="External" Id="rId9" /><Relationship Type="http://schemas.openxmlformats.org/officeDocument/2006/relationships/hyperlink" Target="https://www.linkedin.com/search/results/companies/?keywords=Norton%20Rose%20Fulbright" TargetMode="External" Id="rId10" /><Relationship Type="http://schemas.openxmlformats.org/officeDocument/2006/relationships/hyperlink" Target="https://find-and-update.company-information.service.gov.uk/company/03718422" TargetMode="External" Id="rId11" /><Relationship Type="http://schemas.openxmlformats.org/officeDocument/2006/relationships/hyperlink" Target="https://www.linkedin.com/search/results/companies/?keywords=Duncan%20Lewis%20Solicitors" TargetMode="External" Id="rId12" /><Relationship Type="http://schemas.openxmlformats.org/officeDocument/2006/relationships/hyperlink" Target="https://find-and-update.company-information.service.gov.uk/company/OC326345" TargetMode="External" Id="rId13" /><Relationship Type="http://schemas.openxmlformats.org/officeDocument/2006/relationships/hyperlink" Target="https://www.linkedin.com/search/results/companies/?keywords=Linklaters" TargetMode="External" Id="rId14" /><Relationship Type="http://schemas.openxmlformats.org/officeDocument/2006/relationships/hyperlink" Target="https://find-and-update.company-information.service.gov.uk/company/OC373597" TargetMode="External" Id="rId15" /><Relationship Type="http://schemas.openxmlformats.org/officeDocument/2006/relationships/hyperlink" Target="https://www.linkedin.com/search/results/companies/?keywords=Stephenson%20Harwood" TargetMode="External" Id="rId16" /><Relationship Type="http://schemas.openxmlformats.org/officeDocument/2006/relationships/hyperlink" Target="https://find-and-update.company-information.service.gov.uk/company/OC317661" TargetMode="External" Id="rId17" /><Relationship Type="http://schemas.openxmlformats.org/officeDocument/2006/relationships/hyperlink" Target="https://www.linkedin.com/search/results/companies/?keywords=Womble%20Bond%20Dickinson" TargetMode="External" Id="rId18" /><Relationship Type="http://schemas.openxmlformats.org/officeDocument/2006/relationships/hyperlink" Target="https://find-and-update.company-information.service.gov.uk/company/OC361417" TargetMode="External" Id="rId19" /><Relationship Type="http://schemas.openxmlformats.org/officeDocument/2006/relationships/hyperlink" Target="https://www.linkedin.com/search/results/companies/?keywords=Howard%20Kennedy" TargetMode="External" Id="rId20" /><Relationship Type="http://schemas.openxmlformats.org/officeDocument/2006/relationships/hyperlink" Target="https://find-and-update.company-information.service.gov.uk/company/OC397401" TargetMode="External" Id="rId21" /><Relationship Type="http://schemas.openxmlformats.org/officeDocument/2006/relationships/hyperlink" Target="https://www.linkedin.com/search/results/companies/?keywords=Devonshires%20Solicitors" TargetMode="External" Id="rId22" /><Relationship Type="http://schemas.openxmlformats.org/officeDocument/2006/relationships/hyperlink" Target="https://find-and-update.company-information.service.gov.uk/company/OC353214" TargetMode="External" Id="rId23" /><Relationship Type="http://schemas.openxmlformats.org/officeDocument/2006/relationships/hyperlink" Target="https://www.linkedin.com/search/results/companies/?keywords=Kennedys" TargetMode="External" Id="rId24" /><Relationship Type="http://schemas.openxmlformats.org/officeDocument/2006/relationships/hyperlink" Target="https://find-and-update.company-information.service.gov.uk/company/11468874" TargetMode="External" Id="rId25" /><Relationship Type="http://schemas.openxmlformats.org/officeDocument/2006/relationships/hyperlink" Target="https://www.linkedin.com/search/results/companies/?keywords=Pogust%20Goodhead" TargetMode="External" Id="rId26" /><Relationship Type="http://schemas.openxmlformats.org/officeDocument/2006/relationships/hyperlink" Target="https://find-and-update.company-information.service.gov.uk/company/OC335584" TargetMode="External" Id="rId27" /><Relationship Type="http://schemas.openxmlformats.org/officeDocument/2006/relationships/hyperlink" Target="https://www.linkedin.com/search/results/companies/?keywords=Squire%20Patton%20Boggs" TargetMode="External" Id="rId28" /><Relationship Type="http://schemas.openxmlformats.org/officeDocument/2006/relationships/hyperlink" Target="https://find-and-update.company-information.service.gov.uk/company/OC352713" TargetMode="External" Id="rId29" /><Relationship Type="http://schemas.openxmlformats.org/officeDocument/2006/relationships/hyperlink" Target="https://www.linkedin.com/search/results/companies/?keywords=Simmons%20%26%20Simmons" TargetMode="External" Id="rId30" /><Relationship Type="http://schemas.openxmlformats.org/officeDocument/2006/relationships/hyperlink" Target="https://find-and-update.company-information.service.gov.uk/company/OC310010" TargetMode="External" Id="rId31" /><Relationship Type="http://schemas.openxmlformats.org/officeDocument/2006/relationships/hyperlink" Target="https://www.linkedin.com/search/results/companies/?keywords=Beale%20%26%20Company%20Solicitors" TargetMode="External" Id="rId32" /><Relationship Type="http://schemas.openxmlformats.org/officeDocument/2006/relationships/hyperlink" Target="https://find-and-update.company-information.service.gov.uk/company/OC305357" TargetMode="External" Id="rId33" /><Relationship Type="http://schemas.openxmlformats.org/officeDocument/2006/relationships/hyperlink" Target="https://www.linkedin.com/search/results/companies/?keywords=DLA%20Piper" TargetMode="External" Id="rId34" /><Relationship Type="http://schemas.openxmlformats.org/officeDocument/2006/relationships/hyperlink" Target="https://find-and-update.company-information.service.gov.uk/company/OC389628" TargetMode="External" Id="rId35" /><Relationship Type="http://schemas.openxmlformats.org/officeDocument/2006/relationships/hyperlink" Target="https://www.linkedin.com/search/results/companies/?keywords=Three%20Crowns" TargetMode="External" Id="rId36" /><Relationship Type="http://schemas.openxmlformats.org/officeDocument/2006/relationships/hyperlink" Target="https://find-and-update.company-information.service.gov.uk/company/OC343361" TargetMode="External" Id="rId37" /><Relationship Type="http://schemas.openxmlformats.org/officeDocument/2006/relationships/hyperlink" Target="https://www.linkedin.com/search/results/companies/?keywords=Holman%20Fenwick%20Willan" TargetMode="External" Id="rId38" /><Relationship Type="http://schemas.openxmlformats.org/officeDocument/2006/relationships/hyperlink" Target="https://find-and-update.company-information.service.gov.uk/company/00014259" TargetMode="External" Id="rId39" /><Relationship Type="http://schemas.openxmlformats.org/officeDocument/2006/relationships/hyperlink" Target="https://www.linkedin.com/search/results/companies/?keywords=HSBC" TargetMode="External" Id="rId40" /><Relationship Type="http://schemas.openxmlformats.org/officeDocument/2006/relationships/hyperlink" Target="https://find-and-update.company-information.service.gov.uk/company/07425398" TargetMode="External" Id="rId41" /><Relationship Type="http://schemas.openxmlformats.org/officeDocument/2006/relationships/hyperlink" Target="https://www.linkedin.com/search/results/companies/?keywords=Ita&#250;%20BBA" TargetMode="External" Id="rId42" /><Relationship Type="http://schemas.openxmlformats.org/officeDocument/2006/relationships/hyperlink" Target="https://find-and-update.company-information.service.gov.uk/company/00929027" TargetMode="External" Id="rId43" /><Relationship Type="http://schemas.openxmlformats.org/officeDocument/2006/relationships/hyperlink" Target="https://www.linkedin.com/search/results/companies/?keywords=NatWest" TargetMode="External" Id="rId44" /><Relationship Type="http://schemas.openxmlformats.org/officeDocument/2006/relationships/hyperlink" Target="https://find-and-update.company-information.service.gov.uk/company/09092149" TargetMode="External" Id="rId45" /><Relationship Type="http://schemas.openxmlformats.org/officeDocument/2006/relationships/hyperlink" Target="https://www.linkedin.com/search/results/companies/?keywords=Starling%20Bank" TargetMode="External" Id="rId46" /><Relationship Type="http://schemas.openxmlformats.org/officeDocument/2006/relationships/hyperlink" Target="https://find-and-update.company-information.service.gov.uk/company/07706156" TargetMode="External" Id="rId47" /><Relationship Type="http://schemas.openxmlformats.org/officeDocument/2006/relationships/hyperlink" Target="https://www.linkedin.com/search/results/companies/?keywords=Allica%20Bank" TargetMode="External" Id="rId48" /><Relationship Type="http://schemas.openxmlformats.org/officeDocument/2006/relationships/hyperlink" Target="https://find-and-update.company-information.service.gov.uk/company/06260053" TargetMode="External" Id="rId49" /><Relationship Type="http://schemas.openxmlformats.org/officeDocument/2006/relationships/hyperlink" Target="https://www.linkedin.com/search/results/companies/?keywords=Gatehouse%20Bank" TargetMode="External" Id="rId50" /><Relationship Type="http://schemas.openxmlformats.org/officeDocument/2006/relationships/hyperlink" Target="https://find-and-update.company-information.service.gov.uk/company/01311315" TargetMode="External" Id="rId51" /><Relationship Type="http://schemas.openxmlformats.org/officeDocument/2006/relationships/hyperlink" Target="https://www.linkedin.com/search/results/companies/?keywords=Hampshire%20Trust%20Bank" TargetMode="External" Id="rId52" /><Relationship Type="http://schemas.openxmlformats.org/officeDocument/2006/relationships/hyperlink" Target="https://find-and-update.company-information.service.gov.uk/company/00388466" TargetMode="External" Id="rId53" /><Relationship Type="http://schemas.openxmlformats.org/officeDocument/2006/relationships/hyperlink" Target="https://www.linkedin.com/search/results/companies/?keywords=Shawbrook%20Bank" TargetMode="External" Id="rId54" /><Relationship Type="http://schemas.openxmlformats.org/officeDocument/2006/relationships/hyperlink" Target="https://find-and-update.company-information.service.gov.uk/company/07026479" TargetMode="External" Id="rId55" /><Relationship Type="http://schemas.openxmlformats.org/officeDocument/2006/relationships/hyperlink" Target="https://www.linkedin.com/search/results/companies/?keywords=AgDevCo" TargetMode="External" Id="rId56" /><Relationship Type="http://schemas.openxmlformats.org/officeDocument/2006/relationships/hyperlink" Target="https://www.linkedin.com/search/results/companies/?keywords=the%20Bank%20of%20England" TargetMode="External" Id="rId57" /><Relationship Type="http://schemas.openxmlformats.org/officeDocument/2006/relationships/hyperlink" Target="https://find-and-update.company-information.service.gov.uk/company/03369233" TargetMode="External" Id="rId58" /><Relationship Type="http://schemas.openxmlformats.org/officeDocument/2006/relationships/hyperlink" Target="https://www.linkedin.com/search/results/companies/?keywords=Maples%20Group" TargetMode="External" Id="rId59" /><Relationship Type="http://schemas.openxmlformats.org/officeDocument/2006/relationships/hyperlink" Target="https://find-and-update.company-information.service.gov.uk/company/OC312252" TargetMode="External" Id="rId60" /><Relationship Type="http://schemas.openxmlformats.org/officeDocument/2006/relationships/hyperlink" Target="https://www.linkedin.com/search/results/companies/?keywords=Watson%20Farley%20%26%20Williams" TargetMode="External" Id="rId61" /><Relationship Type="http://schemas.openxmlformats.org/officeDocument/2006/relationships/hyperlink" Target="https://find-and-update.company-information.service.gov.uk/company/03495343" TargetMode="External" Id="rId62" /><Relationship Type="http://schemas.openxmlformats.org/officeDocument/2006/relationships/hyperlink" Target="https://www.linkedin.com/search/results/companies/?keywords=Conyers%20Dill%20%26%20Pearman" TargetMode="External" Id="rId63" /><Relationship Type="http://schemas.openxmlformats.org/officeDocument/2006/relationships/hyperlink" Target="https://find-and-update.company-information.service.gov.uk/company/OC346053" TargetMode="External" Id="rId64" /><Relationship Type="http://schemas.openxmlformats.org/officeDocument/2006/relationships/hyperlink" Target="https://www.linkedin.com/search/results/companies/?keywords=Greenberg%20Traurig" TargetMode="External" Id="rId65" /><Relationship Type="http://schemas.openxmlformats.org/officeDocument/2006/relationships/hyperlink" Target="https://find-and-update.company-information.service.gov.uk/company/OC306535" TargetMode="External" Id="rId66" /><Relationship Type="http://schemas.openxmlformats.org/officeDocument/2006/relationships/hyperlink" Target="https://www.linkedin.com/search/results/companies/?keywords=Paul%20Hastings" TargetMode="External" Id="rId67" /><Relationship Type="http://schemas.openxmlformats.org/officeDocument/2006/relationships/hyperlink" Target="https://find-and-update.company-information.service.gov.uk/company/09248715" TargetMode="External" Id="rId68" /><Relationship Type="http://schemas.openxmlformats.org/officeDocument/2006/relationships/hyperlink" Target="https://www.linkedin.com/search/results/companies/?keywords=Runnymede%20Law" TargetMode="External" Id="rId69" /><Relationship Type="http://schemas.openxmlformats.org/officeDocument/2006/relationships/hyperlink" Target="https://find-and-update.company-information.service.gov.uk/company/06963121" TargetMode="External" Id="rId70" /><Relationship Type="http://schemas.openxmlformats.org/officeDocument/2006/relationships/hyperlink" Target="https://www.linkedin.com/search/results/companies/?keywords=Doyle%20Clayton%20Solicitors" TargetMode="External" Id="rId71" /><Relationship Type="http://schemas.openxmlformats.org/officeDocument/2006/relationships/hyperlink" Target="https://find-and-update.company-information.service.gov.uk/company/04110598" TargetMode="External" Id="rId72" /><Relationship Type="http://schemas.openxmlformats.org/officeDocument/2006/relationships/hyperlink" Target="https://www.linkedin.com/search/results/companies/?keywords=ALM%20Global" TargetMode="External" Id="rId73" /><Relationship Type="http://schemas.openxmlformats.org/officeDocument/2006/relationships/hyperlink" Target="https://find-and-update.company-information.service.gov.uk/company/OC322220" TargetMode="External" Id="rId74" /><Relationship Type="http://schemas.openxmlformats.org/officeDocument/2006/relationships/hyperlink" Target="https://www.linkedin.com/search/results/companies/?keywords=Michael%20Osborne" TargetMode="External" Id="rId75" /><Relationship Type="http://schemas.openxmlformats.org/officeDocument/2006/relationships/hyperlink" Target="https://find-and-update.company-information.service.gov.uk/company/OC321631" TargetMode="External" Id="rId76" /><Relationship Type="http://schemas.openxmlformats.org/officeDocument/2006/relationships/hyperlink" Target="https://www.linkedin.com/search/results/companies/?keywords=Stewartsbridge" TargetMode="External" Id="rId77" /><Relationship Type="http://schemas.openxmlformats.org/officeDocument/2006/relationships/hyperlink" Target="https://find-and-update.company-information.service.gov.uk/company/OC325522" TargetMode="External" Id="rId78" /><Relationship Type="http://schemas.openxmlformats.org/officeDocument/2006/relationships/hyperlink" Target="https://www.linkedin.com/search/results/companies/?keywords=Bates%20Wells%20%26%20Braithwaite%20London" TargetMode="External" Id="rId79" /><Relationship Type="http://schemas.openxmlformats.org/officeDocument/2006/relationships/hyperlink" Target="https://find-and-update.company-information.service.gov.uk/company/04650763" TargetMode="External" Id="rId80" /><Relationship Type="http://schemas.openxmlformats.org/officeDocument/2006/relationships/hyperlink" Target="https://www.linkedin.com/search/results/companies/?keywords=Keystone%20Law" TargetMode="External" Id="rId81" /><Relationship Type="http://schemas.openxmlformats.org/officeDocument/2006/relationships/hyperlink" Target="https://find-and-update.company-information.service.gov.uk/company/OC433560" TargetMode="External" Id="rId82" /><Relationship Type="http://schemas.openxmlformats.org/officeDocument/2006/relationships/hyperlink" Target="https://www.linkedin.com/search/results/companies/?keywords=Anthony%20Gold%20Solicitors" TargetMode="External" Id="rId83" /><Relationship Type="http://schemas.openxmlformats.org/officeDocument/2006/relationships/hyperlink" Target="https://find-and-update.company-information.service.gov.uk/company/08589434" TargetMode="External" Id="rId84" /><Relationship Type="http://schemas.openxmlformats.org/officeDocument/2006/relationships/hyperlink" Target="https://www.linkedin.com/search/results/companies/?keywords=Shearwater%20Law" TargetMode="External" Id="rId85" /><Relationship Type="http://schemas.openxmlformats.org/officeDocument/2006/relationships/hyperlink" Target="https://find-and-update.company-information.service.gov.uk/company/OC303151" TargetMode="External" Id="rId86" /><Relationship Type="http://schemas.openxmlformats.org/officeDocument/2006/relationships/hyperlink" Target="https://www.linkedin.com/search/results/companies/?keywords=King%20%26%20Spalding" TargetMode="External" Id="rId87" /><Relationship Type="http://schemas.openxmlformats.org/officeDocument/2006/relationships/hyperlink" Target="https://find-and-update.company-information.service.gov.uk/company/OC311909" TargetMode="External" Id="rId88" /><Relationship Type="http://schemas.openxmlformats.org/officeDocument/2006/relationships/hyperlink" Target="https://www.linkedin.com/search/results/companies/?keywords=McDermott%20Will%20%26%20Schulte" TargetMode="External" Id="rId89" /><Relationship Type="http://schemas.openxmlformats.org/officeDocument/2006/relationships/hyperlink" Target="https://find-and-update.company-information.service.gov.uk/company/09692990" TargetMode="External" Id="rId90" /><Relationship Type="http://schemas.openxmlformats.org/officeDocument/2006/relationships/hyperlink" Target="https://www.linkedin.com/search/results/companies/?keywords=Secretariat" TargetMode="External" Id="rId91" /><Relationship Type="http://schemas.openxmlformats.org/officeDocument/2006/relationships/hyperlink" Target="https://find-and-update.company-information.service.gov.uk/company/OC324340" TargetMode="External" Id="rId92" /><Relationship Type="http://schemas.openxmlformats.org/officeDocument/2006/relationships/hyperlink" Target="https://www.linkedin.com/search/results/companies/?keywords=White%20%26%20Case" TargetMode="External" Id="rId93" /><Relationship Type="http://schemas.openxmlformats.org/officeDocument/2006/relationships/hyperlink" Target="https://find-and-update.company-information.service.gov.uk/company/15399140" TargetMode="External" Id="rId94" /><Relationship Type="http://schemas.openxmlformats.org/officeDocument/2006/relationships/hyperlink" Target="https://www.linkedin.com/search/results/companies/?keywords=MFB%20Solicitors" TargetMode="External" Id="rId95" /><Relationship Type="http://schemas.openxmlformats.org/officeDocument/2006/relationships/hyperlink" Target="https://find-and-update.company-information.service.gov.uk/company/09736376" TargetMode="External" Id="rId96" /><Relationship Type="http://schemas.openxmlformats.org/officeDocument/2006/relationships/hyperlink" Target="https://www.linkedin.com/search/results/companies/?keywords=Clearbank" TargetMode="External" Id="rId97" /><Relationship Type="http://schemas.openxmlformats.org/officeDocument/2006/relationships/hyperlink" Target="https://find-and-update.company-information.service.gov.uk/company/09446231" TargetMode="External" Id="rId98" /><Relationship Type="http://schemas.openxmlformats.org/officeDocument/2006/relationships/hyperlink" Target="https://www.linkedin.com/search/results/companies/?keywords=Monzo" TargetMode="External" Id="rId99" /><Relationship Type="http://schemas.openxmlformats.org/officeDocument/2006/relationships/hyperlink" Target="https://find-and-update.company-information.service.gov.uk/company/11734380" TargetMode="External" Id="rId100" /><Relationship Type="http://schemas.openxmlformats.org/officeDocument/2006/relationships/hyperlink" Target="https://www.linkedin.com/search/results/companies/?keywords=This%20Bank" TargetMode="External" Id="rId101" /><Relationship Type="http://schemas.openxmlformats.org/officeDocument/2006/relationships/hyperlink" Target="https://find-and-update.company-information.service.gov.uk/company/11283101" TargetMode="External" Id="rId102" /><Relationship Type="http://schemas.openxmlformats.org/officeDocument/2006/relationships/hyperlink" Target="https://www.linkedin.com/search/results/companies/?keywords=Citi" TargetMode="External" Id="rId103" /><Relationship Type="http://schemas.openxmlformats.org/officeDocument/2006/relationships/hyperlink" Target="https://find-and-update.company-information.service.gov.uk/company/11549793" TargetMode="External" Id="rId104" /><Relationship Type="http://schemas.openxmlformats.org/officeDocument/2006/relationships/hyperlink" Target="https://www.linkedin.com/search/results/companies/?keywords=Fire%20Financial" TargetMode="External" Id="rId105" /><Relationship Type="http://schemas.openxmlformats.org/officeDocument/2006/relationships/hyperlink" Target="https://find-and-update.company-information.service.gov.uk/company/02643004" TargetMode="External" Id="rId106" /><Relationship Type="http://schemas.openxmlformats.org/officeDocument/2006/relationships/hyperlink" Target="https://www.linkedin.com/search/results/companies/?keywords=Turkish%20Bank" TargetMode="External" Id="rId107" /><Relationship Type="http://schemas.openxmlformats.org/officeDocument/2006/relationships/hyperlink" Target="https://find-and-update.company-information.service.gov.uk/company/10627575" TargetMode="External" Id="rId108" /><Relationship Type="http://schemas.openxmlformats.org/officeDocument/2006/relationships/hyperlink" Target="https://www.linkedin.com/search/results/companies/?keywords=Zopa%20Bank" TargetMode="External" Id="rId109" /><Relationship Type="http://schemas.openxmlformats.org/officeDocument/2006/relationships/hyperlink" Target="https://find-and-update.company-information.service.gov.uk/company/01767389" TargetMode="External" Id="rId110" /><Relationship Type="http://schemas.openxmlformats.org/officeDocument/2006/relationships/hyperlink" Target="https://www.linkedin.com/search/results/companies/?keywords=UBS" TargetMode="External" Id="rId111" /><Relationship Type="http://schemas.openxmlformats.org/officeDocument/2006/relationships/hyperlink" Target="https://find-and-update.company-information.service.gov.uk/company/10603119" TargetMode="External" Id="rId112" /><Relationship Type="http://schemas.openxmlformats.org/officeDocument/2006/relationships/hyperlink" Target="https://www.linkedin.com/search/results/companies/?keywords=Recognise%20Bank" TargetMode="External" Id="rId113" /><Relationship Type="http://schemas.openxmlformats.org/officeDocument/2006/relationships/hyperlink" Target="https://find-and-update.company-information.service.gov.uk/company/04684034" TargetMode="External" Id="rId114" /><Relationship Type="http://schemas.openxmlformats.org/officeDocument/2006/relationships/hyperlink" Target="https://www.linkedin.com/search/results/companies/?keywords=SMBC" TargetMode="External" Id="rId115" /><Relationship Type="http://schemas.openxmlformats.org/officeDocument/2006/relationships/hyperlink" Target="https://find-and-update.company-information.service.gov.uk/company/04663024" TargetMode="External" Id="rId116" /><Relationship Type="http://schemas.openxmlformats.org/officeDocument/2006/relationships/hyperlink" Target="https://www.linkedin.com/search/results/companies/?keywords=ICICI%20Bank" TargetMode="External" Id="rId117" /><Relationship Type="http://schemas.openxmlformats.org/officeDocument/2006/relationships/hyperlink" Target="https://find-and-update.company-information.service.gov.uk/company/01074897" TargetMode="External" Id="rId118" /><Relationship Type="http://schemas.openxmlformats.org/officeDocument/2006/relationships/hyperlink" Target="https://www.linkedin.com/search/results/companies/?keywords=Havin%20Bank" TargetMode="External" Id="rId119" /><Relationship Type="http://schemas.openxmlformats.org/officeDocument/2006/relationships/hyperlink" Target="https://find-and-update.company-information.service.gov.uk/company/13090556" TargetMode="External" Id="rId120" /><Relationship Type="http://schemas.openxmlformats.org/officeDocument/2006/relationships/hyperlink" Target="https://www.linkedin.com/search/results/companies/?keywords=Afin%20Bank" TargetMode="External" Id="rId121" /><Relationship Type="http://schemas.openxmlformats.org/officeDocument/2006/relationships/hyperlink" Target="https://find-and-update.company-information.service.gov.uk/company/00995939" TargetMode="External" Id="rId122" /><Relationship Type="http://schemas.openxmlformats.org/officeDocument/2006/relationships/hyperlink" Target="https://www.linkedin.com/search/results/companies/?keywords=RBC" TargetMode="External" Id="rId123" /><Relationship Type="http://schemas.openxmlformats.org/officeDocument/2006/relationships/hyperlink" Target="https://find-and-update.company-information.service.gov.uk/company/04459383" TargetMode="External" Id="rId124" /><Relationship Type="http://schemas.openxmlformats.org/officeDocument/2006/relationships/hyperlink" Target="https://www.linkedin.com/search/results/companies/?keywords=Firstbank" TargetMode="External" Id="rId125" /><Relationship Type="http://schemas.openxmlformats.org/officeDocument/2006/relationships/hyperlink" Target="https://find-and-update.company-information.service.gov.uk/company/13180211" TargetMode="External" Id="rId126" /><Relationship Type="http://schemas.openxmlformats.org/officeDocument/2006/relationships/hyperlink" Target="https://www.linkedin.com/search/results/companies/?keywords=LHV%20Bank" TargetMode="External" Id="rId127" /><Relationship Type="http://schemas.openxmlformats.org/officeDocument/2006/relationships/hyperlink" Target="https://find-and-update.company-information.service.gov.uk/company/00315841" TargetMode="External" Id="rId128" /><Relationship Type="http://schemas.openxmlformats.org/officeDocument/2006/relationships/hyperlink" Target="https://www.linkedin.com/search/results/companies/?keywords=Deutsche%20Bank" TargetMode="External" Id="rId129" /><Relationship Type="http://schemas.openxmlformats.org/officeDocument/2006/relationships/hyperlink" Target="https://find-and-update.company-information.service.gov.uk/company/05713749" TargetMode="External" Id="rId130" /><Relationship Type="http://schemas.openxmlformats.org/officeDocument/2006/relationships/hyperlink" Target="https://www.linkedin.com/search/results/companies/?keywords=Zenith%20Bank" TargetMode="External" Id="rId131" /><Relationship Type="http://schemas.openxmlformats.org/officeDocument/2006/relationships/hyperlink" Target="https://find-and-update.company-information.service.gov.uk/company/04661188" TargetMode="External" Id="rId132" /><Relationship Type="http://schemas.openxmlformats.org/officeDocument/2006/relationships/hyperlink" Target="https://www.linkedin.com/search/results/companies/?keywords=Fidbank" TargetMode="External" Id="rId133" /><Relationship Type="http://schemas.openxmlformats.org/officeDocument/2006/relationships/hyperlink" Target="https://find-and-update.company-information.service.gov.uk/company/01981122" TargetMode="External" Id="rId134" /><Relationship Type="http://schemas.openxmlformats.org/officeDocument/2006/relationships/hyperlink" Target="https://www.linkedin.com/search/results/companies/?keywords=Nomura" TargetMode="External" Id="rId135" /><Relationship Type="http://schemas.openxmlformats.org/officeDocument/2006/relationships/hyperlink" Target="https://find-and-update.company-information.service.gov.uk/company/06621225" TargetMode="External" Id="rId136" /><Relationship Type="http://schemas.openxmlformats.org/officeDocument/2006/relationships/hyperlink" Target="https://www.linkedin.com/search/results/companies/?keywords=FCMB%20Bank" TargetMode="External" Id="rId137" /><Relationship Type="http://schemas.openxmlformats.org/officeDocument/2006/relationships/hyperlink" Target="https://find-and-update.company-information.service.gov.uk/company/11265124" TargetMode="External" Id="rId138" /><Relationship Type="http://schemas.openxmlformats.org/officeDocument/2006/relationships/hyperlink" Target="https://www.linkedin.com/search/results/companies/?keywords=PIDG" TargetMode="External" Id="rId139" /><Relationship Type="http://schemas.openxmlformats.org/officeDocument/2006/relationships/hyperlink" Target="https://find-and-update.company-information.service.gov.uk/company/02693038" TargetMode="External" Id="rId140" /><Relationship Type="http://schemas.openxmlformats.org/officeDocument/2006/relationships/hyperlink" Target="https://www.linkedin.com/search/results/companies/?keywords=KEXIM%20Bank" TargetMode="External" Id="rId141" /><Relationship Type="http://schemas.openxmlformats.org/officeDocument/2006/relationships/hyperlink" Target="https://find-and-update.company-information.service.gov.uk/company/08864609" TargetMode="External" Id="rId142" /><Relationship Type="http://schemas.openxmlformats.org/officeDocument/2006/relationships/hyperlink" Target="https://www.linkedin.com/search/results/companies/?keywords=Habib%20Bank%20Zurich" TargetMode="External" Id="rId143" /><Relationship Type="http://schemas.openxmlformats.org/officeDocument/2006/relationships/hyperlink" Target="https://find-and-update.company-information.service.gov.uk/company/OC319723" TargetMode="External" Id="rId144" /><Relationship Type="http://schemas.openxmlformats.org/officeDocument/2006/relationships/hyperlink" Target="https://www.linkedin.com/search/results/companies/?keywords=Langham%20Hall" TargetMode="External" Id="rId145" /><Relationship Type="http://schemas.openxmlformats.org/officeDocument/2006/relationships/hyperlink" Target="https://find-and-update.company-information.service.gov.uk/company/02669933" TargetMode="External" Id="rId146" /><Relationship Type="http://schemas.openxmlformats.org/officeDocument/2006/relationships/hyperlink" Target="https://www.linkedin.com/search/results/companies/?keywords=State%20Street" TargetMode="External" Id="rId147" /><Relationship Type="http://schemas.openxmlformats.org/officeDocument/2006/relationships/hyperlink" Target="https://find-and-update.company-information.service.gov.uk/company/11741614" TargetMode="External" Id="rId148" /><Relationship Type="http://schemas.openxmlformats.org/officeDocument/2006/relationships/hyperlink" Target="https://www.linkedin.com/search/results/companies/?keywords=Clearstream" TargetMode="External" Id="rId149" /><Relationship Type="http://schemas.openxmlformats.org/officeDocument/2006/relationships/hyperlink" Target="https://find-and-update.company-information.service.gov.uk/company/09486463" TargetMode="External" Id="rId150" /><Relationship Type="http://schemas.openxmlformats.org/officeDocument/2006/relationships/hyperlink" Target="https://www.linkedin.com/search/results/companies/?keywords=FNZ" TargetMode="External" Id="rId151" /><Relationship Type="http://schemas.openxmlformats.org/officeDocument/2006/relationships/hyperlink" Target="https://find-and-update.company-information.service.gov.uk/company/OC324323" TargetMode="External" Id="rId152" /><Relationship Type="http://schemas.openxmlformats.org/officeDocument/2006/relationships/hyperlink" Target="https://www.linkedin.com/search/results/companies/?keywords=Northern%20Trust" TargetMode="External" Id="rId153" /><Relationship Type="http://schemas.openxmlformats.org/officeDocument/2006/relationships/hyperlink" Target="https://find-and-update.company-information.service.gov.uk/company/OC355369" TargetMode="External" Id="rId154" /><Relationship Type="http://schemas.openxmlformats.org/officeDocument/2006/relationships/hyperlink" Target="https://www.linkedin.com/search/results/companies/?keywords=JTC" TargetMode="External" Id="rId155" /><Relationship Type="http://schemas.openxmlformats.org/officeDocument/2006/relationships/hyperlink" Target="https://find-and-update.company-information.service.gov.uk/company/06016828" TargetMode="External" Id="rId156" /><Relationship Type="http://schemas.openxmlformats.org/officeDocument/2006/relationships/hyperlink" Target="https://www.linkedin.com/search/results/companies/?keywords=Morningstar%20Wealth" TargetMode="External" Id="rId157" /><Relationship Type="http://schemas.openxmlformats.org/officeDocument/2006/relationships/hyperlink" Target="https://find-and-update.company-information.service.gov.uk/company/03853848" TargetMode="External" Id="rId158" /><Relationship Type="http://schemas.openxmlformats.org/officeDocument/2006/relationships/hyperlink" Target="https://www.linkedin.com/search/results/companies/?keywords=Apex%20Group" TargetMode="External" Id="rId159" /><Relationship Type="http://schemas.openxmlformats.org/officeDocument/2006/relationships/hyperlink" Target="https://find-and-update.company-information.service.gov.uk/company/08962253" TargetMode="External" Id="rId160" /><Relationship Type="http://schemas.openxmlformats.org/officeDocument/2006/relationships/hyperlink" Target="https://www.linkedin.com/search/results/companies/?keywords=Alter%20Domus" TargetMode="External" Id="rId161" /><Relationship Type="http://schemas.openxmlformats.org/officeDocument/2006/relationships/hyperlink" Target="https://find-and-update.company-information.service.gov.uk/company/11555138" TargetMode="External" Id="rId162" /><Relationship Type="http://schemas.openxmlformats.org/officeDocument/2006/relationships/hyperlink" Target="https://www.linkedin.com/search/results/companies/?keywords=Carne%20Group" TargetMode="External" Id="rId163" /><Relationship Type="http://schemas.openxmlformats.org/officeDocument/2006/relationships/hyperlink" Target="https://find-and-update.company-information.service.gov.uk/company/04752750" TargetMode="External" Id="rId164" /><Relationship Type="http://schemas.openxmlformats.org/officeDocument/2006/relationships/hyperlink" Target="https://www.linkedin.com/search/results/companies/?keywords=Stafford%20Capital%20Partners" TargetMode="External" Id="rId165" /><Relationship Type="http://schemas.openxmlformats.org/officeDocument/2006/relationships/hyperlink" Target="https://find-and-update.company-information.service.gov.uk/company/OC326500" TargetMode="External" Id="rId166" /><Relationship Type="http://schemas.openxmlformats.org/officeDocument/2006/relationships/hyperlink" Target="https://www.linkedin.com/search/results/companies/?keywords=Tritax%20Management" TargetMode="External" Id="rId167" /><Relationship Type="http://schemas.openxmlformats.org/officeDocument/2006/relationships/hyperlink" Target="https://find-and-update.company-information.service.gov.uk/company/09317056" TargetMode="External" Id="rId168" /><Relationship Type="http://schemas.openxmlformats.org/officeDocument/2006/relationships/hyperlink" Target="https://www.linkedin.com/search/results/companies/?keywords=Tramontana%20Asset%20Management" TargetMode="External" Id="rId169" /><Relationship Type="http://schemas.openxmlformats.org/officeDocument/2006/relationships/hyperlink" Target="https://find-and-update.company-information.service.gov.uk/company/OC375867" TargetMode="External" Id="rId170" /><Relationship Type="http://schemas.openxmlformats.org/officeDocument/2006/relationships/hyperlink" Target="https://www.linkedin.com/search/results/companies/?keywords=WestonWilliamson+Partners" TargetMode="External" Id="rId171" /><Relationship Type="http://schemas.openxmlformats.org/officeDocument/2006/relationships/hyperlink" Target="https://find-and-update.company-information.service.gov.uk/company/10804287" TargetMode="External" Id="rId172" /><Relationship Type="http://schemas.openxmlformats.org/officeDocument/2006/relationships/hyperlink" Target="https://www.linkedin.com/search/results/companies/?keywords=Lord%20Abbett" TargetMode="External" Id="rId173" /><Relationship Type="http://schemas.openxmlformats.org/officeDocument/2006/relationships/hyperlink" Target="https://find-and-update.company-information.service.gov.uk/company/13224309" TargetMode="External" Id="rId174" /><Relationship Type="http://schemas.openxmlformats.org/officeDocument/2006/relationships/hyperlink" Target="https://www.linkedin.com/search/results/companies/?keywords=Roscommon%20Analytics" TargetMode="External" Id="rId175" /><Relationship Type="http://schemas.openxmlformats.org/officeDocument/2006/relationships/hyperlink" Target="https://find-and-update.company-information.service.gov.uk/company/05367727" TargetMode="External" Id="rId176" /><Relationship Type="http://schemas.openxmlformats.org/officeDocument/2006/relationships/hyperlink" Target="https://www.linkedin.com/search/results/companies/?keywords=ActivTrades" TargetMode="External" Id="rId177" /><Relationship Type="http://schemas.openxmlformats.org/officeDocument/2006/relationships/hyperlink" Target="https://find-and-update.company-information.service.gov.uk/company/07014587" TargetMode="External" Id="rId178" /><Relationship Type="http://schemas.openxmlformats.org/officeDocument/2006/relationships/hyperlink" Target="https://www.linkedin.com/search/results/companies/?keywords=Crowdcube" TargetMode="External" Id="rId179" /><Relationship Type="http://schemas.openxmlformats.org/officeDocument/2006/relationships/hyperlink" Target="https://find-and-update.company-information.service.gov.uk/company/05864472" TargetMode="External" Id="rId180" /><Relationship Type="http://schemas.openxmlformats.org/officeDocument/2006/relationships/hyperlink" Target="https://www.linkedin.com/search/results/companies/?keywords=Ambridge" TargetMode="External" Id="rId181" /><Relationship Type="http://schemas.openxmlformats.org/officeDocument/2006/relationships/hyperlink" Target="https://find-and-update.company-information.service.gov.uk/company/09686970" TargetMode="External" Id="rId182" /><Relationship Type="http://schemas.openxmlformats.org/officeDocument/2006/relationships/hyperlink" Target="https://www.linkedin.com/search/results/companies/?keywords=Wealthkernel" TargetMode="External" Id="rId183" /><Relationship Type="http://schemas.openxmlformats.org/officeDocument/2006/relationships/hyperlink" Target="https://find-and-update.company-information.service.gov.uk/company/00105461" TargetMode="External" Id="rId184" /><Relationship Type="http://schemas.openxmlformats.org/officeDocument/2006/relationships/hyperlink" Target="https://www.linkedin.com/search/results/companies/?keywords=Steamship%20Mutual%20Underwriting%20Association" TargetMode="External" Id="rId185" /><Relationship Type="http://schemas.openxmlformats.org/officeDocument/2006/relationships/hyperlink" Target="https://find-and-update.company-information.service.gov.uk/company/02162215" TargetMode="External" Id="rId186" /><Relationship Type="http://schemas.openxmlformats.org/officeDocument/2006/relationships/hyperlink" Target="https://www.linkedin.com/search/results/companies/?keywords=Seascope" TargetMode="External" Id="rId187" /><Relationship Type="http://schemas.openxmlformats.org/officeDocument/2006/relationships/hyperlink" Target="https://find-and-update.company-information.service.gov.uk/company/OC339952" TargetMode="External" Id="rId188" /><Relationship Type="http://schemas.openxmlformats.org/officeDocument/2006/relationships/hyperlink" Target="https://www.linkedin.com/search/results/companies/?keywords=Advisors%20Investment" TargetMode="External" Id="rId189" /><Relationship Type="http://schemas.openxmlformats.org/officeDocument/2006/relationships/hyperlink" Target="https://find-and-update.company-information.service.gov.uk/company/14423247" TargetMode="External" Id="rId190" /><Relationship Type="http://schemas.openxmlformats.org/officeDocument/2006/relationships/hyperlink" Target="https://www.linkedin.com/search/results/companies/?keywords=Momenta%20Finance" TargetMode="External" Id="rId191" /><Relationship Type="http://schemas.openxmlformats.org/officeDocument/2006/relationships/hyperlink" Target="https://find-and-update.company-information.service.gov.uk/company/03370297" TargetMode="External" Id="rId192" /><Relationship Type="http://schemas.openxmlformats.org/officeDocument/2006/relationships/hyperlink" Target="https://www.linkedin.com/search/results/companies/?keywords=Talisman%20Underwriting" TargetMode="External" Id="rId193" /><Relationship Type="http://schemas.openxmlformats.org/officeDocument/2006/relationships/hyperlink" Target="https://find-and-update.company-information.service.gov.uk/company/10126196" TargetMode="External" Id="rId194" /><Relationship Type="http://schemas.openxmlformats.org/officeDocument/2006/relationships/hyperlink" Target="https://www.linkedin.com/search/results/companies/?keywords=Vector%20Investment%20Capital" TargetMode="External" Id="rId195" /><Relationship Type="http://schemas.openxmlformats.org/officeDocument/2006/relationships/hyperlink" Target="https://find-and-update.company-information.service.gov.uk/company/08620374" TargetMode="External" Id="rId196" /><Relationship Type="http://schemas.openxmlformats.org/officeDocument/2006/relationships/hyperlink" Target="https://www.linkedin.com/search/results/companies/?keywords=Fidentia%20Insurance%20Brokers" TargetMode="External" Id="rId197" /><Relationship Type="http://schemas.openxmlformats.org/officeDocument/2006/relationships/hyperlink" Target="https://find-and-update.company-information.service.gov.uk/company/09952199" TargetMode="External" Id="rId198" /><Relationship Type="http://schemas.openxmlformats.org/officeDocument/2006/relationships/hyperlink" Target="https://www.linkedin.com/search/results/companies/?keywords=Plum%20Fintech" TargetMode="External" Id="rId199" /><Relationship Type="http://schemas.openxmlformats.org/officeDocument/2006/relationships/hyperlink" Target="https://find-and-update.company-information.service.gov.uk/company/07984021" TargetMode="External" Id="rId200" /><Relationship Type="http://schemas.openxmlformats.org/officeDocument/2006/relationships/hyperlink" Target="https://www.linkedin.com/search/results/companies/?keywords=Aegis%20London" TargetMode="External" Id="rId201" /><Relationship Type="http://schemas.openxmlformats.org/officeDocument/2006/relationships/hyperlink" Target="https://find-and-update.company-information.service.gov.uk/company/12764745" TargetMode="External" Id="rId202" /><Relationship Type="http://schemas.openxmlformats.org/officeDocument/2006/relationships/hyperlink" Target="https://www.linkedin.com/search/results/companies/?keywords=Inigo" TargetMode="External" Id="rId203" /><Relationship Type="http://schemas.openxmlformats.org/officeDocument/2006/relationships/hyperlink" Target="https://find-and-update.company-information.service.gov.uk/company/00521852" TargetMode="External" Id="rId204" /><Relationship Type="http://schemas.openxmlformats.org/officeDocument/2006/relationships/hyperlink" Target="https://www.linkedin.com/search/results/companies/?keywords=AIG" TargetMode="External" Id="rId205" /><Relationship Type="http://schemas.openxmlformats.org/officeDocument/2006/relationships/hyperlink" Target="https://find-and-update.company-information.service.gov.uk/company/11091555" TargetMode="External" Id="rId206" /><Relationship Type="http://schemas.openxmlformats.org/officeDocument/2006/relationships/hyperlink" Target="https://www.linkedin.com/search/results/companies/?keywords=Ergo%20Travel%20Insurance" TargetMode="External" Id="rId207" /><Relationship Type="http://schemas.openxmlformats.org/officeDocument/2006/relationships/hyperlink" Target="https://find-and-update.company-information.service.gov.uk/company/03985522" TargetMode="External" Id="rId208" /><Relationship Type="http://schemas.openxmlformats.org/officeDocument/2006/relationships/hyperlink" Target="https://www.linkedin.com/search/results/companies/?keywords=Map%20Equity" TargetMode="External" Id="rId209" /><Relationship Type="http://schemas.openxmlformats.org/officeDocument/2006/relationships/hyperlink" Target="https://find-and-update.company-information.service.gov.uk/company/OC313353" TargetMode="External" Id="rId210" /><Relationship Type="http://schemas.openxmlformats.org/officeDocument/2006/relationships/hyperlink" Target="https://www.linkedin.com/search/results/companies/?keywords=Aberforth%20Partners" TargetMode="External" Id="rId211" /><Relationship Type="http://schemas.openxmlformats.org/officeDocument/2006/relationships/hyperlink" Target="https://find-and-update.company-information.service.gov.uk/company/OC350764" TargetMode="External" Id="rId212" /><Relationship Type="http://schemas.openxmlformats.org/officeDocument/2006/relationships/hyperlink" Target="https://www.linkedin.com/search/results/companies/?keywords=Augmentum%20Capital" TargetMode="External" Id="rId213" /><Relationship Type="http://schemas.openxmlformats.org/officeDocument/2006/relationships/hyperlink" Target="https://find-and-update.company-information.service.gov.uk/company/08698094" TargetMode="External" Id="rId214" /><Relationship Type="http://schemas.openxmlformats.org/officeDocument/2006/relationships/hyperlink" Target="https://www.linkedin.com/search/results/companies/?keywords=Dale%20Partners" TargetMode="External" Id="rId215" /><Relationship Type="http://schemas.openxmlformats.org/officeDocument/2006/relationships/hyperlink" Target="https://find-and-update.company-information.service.gov.uk/company/05933172" TargetMode="External" Id="rId216" /><Relationship Type="http://schemas.openxmlformats.org/officeDocument/2006/relationships/hyperlink" Target="https://www.linkedin.com/search/results/companies/?keywords=Vitality" TargetMode="External" Id="rId217" /><Relationship Type="http://schemas.openxmlformats.org/officeDocument/2006/relationships/hyperlink" Target="https://find-and-update.company-information.service.gov.uk/company/OC450941" TargetMode="External" Id="rId218" /><Relationship Type="http://schemas.openxmlformats.org/officeDocument/2006/relationships/hyperlink" Target="https://www.linkedin.com/search/results/companies/?keywords=MMC%20Ventures%20Partners" TargetMode="External" Id="rId219" /><Relationship Type="http://schemas.openxmlformats.org/officeDocument/2006/relationships/hyperlink" Target="https://find-and-update.company-information.service.gov.uk/company/06714157" TargetMode="External" Id="rId220" /><Relationship Type="http://schemas.openxmlformats.org/officeDocument/2006/relationships/hyperlink" Target="https://www.linkedin.com/search/results/companies/?keywords=Orchard" TargetMode="External" Id="rId221" /><Relationship Type="http://schemas.openxmlformats.org/officeDocument/2006/relationships/hyperlink" Target="https://find-and-update.company-information.service.gov.uk/company/04072404" TargetMode="External" Id="rId222" /><Relationship Type="http://schemas.openxmlformats.org/officeDocument/2006/relationships/hyperlink" Target="https://www.linkedin.com/search/results/companies/?keywords=Iris%20Insurance%20Brokers" TargetMode="External" Id="rId223" /><Relationship Type="http://schemas.openxmlformats.org/officeDocument/2006/relationships/hyperlink" Target="https://find-and-update.company-information.service.gov.uk/company/11032254" TargetMode="External" Id="rId224" /><Relationship Type="http://schemas.openxmlformats.org/officeDocument/2006/relationships/hyperlink" Target="https://www.linkedin.com/search/results/companies/?keywords=Optio" TargetMode="External" Id="rId225" /><Relationship Type="http://schemas.openxmlformats.org/officeDocument/2006/relationships/hyperlink" Target="https://find-and-update.company-information.service.gov.uk/company/10879844" TargetMode="External" Id="rId226" /><Relationship Type="http://schemas.openxmlformats.org/officeDocument/2006/relationships/hyperlink" Target="https://www.linkedin.com/search/results/companies/?keywords=Alchemy%20Underwriting" TargetMode="External" Id="rId227" /><Relationship Type="http://schemas.openxmlformats.org/officeDocument/2006/relationships/hyperlink" Target="https://find-and-update.company-information.service.gov.uk/company/03246931" TargetMode="External" Id="rId228" /><Relationship Type="http://schemas.openxmlformats.org/officeDocument/2006/relationships/hyperlink" Target="https://www.linkedin.com/search/results/companies/?keywords=Montanaro%20Asset%20Management" TargetMode="External" Id="rId229" /><Relationship Type="http://schemas.openxmlformats.org/officeDocument/2006/relationships/hyperlink" Target="https://find-and-update.company-information.service.gov.uk/company/OC318626" TargetMode="External" Id="rId230" /><Relationship Type="http://schemas.openxmlformats.org/officeDocument/2006/relationships/hyperlink" Target="https://www.linkedin.com/search/results/companies/?keywords=Apposite%20Capital" TargetMode="External" Id="rId231" /><Relationship Type="http://schemas.openxmlformats.org/officeDocument/2006/relationships/hyperlink" Target="https://find-and-update.company-information.service.gov.uk/company/OC355533" TargetMode="External" Id="rId232" /><Relationship Type="http://schemas.openxmlformats.org/officeDocument/2006/relationships/hyperlink" Target="https://www.linkedin.com/search/results/companies/?keywords=True%20North%20Partners" TargetMode="External" Id="rId233" /><Relationship Type="http://schemas.openxmlformats.org/officeDocument/2006/relationships/hyperlink" Target="https://find-and-update.company-information.service.gov.uk/company/03978143" TargetMode="External" Id="rId234" /><Relationship Type="http://schemas.openxmlformats.org/officeDocument/2006/relationships/hyperlink" Target="https://www.linkedin.com/search/results/companies/?keywords=International%20Risk%20Solutions" TargetMode="External" Id="rId235" /><Relationship Type="http://schemas.openxmlformats.org/officeDocument/2006/relationships/hyperlink" Target="https://find-and-update.company-information.service.gov.uk/company/05912554" TargetMode="External" Id="rId236" /><Relationship Type="http://schemas.openxmlformats.org/officeDocument/2006/relationships/hyperlink" Target="https://www.linkedin.com/search/results/companies/?keywords=Panmure%20Liberum%20Capital" TargetMode="External" Id="rId237" /><Relationship Type="http://schemas.openxmlformats.org/officeDocument/2006/relationships/hyperlink" Target="https://find-and-update.company-information.service.gov.uk/company/02937398" TargetMode="External" Id="rId238" /><Relationship Type="http://schemas.openxmlformats.org/officeDocument/2006/relationships/hyperlink" Target="https://www.linkedin.com/search/results/companies/?keywords=Howden" TargetMode="External" Id="rId239" /><Relationship Type="http://schemas.openxmlformats.org/officeDocument/2006/relationships/hyperlink" Target="https://find-and-update.company-information.service.gov.uk/company/03600178" TargetMode="External" Id="rId240" /><Relationship Type="http://schemas.openxmlformats.org/officeDocument/2006/relationships/hyperlink" Target="https://www.linkedin.com/search/results/companies/?keywords=Meacock%20Capital" TargetMode="External" Id="rId241" /><Relationship Type="http://schemas.openxmlformats.org/officeDocument/2006/relationships/hyperlink" Target="https://find-and-update.company-information.service.gov.uk/company/12093921" TargetMode="External" Id="rId242" /><Relationship Type="http://schemas.openxmlformats.org/officeDocument/2006/relationships/hyperlink" Target="https://www.linkedin.com/search/results/companies/?keywords=TT%20International%20Asset%20Management" TargetMode="External" Id="rId243" /><Relationship Type="http://schemas.openxmlformats.org/officeDocument/2006/relationships/hyperlink" Target="https://find-and-update.company-information.service.gov.uk/company/OC319972" TargetMode="External" Id="rId244" /><Relationship Type="http://schemas.openxmlformats.org/officeDocument/2006/relationships/hyperlink" Target="https://www.linkedin.com/search/results/companies/?keywords=Montagu" TargetMode="External" Id="rId245" /><Relationship Type="http://schemas.openxmlformats.org/officeDocument/2006/relationships/hyperlink" Target="https://find-and-update.company-information.service.gov.uk/company/09827091" TargetMode="External" Id="rId246" /><Relationship Type="http://schemas.openxmlformats.org/officeDocument/2006/relationships/hyperlink" Target="https://www.linkedin.com/search/results/companies/?keywords=AT%20Global%20Markets" TargetMode="External" Id="rId247" /><Relationship Type="http://schemas.openxmlformats.org/officeDocument/2006/relationships/hyperlink" Target="https://find-and-update.company-information.service.gov.uk/company/11237103" TargetMode="External" Id="rId248" /><Relationship Type="http://schemas.openxmlformats.org/officeDocument/2006/relationships/hyperlink" Target="https://www.linkedin.com/search/results/companies/?keywords=Euclid%20Transactional" TargetMode="External" Id="rId249" /><Relationship Type="http://schemas.openxmlformats.org/officeDocument/2006/relationships/hyperlink" Target="https://find-and-update.company-information.service.gov.uk/company/04529539" TargetMode="External" Id="rId250" /><Relationship Type="http://schemas.openxmlformats.org/officeDocument/2006/relationships/hyperlink" Target="https://www.linkedin.com/search/results/companies/?keywords=SGM%20-%20Foreign%20Exchange" TargetMode="External" Id="rId251" /><Relationship Type="http://schemas.openxmlformats.org/officeDocument/2006/relationships/hyperlink" Target="https://find-and-update.company-information.service.gov.uk/company/02512067" TargetMode="External" Id="rId252" /><Relationship Type="http://schemas.openxmlformats.org/officeDocument/2006/relationships/hyperlink" Target="https://www.linkedin.com/search/results/companies/?keywords=Global%20Aerospace%20Underwriting%20Managers" TargetMode="External" Id="rId253" /><Relationship Type="http://schemas.openxmlformats.org/officeDocument/2006/relationships/hyperlink" Target="https://find-and-update.company-information.service.gov.uk/company/OC428634" TargetMode="External" Id="rId254" /><Relationship Type="http://schemas.openxmlformats.org/officeDocument/2006/relationships/hyperlink" Target="https://www.linkedin.com/search/results/companies/?keywords=Polen%20Capital" TargetMode="External" Id="rId255" /><Relationship Type="http://schemas.openxmlformats.org/officeDocument/2006/relationships/hyperlink" Target="https://find-and-update.company-information.service.gov.uk/company/OC343340" TargetMode="External" Id="rId256" /><Relationship Type="http://schemas.openxmlformats.org/officeDocument/2006/relationships/hyperlink" Target="https://www.linkedin.com/search/results/companies/?keywords=Arcus%20Infrastructure%20Partners" TargetMode="External" Id="rId257" /><Relationship Type="http://schemas.openxmlformats.org/officeDocument/2006/relationships/hyperlink" Target="https://find-and-update.company-information.service.gov.uk/company/OC390504" TargetMode="External" Id="rId258" /><Relationship Type="http://schemas.openxmlformats.org/officeDocument/2006/relationships/hyperlink" Target="https://www.linkedin.com/search/results/companies/?keywords=Primary%20Capital%20Partners" TargetMode="External" Id="rId259" /><Relationship Type="http://schemas.openxmlformats.org/officeDocument/2006/relationships/hyperlink" Target="https://find-and-update.company-information.service.gov.uk/company/07745735" TargetMode="External" Id="rId260" /><Relationship Type="http://schemas.openxmlformats.org/officeDocument/2006/relationships/hyperlink" Target="https://www.linkedin.com/search/results/companies/?keywords=Robus%20Capital%20Management" TargetMode="External" Id="rId261" /><Relationship Type="http://schemas.openxmlformats.org/officeDocument/2006/relationships/hyperlink" Target="https://find-and-update.company-information.service.gov.uk/company/09600298" TargetMode="External" Id="rId262" /><Relationship Type="http://schemas.openxmlformats.org/officeDocument/2006/relationships/hyperlink" Target="https://www.linkedin.com/search/results/companies/?keywords=Sharegain" TargetMode="External" Id="rId263" /><Relationship Type="http://schemas.openxmlformats.org/officeDocument/2006/relationships/hyperlink" Target="https://find-and-update.company-information.service.gov.uk/company/06010019" TargetMode="External" Id="rId264" /><Relationship Type="http://schemas.openxmlformats.org/officeDocument/2006/relationships/hyperlink" Target="https://www.linkedin.com/search/results/companies/?keywords=Shackleton%20Ventures" TargetMode="External" Id="rId265" /><Relationship Type="http://schemas.openxmlformats.org/officeDocument/2006/relationships/hyperlink" Target="https://find-and-update.company-information.service.gov.uk/company/02725312" TargetMode="External" Id="rId266" /><Relationship Type="http://schemas.openxmlformats.org/officeDocument/2006/relationships/hyperlink" Target="https://www.linkedin.com/search/results/companies/?keywords=International%20Transport%20Intermediaries%20Club" TargetMode="External" Id="rId267" /><Relationship Type="http://schemas.openxmlformats.org/officeDocument/2006/relationships/hyperlink" Target="https://find-and-update.company-information.service.gov.uk/company/00022215" TargetMode="External" Id="rId268" /><Relationship Type="http://schemas.openxmlformats.org/officeDocument/2006/relationships/hyperlink" Target="https://www.linkedin.com/search/results/companies/?keywords=United%20Kingdom%20Mutual%20Steam%20Ship%20Assurance%20Association" TargetMode="External" Id="rId269" /><Relationship Type="http://schemas.openxmlformats.org/officeDocument/2006/relationships/hyperlink" Target="https://find-and-update.company-information.service.gov.uk/company/00010341" TargetMode="External" Id="rId270" /><Relationship Type="http://schemas.openxmlformats.org/officeDocument/2006/relationships/hyperlink" Target="https://www.linkedin.com/search/results/companies/?keywords=London%20Steam-Ship%20Owners'%20Mutual%20Insurance%20Association" TargetMode="External" Id="rId271" /><Relationship Type="http://schemas.openxmlformats.org/officeDocument/2006/relationships/hyperlink" Target="https://find-and-update.company-information.service.gov.uk/company/06379066" TargetMode="External" Id="rId272" /><Relationship Type="http://schemas.openxmlformats.org/officeDocument/2006/relationships/hyperlink" Target="https://www.linkedin.com/search/results/companies/?keywords=Hearthstone%20Investments" TargetMode="External" Id="rId273" /><Relationship Type="http://schemas.openxmlformats.org/officeDocument/2006/relationships/hyperlink" Target="https://find-and-update.company-information.service.gov.uk/company/09028327" TargetMode="External" Id="rId274" /><Relationship Type="http://schemas.openxmlformats.org/officeDocument/2006/relationships/hyperlink" Target="https://www.linkedin.com/search/results/companies/?keywords=Resonance%20Asset%20Management" TargetMode="External" Id="rId275" /><Relationship Type="http://schemas.openxmlformats.org/officeDocument/2006/relationships/hyperlink" Target="https://find-and-update.company-information.service.gov.uk/company/15884169" TargetMode="External" Id="rId276" /><Relationship Type="http://schemas.openxmlformats.org/officeDocument/2006/relationships/hyperlink" Target="https://www.linkedin.com/search/results/companies/?keywords=Brit" TargetMode="External" Id="rId277" /><Relationship Type="http://schemas.openxmlformats.org/officeDocument/2006/relationships/hyperlink" Target="https://find-and-update.company-information.service.gov.uk/company/10846939" TargetMode="External" Id="rId278" /><Relationship Type="http://schemas.openxmlformats.org/officeDocument/2006/relationships/hyperlink" Target="https://www.linkedin.com/search/results/companies/?keywords=Pine%20Walk%20Capital" TargetMode="External" Id="rId279" /><Relationship Type="http://schemas.openxmlformats.org/officeDocument/2006/relationships/hyperlink" Target="https://find-and-update.company-information.service.gov.uk/company/07014133" TargetMode="External" Id="rId280" /><Relationship Type="http://schemas.openxmlformats.org/officeDocument/2006/relationships/hyperlink" Target="https://www.linkedin.com/search/results/companies/?keywords=Wealth%20Wizards" TargetMode="External" Id="rId281" /><Relationship Type="http://schemas.openxmlformats.org/officeDocument/2006/relationships/hyperlink" Target="https://find-and-update.company-information.service.gov.uk/company/OC318938" TargetMode="External" Id="rId282" /><Relationship Type="http://schemas.openxmlformats.org/officeDocument/2006/relationships/hyperlink" Target="https://www.linkedin.com/search/results/companies/?keywords=Epic%20Investment%20Partners" TargetMode="External" Id="rId283" /><Relationship Type="http://schemas.openxmlformats.org/officeDocument/2006/relationships/hyperlink" Target="https://find-and-update.company-information.service.gov.uk/company/04679177" TargetMode="External" Id="rId284" /><Relationship Type="http://schemas.openxmlformats.org/officeDocument/2006/relationships/hyperlink" Target="https://www.linkedin.com/search/results/companies/?keywords=Evolution%20Markets" TargetMode="External" Id="rId285" /><Relationship Type="http://schemas.openxmlformats.org/officeDocument/2006/relationships/hyperlink" Target="https://find-and-update.company-information.service.gov.uk/company/10438231" TargetMode="External" Id="rId286" /><Relationship Type="http://schemas.openxmlformats.org/officeDocument/2006/relationships/hyperlink" Target="https://www.linkedin.com/search/results/companies/?keywords=Investengine" TargetMode="External" Id="rId287" /><Relationship Type="http://schemas.openxmlformats.org/officeDocument/2006/relationships/hyperlink" Target="https://find-and-update.company-information.service.gov.uk/company/06249714" TargetMode="External" Id="rId288" /><Relationship Type="http://schemas.openxmlformats.org/officeDocument/2006/relationships/hyperlink" Target="https://www.linkedin.com/search/results/companies/?keywords=Ultima%20Markets" TargetMode="External" Id="rId289" /><Relationship Type="http://schemas.openxmlformats.org/officeDocument/2006/relationships/hyperlink" Target="https://find-and-update.company-information.service.gov.uk/company/02089076" TargetMode="External" Id="rId290" /><Relationship Type="http://schemas.openxmlformats.org/officeDocument/2006/relationships/hyperlink" Target="https://www.linkedin.com/search/results/companies/?keywords=Refinitiv%20Transaction" TargetMode="External" Id="rId291" /><Relationship Type="http://schemas.openxmlformats.org/officeDocument/2006/relationships/hyperlink" Target="https://find-and-update.company-information.service.gov.uk/company/OC370282" TargetMode="External" Id="rId292" /><Relationship Type="http://schemas.openxmlformats.org/officeDocument/2006/relationships/hyperlink" Target="https://www.linkedin.com/search/results/companies/?keywords=Clean%20Energy%20Partners" TargetMode="External" Id="rId293" /><Relationship Type="http://schemas.openxmlformats.org/officeDocument/2006/relationships/hyperlink" Target="https://find-and-update.company-information.service.gov.uk/company/03594615" TargetMode="External" Id="rId294" /><Relationship Type="http://schemas.openxmlformats.org/officeDocument/2006/relationships/hyperlink" Target="https://www.linkedin.com/search/results/companies/?keywords=Janus%20Henderson" TargetMode="External" Id="rId295" /><Relationship Type="http://schemas.openxmlformats.org/officeDocument/2006/relationships/hyperlink" Target="https://find-and-update.company-information.service.gov.uk/company/02137726" TargetMode="External" Id="rId296" /><Relationship Type="http://schemas.openxmlformats.org/officeDocument/2006/relationships/hyperlink" Target="https://www.linkedin.com/search/results/companies/?keywords=Nuveen" TargetMode="External" Id="rId297" /><Relationship Type="http://schemas.openxmlformats.org/officeDocument/2006/relationships/hyperlink" Target="https://find-and-update.company-information.service.gov.uk/company/11286661" TargetMode="External" Id="rId298" /><Relationship Type="http://schemas.openxmlformats.org/officeDocument/2006/relationships/hyperlink" Target="https://www.linkedin.com/search/results/companies/?keywords=Tabula%20Investment%20Management" TargetMode="External" Id="rId299" /><Relationship Type="http://schemas.openxmlformats.org/officeDocument/2006/relationships/hyperlink" Target="https://find-and-update.company-information.service.gov.uk/company/06557752" TargetMode="External" Id="rId300" /><Relationship Type="http://schemas.openxmlformats.org/officeDocument/2006/relationships/hyperlink" Target="https://www.linkedin.com/search/results/companies/?keywords=Finalto%20Financial" TargetMode="External" Id="rId301" /><Relationship Type="http://schemas.openxmlformats.org/officeDocument/2006/relationships/hyperlink" Target="https://find-and-update.company-information.service.gov.uk/company/10192986" TargetMode="External" Id="rId302" /><Relationship Type="http://schemas.openxmlformats.org/officeDocument/2006/relationships/hyperlink" Target="https://www.linkedin.com/search/results/companies/?keywords=Firstrand%20Securities" TargetMode="External" Id="rId303" /><Relationship Type="http://schemas.openxmlformats.org/officeDocument/2006/relationships/hyperlink" Target="https://find-and-update.company-information.service.gov.uk/company/OC376508" TargetMode="External" Id="rId304" /><Relationship Type="http://schemas.openxmlformats.org/officeDocument/2006/relationships/hyperlink" Target="https://www.linkedin.com/search/results/companies/?keywords=Astatine%20Capital%20Partners" TargetMode="External" Id="rId305" /><Relationship Type="http://schemas.openxmlformats.org/officeDocument/2006/relationships/hyperlink" Target="https://find-and-update.company-information.service.gov.uk/company/OC380135" TargetMode="External" Id="rId306" /><Relationship Type="http://schemas.openxmlformats.org/officeDocument/2006/relationships/hyperlink" Target="https://www.linkedin.com/search/results/companies/?keywords=Bain%20Capital" TargetMode="External" Id="rId307" /><Relationship Type="http://schemas.openxmlformats.org/officeDocument/2006/relationships/hyperlink" Target="https://find-and-update.company-information.service.gov.uk/company/09136445" TargetMode="External" Id="rId308" /><Relationship Type="http://schemas.openxmlformats.org/officeDocument/2006/relationships/hyperlink" Target="https://www.linkedin.com/search/results/companies/?keywords=London%20LGPS%20CIV" TargetMode="External" Id="rId309" /><Relationship Type="http://schemas.openxmlformats.org/officeDocument/2006/relationships/hyperlink" Target="https://find-and-update.company-information.service.gov.uk/company/OC389160" TargetMode="External" Id="rId310" /><Relationship Type="http://schemas.openxmlformats.org/officeDocument/2006/relationships/hyperlink" Target="https://www.linkedin.com/search/results/companies/?keywords=MIC%20Capital%20Management" TargetMode="External" Id="rId311" /><Relationship Type="http://schemas.openxmlformats.org/officeDocument/2006/relationships/hyperlink" Target="https://find-and-update.company-information.service.gov.uk/company/14130490" TargetMode="External" Id="rId312" /><Relationship Type="http://schemas.openxmlformats.org/officeDocument/2006/relationships/hyperlink" Target="https://www.linkedin.com/search/results/companies/?keywords=Blumont%20Annuity%20Company" TargetMode="External" Id="rId313" /><Relationship Type="http://schemas.openxmlformats.org/officeDocument/2006/relationships/hyperlink" Target="https://find-and-update.company-information.service.gov.uk/company/03957086" TargetMode="External" Id="rId314" /><Relationship Type="http://schemas.openxmlformats.org/officeDocument/2006/relationships/hyperlink" Target="https://www.linkedin.com/search/results/companies/?keywords=MDU" TargetMode="External" Id="rId315" /><Relationship Type="http://schemas.openxmlformats.org/officeDocument/2006/relationships/hyperlink" Target="https://find-and-update.company-information.service.gov.uk/company/OC324895" TargetMode="External" Id="rId316" /><Relationship Type="http://schemas.openxmlformats.org/officeDocument/2006/relationships/hyperlink" Target="https://www.linkedin.com/search/results/companies/?keywords=Alpha%20Capital%20Partners" TargetMode="External" Id="rId317" /><Relationship Type="http://schemas.openxmlformats.org/officeDocument/2006/relationships/hyperlink" Target="https://find-and-update.company-information.service.gov.uk/company/08006945" TargetMode="External" Id="rId318" /><Relationship Type="http://schemas.openxmlformats.org/officeDocument/2006/relationships/hyperlink" Target="https://www.linkedin.com/search/results/companies/?keywords=FS%20First%20Solutions" TargetMode="External" Id="rId319" /><Relationship Type="http://schemas.openxmlformats.org/officeDocument/2006/relationships/hyperlink" Target="https://find-and-update.company-information.service.gov.uk/company/10425704" TargetMode="External" Id="rId320" /><Relationship Type="http://schemas.openxmlformats.org/officeDocument/2006/relationships/hyperlink" Target="https://www.linkedin.com/search/results/companies/?keywords=Madara%20Capital%20Management" TargetMode="External" Id="rId321" /><Relationship Type="http://schemas.openxmlformats.org/officeDocument/2006/relationships/hyperlink" Target="https://find-and-update.company-information.service.gov.uk/company/10214397" TargetMode="External" Id="rId322" /><Relationship Type="http://schemas.openxmlformats.org/officeDocument/2006/relationships/hyperlink" Target="https://www.linkedin.com/search/results/companies/?keywords=Vasey%20%26%20Harris%20Asset%20Management" TargetMode="External" Id="rId323" /><Relationship Type="http://schemas.openxmlformats.org/officeDocument/2006/relationships/hyperlink" Target="https://find-and-update.company-information.service.gov.uk/company/OC343461" TargetMode="External" Id="rId324" /><Relationship Type="http://schemas.openxmlformats.org/officeDocument/2006/relationships/hyperlink" Target="https://www.linkedin.com/search/results/companies/?keywords=Relative%20Value%20Investments" TargetMode="External" Id="rId325" /><Relationship Type="http://schemas.openxmlformats.org/officeDocument/2006/relationships/hyperlink" Target="https://find-and-update.company-information.service.gov.uk/company/OC303616" TargetMode="External" Id="rId326" /><Relationship Type="http://schemas.openxmlformats.org/officeDocument/2006/relationships/hyperlink" Target="https://www.linkedin.com/search/results/companies/?keywords=Autonomy%20Capital%20Research" TargetMode="External" Id="rId327" /><Relationship Type="http://schemas.openxmlformats.org/officeDocument/2006/relationships/hyperlink" Target="https://find-and-update.company-information.service.gov.uk/company/OC300617" TargetMode="External" Id="rId328" /><Relationship Type="http://schemas.openxmlformats.org/officeDocument/2006/relationships/hyperlink" Target="https://www.linkedin.com/search/results/companies/?keywords=Capital%20Markets%20Trading" TargetMode="External" Id="rId329" /><Relationship Type="http://schemas.openxmlformats.org/officeDocument/2006/relationships/hyperlink" Target="https://find-and-update.company-information.service.gov.uk/company/07677601" TargetMode="External" Id="rId330" /><Relationship Type="http://schemas.openxmlformats.org/officeDocument/2006/relationships/hyperlink" Target="https://www.linkedin.com/search/results/companies/?keywords=Flywire%20Payments" TargetMode="External" Id="rId331" /><Relationship Type="http://schemas.openxmlformats.org/officeDocument/2006/relationships/hyperlink" Target="https://find-and-update.company-information.service.gov.uk/company/OC445373" TargetMode="External" Id="rId332" /><Relationship Type="http://schemas.openxmlformats.org/officeDocument/2006/relationships/hyperlink" Target="https://www.linkedin.com/search/results/companies/?keywords=MKS%20Investment%20Partners" TargetMode="External" Id="rId333" /><Relationship Type="http://schemas.openxmlformats.org/officeDocument/2006/relationships/hyperlink" Target="https://find-and-update.company-information.service.gov.uk/company/15354221" TargetMode="External" Id="rId334" /><Relationship Type="http://schemas.openxmlformats.org/officeDocument/2006/relationships/hyperlink" Target="https://www.linkedin.com/search/results/companies/?keywords=Vertis%20Capital%20Partners" TargetMode="External" Id="rId335" /><Relationship Type="http://schemas.openxmlformats.org/officeDocument/2006/relationships/hyperlink" Target="https://find-and-update.company-information.service.gov.uk/company/OC387140" TargetMode="External" Id="rId336" /><Relationship Type="http://schemas.openxmlformats.org/officeDocument/2006/relationships/hyperlink" Target="https://www.linkedin.com/search/results/companies/?keywords=VR%20Advisory" TargetMode="External" Id="rId337" /><Relationship Type="http://schemas.openxmlformats.org/officeDocument/2006/relationships/hyperlink" Target="https://find-and-update.company-information.service.gov.uk/company/08968744" TargetMode="External" Id="rId338" /><Relationship Type="http://schemas.openxmlformats.org/officeDocument/2006/relationships/hyperlink" Target="https://www.linkedin.com/search/results/companies/?keywords=Booking%20Protect" TargetMode="External" Id="rId339" /><Relationship Type="http://schemas.openxmlformats.org/officeDocument/2006/relationships/hyperlink" Target="https://find-and-update.company-information.service.gov.uk/company/09408621" TargetMode="External" Id="rId340" /><Relationship Type="http://schemas.openxmlformats.org/officeDocument/2006/relationships/hyperlink" Target="https://www.linkedin.com/search/results/companies/?keywords=Cover%20Genius" TargetMode="External" Id="rId341" /><Relationship Type="http://schemas.openxmlformats.org/officeDocument/2006/relationships/hyperlink" Target="https://find-and-update.company-information.service.gov.uk/company/OC401498" TargetMode="External" Id="rId342" /><Relationship Type="http://schemas.openxmlformats.org/officeDocument/2006/relationships/hyperlink" Target="https://www.linkedin.com/search/results/companies/?keywords=BDT%20%26%20MSD%20Partners" TargetMode="External" Id="rId343" /><Relationship Type="http://schemas.openxmlformats.org/officeDocument/2006/relationships/hyperlink" Target="https://find-and-update.company-information.service.gov.uk/company/09084372" TargetMode="External" Id="rId344" /><Relationship Type="http://schemas.openxmlformats.org/officeDocument/2006/relationships/hyperlink" Target="https://www.linkedin.com/search/results/companies/?keywords=Boston%20Partners" TargetMode="External" Id="rId345" /><Relationship Type="http://schemas.openxmlformats.org/officeDocument/2006/relationships/hyperlink" Target="https://find-and-update.company-information.service.gov.uk/company/OC445092" TargetMode="External" Id="rId346" /><Relationship Type="http://schemas.openxmlformats.org/officeDocument/2006/relationships/hyperlink" Target="https://www.linkedin.com/search/results/companies/?keywords=Prizm%20Capital" TargetMode="External" Id="rId347" /><Relationship Type="http://schemas.openxmlformats.org/officeDocument/2006/relationships/hyperlink" Target="https://find-and-update.company-information.service.gov.uk/company/07471761" TargetMode="External" Id="rId348" /><Relationship Type="http://schemas.openxmlformats.org/officeDocument/2006/relationships/hyperlink" Target="https://www.linkedin.com/search/results/companies/?keywords=Stable%20Asset%20Management" TargetMode="External" Id="rId349" /><Relationship Type="http://schemas.openxmlformats.org/officeDocument/2006/relationships/hyperlink" Target="https://find-and-update.company-information.service.gov.uk/company/12280402" TargetMode="External" Id="rId350" /><Relationship Type="http://schemas.openxmlformats.org/officeDocument/2006/relationships/hyperlink" Target="https://www.linkedin.com/search/results/companies/?keywords=Sunway%20Re%20Capital%20Advisors" TargetMode="External" Id="rId351" /><Relationship Type="http://schemas.openxmlformats.org/officeDocument/2006/relationships/hyperlink" Target="https://find-and-update.company-information.service.gov.uk/company/02669861" TargetMode="External" Id="rId352" /><Relationship Type="http://schemas.openxmlformats.org/officeDocument/2006/relationships/hyperlink" Target="https://www.linkedin.com/search/results/companies/?keywords=EBS%20Dealing%20Resources" TargetMode="External" Id="rId353" /><Relationship Type="http://schemas.openxmlformats.org/officeDocument/2006/relationships/hyperlink" Target="https://find-and-update.company-information.service.gov.uk/company/06292563" TargetMode="External" Id="rId354" /><Relationship Type="http://schemas.openxmlformats.org/officeDocument/2006/relationships/hyperlink" Target="https://www.linkedin.com/search/results/companies/?keywords=Osttra%20Sef" TargetMode="External" Id="rId355" /><Relationship Type="http://schemas.openxmlformats.org/officeDocument/2006/relationships/hyperlink" Target="https://find-and-update.company-information.service.gov.uk/company/04839268" TargetMode="External" Id="rId356" /><Relationship Type="http://schemas.openxmlformats.org/officeDocument/2006/relationships/hyperlink" Target="https://www.linkedin.com/search/results/companies/?keywords=Traiana" TargetMode="External" Id="rId357" /><Relationship Type="http://schemas.openxmlformats.org/officeDocument/2006/relationships/hyperlink" Target="https://find-and-update.company-information.service.gov.uk/company/04379784" TargetMode="External" Id="rId358" /><Relationship Type="http://schemas.openxmlformats.org/officeDocument/2006/relationships/hyperlink" Target="https://www.linkedin.com/search/results/companies/?keywords=Trioptima" TargetMode="External" Id="rId359" /><Relationship Type="http://schemas.openxmlformats.org/officeDocument/2006/relationships/hyperlink" Target="https://find-and-update.company-information.service.gov.uk/company/09076083" TargetMode="External" Id="rId360" /><Relationship Type="http://schemas.openxmlformats.org/officeDocument/2006/relationships/hyperlink" Target="https://www.linkedin.com/search/results/companies/?keywords=Hispania%20Global%20UW" TargetMode="External" Id="rId361" /><Relationship Type="http://schemas.openxmlformats.org/officeDocument/2006/relationships/hyperlink" Target="https://find-and-update.company-information.service.gov.uk/company/OC397377" TargetMode="External" Id="rId362" /><Relationship Type="http://schemas.openxmlformats.org/officeDocument/2006/relationships/hyperlink" Target="https://www.linkedin.com/search/results/companies/?keywords=Element%20Capital%20Partners" TargetMode="External" Id="rId363" /><Relationship Type="http://schemas.openxmlformats.org/officeDocument/2006/relationships/hyperlink" Target="https://find-and-update.company-information.service.gov.uk/company/06603042" TargetMode="External" Id="rId364" /><Relationship Type="http://schemas.openxmlformats.org/officeDocument/2006/relationships/hyperlink" Target="https://www.linkedin.com/search/results/companies/?keywords=Silk%20Invest" TargetMode="External" Id="rId365" /><Relationship Type="http://schemas.openxmlformats.org/officeDocument/2006/relationships/hyperlink" Target="https://find-and-update.company-information.service.gov.uk/company/01298239" TargetMode="External" Id="rId366" /><Relationship Type="http://schemas.openxmlformats.org/officeDocument/2006/relationships/hyperlink" Target="https://www.linkedin.com/search/results/companies/?keywords=Heddington%20Insurance" TargetMode="External" Id="rId367" /><Relationship Type="http://schemas.openxmlformats.org/officeDocument/2006/relationships/hyperlink" Target="https://find-and-update.company-information.service.gov.uk/company/03591241" TargetMode="External" Id="rId368" /><Relationship Type="http://schemas.openxmlformats.org/officeDocument/2006/relationships/hyperlink" Target="https://www.linkedin.com/search/results/companies/?keywords=Hedge%20Funds%20Investment%20Management" TargetMode="External" Id="rId369" /><Relationship Type="http://schemas.openxmlformats.org/officeDocument/2006/relationships/hyperlink" Target="https://find-and-update.company-information.service.gov.uk/company/OC369335" TargetMode="External" Id="rId370" /><Relationship Type="http://schemas.openxmlformats.org/officeDocument/2006/relationships/hyperlink" Target="https://www.linkedin.com/search/results/companies/?keywords=Amicus%20Capital%20Consulting" TargetMode="External" Id="rId371" /><Relationship Type="http://schemas.openxmlformats.org/officeDocument/2006/relationships/hyperlink" Target="https://find-and-update.company-information.service.gov.uk/company/OC414735" TargetMode="External" Id="rId372" /><Relationship Type="http://schemas.openxmlformats.org/officeDocument/2006/relationships/hyperlink" Target="https://www.linkedin.com/search/results/companies/?keywords=Socii%20Capital" TargetMode="External" Id="rId373" /><Relationship Type="http://schemas.openxmlformats.org/officeDocument/2006/relationships/hyperlink" Target="https://find-and-update.company-information.service.gov.uk/company/04016953" TargetMode="External" Id="rId374" /><Relationship Type="http://schemas.openxmlformats.org/officeDocument/2006/relationships/hyperlink" Target="https://www.linkedin.com/search/results/companies/?keywords=Pirum%20Systems" TargetMode="External" Id="rId375" /><Relationship Type="http://schemas.openxmlformats.org/officeDocument/2006/relationships/hyperlink" Target="https://find-and-update.company-information.service.gov.uk/company/00564536" TargetMode="External" Id="rId376" /><Relationship Type="http://schemas.openxmlformats.org/officeDocument/2006/relationships/hyperlink" Target="https://www.linkedin.com/search/results/companies/?keywords=J.B.%20Boda%20%26%20Co" TargetMode="External" Id="rId377" /><Relationship Type="http://schemas.openxmlformats.org/officeDocument/2006/relationships/hyperlink" Target="https://find-and-update.company-information.service.gov.uk/company/02838391" TargetMode="External" Id="rId378" /><Relationship Type="http://schemas.openxmlformats.org/officeDocument/2006/relationships/hyperlink" Target="https://www.linkedin.com/search/results/companies/?keywords=Clegg%20Gifford%20%26%20Co" TargetMode="External" Id="rId379" /><Relationship Type="http://schemas.openxmlformats.org/officeDocument/2006/relationships/hyperlink" Target="https://find-and-update.company-information.service.gov.uk/company/01960404" TargetMode="External" Id="rId380" /><Relationship Type="http://schemas.openxmlformats.org/officeDocument/2006/relationships/hyperlink" Target="https://www.linkedin.com/search/results/companies/?keywords=Crispin%20Speers%20%26%20Partners" TargetMode="External" Id="rId381" /><Relationship Type="http://schemas.openxmlformats.org/officeDocument/2006/relationships/hyperlink" Target="https://find-and-update.company-information.service.gov.uk/company/07979365" TargetMode="External" Id="rId382" /><Relationship Type="http://schemas.openxmlformats.org/officeDocument/2006/relationships/hyperlink" Target="https://www.linkedin.com/search/results/companies/?keywords=Cobalt%20Underwriting" TargetMode="External" Id="rId383" /><Relationship Type="http://schemas.openxmlformats.org/officeDocument/2006/relationships/hyperlink" Target="https://find-and-update.company-information.service.gov.uk/company/15564560" TargetMode="External" Id="rId384" /><Relationship Type="http://schemas.openxmlformats.org/officeDocument/2006/relationships/hyperlink" Target="https://www.linkedin.com/search/results/companies/?keywords=Advice%20Ecosystem%20Technologies" TargetMode="External" Id="rId385" /><Relationship Type="http://schemas.openxmlformats.org/officeDocument/2006/relationships/hyperlink" Target="https://find-and-update.company-information.service.gov.uk/company/03635229" TargetMode="External" Id="rId386" /><Relationship Type="http://schemas.openxmlformats.org/officeDocument/2006/relationships/hyperlink" Target="https://www.linkedin.com/search/results/companies/?keywords=TP%20ICAP" TargetMode="External" Id="rId387" /><Relationship Type="http://schemas.openxmlformats.org/officeDocument/2006/relationships/hyperlink" Target="https://find-and-update.company-information.service.gov.uk/company/07282077" TargetMode="External" Id="rId388" /><Relationship Type="http://schemas.openxmlformats.org/officeDocument/2006/relationships/hyperlink" Target="https://www.linkedin.com/search/results/companies/?keywords=Iswap%20Euro" TargetMode="External" Id="rId389" /><Relationship Type="http://schemas.openxmlformats.org/officeDocument/2006/relationships/hyperlink" Target="https://find-and-update.company-information.service.gov.uk/company/OC305139" TargetMode="External" Id="rId390" /><Relationship Type="http://schemas.openxmlformats.org/officeDocument/2006/relationships/hyperlink" Target="https://www.linkedin.com/search/results/companies/?keywords=Louis%20Capital%20Markets" TargetMode="External" Id="rId391" /><Relationship Type="http://schemas.openxmlformats.org/officeDocument/2006/relationships/hyperlink" Target="https://find-and-update.company-information.service.gov.uk/company/OC308882" TargetMode="External" Id="rId392" /><Relationship Type="http://schemas.openxmlformats.org/officeDocument/2006/relationships/hyperlink" Target="https://www.linkedin.com/search/results/companies/?keywords=Vantage%20Capital%20Markets" TargetMode="External" Id="rId393" /><Relationship Type="http://schemas.openxmlformats.org/officeDocument/2006/relationships/hyperlink" Target="https://find-and-update.company-information.service.gov.uk/company/OC374783" TargetMode="External" Id="rId394" /><Relationship Type="http://schemas.openxmlformats.org/officeDocument/2006/relationships/hyperlink" Target="https://www.linkedin.com/search/results/companies/?keywords=Helford%20Capital%20Partners" TargetMode="External" Id="rId395" /><Relationship Type="http://schemas.openxmlformats.org/officeDocument/2006/relationships/hyperlink" Target="https://find-and-update.company-information.service.gov.uk/company/15446806" TargetMode="External" Id="rId396" /><Relationship Type="http://schemas.openxmlformats.org/officeDocument/2006/relationships/hyperlink" Target="https://www.linkedin.com/search/results/companies/?keywords=Global%20Insight%20Solutions" TargetMode="External" Id="rId397" /><Relationship Type="http://schemas.openxmlformats.org/officeDocument/2006/relationships/hyperlink" Target="https://find-and-update.company-information.service.gov.uk/company/OC335914" TargetMode="External" Id="rId398" /><Relationship Type="http://schemas.openxmlformats.org/officeDocument/2006/relationships/hyperlink" Target="https://www.linkedin.com/search/results/companies/?keywords=LBV%20Asset%20Management" TargetMode="External" Id="rId399" /><Relationship Type="http://schemas.openxmlformats.org/officeDocument/2006/relationships/hyperlink" Target="https://find-and-update.company-information.service.gov.uk/company/07714873" TargetMode="External" Id="rId400" /><Relationship Type="http://schemas.openxmlformats.org/officeDocument/2006/relationships/hyperlink" Target="https://www.linkedin.com/search/results/companies/?keywords=NFG%20Capital" TargetMode="External" Id="rId401" /><Relationship Type="http://schemas.openxmlformats.org/officeDocument/2006/relationships/hyperlink" Target="https://find-and-update.company-information.service.gov.uk/company/09797821" TargetMode="External" Id="rId402" /><Relationship Type="http://schemas.openxmlformats.org/officeDocument/2006/relationships/hyperlink" Target="https://www.linkedin.com/search/results/companies/?keywords=Freetrade" TargetMode="External" Id="rId403" /><Relationship Type="http://schemas.openxmlformats.org/officeDocument/2006/relationships/hyperlink" Target="https://find-and-update.company-information.service.gov.uk/company/10143052" TargetMode="External" Id="rId404" /><Relationship Type="http://schemas.openxmlformats.org/officeDocument/2006/relationships/hyperlink" Target="https://www.linkedin.com/search/results/companies/?keywords=Nuvu%20Mga" TargetMode="External" Id="rId405" /><Relationship Type="http://schemas.openxmlformats.org/officeDocument/2006/relationships/hyperlink" Target="https://find-and-update.company-information.service.gov.uk/company/11317277" TargetMode="External" Id="rId406" /><Relationship Type="http://schemas.openxmlformats.org/officeDocument/2006/relationships/hyperlink" Target="https://www.linkedin.com/search/results/companies/?keywords=Steadfast" TargetMode="External" Id="rId407" /><Relationship Type="http://schemas.openxmlformats.org/officeDocument/2006/relationships/hyperlink" Target="https://find-and-update.company-information.service.gov.uk/company/01144849" TargetMode="External" Id="rId408" /><Relationship Type="http://schemas.openxmlformats.org/officeDocument/2006/relationships/hyperlink" Target="https://www.linkedin.com/search/results/companies/?keywords=Jones%20Lang%20Lasalle%20Corporate%20Finance" TargetMode="External" Id="rId409" /><Relationship Type="http://schemas.openxmlformats.org/officeDocument/2006/relationships/hyperlink" Target="https://find-and-update.company-information.service.gov.uk/company/14832445" TargetMode="External" Id="rId410" /><Relationship Type="http://schemas.openxmlformats.org/officeDocument/2006/relationships/hyperlink" Target="https://www.linkedin.com/search/results/companies/?keywords=Accredited%20Insurance" TargetMode="External" Id="rId411" /><Relationship Type="http://schemas.openxmlformats.org/officeDocument/2006/relationships/hyperlink" Target="https://find-and-update.company-information.service.gov.uk/company/12837407" TargetMode="External" Id="rId412" /><Relationship Type="http://schemas.openxmlformats.org/officeDocument/2006/relationships/hyperlink" Target="https://www.linkedin.com/search/results/companies/?keywords=Attento%20Underwriting%20Agency" TargetMode="External" Id="rId413" /><Relationship Type="http://schemas.openxmlformats.org/officeDocument/2006/relationships/hyperlink" Target="https://find-and-update.company-information.service.gov.uk/company/04016257" TargetMode="External" Id="rId414" /><Relationship Type="http://schemas.openxmlformats.org/officeDocument/2006/relationships/hyperlink" Target="https://www.linkedin.com/search/results/companies/?keywords=Integro%20Insurance%20Brokers" TargetMode="External" Id="rId415" /><Relationship Type="http://schemas.openxmlformats.org/officeDocument/2006/relationships/hyperlink" Target="https://find-and-update.company-information.service.gov.uk/company/04518666" TargetMode="External" Id="rId416" /><Relationship Type="http://schemas.openxmlformats.org/officeDocument/2006/relationships/hyperlink" Target="https://www.linkedin.com/search/results/companies/?keywords=Line%20Underwriting" TargetMode="External" Id="rId417" /><Relationship Type="http://schemas.openxmlformats.org/officeDocument/2006/relationships/hyperlink" Target="https://find-and-update.company-information.service.gov.uk/company/01224375" TargetMode="External" Id="rId418" /><Relationship Type="http://schemas.openxmlformats.org/officeDocument/2006/relationships/hyperlink" Target="https://www.linkedin.com/search/results/companies/?keywords=Tyser" TargetMode="External" Id="rId419" /><Relationship Type="http://schemas.openxmlformats.org/officeDocument/2006/relationships/hyperlink" Target="https://find-and-update.company-information.service.gov.uk/company/02915929" TargetMode="External" Id="rId420" /><Relationship Type="http://schemas.openxmlformats.org/officeDocument/2006/relationships/hyperlink" Target="https://www.linkedin.com/search/results/companies/?keywords=Alpha%20Insurance%20Analysts" TargetMode="External" Id="rId421" /><Relationship Type="http://schemas.openxmlformats.org/officeDocument/2006/relationships/hyperlink" Target="https://find-and-update.company-information.service.gov.uk/company/01479949" TargetMode="External" Id="rId422" /><Relationship Type="http://schemas.openxmlformats.org/officeDocument/2006/relationships/hyperlink" Target="https://www.linkedin.com/search/results/companies/?keywords=BMS" TargetMode="External" Id="rId423" /><Relationship Type="http://schemas.openxmlformats.org/officeDocument/2006/relationships/hyperlink" Target="https://find-and-update.company-information.service.gov.uk/company/11691390" TargetMode="External" Id="rId424" /><Relationship Type="http://schemas.openxmlformats.org/officeDocument/2006/relationships/hyperlink" Target="https://www.linkedin.com/search/results/companies/?keywords=ICEN%20Risk" TargetMode="External" Id="rId425" /><Relationship Type="http://schemas.openxmlformats.org/officeDocument/2006/relationships/hyperlink" Target="https://find-and-update.company-information.service.gov.uk/company/03919499" TargetMode="External" Id="rId426" /><Relationship Type="http://schemas.openxmlformats.org/officeDocument/2006/relationships/hyperlink" Target="https://www.linkedin.com/search/results/companies/?keywords=Unicorn%20Asset%20Management" TargetMode="External" Id="rId427" /><Relationship Type="http://schemas.openxmlformats.org/officeDocument/2006/relationships/hyperlink" Target="https://find-and-update.company-information.service.gov.uk/company/09079980" TargetMode="External" Id="rId428" /><Relationship Type="http://schemas.openxmlformats.org/officeDocument/2006/relationships/hyperlink" Target="https://www.linkedin.com/search/results/companies/?keywords=Redress%20Solutions" TargetMode="External" Id="rId429" /><Relationship Type="http://schemas.openxmlformats.org/officeDocument/2006/relationships/hyperlink" Target="https://find-and-update.company-information.service.gov.uk/company/06486331" TargetMode="External" Id="rId430" /><Relationship Type="http://schemas.openxmlformats.org/officeDocument/2006/relationships/hyperlink" Target="https://www.linkedin.com/search/results/companies/?keywords=Two%20Sigma" TargetMode="External" Id="rId431" /><Relationship Type="http://schemas.openxmlformats.org/officeDocument/2006/relationships/hyperlink" Target="https://find-and-update.company-information.service.gov.uk/company/00817523" TargetMode="External" Id="rId432" /><Relationship Type="http://schemas.openxmlformats.org/officeDocument/2006/relationships/hyperlink" Target="https://www.linkedin.com/search/results/companies/?keywords=La%20Reunion%20Aerienne%20London" TargetMode="External" Id="rId433" /><Relationship Type="http://schemas.openxmlformats.org/officeDocument/2006/relationships/hyperlink" Target="https://find-and-update.company-information.service.gov.uk/company/07599565" TargetMode="External" Id="rId434" /><Relationship Type="http://schemas.openxmlformats.org/officeDocument/2006/relationships/hyperlink" Target="https://www.linkedin.com/search/results/companies/?keywords=Better%20Society%20Capital" TargetMode="External" Id="rId435" /><Relationship Type="http://schemas.openxmlformats.org/officeDocument/2006/relationships/hyperlink" Target="https://find-and-update.company-information.service.gov.uk/company/15698735" TargetMode="External" Id="rId436" /><Relationship Type="http://schemas.openxmlformats.org/officeDocument/2006/relationships/hyperlink" Target="https://www.linkedin.com/search/results/companies/?keywords=IMC%20London" TargetMode="External" Id="rId437" /><Relationship Type="http://schemas.openxmlformats.org/officeDocument/2006/relationships/hyperlink" Target="https://find-and-update.company-information.service.gov.uk/company/06773428" TargetMode="External" Id="rId438" /><Relationship Type="http://schemas.openxmlformats.org/officeDocument/2006/relationships/hyperlink" Target="https://www.linkedin.com/search/results/companies/?keywords=Berkley%20Offshore%20Underwriting%20Managers" TargetMode="External" Id="rId439" /><Relationship Type="http://schemas.openxmlformats.org/officeDocument/2006/relationships/hyperlink" Target="https://find-and-update.company-information.service.gov.uk/company/01661686" TargetMode="External" Id="rId440" /><Relationship Type="http://schemas.openxmlformats.org/officeDocument/2006/relationships/hyperlink" Target="https://www.linkedin.com/search/results/companies/?keywords=Berry%20Palmer%20%26%20Lyle" TargetMode="External" Id="rId441" /><Relationship Type="http://schemas.openxmlformats.org/officeDocument/2006/relationships/hyperlink" Target="https://find-and-update.company-information.service.gov.uk/company/00184915" TargetMode="External" Id="rId442" /><Relationship Type="http://schemas.openxmlformats.org/officeDocument/2006/relationships/hyperlink" Target="https://www.linkedin.com/search/results/companies/?keywords=Chaucer%20Syndicates" TargetMode="External" Id="rId443" /><Relationship Type="http://schemas.openxmlformats.org/officeDocument/2006/relationships/hyperlink" Target="https://find-and-update.company-information.service.gov.uk/company/07790365" TargetMode="External" Id="rId444" /><Relationship Type="http://schemas.openxmlformats.org/officeDocument/2006/relationships/hyperlink" Target="https://www.linkedin.com/search/results/companies/?keywords=China%20Re" TargetMode="External" Id="rId445" /><Relationship Type="http://schemas.openxmlformats.org/officeDocument/2006/relationships/hyperlink" Target="https://find-and-update.company-information.service.gov.uk/company/11796392" TargetMode="External" Id="rId446" /><Relationship Type="http://schemas.openxmlformats.org/officeDocument/2006/relationships/hyperlink" Target="https://www.linkedin.com/search/results/companies/?keywords=Convex%20Insurance" TargetMode="External" Id="rId447" /><Relationship Type="http://schemas.openxmlformats.org/officeDocument/2006/relationships/hyperlink" Target="https://find-and-update.company-information.service.gov.uk/company/01679607" TargetMode="External" Id="rId448" /><Relationship Type="http://schemas.openxmlformats.org/officeDocument/2006/relationships/hyperlink" Target="https://www.linkedin.com/search/results/companies/?keywords=Lonham" TargetMode="External" Id="rId449" /><Relationship Type="http://schemas.openxmlformats.org/officeDocument/2006/relationships/hyperlink" Target="https://find-and-update.company-information.service.gov.uk/company/09835244" TargetMode="External" Id="rId450" /><Relationship Type="http://schemas.openxmlformats.org/officeDocument/2006/relationships/hyperlink" Target="https://www.linkedin.com/search/results/companies/?keywords=Local%20Pensions%20Partnership%20Investments" TargetMode="External" Id="rId451" /><Relationship Type="http://schemas.openxmlformats.org/officeDocument/2006/relationships/hyperlink" Target="https://find-and-update.company-information.service.gov.uk/company/12516583" TargetMode="External" Id="rId452" /><Relationship Type="http://schemas.openxmlformats.org/officeDocument/2006/relationships/hyperlink" Target="https://www.linkedin.com/search/results/companies/?keywords=Navera%20Investment%20Management" TargetMode="External" Id="rId453" /><Relationship Type="http://schemas.openxmlformats.org/officeDocument/2006/relationships/hyperlink" Target="https://find-and-update.company-information.service.gov.uk/company/04191349" TargetMode="External" Id="rId454" /><Relationship Type="http://schemas.openxmlformats.org/officeDocument/2006/relationships/hyperlink" Target="https://www.linkedin.com/search/results/companies/?keywords=Pragma%20Wealth%20Management" TargetMode="External" Id="rId455" /><Relationship Type="http://schemas.openxmlformats.org/officeDocument/2006/relationships/hyperlink" Target="https://find-and-update.company-information.service.gov.uk/company/05832065" TargetMode="External" Id="rId456" /><Relationship Type="http://schemas.openxmlformats.org/officeDocument/2006/relationships/hyperlink" Target="https://www.linkedin.com/search/results/companies/?keywords=Hamilton%20Managing%20Agency" TargetMode="External" Id="rId457" /><Relationship Type="http://schemas.openxmlformats.org/officeDocument/2006/relationships/hyperlink" Target="https://find-and-update.company-information.service.gov.uk/company/08704800" TargetMode="External" Id="rId458" /><Relationship Type="http://schemas.openxmlformats.org/officeDocument/2006/relationships/hyperlink" Target="https://www.linkedin.com/search/results/companies/?keywords=Smart%20Investment%20Management" TargetMode="External" Id="rId459" /><Relationship Type="http://schemas.openxmlformats.org/officeDocument/2006/relationships/hyperlink" Target="https://find-and-update.company-information.service.gov.uk/company/08699396" TargetMode="External" Id="rId460" /><Relationship Type="http://schemas.openxmlformats.org/officeDocument/2006/relationships/hyperlink" Target="https://www.linkedin.com/search/results/companies/?keywords=Hunter%20George%20%26%20Partners" TargetMode="External" Id="rId461" /><Relationship Type="http://schemas.openxmlformats.org/officeDocument/2006/relationships/hyperlink" Target="https://find-and-update.company-information.service.gov.uk/company/07164987" TargetMode="External" Id="rId462" /><Relationship Type="http://schemas.openxmlformats.org/officeDocument/2006/relationships/hyperlink" Target="https://www.linkedin.com/search/results/companies/?keywords=Ryan%20Specialty" TargetMode="External" Id="rId463" /><Relationship Type="http://schemas.openxmlformats.org/officeDocument/2006/relationships/hyperlink" Target="https://find-and-update.company-information.service.gov.uk/company/02973661" TargetMode="External" Id="rId464" /><Relationship Type="http://schemas.openxmlformats.org/officeDocument/2006/relationships/hyperlink" Target="https://www.linkedin.com/search/results/companies/?keywords=Starr%20Underwriting%20Agents" TargetMode="External" Id="rId465" /><Relationship Type="http://schemas.openxmlformats.org/officeDocument/2006/relationships/hyperlink" Target="https://find-and-update.company-information.service.gov.uk/company/10737370" TargetMode="External" Id="rId466" /><Relationship Type="http://schemas.openxmlformats.org/officeDocument/2006/relationships/hyperlink" Target="https://www.linkedin.com/search/results/companies/?keywords=AIG%20UK" TargetMode="External" Id="rId467" /><Relationship Type="http://schemas.openxmlformats.org/officeDocument/2006/relationships/hyperlink" Target="https://find-and-update.company-information.service.gov.uk/company/02202362" TargetMode="External" Id="rId468" /><Relationship Type="http://schemas.openxmlformats.org/officeDocument/2006/relationships/hyperlink" Target="https://www.linkedin.com/search/results/companies/?keywords=Talbot%20Underwriting" TargetMode="External" Id="rId469" /><Relationship Type="http://schemas.openxmlformats.org/officeDocument/2006/relationships/hyperlink" Target="https://find-and-update.company-information.service.gov.uk/company/02997845" TargetMode="External" Id="rId470" /><Relationship Type="http://schemas.openxmlformats.org/officeDocument/2006/relationships/hyperlink" Target="https://www.linkedin.com/search/results/companies/?keywords=Uzbekinvest%20International%20Insurance%20Company" TargetMode="External" Id="rId471" /><Relationship Type="http://schemas.openxmlformats.org/officeDocument/2006/relationships/hyperlink" Target="https://find-and-update.company-information.service.gov.uk/company/11005345" TargetMode="External" Id="rId472" /><Relationship Type="http://schemas.openxmlformats.org/officeDocument/2006/relationships/hyperlink" Target="https://www.linkedin.com/search/results/companies/?keywords=Marshmallow%20Financial" TargetMode="External" Id="rId473" /><Relationship Type="http://schemas.openxmlformats.org/officeDocument/2006/relationships/hyperlink" Target="https://find-and-update.company-information.service.gov.uk/company/06645619" TargetMode="External" Id="rId474" /><Relationship Type="http://schemas.openxmlformats.org/officeDocument/2006/relationships/hyperlink" Target="https://www.linkedin.com/search/results/companies/?keywords=Arch%20Europe%20Insurance" TargetMode="External" Id="rId475" /><Relationship Type="http://schemas.openxmlformats.org/officeDocument/2006/relationships/hyperlink" Target="https://find-and-update.company-information.service.gov.uk/company/01695841" TargetMode="External" Id="rId476" /><Relationship Type="http://schemas.openxmlformats.org/officeDocument/2006/relationships/hyperlink" Target="https://www.linkedin.com/search/results/companies/?keywords=Bell%20%26%20Clements" TargetMode="External" Id="rId477" /><Relationship Type="http://schemas.openxmlformats.org/officeDocument/2006/relationships/hyperlink" Target="https://find-and-update.company-information.service.gov.uk/company/13436330" TargetMode="External" Id="rId478" /><Relationship Type="http://schemas.openxmlformats.org/officeDocument/2006/relationships/hyperlink" Target="https://www.linkedin.com/search/results/companies/?keywords=Great%20Lakes%20Insurance" TargetMode="External" Id="rId479" /><Relationship Type="http://schemas.openxmlformats.org/officeDocument/2006/relationships/hyperlink" Target="https://find-and-update.company-information.service.gov.uk/company/03266453" TargetMode="External" Id="rId480" /><Relationship Type="http://schemas.openxmlformats.org/officeDocument/2006/relationships/hyperlink" Target="https://www.linkedin.com/search/results/companies/?keywords=Munich%20Re%20Capital" TargetMode="External" Id="rId481" /><Relationship Type="http://schemas.openxmlformats.org/officeDocument/2006/relationships/hyperlink" Target="https://find-and-update.company-information.service.gov.uk/company/03223692" TargetMode="External" Id="rId482" /><Relationship Type="http://schemas.openxmlformats.org/officeDocument/2006/relationships/hyperlink" Target="https://www.linkedin.com/search/results/companies/?keywords=Newline" TargetMode="External" Id="rId483" /><Relationship Type="http://schemas.openxmlformats.org/officeDocument/2006/relationships/hyperlink" Target="https://find-and-update.company-information.service.gov.uk/company/02984338" TargetMode="External" Id="rId484" /><Relationship Type="http://schemas.openxmlformats.org/officeDocument/2006/relationships/hyperlink" Target="https://www.linkedin.com/search/results/companies/?keywords=Roanoke%20International%20Brokers" TargetMode="External" Id="rId485" /><Relationship Type="http://schemas.openxmlformats.org/officeDocument/2006/relationships/hyperlink" Target="https://find-and-update.company-information.service.gov.uk/company/00015454" TargetMode="External" Id="rId486" /><Relationship Type="http://schemas.openxmlformats.org/officeDocument/2006/relationships/hyperlink" Target="https://www.linkedin.com/search/results/companies/?keywords=Prudential%20Assurance%20Company" TargetMode="External" Id="rId487" /><Relationship Type="http://schemas.openxmlformats.org/officeDocument/2006/relationships/hyperlink" Target="https://find-and-update.company-information.service.gov.uk/company/09798089" TargetMode="External" Id="rId488" /><Relationship Type="http://schemas.openxmlformats.org/officeDocument/2006/relationships/hyperlink" Target="https://www.linkedin.com/search/results/companies/?keywords=Bellrock%20Securities" TargetMode="External" Id="rId489" /><Relationship Type="http://schemas.openxmlformats.org/officeDocument/2006/relationships/hyperlink" Target="https://find-and-update.company-information.service.gov.uk/company/03852763" TargetMode="External" Id="rId490" /><Relationship Type="http://schemas.openxmlformats.org/officeDocument/2006/relationships/hyperlink" Target="https://www.linkedin.com/search/results/companies/?keywords=M%26G%20Real%20Estate" TargetMode="External" Id="rId491" /><Relationship Type="http://schemas.openxmlformats.org/officeDocument/2006/relationships/hyperlink" Target="https://find-and-update.company-information.service.gov.uk/company/01490503" TargetMode="External" Id="rId492" /><Relationship Type="http://schemas.openxmlformats.org/officeDocument/2006/relationships/hyperlink" Target="https://www.linkedin.com/search/results/companies/?keywords=Card%20Protection%20Plan" TargetMode="External" Id="rId493" /><Relationship Type="http://schemas.openxmlformats.org/officeDocument/2006/relationships/hyperlink" Target="https://find-and-update.company-information.service.gov.uk/company/02551468" TargetMode="External" Id="rId494" /><Relationship Type="http://schemas.openxmlformats.org/officeDocument/2006/relationships/hyperlink" Target="https://www.linkedin.com/search/results/companies/?keywords=Centrewrite" TargetMode="External" Id="rId495" /><Relationship Type="http://schemas.openxmlformats.org/officeDocument/2006/relationships/hyperlink" Target="https://find-and-update.company-information.service.gov.uk/company/11566007" TargetMode="External" Id="rId496" /><Relationship Type="http://schemas.openxmlformats.org/officeDocument/2006/relationships/hyperlink" Target="https://www.linkedin.com/search/results/companies/?keywords=Certa%20Insurance%20Partners" TargetMode="External" Id="rId497" /><Relationship Type="http://schemas.openxmlformats.org/officeDocument/2006/relationships/hyperlink" Target="https://find-and-update.company-information.service.gov.uk/company/04039137" TargetMode="External" Id="rId498" /><Relationship Type="http://schemas.openxmlformats.org/officeDocument/2006/relationships/hyperlink" Target="https://www.linkedin.com/search/results/companies/?keywords=Cincinnati%20Global%20Underwriting%20Agency" TargetMode="External" Id="rId499" /><Relationship Type="http://schemas.openxmlformats.org/officeDocument/2006/relationships/hyperlink" Target="https://find-and-update.company-information.service.gov.uk/company/06293305" TargetMode="External" Id="rId500" /><Relationship Type="http://schemas.openxmlformats.org/officeDocument/2006/relationships/hyperlink" Target="https://www.linkedin.com/search/results/companies/?keywords=Creative%20Benefit%20Solutions" TargetMode="External" Id="rId501" /><Relationship Type="http://schemas.openxmlformats.org/officeDocument/2006/relationships/hyperlink" Target="https://find-and-update.company-information.service.gov.uk/company/02793290" TargetMode="External" Id="rId502" /><Relationship Type="http://schemas.openxmlformats.org/officeDocument/2006/relationships/hyperlink" Target="https://www.linkedin.com/search/results/companies/?keywords=Homecare%20Insurance" TargetMode="External" Id="rId503" /><Relationship Type="http://schemas.openxmlformats.org/officeDocument/2006/relationships/hyperlink" Target="https://find-and-update.company-information.service.gov.uk/company/06771814" TargetMode="External" Id="rId504" /><Relationship Type="http://schemas.openxmlformats.org/officeDocument/2006/relationships/hyperlink" Target="https://www.linkedin.com/search/results/companies/?keywords=Jrp%20Insurance%20Management" TargetMode="External" Id="rId505" /><Relationship Type="http://schemas.openxmlformats.org/officeDocument/2006/relationships/hyperlink" Target="https://find-and-update.company-information.service.gov.uk/company/09429809" TargetMode="External" Id="rId506" /><Relationship Type="http://schemas.openxmlformats.org/officeDocument/2006/relationships/hyperlink" Target="https://www.linkedin.com/search/results/companies/?keywords=Korean%20Re%20Underwriting" TargetMode="External" Id="rId507" /><Relationship Type="http://schemas.openxmlformats.org/officeDocument/2006/relationships/hyperlink" Target="https://find-and-update.company-information.service.gov.uk/company/07308768" TargetMode="External" Id="rId508" /><Relationship Type="http://schemas.openxmlformats.org/officeDocument/2006/relationships/hyperlink" Target="https://www.linkedin.com/search/results/companies/?keywords=Samsung%20Fire%20%26%20Marine%20Insurance%20Company%20of" TargetMode="External" Id="rId509" /><Relationship Type="http://schemas.openxmlformats.org/officeDocument/2006/relationships/hyperlink" Target="https://find-and-update.company-information.service.gov.uk/company/11005928" TargetMode="External" Id="rId510" /><Relationship Type="http://schemas.openxmlformats.org/officeDocument/2006/relationships/hyperlink" Target="https://www.linkedin.com/search/results/companies/?keywords=Volante" TargetMode="External" Id="rId511" /><Relationship Type="http://schemas.openxmlformats.org/officeDocument/2006/relationships/hyperlink" Target="https://find-and-update.company-information.service.gov.uk/company/00181116" TargetMode="External" Id="rId512" /><Relationship Type="http://schemas.openxmlformats.org/officeDocument/2006/relationships/hyperlink" Target="https://www.linkedin.com/search/results/companies/?keywords=WTW" TargetMode="External" Id="rId513" /><Relationship Type="http://schemas.openxmlformats.org/officeDocument/2006/relationships/hyperlink" Target="https://find-and-update.company-information.service.gov.uk/company/11810533" TargetMode="External" Id="rId514" /><Relationship Type="http://schemas.openxmlformats.org/officeDocument/2006/relationships/hyperlink" Target="https://www.linkedin.com/search/results/companies/?keywords=Fair4All%20Finance" TargetMode="External" Id="rId515" /><Relationship Type="http://schemas.openxmlformats.org/officeDocument/2006/relationships/hyperlink" Target="https://find-and-update.company-information.service.gov.uk/company/09375775" TargetMode="External" Id="rId516" /><Relationship Type="http://schemas.openxmlformats.org/officeDocument/2006/relationships/hyperlink" Target="https://www.linkedin.com/search/results/companies/?keywords=Medical%20%26%20Commercial" TargetMode="External" Id="rId517" /><Relationship Type="http://schemas.openxmlformats.org/officeDocument/2006/relationships/hyperlink" Target="https://find-and-update.company-information.service.gov.uk/company/01112603" TargetMode="External" Id="rId518" /><Relationship Type="http://schemas.openxmlformats.org/officeDocument/2006/relationships/hyperlink" Target="https://www.linkedin.com/search/results/companies/?keywords=First%20Title%20Insurance" TargetMode="External" Id="rId519" /><Relationship Type="http://schemas.openxmlformats.org/officeDocument/2006/relationships/hyperlink" Target="https://find-and-update.company-information.service.gov.uk/company/03623950" TargetMode="External" Id="rId520" /><Relationship Type="http://schemas.openxmlformats.org/officeDocument/2006/relationships/hyperlink" Target="https://www.linkedin.com/search/results/companies/?keywords=Guaranteed%20Conveyancing%20Solutions" TargetMode="External" Id="rId521" /><Relationship Type="http://schemas.openxmlformats.org/officeDocument/2006/relationships/hyperlink" Target="https://find-and-update.company-information.service.gov.uk/company/03985640" TargetMode="External" Id="rId522" /><Relationship Type="http://schemas.openxmlformats.org/officeDocument/2006/relationships/hyperlink" Target="https://www.linkedin.com/search/results/companies/?keywords=Managing%20Agency%20Partners" TargetMode="External" Id="rId523" /><Relationship Type="http://schemas.openxmlformats.org/officeDocument/2006/relationships/hyperlink" Target="https://find-and-update.company-information.service.gov.uk/company/07151701" TargetMode="External" Id="rId524" /><Relationship Type="http://schemas.openxmlformats.org/officeDocument/2006/relationships/hyperlink" Target="https://www.linkedin.com/search/results/companies/?keywords=Qmetric" TargetMode="External" Id="rId525" /><Relationship Type="http://schemas.openxmlformats.org/officeDocument/2006/relationships/hyperlink" Target="https://find-and-update.company-information.service.gov.uk/company/OC437491" TargetMode="External" Id="rId526" /><Relationship Type="http://schemas.openxmlformats.org/officeDocument/2006/relationships/hyperlink" Target="https://www.linkedin.com/search/results/companies/?keywords=Pallas%20Partners" TargetMode="External" Id="rId527" /><Relationship Type="http://schemas.openxmlformats.org/officeDocument/2006/relationships/hyperlink" Target="https://find-and-update.company-information.service.gov.uk/company/05424896" TargetMode="External" Id="rId528" /><Relationship Type="http://schemas.openxmlformats.org/officeDocument/2006/relationships/hyperlink" Target="https://www.linkedin.com/search/results/companies/?keywords=Securis%20Investments" TargetMode="External" Id="rId529" /><Relationship Type="http://schemas.openxmlformats.org/officeDocument/2006/relationships/hyperlink" Target="https://find-and-update.company-information.service.gov.uk/company/10254215" TargetMode="External" Id="rId530" /><Relationship Type="http://schemas.openxmlformats.org/officeDocument/2006/relationships/hyperlink" Target="https://www.linkedin.com/search/results/companies/?keywords=Blenheim%20Underwriting" TargetMode="External" Id="rId531" /><Relationship Type="http://schemas.openxmlformats.org/officeDocument/2006/relationships/hyperlink" Target="https://find-and-update.company-information.service.gov.uk/company/14522744" TargetMode="External" Id="rId532" /><Relationship Type="http://schemas.openxmlformats.org/officeDocument/2006/relationships/hyperlink" Target="https://www.linkedin.com/search/results/companies/?keywords=Casper%20Specialty" TargetMode="External" Id="rId533" /><Relationship Type="http://schemas.openxmlformats.org/officeDocument/2006/relationships/hyperlink" Target="https://find-and-update.company-information.service.gov.uk/company/00687923" TargetMode="External" Id="rId534" /><Relationship Type="http://schemas.openxmlformats.org/officeDocument/2006/relationships/hyperlink" Target="https://www.linkedin.com/search/results/companies/?keywords=Dashwood" TargetMode="External" Id="rId535" /><Relationship Type="http://schemas.openxmlformats.org/officeDocument/2006/relationships/hyperlink" Target="https://find-and-update.company-information.service.gov.uk/company/10595512" TargetMode="External" Id="rId536" /><Relationship Type="http://schemas.openxmlformats.org/officeDocument/2006/relationships/hyperlink" Target="https://www.linkedin.com/search/results/companies/?keywords=Enstar%20Managing%20Agency" TargetMode="External" Id="rId537" /><Relationship Type="http://schemas.openxmlformats.org/officeDocument/2006/relationships/hyperlink" Target="https://find-and-update.company-information.service.gov.uk/company/02258855" TargetMode="External" Id="rId538" /><Relationship Type="http://schemas.openxmlformats.org/officeDocument/2006/relationships/hyperlink" Target="https://www.linkedin.com/search/results/companies/?keywords=Miller%20Re" TargetMode="External" Id="rId539" /><Relationship Type="http://schemas.openxmlformats.org/officeDocument/2006/relationships/hyperlink" Target="https://find-and-update.company-information.service.gov.uk/company/06026971" TargetMode="External" Id="rId540" /><Relationship Type="http://schemas.openxmlformats.org/officeDocument/2006/relationships/hyperlink" Target="https://www.linkedin.com/search/results/companies/?keywords=Shelbourne" TargetMode="External" Id="rId541" /><Relationship Type="http://schemas.openxmlformats.org/officeDocument/2006/relationships/hyperlink" Target="https://find-and-update.company-information.service.gov.uk/company/08517341" TargetMode="External" Id="rId542" /><Relationship Type="http://schemas.openxmlformats.org/officeDocument/2006/relationships/hyperlink" Target="https://www.linkedin.com/search/results/companies/?keywords=Six%20Clerks%20Insurance" TargetMode="External" Id="rId543" /><Relationship Type="http://schemas.openxmlformats.org/officeDocument/2006/relationships/hyperlink" Target="https://find-and-update.company-information.service.gov.uk/company/06414328" TargetMode="External" Id="rId544" /><Relationship Type="http://schemas.openxmlformats.org/officeDocument/2006/relationships/hyperlink" Target="https://www.linkedin.com/search/results/companies/?keywords=Starstone%20Insurance" TargetMode="External" Id="rId545" /><Relationship Type="http://schemas.openxmlformats.org/officeDocument/2006/relationships/hyperlink" Target="https://find-and-update.company-information.service.gov.uk/company/07758460" TargetMode="External" Id="rId546" /><Relationship Type="http://schemas.openxmlformats.org/officeDocument/2006/relationships/hyperlink" Target="https://www.linkedin.com/search/results/companies/?keywords=White%20Bear%20Corporate%20Capital" TargetMode="External" Id="rId547" /><Relationship Type="http://schemas.openxmlformats.org/officeDocument/2006/relationships/hyperlink" Target="https://find-and-update.company-information.service.gov.uk/company/OC368475" TargetMode="External" Id="rId548" /><Relationship Type="http://schemas.openxmlformats.org/officeDocument/2006/relationships/hyperlink" Target="https://www.linkedin.com/search/results/companies/?keywords=Amber%20River%20Investment%20Solutions" TargetMode="External" Id="rId549" /><Relationship Type="http://schemas.openxmlformats.org/officeDocument/2006/relationships/hyperlink" Target="https://find-and-update.company-information.service.gov.uk/company/03600683" TargetMode="External" Id="rId550" /><Relationship Type="http://schemas.openxmlformats.org/officeDocument/2006/relationships/hyperlink" Target="https://www.linkedin.com/search/results/companies/?keywords=Ckre" TargetMode="External" Id="rId551" /><Relationship Type="http://schemas.openxmlformats.org/officeDocument/2006/relationships/hyperlink" Target="https://find-and-update.company-information.service.gov.uk/company/02006558" TargetMode="External" Id="rId552" /><Relationship Type="http://schemas.openxmlformats.org/officeDocument/2006/relationships/hyperlink" Target="https://www.linkedin.com/search/results/companies/?keywords=Kerry%20London" TargetMode="External" Id="rId553" /><Relationship Type="http://schemas.openxmlformats.org/officeDocument/2006/relationships/hyperlink" Target="https://find-and-update.company-information.service.gov.uk/company/01580129" TargetMode="External" Id="rId554" /><Relationship Type="http://schemas.openxmlformats.org/officeDocument/2006/relationships/hyperlink" Target="https://www.linkedin.com/search/results/companies/?keywords=Trade%20Direct%20Insurance" TargetMode="External" Id="rId555" /><Relationship Type="http://schemas.openxmlformats.org/officeDocument/2006/relationships/hyperlink" Target="https://find-and-update.company-information.service.gov.uk/company/10985073" TargetMode="External" Id="rId556" /><Relationship Type="http://schemas.openxmlformats.org/officeDocument/2006/relationships/hyperlink" Target="https://www.linkedin.com/search/results/companies/?keywords=ICW%20Insurance" TargetMode="External" Id="rId557" /><Relationship Type="http://schemas.openxmlformats.org/officeDocument/2006/relationships/hyperlink" Target="https://find-and-update.company-information.service.gov.uk/company/03673450" TargetMode="External" Id="rId558" /><Relationship Type="http://schemas.openxmlformats.org/officeDocument/2006/relationships/hyperlink" Target="https://www.linkedin.com/search/results/companies/?keywords=April%20Medibroker" TargetMode="External" Id="rId559" /><Relationship Type="http://schemas.openxmlformats.org/officeDocument/2006/relationships/hyperlink" Target="https://find-and-update.company-information.service.gov.uk/company/13475203" TargetMode="External" Id="rId560" /><Relationship Type="http://schemas.openxmlformats.org/officeDocument/2006/relationships/hyperlink" Target="https://www.linkedin.com/search/results/companies/?keywords=MKC%20Investment%20Management" TargetMode="External" Id="rId561" /><Relationship Type="http://schemas.openxmlformats.org/officeDocument/2006/relationships/hyperlink" Target="https://find-and-update.company-information.service.gov.uk/company/11701908" TargetMode="External" Id="rId562" /><Relationship Type="http://schemas.openxmlformats.org/officeDocument/2006/relationships/hyperlink" Target="https://www.linkedin.com/search/results/companies/?keywords=All%20Seas%20Capital%20Partners" TargetMode="External" Id="rId563" /><Relationship Type="http://schemas.openxmlformats.org/officeDocument/2006/relationships/hyperlink" Target="https://find-and-update.company-information.service.gov.uk/company/OC392885" TargetMode="External" Id="rId564" /><Relationship Type="http://schemas.openxmlformats.org/officeDocument/2006/relationships/hyperlink" Target="https://www.linkedin.com/search/results/companies/?keywords=Apollo%20Partners" TargetMode="External" Id="rId565" /><Relationship Type="http://schemas.openxmlformats.org/officeDocument/2006/relationships/hyperlink" Target="https://find-and-update.company-information.service.gov.uk/company/OC420877" TargetMode="External" Id="rId566" /><Relationship Type="http://schemas.openxmlformats.org/officeDocument/2006/relationships/hyperlink" Target="https://www.linkedin.com/search/results/companies/?keywords=Fairtree%20Asset%20Management" TargetMode="External" Id="rId567" /><Relationship Type="http://schemas.openxmlformats.org/officeDocument/2006/relationships/hyperlink" Target="https://find-and-update.company-information.service.gov.uk/company/OC380416" TargetMode="External" Id="rId568" /><Relationship Type="http://schemas.openxmlformats.org/officeDocument/2006/relationships/hyperlink" Target="https://www.linkedin.com/search/results/companies/?keywords=Fall%20Ridge%20Partners" TargetMode="External" Id="rId569" /><Relationship Type="http://schemas.openxmlformats.org/officeDocument/2006/relationships/hyperlink" Target="https://find-and-update.company-information.service.gov.uk/company/OC413430" TargetMode="External" Id="rId570" /><Relationship Type="http://schemas.openxmlformats.org/officeDocument/2006/relationships/hyperlink" Target="https://www.linkedin.com/search/results/companies/?keywords=Firmament%20Capital%20Advisors" TargetMode="External" Id="rId571" /><Relationship Type="http://schemas.openxmlformats.org/officeDocument/2006/relationships/hyperlink" Target="https://find-and-update.company-information.service.gov.uk/company/11476871" TargetMode="External" Id="rId572" /><Relationship Type="http://schemas.openxmlformats.org/officeDocument/2006/relationships/hyperlink" Target="https://www.linkedin.com/search/results/companies/?keywords=GLMX" TargetMode="External" Id="rId573" /><Relationship Type="http://schemas.openxmlformats.org/officeDocument/2006/relationships/hyperlink" Target="https://find-and-update.company-information.service.gov.uk/company/10510317" TargetMode="External" Id="rId574" /><Relationship Type="http://schemas.openxmlformats.org/officeDocument/2006/relationships/hyperlink" Target="https://www.linkedin.com/search/results/companies/?keywords=Harboro%20Capital" TargetMode="External" Id="rId575" /><Relationship Type="http://schemas.openxmlformats.org/officeDocument/2006/relationships/hyperlink" Target="https://find-and-update.company-information.service.gov.uk/company/02702785" TargetMode="External" Id="rId576" /><Relationship Type="http://schemas.openxmlformats.org/officeDocument/2006/relationships/hyperlink" Target="https://www.linkedin.com/search/results/companies/?keywords=MPI" TargetMode="External" Id="rId577" /><Relationship Type="http://schemas.openxmlformats.org/officeDocument/2006/relationships/hyperlink" Target="https://find-and-update.company-information.service.gov.uk/company/OC371111" TargetMode="External" Id="rId578" /><Relationship Type="http://schemas.openxmlformats.org/officeDocument/2006/relationships/hyperlink" Target="https://www.linkedin.com/search/results/companies/?keywords=Northlander%20Commodity%20Advisors" TargetMode="External" Id="rId579" /><Relationship Type="http://schemas.openxmlformats.org/officeDocument/2006/relationships/hyperlink" Target="https://find-and-update.company-information.service.gov.uk/company/09042646" TargetMode="External" Id="rId580" /><Relationship Type="http://schemas.openxmlformats.org/officeDocument/2006/relationships/hyperlink" Target="https://www.linkedin.com/search/results/companies/?keywords=TF%20Global%20Markets" TargetMode="External" Id="rId581" /><Relationship Type="http://schemas.openxmlformats.org/officeDocument/2006/relationships/hyperlink" Target="https://find-and-update.company-information.service.gov.uk/company/OC420535" TargetMode="External" Id="rId582" /><Relationship Type="http://schemas.openxmlformats.org/officeDocument/2006/relationships/hyperlink" Target="https://www.linkedin.com/search/results/companies/?keywords=Balanz%20Capital" TargetMode="External" Id="rId583" /><Relationship Type="http://schemas.openxmlformats.org/officeDocument/2006/relationships/hyperlink" Target="https://find-and-update.company-information.service.gov.uk/company/00030869" TargetMode="External" Id="rId584" /><Relationship Type="http://schemas.openxmlformats.org/officeDocument/2006/relationships/hyperlink" Target="https://www.linkedin.com/search/results/companies/?keywords=Hsf%20Health%20Plan" TargetMode="External" Id="rId585" /><Relationship Type="http://schemas.openxmlformats.org/officeDocument/2006/relationships/hyperlink" Target="https://find-and-update.company-information.service.gov.uk/company/03606440" TargetMode="External" Id="rId586" /><Relationship Type="http://schemas.openxmlformats.org/officeDocument/2006/relationships/hyperlink" Target="https://www.linkedin.com/search/results/companies/?keywords=Ulyssere" TargetMode="External" Id="rId587" /><Relationship Type="http://schemas.openxmlformats.org/officeDocument/2006/relationships/hyperlink" Target="https://find-and-update.company-information.service.gov.uk/company/OC385075" TargetMode="External" Id="rId588" /><Relationship Type="http://schemas.openxmlformats.org/officeDocument/2006/relationships/hyperlink" Target="https://www.linkedin.com/search/results/companies/?keywords=ACG%20Advisors" TargetMode="External" Id="rId589" /><Relationship Type="http://schemas.openxmlformats.org/officeDocument/2006/relationships/hyperlink" Target="https://find-and-update.company-information.service.gov.uk/company/15661636" TargetMode="External" Id="rId590" /><Relationship Type="http://schemas.openxmlformats.org/officeDocument/2006/relationships/hyperlink" Target="https://www.linkedin.com/search/results/companies/?keywords=CMC%20Markets" TargetMode="External" Id="rId591" /><Relationship Type="http://schemas.openxmlformats.org/officeDocument/2006/relationships/hyperlink" Target="https://find-and-update.company-information.service.gov.uk/company/11270472" TargetMode="External" Id="rId592" /><Relationship Type="http://schemas.openxmlformats.org/officeDocument/2006/relationships/hyperlink" Target="https://www.linkedin.com/search/results/companies/?keywords=Farringdon%20Capital" TargetMode="External" Id="rId593" /><Relationship Type="http://schemas.openxmlformats.org/officeDocument/2006/relationships/hyperlink" Target="https://find-and-update.company-information.service.gov.uk/company/OC419374" TargetMode="External" Id="rId594" /><Relationship Type="http://schemas.openxmlformats.org/officeDocument/2006/relationships/hyperlink" Target="https://www.linkedin.com/search/results/companies/?keywords=Rossie%20House%20Investment%20Management" TargetMode="External" Id="rId595" /><Relationship Type="http://schemas.openxmlformats.org/officeDocument/2006/relationships/hyperlink" Target="https://find-and-update.company-information.service.gov.uk/company/OC307206" TargetMode="External" Id="rId596" /><Relationship Type="http://schemas.openxmlformats.org/officeDocument/2006/relationships/hyperlink" Target="https://www.linkedin.com/search/results/companies/?keywords=Sun%20European%20Partners" TargetMode="External" Id="rId597" /><Relationship Type="http://schemas.openxmlformats.org/officeDocument/2006/relationships/hyperlink" Target="https://find-and-update.company-information.service.gov.uk/company/01708613" TargetMode="External" Id="rId598" /><Relationship Type="http://schemas.openxmlformats.org/officeDocument/2006/relationships/hyperlink" Target="https://www.linkedin.com/search/results/companies/?keywords=Astrenska%20Insurance" TargetMode="External" Id="rId599" /><Relationship Type="http://schemas.openxmlformats.org/officeDocument/2006/relationships/hyperlink" Target="https://find-and-update.company-information.service.gov.uk/company/12329682" TargetMode="External" Id="rId600" /><Relationship Type="http://schemas.openxmlformats.org/officeDocument/2006/relationships/hyperlink" Target="https://www.linkedin.com/search/results/companies/?keywords=Aikya%20Investment%20Management" TargetMode="External" Id="rId601" /><Relationship Type="http://schemas.openxmlformats.org/officeDocument/2006/relationships/hyperlink" Target="https://find-and-update.company-information.service.gov.uk/company/13379203" TargetMode="External" Id="rId602" /><Relationship Type="http://schemas.openxmlformats.org/officeDocument/2006/relationships/hyperlink" Target="https://www.linkedin.com/search/results/companies/?keywords=Antipodes%20Partners%20Management" TargetMode="External" Id="rId603" /><Relationship Type="http://schemas.openxmlformats.org/officeDocument/2006/relationships/hyperlink" Target="https://find-and-update.company-information.service.gov.uk/company/03733094" TargetMode="External" Id="rId604" /><Relationship Type="http://schemas.openxmlformats.org/officeDocument/2006/relationships/hyperlink" Target="https://www.linkedin.com/search/results/companies/?keywords=Momentum%20Global%20Investment%20Management" TargetMode="External" Id="rId605" /><Relationship Type="http://schemas.openxmlformats.org/officeDocument/2006/relationships/hyperlink" Target="https://find-and-update.company-information.service.gov.uk/company/11026111" TargetMode="External" Id="rId606" /><Relationship Type="http://schemas.openxmlformats.org/officeDocument/2006/relationships/hyperlink" Target="https://www.linkedin.com/search/results/companies/?keywords=Pinnacle%20Investment%20Management" TargetMode="External" Id="rId607" /><Relationship Type="http://schemas.openxmlformats.org/officeDocument/2006/relationships/hyperlink" Target="https://find-and-update.company-information.service.gov.uk/company/OC354934" TargetMode="External" Id="rId608" /><Relationship Type="http://schemas.openxmlformats.org/officeDocument/2006/relationships/hyperlink" Target="https://www.linkedin.com/search/results/companies/?keywords=Sapia%20Partners" TargetMode="External" Id="rId609" /><Relationship Type="http://schemas.openxmlformats.org/officeDocument/2006/relationships/hyperlink" Target="https://find-and-update.company-information.service.gov.uk/company/14778827" TargetMode="External" Id="rId610" /><Relationship Type="http://schemas.openxmlformats.org/officeDocument/2006/relationships/hyperlink" Target="https://www.linkedin.com/search/results/companies/?keywords=Wakam" TargetMode="External" Id="rId611" /><Relationship Type="http://schemas.openxmlformats.org/officeDocument/2006/relationships/hyperlink" Target="https://find-and-update.company-information.service.gov.uk/company/05310624" TargetMode="External" Id="rId612" /><Relationship Type="http://schemas.openxmlformats.org/officeDocument/2006/relationships/hyperlink" Target="https://www.linkedin.com/search/results/companies/?keywords=BlueBay" TargetMode="External" Id="rId613" /><Relationship Type="http://schemas.openxmlformats.org/officeDocument/2006/relationships/hyperlink" Target="https://find-and-update.company-information.service.gov.uk/company/00874802" TargetMode="External" Id="rId614" /><Relationship Type="http://schemas.openxmlformats.org/officeDocument/2006/relationships/hyperlink" Target="https://www.linkedin.com/search/results/companies/?keywords=GAM%20London" TargetMode="External" Id="rId615" /><Relationship Type="http://schemas.openxmlformats.org/officeDocument/2006/relationships/hyperlink" Target="https://find-and-update.company-information.service.gov.uk/company/01575839" TargetMode="External" Id="rId616" /><Relationship Type="http://schemas.openxmlformats.org/officeDocument/2006/relationships/hyperlink" Target="https://www.linkedin.com/search/results/companies/?keywords=HCC%20International%20Insurance%20Company" TargetMode="External" Id="rId617" /><Relationship Type="http://schemas.openxmlformats.org/officeDocument/2006/relationships/hyperlink" Target="https://find-and-update.company-information.service.gov.uk/company/01183719" TargetMode="External" Id="rId618" /><Relationship Type="http://schemas.openxmlformats.org/officeDocument/2006/relationships/hyperlink" Target="https://www.linkedin.com/search/results/companies/?keywords=TM%20Claims%20Service" TargetMode="External" Id="rId619" /><Relationship Type="http://schemas.openxmlformats.org/officeDocument/2006/relationships/hyperlink" Target="https://find-and-update.company-information.service.gov.uk/company/03476249" TargetMode="External" Id="rId620" /><Relationship Type="http://schemas.openxmlformats.org/officeDocument/2006/relationships/hyperlink" Target="https://www.linkedin.com/search/results/companies/?keywords=Alan%20Blunden%20%26%20Co" TargetMode="External" Id="rId621" /><Relationship Type="http://schemas.openxmlformats.org/officeDocument/2006/relationships/hyperlink" Target="https://find-and-update.company-information.service.gov.uk/company/01229676" TargetMode="External" Id="rId622" /><Relationship Type="http://schemas.openxmlformats.org/officeDocument/2006/relationships/hyperlink" Target="https://www.linkedin.com/search/results/companies/?keywords=Amtrust%20Specialty" TargetMode="External" Id="rId623" /><Relationship Type="http://schemas.openxmlformats.org/officeDocument/2006/relationships/hyperlink" Target="https://find-and-update.company-information.service.gov.uk/company/00003002" TargetMode="External" Id="rId624" /><Relationship Type="http://schemas.openxmlformats.org/officeDocument/2006/relationships/hyperlink" Target="https://www.linkedin.com/search/results/companies/?keywords=BA" TargetMode="External" Id="rId625" /><Relationship Type="http://schemas.openxmlformats.org/officeDocument/2006/relationships/hyperlink" Target="https://find-and-update.company-information.service.gov.uk/company/00246018" TargetMode="External" Id="rId626" /><Relationship Type="http://schemas.openxmlformats.org/officeDocument/2006/relationships/hyperlink" Target="https://www.linkedin.com/search/results/companies/?keywords=British%20Aviation%20Insurance%20Company" TargetMode="External" Id="rId627" /><Relationship Type="http://schemas.openxmlformats.org/officeDocument/2006/relationships/hyperlink" Target="https://find-and-update.company-information.service.gov.uk/company/01973536" TargetMode="External" Id="rId628" /><Relationship Type="http://schemas.openxmlformats.org/officeDocument/2006/relationships/hyperlink" Target="https://www.linkedin.com/search/results/companies/?keywords=CBC" TargetMode="External" Id="rId629" /><Relationship Type="http://schemas.openxmlformats.org/officeDocument/2006/relationships/hyperlink" Target="https://find-and-update.company-information.service.gov.uk/company/03721499" TargetMode="External" Id="rId630" /><Relationship Type="http://schemas.openxmlformats.org/officeDocument/2006/relationships/hyperlink" Target="https://www.linkedin.com/search/results/companies/?keywords=Edge%20Brokers" TargetMode="External" Id="rId631" /><Relationship Type="http://schemas.openxmlformats.org/officeDocument/2006/relationships/hyperlink" Target="https://find-and-update.company-information.service.gov.uk/company/03136300" TargetMode="External" Id="rId632" /><Relationship Type="http://schemas.openxmlformats.org/officeDocument/2006/relationships/hyperlink" Target="https://www.linkedin.com/search/results/companies/?keywords=Equitas%20Reinsurance" TargetMode="External" Id="rId633" /><Relationship Type="http://schemas.openxmlformats.org/officeDocument/2006/relationships/hyperlink" Target="https://find-and-update.company-information.service.gov.uk/company/04692971" TargetMode="External" Id="rId634" /><Relationship Type="http://schemas.openxmlformats.org/officeDocument/2006/relationships/hyperlink" Target="https://www.linkedin.com/search/results/companies/?keywords=GB%20Underwriting" TargetMode="External" Id="rId635" /><Relationship Type="http://schemas.openxmlformats.org/officeDocument/2006/relationships/hyperlink" Target="https://find-and-update.company-information.service.gov.uk/company/02208091" TargetMode="External" Id="rId636" /><Relationship Type="http://schemas.openxmlformats.org/officeDocument/2006/relationships/hyperlink" Target="https://www.linkedin.com/search/results/companies/?keywords=KBIS" TargetMode="External" Id="rId637" /><Relationship Type="http://schemas.openxmlformats.org/officeDocument/2006/relationships/hyperlink" Target="https://find-and-update.company-information.service.gov.uk/company/01235521" TargetMode="External" Id="rId638" /><Relationship Type="http://schemas.openxmlformats.org/officeDocument/2006/relationships/hyperlink" Target="https://www.linkedin.com/search/results/companies/?keywords=Kyoei%20Fire%20%26%20Marine%20Insurance%20Co" TargetMode="External" Id="rId639" /><Relationship Type="http://schemas.openxmlformats.org/officeDocument/2006/relationships/hyperlink" Target="https://find-and-update.company-information.service.gov.uk/company/02856880" TargetMode="External" Id="rId640" /><Relationship Type="http://schemas.openxmlformats.org/officeDocument/2006/relationships/hyperlink" Target="https://www.linkedin.com/search/results/companies/?keywords=Marine,%20Aviation%20%26%20General" TargetMode="External" Id="rId641" /><Relationship Type="http://schemas.openxmlformats.org/officeDocument/2006/relationships/hyperlink" Target="https://find-and-update.company-information.service.gov.uk/company/05545292" TargetMode="External" Id="rId642" /><Relationship Type="http://schemas.openxmlformats.org/officeDocument/2006/relationships/hyperlink" Target="https://www.linkedin.com/search/results/companies/?keywords=MX%20Underwriting" TargetMode="External" Id="rId643" /><Relationship Type="http://schemas.openxmlformats.org/officeDocument/2006/relationships/hyperlink" Target="https://find-and-update.company-information.service.gov.uk/company/00157508" TargetMode="External" Id="rId644" /><Relationship Type="http://schemas.openxmlformats.org/officeDocument/2006/relationships/hyperlink" Target="https://www.linkedin.com/search/results/companies/?keywords=NRG%20Victory%20Reinsurance" TargetMode="External" Id="rId645" /><Relationship Type="http://schemas.openxmlformats.org/officeDocument/2006/relationships/hyperlink" Target="https://find-and-update.company-information.service.gov.uk/company/12099030" TargetMode="External" Id="rId646" /><Relationship Type="http://schemas.openxmlformats.org/officeDocument/2006/relationships/hyperlink" Target="https://www.linkedin.com/search/results/companies/?keywords=Qualis%20U.K" TargetMode="External" Id="rId647" /><Relationship Type="http://schemas.openxmlformats.org/officeDocument/2006/relationships/hyperlink" Target="https://find-and-update.company-information.service.gov.uk/company/06368755" TargetMode="External" Id="rId648" /><Relationship Type="http://schemas.openxmlformats.org/officeDocument/2006/relationships/hyperlink" Target="https://www.linkedin.com/search/results/companies/?keywords=Specialist%20Risk%20Insurance%20Solutions" TargetMode="External" Id="rId649" /><Relationship Type="http://schemas.openxmlformats.org/officeDocument/2006/relationships/hyperlink" Target="https://find-and-update.company-information.service.gov.uk/company/07126381" TargetMode="External" Id="rId650" /><Relationship Type="http://schemas.openxmlformats.org/officeDocument/2006/relationships/hyperlink" Target="https://www.linkedin.com/search/results/companies/?keywords=Underwriting%20Exchange" TargetMode="External" Id="rId651" /><Relationship Type="http://schemas.openxmlformats.org/officeDocument/2006/relationships/hyperlink" Target="https://find-and-update.company-information.service.gov.uk/company/02510099" TargetMode="External" Id="rId652" /><Relationship Type="http://schemas.openxmlformats.org/officeDocument/2006/relationships/hyperlink" Target="https://www.linkedin.com/search/results/companies/?keywords=Assured%20Guaranty" TargetMode="External" Id="rId653" /><Relationship Type="http://schemas.openxmlformats.org/officeDocument/2006/relationships/hyperlink" Target="https://find-and-update.company-information.service.gov.uk/company/01380715" TargetMode="External" Id="rId654" /><Relationship Type="http://schemas.openxmlformats.org/officeDocument/2006/relationships/hyperlink" Target="https://www.linkedin.com/search/results/companies/?keywords=Hartford%20Underwriting%20Agency" TargetMode="External" Id="rId655" /><Relationship Type="http://schemas.openxmlformats.org/officeDocument/2006/relationships/hyperlink" Target="https://find-and-update.company-information.service.gov.uk/company/03821007" TargetMode="External" Id="rId656" /><Relationship Type="http://schemas.openxmlformats.org/officeDocument/2006/relationships/hyperlink" Target="https://www.linkedin.com/search/results/companies/?keywords=Navigators%20Underwriting" TargetMode="External" Id="rId657" /><Relationship Type="http://schemas.openxmlformats.org/officeDocument/2006/relationships/hyperlink" Target="https://find-and-update.company-information.service.gov.uk/company/01195076" TargetMode="External" Id="rId658" /><Relationship Type="http://schemas.openxmlformats.org/officeDocument/2006/relationships/hyperlink" Target="https://www.linkedin.com/search/results/companies/?keywords=Alwen%20Hough%20Johnson" TargetMode="External" Id="rId659" /><Relationship Type="http://schemas.openxmlformats.org/officeDocument/2006/relationships/hyperlink" Target="https://find-and-update.company-information.service.gov.uk/company/12765929" TargetMode="External" Id="rId660" /><Relationship Type="http://schemas.openxmlformats.org/officeDocument/2006/relationships/hyperlink" Target="https://www.linkedin.com/search/results/companies/?keywords=Arcadian%20Risk%20Capital" TargetMode="External" Id="rId661" /><Relationship Type="http://schemas.openxmlformats.org/officeDocument/2006/relationships/hyperlink" Target="https://find-and-update.company-information.service.gov.uk/company/05391898" TargetMode="External" Id="rId662" /><Relationship Type="http://schemas.openxmlformats.org/officeDocument/2006/relationships/hyperlink" Target="https://www.linkedin.com/search/results/companies/?keywords=Criterion%20Adjusters" TargetMode="External" Id="rId663" /><Relationship Type="http://schemas.openxmlformats.org/officeDocument/2006/relationships/hyperlink" Target="https://find-and-update.company-information.service.gov.uk/company/10955079" TargetMode="External" Id="rId664" /><Relationship Type="http://schemas.openxmlformats.org/officeDocument/2006/relationships/hyperlink" Target="https://www.linkedin.com/search/results/companies/?keywords=Faraday%20Mga" TargetMode="External" Id="rId665" /><Relationship Type="http://schemas.openxmlformats.org/officeDocument/2006/relationships/hyperlink" Target="https://find-and-update.company-information.service.gov.uk/company/02542839" TargetMode="External" Id="rId666" /><Relationship Type="http://schemas.openxmlformats.org/officeDocument/2006/relationships/hyperlink" Target="https://www.linkedin.com/search/results/companies/?keywords=London%20Market%20Claims" TargetMode="External" Id="rId667" /><Relationship Type="http://schemas.openxmlformats.org/officeDocument/2006/relationships/hyperlink" Target="https://find-and-update.company-information.service.gov.uk/company/08885289" TargetMode="External" Id="rId668" /><Relationship Type="http://schemas.openxmlformats.org/officeDocument/2006/relationships/hyperlink" Target="https://www.linkedin.com/search/results/companies/?keywords=Renaissance%20Asset%20Finance" TargetMode="External" Id="rId669" /><Relationship Type="http://schemas.openxmlformats.org/officeDocument/2006/relationships/hyperlink" Target="https://find-and-update.company-information.service.gov.uk/company/08506758" TargetMode="External" Id="rId670" /><Relationship Type="http://schemas.openxmlformats.org/officeDocument/2006/relationships/hyperlink" Target="https://www.linkedin.com/search/results/companies/?keywords=Transre%20London" TargetMode="External" Id="rId671" /><Relationship Type="http://schemas.openxmlformats.org/officeDocument/2006/relationships/hyperlink" Target="https://find-and-update.company-information.service.gov.uk/company/00361687" TargetMode="External" Id="rId672" /><Relationship Type="http://schemas.openxmlformats.org/officeDocument/2006/relationships/hyperlink" Target="https://www.linkedin.com/search/results/companies/?keywords=Trent%20Insurance%20Company" TargetMode="External" Id="rId673" /><Relationship Type="http://schemas.openxmlformats.org/officeDocument/2006/relationships/hyperlink" Target="https://find-and-update.company-information.service.gov.uk/company/08172800" TargetMode="External" Id="rId674" /><Relationship Type="http://schemas.openxmlformats.org/officeDocument/2006/relationships/hyperlink" Target="https://www.linkedin.com/search/results/companies/?keywords=Wgs" TargetMode="External" Id="rId675" /><Relationship Type="http://schemas.openxmlformats.org/officeDocument/2006/relationships/hyperlink" Target="https://find-and-update.company-information.service.gov.uk/company/01674675" TargetMode="External" Id="rId676" /><Relationship Type="http://schemas.openxmlformats.org/officeDocument/2006/relationships/hyperlink" Target="https://www.linkedin.com/search/results/companies/?keywords=Ashbrooke%20Underwriting" TargetMode="External" Id="rId677" /><Relationship Type="http://schemas.openxmlformats.org/officeDocument/2006/relationships/hyperlink" Target="https://find-and-update.company-information.service.gov.uk/company/01184193" TargetMode="External" Id="rId678" /><Relationship Type="http://schemas.openxmlformats.org/officeDocument/2006/relationships/hyperlink" Target="https://www.linkedin.com/search/results/companies/?keywords=Aspen%20Insurance" TargetMode="External" Id="rId679" /><Relationship Type="http://schemas.openxmlformats.org/officeDocument/2006/relationships/hyperlink" Target="https://find-and-update.company-information.service.gov.uk/company/10336579" TargetMode="External" Id="rId680" /><Relationship Type="http://schemas.openxmlformats.org/officeDocument/2006/relationships/hyperlink" Target="https://www.linkedin.com/search/results/companies/?keywords=Corvus%20Agency" TargetMode="External" Id="rId681" /><Relationship Type="http://schemas.openxmlformats.org/officeDocument/2006/relationships/hyperlink" Target="https://find-and-update.company-information.service.gov.uk/company/00170558" TargetMode="External" Id="rId682" /><Relationship Type="http://schemas.openxmlformats.org/officeDocument/2006/relationships/hyperlink" Target="https://www.linkedin.com/search/results/companies/?keywords=IQUW%20Administration" TargetMode="External" Id="rId683" /><Relationship Type="http://schemas.openxmlformats.org/officeDocument/2006/relationships/hyperlink" Target="https://find-and-update.company-information.service.gov.uk/company/01035198" TargetMode="External" Id="rId684" /><Relationship Type="http://schemas.openxmlformats.org/officeDocument/2006/relationships/hyperlink" Target="https://www.linkedin.com/search/results/companies/?keywords=QBE%20Underwriting" TargetMode="External" Id="rId685" /><Relationship Type="http://schemas.openxmlformats.org/officeDocument/2006/relationships/hyperlink" Target="https://find-and-update.company-information.service.gov.uk/company/00972175" TargetMode="External" Id="rId686" /><Relationship Type="http://schemas.openxmlformats.org/officeDocument/2006/relationships/hyperlink" Target="https://www.linkedin.com/search/results/companies/?keywords=Travelers%20Management" TargetMode="External" Id="rId687" /><Relationship Type="http://schemas.openxmlformats.org/officeDocument/2006/relationships/hyperlink" Target="https://find-and-update.company-information.service.gov.uk/company/12590895" TargetMode="External" Id="rId688" /><Relationship Type="http://schemas.openxmlformats.org/officeDocument/2006/relationships/hyperlink" Target="https://www.linkedin.com/search/results/companies/?keywords=Alphidence%20Capital" TargetMode="External" Id="rId689" /><Relationship Type="http://schemas.openxmlformats.org/officeDocument/2006/relationships/hyperlink" Target="https://find-and-update.company-information.service.gov.uk/company/01944653" TargetMode="External" Id="rId690" /><Relationship Type="http://schemas.openxmlformats.org/officeDocument/2006/relationships/hyperlink" Target="https://www.linkedin.com/search/results/companies/?keywords=Daiichi%20Life" TargetMode="External" Id="rId691" /><Relationship Type="http://schemas.openxmlformats.org/officeDocument/2006/relationships/hyperlink" Target="https://find-and-update.company-information.service.gov.uk/company/05604278" TargetMode="External" Id="rId692" /><Relationship Type="http://schemas.openxmlformats.org/officeDocument/2006/relationships/hyperlink" Target="https://www.linkedin.com/search/results/companies/?keywords=Iprism%20Underwriting%20Agency" TargetMode="External" Id="rId693" /><Relationship Type="http://schemas.openxmlformats.org/officeDocument/2006/relationships/hyperlink" Target="https://find-and-update.company-information.service.gov.uk/company/OC403003" TargetMode="External" Id="rId694" /><Relationship Type="http://schemas.openxmlformats.org/officeDocument/2006/relationships/hyperlink" Target="https://www.linkedin.com/search/results/companies/?keywords=C%26W%20Management" TargetMode="External" Id="rId695" /><Relationship Type="http://schemas.openxmlformats.org/officeDocument/2006/relationships/hyperlink" Target="https://find-and-update.company-information.service.gov.uk/company/03383730" TargetMode="External" Id="rId696" /><Relationship Type="http://schemas.openxmlformats.org/officeDocument/2006/relationships/hyperlink" Target="https://www.linkedin.com/search/results/companies/?keywords=Embark%20Investments" TargetMode="External" Id="rId697" /><Relationship Type="http://schemas.openxmlformats.org/officeDocument/2006/relationships/hyperlink" Target="https://find-and-update.company-information.service.gov.uk/company/16608704" TargetMode="External" Id="rId698" /><Relationship Type="http://schemas.openxmlformats.org/officeDocument/2006/relationships/hyperlink" Target="https://www.linkedin.com/search/results/companies/?keywords=Am%20Specialty%20Insurance%20Company" TargetMode="External" Id="rId699" /><Relationship Type="http://schemas.openxmlformats.org/officeDocument/2006/relationships/hyperlink" Target="https://find-and-update.company-information.service.gov.uk/company/02676622" TargetMode="External" Id="rId700" /><Relationship Type="http://schemas.openxmlformats.org/officeDocument/2006/relationships/hyperlink" Target="https://www.linkedin.com/search/results/companies/?keywords=Antares%20Global%20Management" TargetMode="External" Id="rId701" /><Relationship Type="http://schemas.openxmlformats.org/officeDocument/2006/relationships/hyperlink" Target="https://find-and-update.company-information.service.gov.uk/company/15955888" TargetMode="External" Id="rId702" /><Relationship Type="http://schemas.openxmlformats.org/officeDocument/2006/relationships/hyperlink" Target="https://www.linkedin.com/search/results/companies/?keywords=Asteri%20Re" TargetMode="External" Id="rId703" /><Relationship Type="http://schemas.openxmlformats.org/officeDocument/2006/relationships/hyperlink" Target="https://find-and-update.company-information.service.gov.uk/company/15753305" TargetMode="External" Id="rId704" /><Relationship Type="http://schemas.openxmlformats.org/officeDocument/2006/relationships/hyperlink" Target="https://www.linkedin.com/search/results/companies/?keywords=Pinpoint%20UK%20Solutions" TargetMode="External" Id="rId705" /><Relationship Type="http://schemas.openxmlformats.org/officeDocument/2006/relationships/hyperlink" Target="https://find-and-update.company-information.service.gov.uk/company/06838321" TargetMode="External" Id="rId706" /><Relationship Type="http://schemas.openxmlformats.org/officeDocument/2006/relationships/hyperlink" Target="https://www.linkedin.com/search/results/companies/?keywords=Renaissancere%20Corporate%20Capital" TargetMode="External" Id="rId707" /><Relationship Type="http://schemas.openxmlformats.org/officeDocument/2006/relationships/hyperlink" Target="https://find-and-update.company-information.service.gov.uk/company/15049064" TargetMode="External" Id="rId708" /><Relationship Type="http://schemas.openxmlformats.org/officeDocument/2006/relationships/hyperlink" Target="https://www.linkedin.com/search/results/companies/?keywords=Scorpius%20Mga" TargetMode="External" Id="rId709" /><Relationship Type="http://schemas.openxmlformats.org/officeDocument/2006/relationships/hyperlink" Target="https://find-and-update.company-information.service.gov.uk/company/03104671" TargetMode="External" Id="rId710" /><Relationship Type="http://schemas.openxmlformats.org/officeDocument/2006/relationships/hyperlink" Target="https://www.linkedin.com/search/results/companies/?keywords=St%20Andrew's%20Insurance" TargetMode="External" Id="rId711" /><Relationship Type="http://schemas.openxmlformats.org/officeDocument/2006/relationships/hyperlink" Target="https://find-and-update.company-information.service.gov.uk/company/04658801" TargetMode="External" Id="rId712" /><Relationship Type="http://schemas.openxmlformats.org/officeDocument/2006/relationships/hyperlink" Target="https://www.linkedin.com/search/results/companies/?keywords=GMO%20U.K" TargetMode="External" Id="rId713" /><Relationship Type="http://schemas.openxmlformats.org/officeDocument/2006/relationships/hyperlink" Target="https://find-and-update.company-information.service.gov.uk/company/03039792" TargetMode="External" Id="rId714" /><Relationship Type="http://schemas.openxmlformats.org/officeDocument/2006/relationships/hyperlink" Target="https://www.linkedin.com/search/results/companies/?keywords=Innisfree" TargetMode="External" Id="rId715" /><Relationship Type="http://schemas.openxmlformats.org/officeDocument/2006/relationships/hyperlink" Target="https://find-and-update.company-information.service.gov.uk/company/13882980" TargetMode="External" Id="rId716" /><Relationship Type="http://schemas.openxmlformats.org/officeDocument/2006/relationships/hyperlink" Target="https://www.linkedin.com/search/results/companies/?keywords=Sidekick%20Money" TargetMode="External" Id="rId717" /><Relationship Type="http://schemas.openxmlformats.org/officeDocument/2006/relationships/hyperlink" Target="https://find-and-update.company-information.service.gov.uk/company/OC422582" TargetMode="External" Id="rId718" /><Relationship Type="http://schemas.openxmlformats.org/officeDocument/2006/relationships/hyperlink" Target="https://www.linkedin.com/search/results/companies/?keywords=Crake%20Asset%20Management" TargetMode="External" Id="rId719" /><Relationship Type="http://schemas.openxmlformats.org/officeDocument/2006/relationships/hyperlink" Target="https://find-and-update.company-information.service.gov.uk/company/OC312266" TargetMode="External" Id="rId720" /><Relationship Type="http://schemas.openxmlformats.org/officeDocument/2006/relationships/hyperlink" Target="https://www.linkedin.com/search/results/companies/?keywords=Intrinsic%20Capital" TargetMode="External" Id="rId721" /><Relationship Type="http://schemas.openxmlformats.org/officeDocument/2006/relationships/hyperlink" Target="https://find-and-update.company-information.service.gov.uk/company/12095661" TargetMode="External" Id="rId722" /><Relationship Type="http://schemas.openxmlformats.org/officeDocument/2006/relationships/hyperlink" Target="https://www.linkedin.com/search/results/companies/?keywords=Longfield%20Investment%20Partners" TargetMode="External" Id="rId723" /><Relationship Type="http://schemas.openxmlformats.org/officeDocument/2006/relationships/hyperlink" Target="https://find-and-update.company-information.service.gov.uk/company/OC322018" TargetMode="External" Id="rId724" /><Relationship Type="http://schemas.openxmlformats.org/officeDocument/2006/relationships/hyperlink" Target="https://www.linkedin.com/search/results/companies/?keywords=Tacconis%20Advisors%20%26%20Co" TargetMode="External" Id="rId725" /><Relationship Type="http://schemas.openxmlformats.org/officeDocument/2006/relationships/hyperlink" Target="https://find-and-update.company-information.service.gov.uk/company/03317764" TargetMode="External" Id="rId726" /><Relationship Type="http://schemas.openxmlformats.org/officeDocument/2006/relationships/hyperlink" Target="https://www.linkedin.com/search/results/companies/?keywords=Stubben%20Edge%20Markets" TargetMode="External" Id="rId727" /><Relationship Type="http://schemas.openxmlformats.org/officeDocument/2006/relationships/hyperlink" Target="https://find-and-update.company-information.service.gov.uk/company/04007266" TargetMode="External" Id="rId728" /><Relationship Type="http://schemas.openxmlformats.org/officeDocument/2006/relationships/hyperlink" Target="https://www.linkedin.com/search/results/companies/?keywords=Total%20Risk%20Solutions" TargetMode="External" Id="rId729" /><Relationship Type="http://schemas.openxmlformats.org/officeDocument/2006/relationships/hyperlink" Target="https://find-and-update.company-information.service.gov.uk/company/01766035" TargetMode="External" Id="rId730" /><Relationship Type="http://schemas.openxmlformats.org/officeDocument/2006/relationships/hyperlink" Target="https://www.linkedin.com/search/results/companies/?keywords=China%20Taiping%20Insurance%20Co" TargetMode="External" Id="rId731" /><Relationship Type="http://schemas.openxmlformats.org/officeDocument/2006/relationships/hyperlink" Target="https://find-and-update.company-information.service.gov.uk/company/00609004" TargetMode="External" Id="rId732" /><Relationship Type="http://schemas.openxmlformats.org/officeDocument/2006/relationships/hyperlink" Target="https://www.linkedin.com/search/results/companies/?keywords=Bannerman%20Rendell" TargetMode="External" Id="rId733" /><Relationship Type="http://schemas.openxmlformats.org/officeDocument/2006/relationships/hyperlink" Target="https://find-and-update.company-information.service.gov.uk/company/OC394732" TargetMode="External" Id="rId734" /><Relationship Type="http://schemas.openxmlformats.org/officeDocument/2006/relationships/hyperlink" Target="https://www.linkedin.com/search/results/companies/?keywords=Rondine%20Capital" TargetMode="External" Id="rId735" /><Relationship Type="http://schemas.openxmlformats.org/officeDocument/2006/relationships/hyperlink" Target="https://find-and-update.company-information.service.gov.uk/company/10141284" TargetMode="External" Id="rId736" /><Relationship Type="http://schemas.openxmlformats.org/officeDocument/2006/relationships/hyperlink" Target="https://www.linkedin.com/search/results/companies/?keywords=Eppione" TargetMode="External" Id="rId737" /><Relationship Type="http://schemas.openxmlformats.org/officeDocument/2006/relationships/hyperlink" Target="https://find-and-update.company-information.service.gov.uk/company/06498431" TargetMode="External" Id="rId738" /><Relationship Type="http://schemas.openxmlformats.org/officeDocument/2006/relationships/hyperlink" Target="https://www.linkedin.com/search/results/companies/?keywords=Barnett%20Waddingham%20Actuaries%20and%20Consultants" TargetMode="External" Id="rId739" /><Relationship Type="http://schemas.openxmlformats.org/officeDocument/2006/relationships/hyperlink" Target="https://find-and-update.company-information.service.gov.uk/company/03540129" TargetMode="External" Id="rId740" /><Relationship Type="http://schemas.openxmlformats.org/officeDocument/2006/relationships/hyperlink" Target="https://www.linkedin.com/search/results/companies/?keywords=Dual" TargetMode="External" Id="rId741" /><Relationship Type="http://schemas.openxmlformats.org/officeDocument/2006/relationships/hyperlink" Target="https://find-and-update.company-information.service.gov.uk/company/07524836" TargetMode="External" Id="rId742" /><Relationship Type="http://schemas.openxmlformats.org/officeDocument/2006/relationships/hyperlink" Target="https://www.linkedin.com/search/results/companies/?keywords=Tigerrisk%20Partners" TargetMode="External" Id="rId743" /><Relationship Type="http://schemas.openxmlformats.org/officeDocument/2006/relationships/hyperlink" Target="https://find-and-update.company-information.service.gov.uk/company/OC396015" TargetMode="External" Id="rId744" /><Relationship Type="http://schemas.openxmlformats.org/officeDocument/2006/relationships/hyperlink" Target="https://www.linkedin.com/search/results/companies/?keywords=London%20Wall%20Capital%20Investments" TargetMode="External" Id="rId745" /><Relationship Type="http://schemas.openxmlformats.org/officeDocument/2006/relationships/hyperlink" Target="https://find-and-update.company-information.service.gov.uk/company/OC363068" TargetMode="External" Id="rId746" /><Relationship Type="http://schemas.openxmlformats.org/officeDocument/2006/relationships/hyperlink" Target="https://www.linkedin.com/search/results/companies/?keywords=Macquarie%20Lending%20%26%20Investment%20Partners" TargetMode="External" Id="rId747" /><Relationship Type="http://schemas.openxmlformats.org/officeDocument/2006/relationships/hyperlink" Target="https://find-and-update.company-information.service.gov.uk/company/OC335015" TargetMode="External" Id="rId748" /><Relationship Type="http://schemas.openxmlformats.org/officeDocument/2006/relationships/hyperlink" Target="https://www.linkedin.com/search/results/companies/?keywords=Twentyfour%20Asset%20Management" TargetMode="External" Id="rId749" /><Relationship Type="http://schemas.openxmlformats.org/officeDocument/2006/relationships/hyperlink" Target="https://find-and-update.company-information.service.gov.uk/company/04098461" TargetMode="External" Id="rId750" /><Relationship Type="http://schemas.openxmlformats.org/officeDocument/2006/relationships/hyperlink" Target="https://www.linkedin.com/search/results/companies/?keywords=Ascot%20Underwriting" TargetMode="External" Id="rId751" /><Relationship Type="http://schemas.openxmlformats.org/officeDocument/2006/relationships/hyperlink" Target="https://find-and-update.company-information.service.gov.uk/company/03372107" TargetMode="External" Id="rId752" /><Relationship Type="http://schemas.openxmlformats.org/officeDocument/2006/relationships/hyperlink" Target="https://www.linkedin.com/search/results/companies/?keywords=Cathedral%20Capital" TargetMode="External" Id="rId753" /><Relationship Type="http://schemas.openxmlformats.org/officeDocument/2006/relationships/hyperlink" Target="https://find-and-update.company-information.service.gov.uk/company/00000950" TargetMode="External" Id="rId754" /><Relationship Type="http://schemas.openxmlformats.org/officeDocument/2006/relationships/hyperlink" Target="https://www.linkedin.com/search/results/companies/?keywords=CNA%20Insurance%20Company" TargetMode="External" Id="rId755" /><Relationship Type="http://schemas.openxmlformats.org/officeDocument/2006/relationships/hyperlink" Target="https://find-and-update.company-information.service.gov.uk/company/11184989" TargetMode="External" Id="rId756" /><Relationship Type="http://schemas.openxmlformats.org/officeDocument/2006/relationships/hyperlink" Target="https://www.linkedin.com/search/results/companies/?keywords=Smarkets" TargetMode="External" Id="rId757" /><Relationship Type="http://schemas.openxmlformats.org/officeDocument/2006/relationships/hyperlink" Target="https://find-and-update.company-information.service.gov.uk/company/02143137" TargetMode="External" Id="rId758" /><Relationship Type="http://schemas.openxmlformats.org/officeDocument/2006/relationships/hyperlink" Target="https://www.linkedin.com/search/results/companies/?keywords=Swiss%20Re%20Investment%20Management" TargetMode="External" Id="rId759" /><Relationship Type="http://schemas.openxmlformats.org/officeDocument/2006/relationships/hyperlink" Target="https://find-and-update.company-information.service.gov.uk/company/04910326" TargetMode="External" Id="rId760" /><Relationship Type="http://schemas.openxmlformats.org/officeDocument/2006/relationships/hyperlink" Target="https://www.linkedin.com/search/results/companies/?keywords=Actis%20Africa" TargetMode="External" Id="rId761" /><Relationship Type="http://schemas.openxmlformats.org/officeDocument/2006/relationships/hyperlink" Target="https://find-and-update.company-information.service.gov.uk/company/05837428" TargetMode="External" Id="rId762" /><Relationship Type="http://schemas.openxmlformats.org/officeDocument/2006/relationships/hyperlink" Target="https://www.linkedin.com/search/results/companies/?keywords=Ares%20Management" TargetMode="External" Id="rId763" /><Relationship Type="http://schemas.openxmlformats.org/officeDocument/2006/relationships/hyperlink" Target="https://find-and-update.company-information.service.gov.uk/company/07874049" TargetMode="External" Id="rId764" /><Relationship Type="http://schemas.openxmlformats.org/officeDocument/2006/relationships/hyperlink" Target="https://www.linkedin.com/search/results/companies/?keywords=First%20Trust%20Global%20Portfolios" TargetMode="External" Id="rId765" /><Relationship Type="http://schemas.openxmlformats.org/officeDocument/2006/relationships/hyperlink" Target="https://find-and-update.company-information.service.gov.uk/company/OC347017" TargetMode="External" Id="rId766" /><Relationship Type="http://schemas.openxmlformats.org/officeDocument/2006/relationships/hyperlink" Target="https://www.linkedin.com/search/results/companies/?keywords=Global%20Infrastructure%20Management" TargetMode="External" Id="rId767" /><Relationship Type="http://schemas.openxmlformats.org/officeDocument/2006/relationships/hyperlink" Target="https://find-and-update.company-information.service.gov.uk/company/OC425449" TargetMode="External" Id="rId768" /><Relationship Type="http://schemas.openxmlformats.org/officeDocument/2006/relationships/hyperlink" Target="https://www.linkedin.com/search/results/companies/?keywords=Hidden%20Road%20Partners" TargetMode="External" Id="rId769" /><Relationship Type="http://schemas.openxmlformats.org/officeDocument/2006/relationships/hyperlink" Target="https://find-and-update.company-information.service.gov.uk/company/03525123" TargetMode="External" Id="rId770" /><Relationship Type="http://schemas.openxmlformats.org/officeDocument/2006/relationships/hyperlink" Target="https://www.linkedin.com/search/results/companies/?keywords=Metage%20Capital" TargetMode="External" Id="rId771" /><Relationship Type="http://schemas.openxmlformats.org/officeDocument/2006/relationships/hyperlink" Target="https://find-and-update.company-information.service.gov.uk/company/OC307751" TargetMode="External" Id="rId772" /><Relationship Type="http://schemas.openxmlformats.org/officeDocument/2006/relationships/hyperlink" Target="https://www.linkedin.com/search/results/companies/?keywords=Partners%20Wealth%20Management" TargetMode="External" Id="rId773" /><Relationship Type="http://schemas.openxmlformats.org/officeDocument/2006/relationships/hyperlink" Target="https://find-and-update.company-information.service.gov.uk/company/02442391" TargetMode="External" Id="rId774" /><Relationship Type="http://schemas.openxmlformats.org/officeDocument/2006/relationships/hyperlink" Target="https://www.linkedin.com/search/results/companies/?keywords=Rockhold%20Asset%20Management" TargetMode="External" Id="rId775" /><Relationship Type="http://schemas.openxmlformats.org/officeDocument/2006/relationships/hyperlink" Target="https://find-and-update.company-information.service.gov.uk/company/OC378740" TargetMode="External" Id="rId776" /><Relationship Type="http://schemas.openxmlformats.org/officeDocument/2006/relationships/hyperlink" Target="https://www.linkedin.com/search/results/companies/?keywords=Seven%20Investment%20Management" TargetMode="External" Id="rId777" /><Relationship Type="http://schemas.openxmlformats.org/officeDocument/2006/relationships/hyperlink" Target="https://find-and-update.company-information.service.gov.uk/company/OC360394" TargetMode="External" Id="rId778" /><Relationship Type="http://schemas.openxmlformats.org/officeDocument/2006/relationships/hyperlink" Target="https://www.linkedin.com/search/results/companies/?keywords=Shard%20Capital%20Partners" TargetMode="External" Id="rId779" /><Relationship Type="http://schemas.openxmlformats.org/officeDocument/2006/relationships/hyperlink" Target="https://find-and-update.company-information.service.gov.uk/company/11557205" TargetMode="External" Id="rId780" /><Relationship Type="http://schemas.openxmlformats.org/officeDocument/2006/relationships/hyperlink" Target="https://www.linkedin.com/search/results/companies/?keywords=Timeline%20Portfolios" TargetMode="External" Id="rId781" /><Relationship Type="http://schemas.openxmlformats.org/officeDocument/2006/relationships/hyperlink" Target="https://find-and-update.company-information.service.gov.uk/company/OC383433" TargetMode="External" Id="rId782" /><Relationship Type="http://schemas.openxmlformats.org/officeDocument/2006/relationships/hyperlink" Target="https://www.linkedin.com/search/results/companies/?keywords=CarVal%20Investors%20GB" TargetMode="External" Id="rId783" /><Relationship Type="http://schemas.openxmlformats.org/officeDocument/2006/relationships/hyperlink" Target="https://find-and-update.company-information.service.gov.uk/company/OC380999" TargetMode="External" Id="rId784" /><Relationship Type="http://schemas.openxmlformats.org/officeDocument/2006/relationships/hyperlink" Target="https://www.linkedin.com/search/results/companies/?keywords=NYL%20Investments" TargetMode="External" Id="rId785" /><Relationship Type="http://schemas.openxmlformats.org/officeDocument/2006/relationships/hyperlink" Target="https://find-and-update.company-information.service.gov.uk/company/01935154" TargetMode="External" Id="rId786" /><Relationship Type="http://schemas.openxmlformats.org/officeDocument/2006/relationships/hyperlink" Target="https://www.linkedin.com/search/results/companies/?keywords=Dexia%20Management" TargetMode="External" Id="rId787" /><Relationship Type="http://schemas.openxmlformats.org/officeDocument/2006/relationships/hyperlink" Target="https://find-and-update.company-information.service.gov.uk/company/OC362112" TargetMode="External" Id="rId788" /><Relationship Type="http://schemas.openxmlformats.org/officeDocument/2006/relationships/hyperlink" Target="https://www.linkedin.com/search/results/companies/?keywords=Francisco%20Partners%20Operations" TargetMode="External" Id="rId789" /><Relationship Type="http://schemas.openxmlformats.org/officeDocument/2006/relationships/hyperlink" Target="https://find-and-update.company-information.service.gov.uk/company/OC398922" TargetMode="External" Id="rId790" /><Relationship Type="http://schemas.openxmlformats.org/officeDocument/2006/relationships/hyperlink" Target="https://www.linkedin.com/search/results/companies/?keywords=Thornbridge%20Investment%20Management" TargetMode="External" Id="rId791" /><Relationship Type="http://schemas.openxmlformats.org/officeDocument/2006/relationships/hyperlink" Target="https://find-and-update.company-information.service.gov.uk/company/OC300263" TargetMode="External" Id="rId792" /><Relationship Type="http://schemas.openxmlformats.org/officeDocument/2006/relationships/hyperlink" Target="https://www.linkedin.com/search/results/companies/?keywords=Dr%20J%20H%20Burgoyne%20%26%20Partners" TargetMode="External" Id="rId793" /><Relationship Type="http://schemas.openxmlformats.org/officeDocument/2006/relationships/hyperlink" Target="https://find-and-update.company-information.service.gov.uk/company/06760235" TargetMode="External" Id="rId794" /><Relationship Type="http://schemas.openxmlformats.org/officeDocument/2006/relationships/hyperlink" Target="https://www.linkedin.com/search/results/companies/?keywords=Clearance%20Capital" TargetMode="External" Id="rId795" /><Relationship Type="http://schemas.openxmlformats.org/officeDocument/2006/relationships/hyperlink" Target="https://find-and-update.company-information.service.gov.uk/company/13679854" TargetMode="External" Id="rId796" /><Relationship Type="http://schemas.openxmlformats.org/officeDocument/2006/relationships/hyperlink" Target="https://www.linkedin.com/search/results/companies/?keywords=DB%20Investment%20Partners" TargetMode="External" Id="rId797" /><Relationship Type="http://schemas.openxmlformats.org/officeDocument/2006/relationships/hyperlink" Target="https://find-and-update.company-information.service.gov.uk/company/OC425442" TargetMode="External" Id="rId798" /><Relationship Type="http://schemas.openxmlformats.org/officeDocument/2006/relationships/hyperlink" Target="https://www.linkedin.com/search/results/companies/?keywords=EY%20Advisory%20Netherlands" TargetMode="External" Id="rId7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pitchbooking.com/partners/MULBERRYSPORTSLEISURECENTRE" TargetMode="External" Id="rId1" /><Relationship Type="http://schemas.openxmlformats.org/officeDocument/2006/relationships/hyperlink" Target="https://bookings.better.org.uk/location/britannia-leisure-centre/3g-cage/2026-09-28/by-time" TargetMode="External" Id="rId2" /><Relationship Type="http://schemas.openxmlformats.org/officeDocument/2006/relationships/hyperlink" Target="https://www.playfootball.net/venues/old-street-moreland-school/book-a-pitch/87/6-a-side3gpitchhire" TargetMode="External" Id="rId3" /><Relationship Type="http://schemas.openxmlformats.org/officeDocument/2006/relationships/hyperlink" Target="https://www.playfootball.net/venues/old-street-moreland-school/book-a-pitch/87/6-a-side3gpitchhire" TargetMode="External" Id="rId4" /><Relationship Type="http://schemas.openxmlformats.org/officeDocument/2006/relationships/hyperlink" Target="https://www.playfootball.net/venues/old-street-moreland-school/book-a-pitch/87/6-a-side3gpitchhire" TargetMode="External" Id="rId5" /><Relationship Type="http://schemas.openxmlformats.org/officeDocument/2006/relationships/hyperlink" Target="https://www.playfootball.net/venues/old-street-moreland-school/book-a-pitch/87/6-a-side3gpitchhire" TargetMode="External" Id="rId6" /><Relationship Type="http://schemas.openxmlformats.org/officeDocument/2006/relationships/hyperlink" Target="https://www.playfootball.net/venues/old-street-moreland-school/book-a-pitch/87/6-a-side3gpitchhire" TargetMode="External" Id="rId7" /><Relationship Type="http://schemas.openxmlformats.org/officeDocument/2006/relationships/hyperlink" Target="https://www.playfootball.net/venues/old-street-moreland-school/book-a-pitch/87/6-a-side3gpitchhire" TargetMode="External" Id="rId8" /><Relationship Type="http://schemas.openxmlformats.org/officeDocument/2006/relationships/hyperlink" Target="https://www.playfootball.net/venues/old-street-moreland-school/book-a-pitch/87/6-a-side3gpitchhire" TargetMode="External" Id="rId9" /><Relationship Type="http://schemas.openxmlformats.org/officeDocument/2006/relationships/hyperlink" Target="https://www.playfootball.net/venues/old-street-moreland-school/book-a-pitch/87/6-a-side3gpitchhire" TargetMode="External" Id="rId10" /><Relationship Type="http://schemas.openxmlformats.org/officeDocument/2006/relationships/hyperlink" Target="https://www.playfootball.net/venues/old-street-moreland-school/book-a-pitch/87/6-a-side3gpitchhire" TargetMode="External" Id="rId11" /><Relationship Type="http://schemas.openxmlformats.org/officeDocument/2006/relationships/hyperlink" Target="https://www.playfootball.net/venues/old-street-moreland-school/book-a-pitch/87/6-a-side3gpitchhire" TargetMode="External" Id="rId12" /><Relationship Type="http://schemas.openxmlformats.org/officeDocument/2006/relationships/hyperlink" Target="https://www.playfootball.net/venues/old-street-moreland-school/book-a-pitch/87/6-a-side3gpitchhire" TargetMode="External" Id="rId13" /><Relationship Type="http://schemas.openxmlformats.org/officeDocument/2006/relationships/hyperlink" Target="https://www.playfootball.net/venues/old-street-moreland-school/book-a-pitch/87/6-a-side3gpitchhire" TargetMode="External" Id="rId14" /><Relationship Type="http://schemas.openxmlformats.org/officeDocument/2006/relationships/hyperlink" Target="https://enni.space/search/21782-cola-shoreditch-park-3g-5-a-side-pitch" TargetMode="External" Id="rId15" /><Relationship Type="http://schemas.openxmlformats.org/officeDocument/2006/relationships/hyperlink" Target="https://enni.space/search/21782-cola-shoreditch-park-3g-5-a-side-pitch" TargetMode="External" Id="rId16" /><Relationship Type="http://schemas.openxmlformats.org/officeDocument/2006/relationships/hyperlink" Target="https://enni.space/search/21782-cola-shoreditch-park-3g-5-a-side-pitch" TargetMode="External" Id="rId17" /><Relationship Type="http://schemas.openxmlformats.org/officeDocument/2006/relationships/hyperlink" Target="https://enni.space/search/21782-cola-shoreditch-park-3g-5-a-side-pitch" TargetMode="External" Id="rId18" /><Relationship Type="http://schemas.openxmlformats.org/officeDocument/2006/relationships/hyperlink" Target="https://enni.space/search/21782-cola-shoreditch-park-3g-5-a-side-pitch" TargetMode="External" Id="rId19" /><Relationship Type="http://schemas.openxmlformats.org/officeDocument/2006/relationships/hyperlink" Target="https://enni.space/search/21782-cola-shoreditch-park-3g-5-a-side-pitch" TargetMode="External" Id="rId20" /><Relationship Type="http://schemas.openxmlformats.org/officeDocument/2006/relationships/hyperlink" Target="https://enni.space/search/21782-cola-shoreditch-park-3g-5-a-side-pitch" TargetMode="External" Id="rId21" /><Relationship Type="http://schemas.openxmlformats.org/officeDocument/2006/relationships/hyperlink" Target="https://enni.space/search/21782-cola-shoreditch-park-3g-5-a-side-pitch" TargetMode="External" Id="rId22" /><Relationship Type="http://schemas.openxmlformats.org/officeDocument/2006/relationships/hyperlink" Target="https://enni.space/search/21782-cola-shoreditch-park-3g-5-a-side-pitch" TargetMode="External" Id="rId23" /><Relationship Type="http://schemas.openxmlformats.org/officeDocument/2006/relationships/hyperlink" Target="https://enni.space/search/21782-cola-shoreditch-park-3g-5-a-side-pitch" TargetMode="External" Id="rId24" /><Relationship Type="http://schemas.openxmlformats.org/officeDocument/2006/relationships/hyperlink" Target="https://enni.space/search/21782-cola-shoreditch-park-3g-5-a-side-pitch" TargetMode="External" Id="rId25" /><Relationship Type="http://schemas.openxmlformats.org/officeDocument/2006/relationships/hyperlink" Target="https://enni.space/search/21782-cola-shoreditch-park-3g-5-a-side-pitch" TargetMode="External" Id="rId26" /><Relationship Type="http://schemas.openxmlformats.org/officeDocument/2006/relationships/hyperlink" Target="https://enni.space/search/21782-cola-shoreditch-park-3g-5-a-side-pitch" TargetMode="External" Id="rId27" /><Relationship Type="http://schemas.openxmlformats.org/officeDocument/2006/relationships/hyperlink" Target="https://enni.space/search/21782-cola-shoreditch-park-3g-5-a-side-pitch" TargetMode="External" Id="rId28" /><Relationship Type="http://schemas.openxmlformats.org/officeDocument/2006/relationships/hyperlink" Target="https://enni.space/search/21782-cola-shoreditch-park-3g-5-a-side-pitch" TargetMode="External" Id="rId29" /><Relationship Type="http://schemas.openxmlformats.org/officeDocument/2006/relationships/hyperlink" Target="https://enni.space/search/21782-cola-shoreditch-park-3g-5-a-side-pitch" TargetMode="External" Id="rId30" /><Relationship Type="http://schemas.openxmlformats.org/officeDocument/2006/relationships/hyperlink" Target="https://enni.space/search/21782-cola-shoreditch-park-3g-5-a-side-pitch" TargetMode="External" Id="rId31" /><Relationship Type="http://schemas.openxmlformats.org/officeDocument/2006/relationships/hyperlink" Target="https://enni.space/search/21782-cola-shoreditch-park-3g-5-a-side-pitch" TargetMode="External" Id="rId32" /><Relationship Type="http://schemas.openxmlformats.org/officeDocument/2006/relationships/hyperlink" Target="https://enni.space/search/21782-cola-shoreditch-park-3g-5-a-side-pitch" TargetMode="External" Id="rId33" /><Relationship Type="http://schemas.openxmlformats.org/officeDocument/2006/relationships/hyperlink" Target="https://enni.space/search/21782-cola-shoreditch-park-3g-5-a-side-pitch" TargetMode="External" Id="rId34" /><Relationship Type="http://schemas.openxmlformats.org/officeDocument/2006/relationships/hyperlink" Target="https://enni.space/search/21782-cola-shoreditch-park-3g-5-a-side-pitch" TargetMode="External" Id="rId35" /><Relationship Type="http://schemas.openxmlformats.org/officeDocument/2006/relationships/hyperlink" Target="https://enni.space/search/21782-cola-shoreditch-park-3g-5-a-side-pitch" TargetMode="External" Id="rId36" /><Relationship Type="http://schemas.openxmlformats.org/officeDocument/2006/relationships/hyperlink" Target="https://enni.space/search/21782-cola-shoreditch-park-3g-5-a-side-pitch" TargetMode="External" Id="rId37" /><Relationship Type="http://schemas.openxmlformats.org/officeDocument/2006/relationships/hyperlink" Target="https://enni.space/search/21782-cola-shoreditch-park-3g-5-a-side-pitch" TargetMode="External" Id="rId38" /><Relationship Type="http://schemas.openxmlformats.org/officeDocument/2006/relationships/hyperlink" Target="https://enni.space/search/21782-cola-shoreditch-park-3g-5-a-side-pitch" TargetMode="External" Id="rId39" /><Relationship Type="http://schemas.openxmlformats.org/officeDocument/2006/relationships/hyperlink" Target="https://enni.space/search/21782-cola-shoreditch-park-3g-5-a-side-pitch" TargetMode="External" Id="rId40" /><Relationship Type="http://schemas.openxmlformats.org/officeDocument/2006/relationships/hyperlink" Target="https://enni.space/search/21782-cola-shoreditch-park-3g-5-a-side-pitch" TargetMode="External" Id="rId41" /><Relationship Type="http://schemas.openxmlformats.org/officeDocument/2006/relationships/hyperlink" Target="https://enni.space/search/21782-cola-shoreditch-park-3g-5-a-side-pitch" TargetMode="External" Id="rId42" /><Relationship Type="http://schemas.openxmlformats.org/officeDocument/2006/relationships/hyperlink" Target="https://enni.space/search/21782-cola-shoreditch-park-3g-5-a-side-pitch" TargetMode="External" Id="rId43" /><Relationship Type="http://schemas.openxmlformats.org/officeDocument/2006/relationships/hyperlink" Target="https://enni.space/search/21782-cola-shoreditch-park-3g-5-a-side-pitch" TargetMode="External" Id="rId44" /><Relationship Type="http://schemas.openxmlformats.org/officeDocument/2006/relationships/hyperlink" Target="https://enni.space/search/21782-cola-shoreditch-park-3g-5-a-side-pitch" TargetMode="External" Id="rId45" /><Relationship Type="http://schemas.openxmlformats.org/officeDocument/2006/relationships/hyperlink" Target="https://enni.space/search/21782-cola-shoreditch-park-3g-5-a-side-pitch" TargetMode="External" Id="rId46" /><Relationship Type="http://schemas.openxmlformats.org/officeDocument/2006/relationships/hyperlink" Target="https://enni.space/search/21782-cola-shoreditch-park-3g-5-a-side-pitch" TargetMode="External" Id="rId47" /><Relationship Type="http://schemas.openxmlformats.org/officeDocument/2006/relationships/hyperlink" Target="https://enni.space/search/21782-cola-shoreditch-park-3g-5-a-side-pitch" TargetMode="External" Id="rId48" /><Relationship Type="http://schemas.openxmlformats.org/officeDocument/2006/relationships/hyperlink" Target="https://enni.space/search/21782-cola-shoreditch-park-3g-5-a-side-pitch" TargetMode="External" Id="rId49" /><Relationship Type="http://schemas.openxmlformats.org/officeDocument/2006/relationships/hyperlink" Target="https://enni.space/search/21782-cola-shoreditch-park-3g-5-a-side-pitch" TargetMode="External" Id="rId50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1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2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3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4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5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6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7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8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59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60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61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62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63" /><Relationship Type="http://schemas.openxmlformats.org/officeDocument/2006/relationships/hyperlink" Target="https://attleecentre.org/hire-our-spaces/" TargetMode="External" Id="rId64" /><Relationship Type="http://schemas.openxmlformats.org/officeDocument/2006/relationships/hyperlink" Target="https://coramsfields.org/facility-hire/sport-facility-hire/" TargetMode="External" Id="rId65" /><Relationship Type="http://schemas.openxmlformats.org/officeDocument/2006/relationships/hyperlink" Target="https://www.vivifyvenues.com/venues/borough-academy/3g-pitch-borough" TargetMode="External" Id="rId66" /><Relationship Type="http://schemas.openxmlformats.org/officeDocument/2006/relationships/hyperlink" Target="https://fcurban.typeform.com/to/p2vDaixk" TargetMode="External" Id="rId67" /><Relationship Type="http://schemas.openxmlformats.org/officeDocument/2006/relationships/hyperlink" Target="https://fcurban.typeform.com/to/p2vDaixk" TargetMode="External" Id="rId68" /><Relationship Type="http://schemas.openxmlformats.org/officeDocument/2006/relationships/hyperlink" Target="https://fcurban.typeform.com/to/p2vDaixk" TargetMode="External" Id="rId69" /><Relationship Type="http://schemas.openxmlformats.org/officeDocument/2006/relationships/hyperlink" Target="https://www.playfootball.net/venues/canary-wharf/book-a-pitch/85/5-a-side3gpitchhire" TargetMode="External" Id="rId70" /><Relationship Type="http://schemas.openxmlformats.org/officeDocument/2006/relationships/hyperlink" Target="https://www.football5s.com/docklands/" TargetMode="External" Id="rId7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fcurban.typeform.com/to/p2vDaixk" TargetMode="External" Id="rId1" /><Relationship Type="http://schemas.openxmlformats.org/officeDocument/2006/relationships/hyperlink" Target="https://www.fcurban.com/locations/bermondsey-riverside" TargetMode="External" Id="rId2" /><Relationship Type="http://schemas.openxmlformats.org/officeDocument/2006/relationships/hyperlink" Target="https://www.vivifyvenues.com/venues/borough-academy/3g-pitch-borough" TargetMode="External" Id="rId3" /><Relationship Type="http://schemas.openxmlformats.org/officeDocument/2006/relationships/hyperlink" Target="https://www.fcurban.com/locations/borough-academy" TargetMode="External" Id="rId4" /><Relationship Type="http://schemas.openxmlformats.org/officeDocument/2006/relationships/hyperlink" Target="https://enni.space/search/21782-cola-shoreditch-park-3g-5-a-side-pitch" TargetMode="External" Id="rId5" /><Relationship Type="http://schemas.openxmlformats.org/officeDocument/2006/relationships/hyperlink" Target="https://www.fcurban.com/locations/cola-shoreditch-park" TargetMode="External" Id="rId6" /><Relationship Type="http://schemas.openxmlformats.org/officeDocument/2006/relationships/hyperlink" Target="https://www.fcurban.com/locations/docklands-surrey-quays" TargetMode="External" Id="rId7" /><Relationship Type="http://schemas.openxmlformats.org/officeDocument/2006/relationships/hyperlink" Target="https://fcurban.typeform.com/to/p2vDaixk" TargetMode="External" Id="rId8" /><Relationship Type="http://schemas.openxmlformats.org/officeDocument/2006/relationships/hyperlink" Target="https://www.fcurban.com/locations/isle-of-dogs-canary-wharf-george-greens-school" TargetMode="External" Id="rId9" /><Relationship Type="http://schemas.openxmlformats.org/officeDocument/2006/relationships/hyperlink" Target="https://attleecentre.org/hire-our-spaces/" TargetMode="External" Id="rId10" /><Relationship Type="http://schemas.openxmlformats.org/officeDocument/2006/relationships/hyperlink" Target="https://www.fcurban.com/locations/liverpool-st-attlee-centre" TargetMode="External" Id="rId11" /><Relationship Type="http://schemas.openxmlformats.org/officeDocument/2006/relationships/hyperlink" Target="https://www.playfootball.net/venues/old-street-moreland-school/book-a-pitch/87/6-a-side3gpitchhire" TargetMode="External" Id="rId12" /><Relationship Type="http://schemas.openxmlformats.org/officeDocument/2006/relationships/hyperlink" Target="https://www.fcurban.com/locations/old-st-moreland-primary-school" TargetMode="External" Id="rId13" /><Relationship Type="http://schemas.openxmlformats.org/officeDocument/2006/relationships/hyperlink" Target="https://fcurban.typeform.com/to/p2vDaixk" TargetMode="External" Id="rId14" /><Relationship Type="http://schemas.openxmlformats.org/officeDocument/2006/relationships/hyperlink" Target="https://www.fcurban.com/locations/poplar" TargetMode="External" Id="rId15" /><Relationship Type="http://schemas.openxmlformats.org/officeDocument/2006/relationships/hyperlink" Target="https://www.powerleague.com/select-time?search_location_id=a20a54a1-3bdd-57b8-e211-6f44da11e82f&amp;search_booking_type_name=5-a-side%20Football" TargetMode="External" Id="rId16" /><Relationship Type="http://schemas.openxmlformats.org/officeDocument/2006/relationships/hyperlink" Target="https://www.fcurban.com/locations/shoreditch-powerleague" TargetMode="External" Id="rId17" /><Relationship Type="http://schemas.openxmlformats.org/officeDocument/2006/relationships/hyperlink" Target="https://bookings.better.org.uk/location/britannia-leisure-centre/3g-cage/2026-09-28/by-time" TargetMode="External" Id="rId18" /><Relationship Type="http://schemas.openxmlformats.org/officeDocument/2006/relationships/hyperlink" Target="https://www.fcurban.com/locations/shoreditch-rooftop" TargetMode="External" Id="rId19" /><Relationship Type="http://schemas.openxmlformats.org/officeDocument/2006/relationships/hyperlink" Target="https://coramsfields.org/facility-hire/sport-facility-hire/" TargetMode="External" Id="rId20" /><Relationship Type="http://schemas.openxmlformats.org/officeDocument/2006/relationships/hyperlink" Target="https://www.fcurban.com/locations/st-pancras-corams-fields-3g" TargetMode="External" Id="rId21" /><Relationship Type="http://schemas.openxmlformats.org/officeDocument/2006/relationships/hyperlink" Target="https://pitchbooking.com/partners/MULBERRYSPORTSLEISURECENTRE" TargetMode="External" Id="rId22" /><Relationship Type="http://schemas.openxmlformats.org/officeDocument/2006/relationships/hyperlink" Target="https://www.fcurban.com/locations/whitechapel" TargetMode="External" Id="rId23" /><Relationship Type="http://schemas.openxmlformats.org/officeDocument/2006/relationships/hyperlink" Target="https://www.playfootball.net/venues/canary-wharf/book-a-pitch/85/5-a-side3gpitchhire" TargetMode="External" Id="rId24" /><Relationship Type="http://schemas.openxmlformats.org/officeDocument/2006/relationships/hyperlink" Target="https://www.football5s.com/docklands/" TargetMode="External" Id="rId25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0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13" customWidth="1" min="4" max="4"/>
    <col width="36" customWidth="1" min="5" max="5"/>
    <col width="26" customWidth="1" min="6" max="6"/>
    <col width="11" customWidth="1" min="7" max="7"/>
    <col width="12" customWidth="1" min="8" max="8"/>
    <col width="12" customWidth="1" min="9" max="9"/>
    <col width="9" customWidth="1" min="10" max="10"/>
    <col width="11" customWidth="1" min="11" max="11"/>
    <col width="34" customWidth="1" min="12" max="12"/>
    <col width="10" customWidth="1" min="13" max="13"/>
    <col width="16" customWidth="1" min="14" max="14"/>
    <col width="12" customWidth="1" min="15" max="15"/>
    <col width="20" customWidth="1" min="16" max="16"/>
    <col width="22" customWidth="1" min="17" max="17"/>
    <col width="28" customWidth="1" min="18" max="18"/>
    <col width="28" customWidth="1" min="19" max="19"/>
    <col width="14" customWidth="1" min="20" max="20"/>
    <col width="28" customWidth="1" min="21" max="21"/>
    <col width="7" customWidth="1" min="22" max="22"/>
    <col width="34" customWidth="1" min="23" max="23"/>
    <col width="28" customWidth="1" min="24" max="24"/>
    <col width="7" customWidth="1" min="25" max="25"/>
    <col width="15" customWidth="1" min="26" max="26"/>
    <col width="7" customWidth="1" min="27" max="27"/>
    <col width="19" customWidth="1" min="28" max="28"/>
    <col width="10" customWidth="1" min="29" max="29"/>
    <col width="9" customWidth="1" min="30" max="30"/>
    <col width="56" customWidth="1" min="31" max="31"/>
    <col width="44" customWidth="1" min="32" max="32"/>
    <col width="60" customWidth="1" min="33" max="33"/>
    <col width="50" customWidth="1" min="34" max="34"/>
    <col width="6" customWidth="1" min="35" max="35"/>
    <col width="50" customWidth="1" min="36" max="36"/>
    <col width="16" customWidth="1" min="37" max="37"/>
    <col width="9" customWidth="1" min="38" max="38"/>
    <col width="11" customWidth="1" min="39" max="39"/>
    <col width="12" customWidth="1" min="40" max="40"/>
    <col width="9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40" customWidth="1" min="47" max="47"/>
    <col width="28" customWidth="1" min="48" max="48"/>
    <col width="30" customWidth="1" min="49" max="49"/>
  </cols>
  <sheetData>
    <row r="1">
      <c r="A1" s="1" t="inlineStr">
        <is>
          <t>Company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inlineStr">
        <is>
          <t>Contact — fill in</t>
        </is>
      </c>
      <c r="P1" s="4" t="n"/>
      <c r="Q1" s="4" t="n"/>
      <c r="R1" s="4" t="n"/>
      <c r="S1" s="4" t="n"/>
      <c r="T1" s="4" t="n"/>
      <c r="U1" s="5" t="inlineStr">
        <is>
          <t>Nearest pitch</t>
        </is>
      </c>
      <c r="V1" s="6" t="n"/>
      <c r="W1" s="6" t="n"/>
      <c r="X1" s="7" t="inlineStr">
        <is>
          <t>Lead with (message)</t>
        </is>
      </c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3" t="inlineStr">
        <is>
          <t>Tracking — fill in</t>
        </is>
      </c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</row>
    <row r="2" ht="42" customHeight="1">
      <c r="A2" s="9" t="inlineStr">
        <is>
          <t>#</t>
        </is>
      </c>
      <c r="B2" s="9" t="inlineStr">
        <is>
          <t>Priority</t>
        </is>
      </c>
      <c r="C2" s="9" t="inlineStr">
        <is>
          <t>Segment</t>
        </is>
      </c>
      <c r="D2" s="9" t="inlineStr">
        <is>
          <t>Area</t>
        </is>
      </c>
      <c r="E2" s="9" t="inlineStr">
        <is>
          <t>Company</t>
        </is>
      </c>
      <c r="F2" s="9" t="inlineStr">
        <is>
          <t>Name for messages</t>
        </is>
      </c>
      <c r="G2" s="9" t="inlineStr">
        <is>
          <t>Companies House no.</t>
        </is>
      </c>
      <c r="H2" s="9" t="inlineStr">
        <is>
          <t>Companies House</t>
        </is>
      </c>
      <c r="I2" s="9" t="inlineStr">
        <is>
          <t>LinkedIn search</t>
        </is>
      </c>
      <c r="J2" s="9" t="inlineStr">
        <is>
          <t>Accounts</t>
        </is>
      </c>
      <c r="K2" s="9" t="inlineStr">
        <is>
          <t>Incorporated</t>
        </is>
      </c>
      <c r="L2" s="9" t="inlineStr">
        <is>
          <t>Registered address</t>
        </is>
      </c>
      <c r="M2" s="9" t="inlineStr">
        <is>
          <t>Postcode</t>
        </is>
      </c>
      <c r="N2" s="9" t="inlineStr">
        <is>
          <t>In 933 research list?</t>
        </is>
      </c>
      <c r="O2" s="10" t="inlineStr">
        <is>
          <t>Contact first name</t>
        </is>
      </c>
      <c r="P2" s="10" t="inlineStr">
        <is>
          <t>Contact full name</t>
        </is>
      </c>
      <c r="Q2" s="10" t="inlineStr">
        <is>
          <t>Job title</t>
        </is>
      </c>
      <c r="R2" s="10" t="inlineStr">
        <is>
          <t>LinkedIn URL</t>
        </is>
      </c>
      <c r="S2" s="10" t="inlineStr">
        <is>
          <t>Email</t>
        </is>
      </c>
      <c r="T2" s="10" t="inlineStr">
        <is>
          <t>Phone</t>
        </is>
      </c>
      <c r="U2" s="9" t="inlineStr">
        <is>
          <t>Nearest pitch</t>
        </is>
      </c>
      <c r="V2" s="9" t="inlineStr">
        <is>
          <t>Walk (min)</t>
        </is>
      </c>
      <c r="W2" s="9" t="inlineStr">
        <is>
          <t>Other pitches ≤19 min</t>
        </is>
      </c>
      <c r="X2" s="9" t="inlineStr">
        <is>
          <t>Lead with: pitch</t>
        </is>
      </c>
      <c r="Y2" s="9" t="inlineStr">
        <is>
          <t>Walk to it (min)</t>
        </is>
      </c>
      <c r="Z2" s="9" t="inlineStr">
        <is>
          <t>Pitch status</t>
        </is>
      </c>
      <c r="AA2" s="9" t="inlineStr">
        <is>
          <t>Open slots</t>
        </is>
      </c>
      <c r="AB2" s="9" t="inlineStr">
        <is>
          <t>Lead with: slot</t>
        </is>
      </c>
      <c r="AC2" s="9" t="inlineStr">
        <is>
          <t>Lead with: format</t>
        </is>
      </c>
      <c r="AD2" s="9" t="inlineStr">
        <is>
          <t>Price per player (£)</t>
        </is>
      </c>
      <c r="AE2" s="9" t="inlineStr">
        <is>
          <t>Lead-with line</t>
        </is>
      </c>
      <c r="AF2" s="9" t="inlineStr">
        <is>
          <t>Subject</t>
        </is>
      </c>
      <c r="AG2" s="9" t="inlineStr">
        <is>
          <t>Email draft</t>
        </is>
      </c>
      <c r="AH2" s="9" t="inlineStr">
        <is>
          <t>LinkedIn connection note</t>
        </is>
      </c>
      <c r="AI2" s="9" t="inlineStr">
        <is>
          <t>Note length</t>
        </is>
      </c>
      <c r="AJ2" s="9" t="inlineStr">
        <is>
          <t>LinkedIn follow-up DM</t>
        </is>
      </c>
      <c r="AK2" s="9" t="inlineStr">
        <is>
          <t>Draft status</t>
        </is>
      </c>
      <c r="AL2" s="10" t="inlineStr">
        <is>
          <t>Owner</t>
        </is>
      </c>
      <c r="AM2" s="10" t="inlineStr">
        <is>
          <t>Channel</t>
        </is>
      </c>
      <c r="AN2" s="10" t="inlineStr">
        <is>
          <t>Contacted on</t>
        </is>
      </c>
      <c r="AO2" s="10" t="inlineStr">
        <is>
          <t>Connection accepted</t>
        </is>
      </c>
      <c r="AP2" s="10" t="inlineStr">
        <is>
          <t>Replied</t>
        </is>
      </c>
      <c r="AQ2" s="10" t="inlineStr">
        <is>
          <t>Call booked</t>
        </is>
      </c>
      <c r="AR2" s="10" t="inlineStr">
        <is>
          <t>Group created</t>
        </is>
      </c>
      <c r="AS2" s="10" t="inlineStr">
        <is>
          <t>First game booked</t>
        </is>
      </c>
      <c r="AT2" s="10" t="inlineStr">
        <is>
          <t>Second game booked</t>
        </is>
      </c>
      <c r="AU2" s="10" t="inlineStr">
        <is>
          <t>Objection (exact words)</t>
        </is>
      </c>
      <c r="AV2" s="10" t="inlineStr">
        <is>
          <t>Next step</t>
        </is>
      </c>
      <c r="AW2" s="10" t="inlineStr">
        <is>
          <t>Notes</t>
        </is>
      </c>
    </row>
    <row r="3">
      <c r="A3" s="11" t="n">
        <v>1</v>
      </c>
      <c r="B3" s="11" t="n">
        <v>1</v>
      </c>
      <c r="C3" s="11" t="inlineStr">
        <is>
          <t>Law firm</t>
        </is>
      </c>
      <c r="D3" s="11" t="inlineStr">
        <is>
          <t>City of London</t>
        </is>
      </c>
      <c r="E3" s="11" t="inlineStr">
        <is>
          <t>Allen Overy Shearman Sterling LLP</t>
        </is>
      </c>
      <c r="F3" s="11" t="inlineStr">
        <is>
          <t>A&amp;O Shearman</t>
        </is>
      </c>
      <c r="G3" s="11" t="inlineStr">
        <is>
          <t>OC306763</t>
        </is>
      </c>
      <c r="H3" s="12" t="inlineStr">
        <is>
          <t>Open</t>
        </is>
      </c>
      <c r="I3" s="12" t="inlineStr">
        <is>
          <t>Search</t>
        </is>
      </c>
      <c r="J3" s="11" t="inlineStr">
        <is>
          <t>Group</t>
        </is>
      </c>
      <c r="K3" s="13" t="n">
        <v>38016</v>
      </c>
      <c r="L3" s="11" t="inlineStr">
        <is>
          <t>One Bishops  Square, London</t>
        </is>
      </c>
      <c r="M3" s="11" t="inlineStr">
        <is>
          <t>E1 6AD</t>
        </is>
      </c>
      <c r="N3" s="11" t="inlineStr">
        <is>
          <t>No</t>
        </is>
      </c>
      <c r="U3" s="11" t="inlineStr">
        <is>
          <t>Liverpool St - Attlee Centre</t>
        </is>
      </c>
      <c r="V3" s="11" t="n">
        <v>6</v>
      </c>
      <c r="W3" s="11" t="inlineStr">
        <is>
          <t>Shoreditch Powerleague (6.5)</t>
        </is>
      </c>
      <c r="X3" s="11" t="inlineStr">
        <is>
          <t>Shoreditch Powerleague</t>
        </is>
      </c>
      <c r="Y3" s="11" t="n">
        <v>6</v>
      </c>
      <c r="Z3" s="14">
        <f>IFERROR(INDEX(Venues!$E$2:$E$15,MATCH(X3,Venues!$A$2:$A$15,0)),"Not checked")</f>
        <v/>
      </c>
      <c r="AA3" s="14">
        <f>IFERROR(INDEX(Venues!$F$2:$F$15,MATCH(X3,Venues!$A$2:$A$15,0)),0)</f>
        <v/>
      </c>
      <c r="AB3" s="15">
        <f>IFERROR(INDEX(Venues!$M$2:$M$15,MATCH(X3,Venues!$A$2:$A$15,0)),"")</f>
        <v/>
      </c>
      <c r="AC3" s="14">
        <f>IFERROR(INDEX(Venues!$N$2:$N$15,MATCH(X3,Venues!$A$2:$A$15,0)),"5-a-side")</f>
        <v/>
      </c>
      <c r="AD3" s="16">
        <f>IF(Offer!$C$4="","",Offer!$C$4)</f>
        <v/>
      </c>
      <c r="AE3" s="14">
        <f>X3&amp;" ("&amp;Y3&amp;" min walk) · "&amp;IF(ISNUMBER(AB3),TEXT(AB3,"ddd d mmm, hh:mm"),"slot to confirm with venue")&amp;" · "&amp;AC3&amp;" · "&amp;IF(AD3&lt;&gt;"","£"&amp;TEXT(AD3,"0.00")&amp;" pp","price TBC")</f>
        <v/>
      </c>
      <c r="AF3" s="14">
        <f>"After-work football for "&amp;F3&amp;" · "&amp;X3&amp;", "&amp;Y3&amp;" min from your office"</f>
        <v/>
      </c>
      <c r="AG3" s="14">
        <f>"Hi"&amp;IF(O3&lt;&gt;""," "&amp;O3,"")&amp;","&amp;CHAR(10)&amp;CHAR(10)&amp;"I'm "&amp;IF(AL3&lt;&gt;"",AL3,IF(Offer!$C$5&lt;&gt;"",Offer!$C$5,"[NAME]"))&amp;" from FC Urban. We organise after-work football for teams in the City and Canary Wharf."&amp;CHAR(10)&amp;CHAR(10)&amp;"We have a "&amp;AC3&amp;" pitch at "&amp;X3&amp;", "&amp;IF(OR(Y3=8,Y3=11,Y3=18),"an ","a ")&amp;Y3&amp;"-minute walk from your "&amp;M3&amp;" office, "&amp;IF(ISNUMBER(AB3),"on "&amp;TEXT(AB3,"dddd d mmmm")&amp;" at "&amp;TEXT(AB3,"hh:mm"),"on a weekday evening that suits your team")&amp;". It's "&amp;IF(AD3&lt;&gt;"","£"&amp;IF(AD3=INT(AD3),TEXT(AD3,"0"),TEXT(AD3,"0.00")),"[PRICE PER PLAYER]")&amp;" a player and we handle the pitch booking, sign-ups and payments, so all it takes is one person sharing a link with the team."&amp;CHAR(10)&amp;CHAR(10)&amp;"It works well as a team social or "&amp;IF(ISNUMBER(SEARCH(LEFT(F3,1),"AEIOU")),"an ","a ")&amp;F3&amp;"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LINK]")&amp;CHAR(10)&amp;CHAR(10)&amp;"Best,"&amp;CHAR(10)&amp;IF(AL3&lt;&gt;"",AL3,IF(Offer!$C$5&lt;&gt;"",Offer!$C$5,"[NAME]"))&amp;CHAR(10)&amp;"FC Urban"</f>
        <v/>
      </c>
      <c r="AH3" s="14">
        <f>IF(LEN("Hi"&amp;IF(O3&lt;&gt;""," "&amp;O3,"")&amp;","&amp;" FC Urban runs after-work football for "&amp;IF(D3="Canary Wharf","Canary Wharf","City")&amp;" teams. We have a "&amp;AC3&amp;" pitch at "&amp;X3&amp;", "&amp;Y3&amp;" min from your office, "&amp;IF(ISNUMBER(AB3),TEXT(AB3,"ddd d mmm")&amp;", "&amp;TEXT(AB3,"hh:mm"),"weekday evenings")&amp;", "&amp;IF(AD3&lt;&gt;"","£"&amp;IF(AD3=INT(AD3),TEXT(AD3,"0"),TEXT(AD3,"0.00")),"[PRICE PER PLAYER]")&amp;" a player. We handle booking, sign-ups and payments. Fancy "&amp;IF(ISNUMBER(SEARCH(LEFT(F3,1),"AEIOU")),"an ","a ")&amp;F3&amp;" team game? "&amp;IF(AL3&lt;&gt;"",AL3,IF(Offer!$C$5&lt;&gt;"",Offer!$C$5,"[NAME]")))&lt;=300,"Hi"&amp;IF(O3&lt;&gt;""," "&amp;O3,"")&amp;","&amp;" FC Urban runs after-work football for "&amp;IF(D3="Canary Wharf","Canary Wharf","City")&amp;" teams. We have a "&amp;AC3&amp;" pitch at "&amp;X3&amp;", "&amp;Y3&amp;" min from your office, "&amp;IF(ISNUMBER(AB3),TEXT(AB3,"ddd d mmm")&amp;", "&amp;TEXT(AB3,"hh:mm"),"weekday evenings")&amp;", "&amp;IF(AD3&lt;&gt;"","£"&amp;IF(AD3=INT(AD3),TEXT(AD3,"0"),TEXT(AD3,"0.00")),"[PRICE PER PLAYER]")&amp;" a player. We handle booking, sign-ups and payments. Fancy "&amp;IF(ISNUMBER(SEARCH(LEFT(F3,1),"AEIOU")),"an ","a ")&amp;F3&amp;" team game? "&amp;IF(AL3&lt;&gt;"",AL3,IF(Offer!$C$5&lt;&gt;"",Offer!$C$5,"[NAME]")),LEFT("Hi"&amp;IF(O3&lt;&gt;""," "&amp;O3,"")&amp;","&amp;" FC Urban runs after-work football for "&amp;IF(D3="Canary Wharf","Canary Wharf","City")&amp;" teams: "&amp;AC3&amp;" at "&amp;X3&amp;", "&amp;Y3&amp;" min from your office, "&amp;IF(ISNUMBER(AB3),TEXT(AB3,"ddd d mmm")&amp;", "&amp;TEXT(AB3,"hh:mm"),"weekday evenings")&amp;", "&amp;IF(AD3&lt;&gt;"","£"&amp;IF(AD3=INT(AD3),TEXT(AD3,"0"),TEXT(AD3,"0.00")),"[PRICE PER PLAYER]")&amp;" pp. We handle booking and payments. Up for a team game? "&amp;IF(AL3&lt;&gt;"",AL3,IF(Offer!$C$5&lt;&gt;"",Offer!$C$5,"[NAME]")),300))</f>
        <v/>
      </c>
      <c r="AI3" s="14">
        <f>LEN(AH3)</f>
        <v/>
      </c>
      <c r="AJ3" s="14">
        <f>"Thanks for connecting"&amp;IF(O3&lt;&gt;"",", "&amp;O3,"")&amp;". "&amp;IF(ISNUMBER(AB3),"The "&amp;AC3&amp;" slot at "&amp;X3&amp;" is "&amp;IF(ISNUMBER(AB3),TEXT(AB3,"ddd d mmm")&amp;", "&amp;TEXT(AB3,"hh:mm"),"weekday evenings"),"We can book "&amp;AC3&amp;" at "&amp;X3&amp;" on a weekday evening that suits you")&amp;" and it's "&amp;IF(AD3&lt;&gt;"","£"&amp;IF(AD3=INT(AD3),TEXT(AD3,"0"),TEXT(AD3,"0.00")),"[PRICE PER PLAYER]")&amp;" a player, all booked and paid through one link. If football isn't your thing, who at "&amp;F3&amp;" would be the right person to organise a team game?"&amp;IF(Offer!$C$7&lt;&gt;""," Spots are held until "&amp;TEXT(Offer!$C$7,"dddd d mmmm")&amp;".","")&amp;" "&amp;IF(Offer!$C$6&lt;&gt;"",Offer!$C$6,"[JOINING LINK]")</f>
        <v/>
      </c>
      <c r="AK3" s="14">
        <f>IF(OR(ISNUMBER(SEARCH("[",AG3)),ISNUMBER(SEARCH("[",AJ3))),"Fill placeholders",IF(ISNUMBER(AB3),"Ready to send","Ready · no fixed slot"))</f>
        <v/>
      </c>
      <c r="AN3" s="17" t="n"/>
    </row>
    <row r="4">
      <c r="A4" s="11" t="n">
        <v>2</v>
      </c>
      <c r="B4" s="11" t="n">
        <v>1</v>
      </c>
      <c r="C4" s="11" t="inlineStr">
        <is>
          <t>Law firm</t>
        </is>
      </c>
      <c r="D4" s="11" t="inlineStr">
        <is>
          <t>City of London</t>
        </is>
      </c>
      <c r="E4" s="11" t="inlineStr">
        <is>
          <t>Baker &amp; McKenzie LLP</t>
        </is>
      </c>
      <c r="F4" s="11" t="inlineStr">
        <is>
          <t>Baker McKenzie</t>
        </is>
      </c>
      <c r="G4" s="11" t="inlineStr">
        <is>
          <t>OC311297</t>
        </is>
      </c>
      <c r="H4" s="12" t="inlineStr">
        <is>
          <t>Open</t>
        </is>
      </c>
      <c r="I4" s="12" t="inlineStr">
        <is>
          <t>Search</t>
        </is>
      </c>
      <c r="J4" s="11" t="inlineStr">
        <is>
          <t>Group</t>
        </is>
      </c>
      <c r="K4" s="13" t="n">
        <v>38384</v>
      </c>
      <c r="L4" s="11" t="inlineStr">
        <is>
          <t>280 Bishopsgate, London</t>
        </is>
      </c>
      <c r="M4" s="11" t="inlineStr">
        <is>
          <t>EC2M 4AG</t>
        </is>
      </c>
      <c r="N4" s="11" t="inlineStr">
        <is>
          <t>No</t>
        </is>
      </c>
      <c r="U4" s="11" t="inlineStr">
        <is>
          <t>Shoreditch Powerleague</t>
        </is>
      </c>
      <c r="V4" s="11" t="n">
        <v>7</v>
      </c>
      <c r="W4" s="11" t="inlineStr">
        <is>
          <t>Liverpool St - Attlee Centre (7.1)</t>
        </is>
      </c>
      <c r="X4" s="11" t="inlineStr">
        <is>
          <t>Shoreditch Powerleague</t>
        </is>
      </c>
      <c r="Y4" s="11" t="n">
        <v>7</v>
      </c>
      <c r="Z4" s="14">
        <f>IFERROR(INDEX(Venues!$E$2:$E$15,MATCH(X4,Venues!$A$2:$A$15,0)),"Not checked")</f>
        <v/>
      </c>
      <c r="AA4" s="14">
        <f>IFERROR(INDEX(Venues!$F$2:$F$15,MATCH(X4,Venues!$A$2:$A$15,0)),0)</f>
        <v/>
      </c>
      <c r="AB4" s="15">
        <f>IFERROR(INDEX(Venues!$M$2:$M$15,MATCH(X4,Venues!$A$2:$A$15,0)),"")</f>
        <v/>
      </c>
      <c r="AC4" s="14">
        <f>IFERROR(INDEX(Venues!$N$2:$N$15,MATCH(X4,Venues!$A$2:$A$15,0)),"5-a-side")</f>
        <v/>
      </c>
      <c r="AD4" s="16">
        <f>IF(Offer!$C$4="","",Offer!$C$4)</f>
        <v/>
      </c>
      <c r="AE4" s="14">
        <f>X4&amp;" ("&amp;Y4&amp;" min walk) · "&amp;IF(ISNUMBER(AB4),TEXT(AB4,"ddd d mmm, hh:mm"),"slot to confirm with venue")&amp;" · "&amp;AC4&amp;" · "&amp;IF(AD4&lt;&gt;"","£"&amp;TEXT(AD4,"0.00")&amp;" pp","price TBC")</f>
        <v/>
      </c>
      <c r="AF4" s="14">
        <f>"After-work football for "&amp;F4&amp;" · "&amp;X4&amp;", "&amp;Y4&amp;" min from your office"</f>
        <v/>
      </c>
      <c r="AG4" s="14">
        <f>"Hi"&amp;IF(O4&lt;&gt;""," "&amp;O4,"")&amp;","&amp;CHAR(10)&amp;CHAR(10)&amp;"I'm "&amp;IF(AL4&lt;&gt;"",AL4,IF(Offer!$C$5&lt;&gt;"",Offer!$C$5,"[NAME]"))&amp;" from FC Urban. We organise after-work football for teams in the City and Canary Wharf."&amp;CHAR(10)&amp;CHAR(10)&amp;"We have a "&amp;AC4&amp;" pitch at "&amp;X4&amp;", "&amp;IF(OR(Y4=8,Y4=11,Y4=18),"an ","a ")&amp;Y4&amp;"-minute walk from your "&amp;M4&amp;" office, "&amp;IF(ISNUMBER(AB4),"on "&amp;TEXT(AB4,"dddd d mmmm")&amp;" at "&amp;TEXT(AB4,"hh:mm"),"on a weekday evening that suits your team")&amp;". It's "&amp;IF(AD4&lt;&gt;"","£"&amp;IF(AD4=INT(AD4),TEXT(AD4,"0"),TEXT(AD4,"0.00")),"[PRICE PER PLAYER]")&amp;" a player and we handle the pitch booking, sign-ups and payments, so all it takes is one person sharing a link with the team."&amp;CHAR(10)&amp;CHAR(10)&amp;"It works well as a team social or "&amp;IF(ISNUMBER(SEARCH(LEFT(F4,1),"AEIOU")),"an ","a ")&amp;F4&amp;"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LINK]")&amp;CHAR(10)&amp;CHAR(10)&amp;"Best,"&amp;CHAR(10)&amp;IF(AL4&lt;&gt;"",AL4,IF(Offer!$C$5&lt;&gt;"",Offer!$C$5,"[NAME]"))&amp;CHAR(10)&amp;"FC Urban"</f>
        <v/>
      </c>
      <c r="AH4" s="14">
        <f>IF(LEN("Hi"&amp;IF(O4&lt;&gt;""," "&amp;O4,"")&amp;","&amp;" FC Urban runs after-work football for "&amp;IF(D4="Canary Wharf","Canary Wharf","City")&amp;" teams. We have a "&amp;AC4&amp;" pitch at "&amp;X4&amp;", "&amp;Y4&amp;" min from your office, "&amp;IF(ISNUMBER(AB4),TEXT(AB4,"ddd d mmm")&amp;", "&amp;TEXT(AB4,"hh:mm"),"weekday evenings")&amp;", "&amp;IF(AD4&lt;&gt;"","£"&amp;IF(AD4=INT(AD4),TEXT(AD4,"0"),TEXT(AD4,"0.00")),"[PRICE PER PLAYER]")&amp;" a player. We handle booking, sign-ups and payments. Fancy "&amp;IF(ISNUMBER(SEARCH(LEFT(F4,1),"AEIOU")),"an ","a ")&amp;F4&amp;" team game? "&amp;IF(AL4&lt;&gt;"",AL4,IF(Offer!$C$5&lt;&gt;"",Offer!$C$5,"[NAME]")))&lt;=300,"Hi"&amp;IF(O4&lt;&gt;""," "&amp;O4,"")&amp;","&amp;" FC Urban runs after-work football for "&amp;IF(D4="Canary Wharf","Canary Wharf","City")&amp;" teams. We have a "&amp;AC4&amp;" pitch at "&amp;X4&amp;", "&amp;Y4&amp;" min from your office, "&amp;IF(ISNUMBER(AB4),TEXT(AB4,"ddd d mmm")&amp;", "&amp;TEXT(AB4,"hh:mm"),"weekday evenings")&amp;", "&amp;IF(AD4&lt;&gt;"","£"&amp;IF(AD4=INT(AD4),TEXT(AD4,"0"),TEXT(AD4,"0.00")),"[PRICE PER PLAYER]")&amp;" a player. We handle booking, sign-ups and payments. Fancy "&amp;IF(ISNUMBER(SEARCH(LEFT(F4,1),"AEIOU")),"an ","a ")&amp;F4&amp;" team game? "&amp;IF(AL4&lt;&gt;"",AL4,IF(Offer!$C$5&lt;&gt;"",Offer!$C$5,"[NAME]")),LEFT("Hi"&amp;IF(O4&lt;&gt;""," "&amp;O4,"")&amp;","&amp;" FC Urban runs after-work football for "&amp;IF(D4="Canary Wharf","Canary Wharf","City")&amp;" teams: "&amp;AC4&amp;" at "&amp;X4&amp;", "&amp;Y4&amp;" min from your office, "&amp;IF(ISNUMBER(AB4),TEXT(AB4,"ddd d mmm")&amp;", "&amp;TEXT(AB4,"hh:mm"),"weekday evenings")&amp;", "&amp;IF(AD4&lt;&gt;"","£"&amp;IF(AD4=INT(AD4),TEXT(AD4,"0"),TEXT(AD4,"0.00")),"[PRICE PER PLAYER]")&amp;" pp. We handle booking and payments. Up for a team game? "&amp;IF(AL4&lt;&gt;"",AL4,IF(Offer!$C$5&lt;&gt;"",Offer!$C$5,"[NAME]")),300))</f>
        <v/>
      </c>
      <c r="AI4" s="14">
        <f>LEN(AH4)</f>
        <v/>
      </c>
      <c r="AJ4" s="14">
        <f>"Thanks for connecting"&amp;IF(O4&lt;&gt;"",", "&amp;O4,"")&amp;". "&amp;IF(ISNUMBER(AB4),"The "&amp;AC4&amp;" slot at "&amp;X4&amp;" is "&amp;IF(ISNUMBER(AB4),TEXT(AB4,"ddd d mmm")&amp;", "&amp;TEXT(AB4,"hh:mm"),"weekday evenings"),"We can book "&amp;AC4&amp;" at "&amp;X4&amp;" on a weekday evening that suits you")&amp;" and it's "&amp;IF(AD4&lt;&gt;"","£"&amp;IF(AD4=INT(AD4),TEXT(AD4,"0"),TEXT(AD4,"0.00")),"[PRICE PER PLAYER]")&amp;" a player, all booked and paid through one link. If football isn't your thing, who at "&amp;F4&amp;" would be the right person to organise a team game?"&amp;IF(Offer!$C$7&lt;&gt;""," Spots are held until "&amp;TEXT(Offer!$C$7,"dddd d mmmm")&amp;".","")&amp;" "&amp;IF(Offer!$C$6&lt;&gt;"",Offer!$C$6,"[JOINING LINK]")</f>
        <v/>
      </c>
      <c r="AK4" s="14">
        <f>IF(OR(ISNUMBER(SEARCH("[",AG4)),ISNUMBER(SEARCH("[",AJ4))),"Fill placeholders",IF(ISNUMBER(AB4),"Ready to send","Ready · no fixed slot"))</f>
        <v/>
      </c>
      <c r="AN4" s="17" t="n"/>
    </row>
    <row r="5">
      <c r="A5" s="11" t="n">
        <v>3</v>
      </c>
      <c r="B5" s="11" t="n">
        <v>1</v>
      </c>
      <c r="C5" s="11" t="inlineStr">
        <is>
          <t>Law firm</t>
        </is>
      </c>
      <c r="D5" s="11" t="inlineStr">
        <is>
          <t>City of London</t>
        </is>
      </c>
      <c r="E5" s="11" t="inlineStr">
        <is>
          <t>Herbert Smith Freehills Kramer Global LLP</t>
        </is>
      </c>
      <c r="F5" s="11" t="inlineStr">
        <is>
          <t>Herbert Smith Freehills Kramer</t>
        </is>
      </c>
      <c r="G5" s="11" t="inlineStr">
        <is>
          <t>OC375784</t>
        </is>
      </c>
      <c r="H5" s="12" t="inlineStr">
        <is>
          <t>Open</t>
        </is>
      </c>
      <c r="I5" s="12" t="inlineStr">
        <is>
          <t>Search</t>
        </is>
      </c>
      <c r="J5" s="11" t="inlineStr">
        <is>
          <t>Group</t>
        </is>
      </c>
      <c r="K5" s="13" t="n">
        <v>41066</v>
      </c>
      <c r="L5" s="11" t="inlineStr">
        <is>
          <t>Exchange House, Primrose Street, London</t>
        </is>
      </c>
      <c r="M5" s="11" t="inlineStr">
        <is>
          <t>EC2A 2EG</t>
        </is>
      </c>
      <c r="N5" s="11" t="inlineStr">
        <is>
          <t>No</t>
        </is>
      </c>
      <c r="U5" s="11" t="inlineStr">
        <is>
          <t>Shoreditch Powerleague</t>
        </is>
      </c>
      <c r="V5" s="11" t="n">
        <v>8</v>
      </c>
      <c r="W5" s="11" t="inlineStr">
        <is>
          <t>Liverpool St - Attlee Centre (9.8)</t>
        </is>
      </c>
      <c r="X5" s="11" t="inlineStr">
        <is>
          <t>Shoreditch Powerleague</t>
        </is>
      </c>
      <c r="Y5" s="11" t="n">
        <v>8</v>
      </c>
      <c r="Z5" s="14">
        <f>IFERROR(INDEX(Venues!$E$2:$E$15,MATCH(X5,Venues!$A$2:$A$15,0)),"Not checked")</f>
        <v/>
      </c>
      <c r="AA5" s="14">
        <f>IFERROR(INDEX(Venues!$F$2:$F$15,MATCH(X5,Venues!$A$2:$A$15,0)),0)</f>
        <v/>
      </c>
      <c r="AB5" s="15">
        <f>IFERROR(INDEX(Venues!$M$2:$M$15,MATCH(X5,Venues!$A$2:$A$15,0)),"")</f>
        <v/>
      </c>
      <c r="AC5" s="14">
        <f>IFERROR(INDEX(Venues!$N$2:$N$15,MATCH(X5,Venues!$A$2:$A$15,0)),"5-a-side")</f>
        <v/>
      </c>
      <c r="AD5" s="16">
        <f>IF(Offer!$C$4="","",Offer!$C$4)</f>
        <v/>
      </c>
      <c r="AE5" s="14">
        <f>X5&amp;" ("&amp;Y5&amp;" min walk) · "&amp;IF(ISNUMBER(AB5),TEXT(AB5,"ddd d mmm, hh:mm"),"slot to confirm with venue")&amp;" · "&amp;AC5&amp;" · "&amp;IF(AD5&lt;&gt;"","£"&amp;TEXT(AD5,"0.00")&amp;" pp","price TBC")</f>
        <v/>
      </c>
      <c r="AF5" s="14">
        <f>"After-work football for "&amp;F5&amp;" · "&amp;X5&amp;", "&amp;Y5&amp;" min from your office"</f>
        <v/>
      </c>
      <c r="AG5" s="14">
        <f>"Hi"&amp;IF(O5&lt;&gt;""," "&amp;O5,"")&amp;","&amp;CHAR(10)&amp;CHAR(10)&amp;"I'm "&amp;IF(AL5&lt;&gt;"",AL5,IF(Offer!$C$5&lt;&gt;"",Offer!$C$5,"[NAME]"))&amp;" from FC Urban. We organise after-work football for teams in the City and Canary Wharf."&amp;CHAR(10)&amp;CHAR(10)&amp;"We have a "&amp;AC5&amp;" pitch at "&amp;X5&amp;", "&amp;IF(OR(Y5=8,Y5=11,Y5=18),"an ","a ")&amp;Y5&amp;"-minute walk from your "&amp;M5&amp;" office, "&amp;IF(ISNUMBER(AB5),"on "&amp;TEXT(AB5,"dddd d mmmm")&amp;" at "&amp;TEXT(AB5,"hh:mm"),"on a weekday evening that suits your team")&amp;". It's "&amp;IF(AD5&lt;&gt;"","£"&amp;IF(AD5=INT(AD5),TEXT(AD5,"0"),TEXT(AD5,"0.00")),"[PRICE PER PLAYER]")&amp;" a player and we handle the pitch booking, sign-ups and payments, so all it takes is one person sharing a link with the team."&amp;CHAR(10)&amp;CHAR(10)&amp;"It works well as a team social or "&amp;IF(ISNUMBER(SEARCH(LEFT(F5,1),"AEIOU")),"an ","a ")&amp;F5&amp;"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LINK]")&amp;CHAR(10)&amp;CHAR(10)&amp;"Best,"&amp;CHAR(10)&amp;IF(AL5&lt;&gt;"",AL5,IF(Offer!$C$5&lt;&gt;"",Offer!$C$5,"[NAME]"))&amp;CHAR(10)&amp;"FC Urban"</f>
        <v/>
      </c>
      <c r="AH5" s="14">
        <f>IF(LEN("Hi"&amp;IF(O5&lt;&gt;""," "&amp;O5,"")&amp;","&amp;" FC Urban runs after-work football for "&amp;IF(D5="Canary Wharf","Canary Wharf","City")&amp;" teams. We have a "&amp;AC5&amp;" pitch at "&amp;X5&amp;", "&amp;Y5&amp;" min from your office, "&amp;IF(ISNUMBER(AB5),TEXT(AB5,"ddd d mmm")&amp;", "&amp;TEXT(AB5,"hh:mm"),"weekday evenings")&amp;", "&amp;IF(AD5&lt;&gt;"","£"&amp;IF(AD5=INT(AD5),TEXT(AD5,"0"),TEXT(AD5,"0.00")),"[PRICE PER PLAYER]")&amp;" a player. We handle booking, sign-ups and payments. Fancy "&amp;IF(ISNUMBER(SEARCH(LEFT(F5,1),"AEIOU")),"an ","a ")&amp;F5&amp;" team game? "&amp;IF(AL5&lt;&gt;"",AL5,IF(Offer!$C$5&lt;&gt;"",Offer!$C$5,"[NAME]")))&lt;=300,"Hi"&amp;IF(O5&lt;&gt;""," "&amp;O5,"")&amp;","&amp;" FC Urban runs after-work football for "&amp;IF(D5="Canary Wharf","Canary Wharf","City")&amp;" teams. We have a "&amp;AC5&amp;" pitch at "&amp;X5&amp;", "&amp;Y5&amp;" min from your office, "&amp;IF(ISNUMBER(AB5),TEXT(AB5,"ddd d mmm")&amp;", "&amp;TEXT(AB5,"hh:mm"),"weekday evenings")&amp;", "&amp;IF(AD5&lt;&gt;"","£"&amp;IF(AD5=INT(AD5),TEXT(AD5,"0"),TEXT(AD5,"0.00")),"[PRICE PER PLAYER]")&amp;" a player. We handle booking, sign-ups and payments. Fancy "&amp;IF(ISNUMBER(SEARCH(LEFT(F5,1),"AEIOU")),"an ","a ")&amp;F5&amp;" team game? "&amp;IF(AL5&lt;&gt;"",AL5,IF(Offer!$C$5&lt;&gt;"",Offer!$C$5,"[NAME]")),LEFT("Hi"&amp;IF(O5&lt;&gt;""," "&amp;O5,"")&amp;","&amp;" FC Urban runs after-work football for "&amp;IF(D5="Canary Wharf","Canary Wharf","City")&amp;" teams: "&amp;AC5&amp;" at "&amp;X5&amp;", "&amp;Y5&amp;" min from your office, "&amp;IF(ISNUMBER(AB5),TEXT(AB5,"ddd d mmm")&amp;", "&amp;TEXT(AB5,"hh:mm"),"weekday evenings")&amp;", "&amp;IF(AD5&lt;&gt;"","£"&amp;IF(AD5=INT(AD5),TEXT(AD5,"0"),TEXT(AD5,"0.00")),"[PRICE PER PLAYER]")&amp;" pp. We handle booking and payments. Up for a team game? "&amp;IF(AL5&lt;&gt;"",AL5,IF(Offer!$C$5&lt;&gt;"",Offer!$C$5,"[NAME]")),300))</f>
        <v/>
      </c>
      <c r="AI5" s="14">
        <f>LEN(AH5)</f>
        <v/>
      </c>
      <c r="AJ5" s="14">
        <f>"Thanks for connecting"&amp;IF(O5&lt;&gt;"",", "&amp;O5,"")&amp;". "&amp;IF(ISNUMBER(AB5),"The "&amp;AC5&amp;" slot at "&amp;X5&amp;" is "&amp;IF(ISNUMBER(AB5),TEXT(AB5,"ddd d mmm")&amp;", "&amp;TEXT(AB5,"hh:mm"),"weekday evenings"),"We can book "&amp;AC5&amp;" at "&amp;X5&amp;" on a weekday evening that suits you")&amp;" and it's "&amp;IF(AD5&lt;&gt;"","£"&amp;IF(AD5=INT(AD5),TEXT(AD5,"0"),TEXT(AD5,"0.00")),"[PRICE PER PLAYER]")&amp;" a player, all booked and paid through one link. If football isn't your thing, who at "&amp;F5&amp;" would be the right person to organise a team game?"&amp;IF(Offer!$C$7&lt;&gt;""," Spots are held until "&amp;TEXT(Offer!$C$7,"dddd d mmmm")&amp;".","")&amp;" "&amp;IF(Offer!$C$6&lt;&gt;"",Offer!$C$6,"[JOINING LINK]")</f>
        <v/>
      </c>
      <c r="AK5" s="14">
        <f>IF(OR(ISNUMBER(SEARCH("[",AG5)),ISNUMBER(SEARCH("[",AJ5))),"Fill placeholders",IF(ISNUMBER(AB5),"Ready to send","Ready · no fixed slot"))</f>
        <v/>
      </c>
      <c r="AN5" s="17" t="n"/>
    </row>
    <row r="6">
      <c r="A6" s="11" t="n">
        <v>4</v>
      </c>
      <c r="B6" s="11" t="n">
        <v>1</v>
      </c>
      <c r="C6" s="11" t="inlineStr">
        <is>
          <t>Law firm</t>
        </is>
      </c>
      <c r="D6" s="11" t="inlineStr">
        <is>
          <t>City of London</t>
        </is>
      </c>
      <c r="E6" s="11" t="inlineStr">
        <is>
          <t>Ashurst Perkins Coie UK LLP</t>
        </is>
      </c>
      <c r="F6" s="11" t="inlineStr">
        <is>
          <t>Ashurst Perkins Coie</t>
        </is>
      </c>
      <c r="G6" s="11" t="inlineStr">
        <is>
          <t>OC330252</t>
        </is>
      </c>
      <c r="H6" s="12" t="inlineStr">
        <is>
          <t>Open</t>
        </is>
      </c>
      <c r="I6" s="12" t="inlineStr">
        <is>
          <t>Search</t>
        </is>
      </c>
      <c r="J6" s="11" t="inlineStr">
        <is>
          <t>Group</t>
        </is>
      </c>
      <c r="K6" s="13" t="n">
        <v>39294</v>
      </c>
      <c r="L6" s="11" t="inlineStr">
        <is>
          <t>1 Duval Square, London Fruit And Wool Exchange, London</t>
        </is>
      </c>
      <c r="M6" s="11" t="inlineStr">
        <is>
          <t>E1 6PW</t>
        </is>
      </c>
      <c r="N6" s="11" t="inlineStr">
        <is>
          <t>No</t>
        </is>
      </c>
      <c r="U6" s="11" t="inlineStr">
        <is>
          <t>Liverpool St - Attlee Centre</t>
        </is>
      </c>
      <c r="V6" s="11" t="n">
        <v>3</v>
      </c>
      <c r="W6" s="11" t="inlineStr">
        <is>
          <t>Shoreditch Powerleague (8.1); Whitechapel (18.6)</t>
        </is>
      </c>
      <c r="X6" s="11" t="inlineStr">
        <is>
          <t>Shoreditch Powerleague</t>
        </is>
      </c>
      <c r="Y6" s="11" t="n">
        <v>8</v>
      </c>
      <c r="Z6" s="14">
        <f>IFERROR(INDEX(Venues!$E$2:$E$15,MATCH(X6,Venues!$A$2:$A$15,0)),"Not checked")</f>
        <v/>
      </c>
      <c r="AA6" s="14">
        <f>IFERROR(INDEX(Venues!$F$2:$F$15,MATCH(X6,Venues!$A$2:$A$15,0)),0)</f>
        <v/>
      </c>
      <c r="AB6" s="15">
        <f>IFERROR(INDEX(Venues!$M$2:$M$15,MATCH(X6,Venues!$A$2:$A$15,0)),"")</f>
        <v/>
      </c>
      <c r="AC6" s="14">
        <f>IFERROR(INDEX(Venues!$N$2:$N$15,MATCH(X6,Venues!$A$2:$A$15,0)),"5-a-side")</f>
        <v/>
      </c>
      <c r="AD6" s="16">
        <f>IF(Offer!$C$4="","",Offer!$C$4)</f>
        <v/>
      </c>
      <c r="AE6" s="14">
        <f>X6&amp;" ("&amp;Y6&amp;" min walk) · "&amp;IF(ISNUMBER(AB6),TEXT(AB6,"ddd d mmm, hh:mm"),"slot to confirm with venue")&amp;" · "&amp;AC6&amp;" · "&amp;IF(AD6&lt;&gt;"","£"&amp;TEXT(AD6,"0.00")&amp;" pp","price TBC")</f>
        <v/>
      </c>
      <c r="AF6" s="14">
        <f>"After-work football for "&amp;F6&amp;" · "&amp;X6&amp;", "&amp;Y6&amp;" min from your office"</f>
        <v/>
      </c>
      <c r="AG6" s="14">
        <f>"Hi"&amp;IF(O6&lt;&gt;""," "&amp;O6,"")&amp;","&amp;CHAR(10)&amp;CHAR(10)&amp;"I'm "&amp;IF(AL6&lt;&gt;"",AL6,IF(Offer!$C$5&lt;&gt;"",Offer!$C$5,"[NAME]"))&amp;" from FC Urban. We organise after-work football for teams in the City and Canary Wharf."&amp;CHAR(10)&amp;CHAR(10)&amp;"We have a "&amp;AC6&amp;" pitch at "&amp;X6&amp;", "&amp;IF(OR(Y6=8,Y6=11,Y6=18),"an ","a ")&amp;Y6&amp;"-minute walk from your "&amp;M6&amp;" office, "&amp;IF(ISNUMBER(AB6),"on "&amp;TEXT(AB6,"dddd d mmmm")&amp;" at "&amp;TEXT(AB6,"hh:mm"),"on a weekday evening that suits your team")&amp;". It's "&amp;IF(AD6&lt;&gt;"","£"&amp;IF(AD6=INT(AD6),TEXT(AD6,"0"),TEXT(AD6,"0.00")),"[PRICE PER PLAYER]")&amp;" a player and we handle the pitch booking, sign-ups and payments, so all it takes is one person sharing a link with the team."&amp;CHAR(10)&amp;CHAR(10)&amp;"It works well as a team social or "&amp;IF(ISNUMBER(SEARCH(LEFT(F6,1),"AEIOU")),"an ","a ")&amp;F6&amp;"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LINK]")&amp;CHAR(10)&amp;CHAR(10)&amp;"Best,"&amp;CHAR(10)&amp;IF(AL6&lt;&gt;"",AL6,IF(Offer!$C$5&lt;&gt;"",Offer!$C$5,"[NAME]"))&amp;CHAR(10)&amp;"FC Urban"</f>
        <v/>
      </c>
      <c r="AH6" s="14">
        <f>IF(LEN("Hi"&amp;IF(O6&lt;&gt;""," "&amp;O6,"")&amp;","&amp;" FC Urban runs after-work football for "&amp;IF(D6="Canary Wharf","Canary Wharf","City")&amp;" teams. We have a "&amp;AC6&amp;" pitch at "&amp;X6&amp;", "&amp;Y6&amp;" min from your office, "&amp;IF(ISNUMBER(AB6),TEXT(AB6,"ddd d mmm")&amp;", "&amp;TEXT(AB6,"hh:mm"),"weekday evenings")&amp;", "&amp;IF(AD6&lt;&gt;"","£"&amp;IF(AD6=INT(AD6),TEXT(AD6,"0"),TEXT(AD6,"0.00")),"[PRICE PER PLAYER]")&amp;" a player. We handle booking, sign-ups and payments. Fancy "&amp;IF(ISNUMBER(SEARCH(LEFT(F6,1),"AEIOU")),"an ","a ")&amp;F6&amp;" team game? "&amp;IF(AL6&lt;&gt;"",AL6,IF(Offer!$C$5&lt;&gt;"",Offer!$C$5,"[NAME]")))&lt;=300,"Hi"&amp;IF(O6&lt;&gt;""," "&amp;O6,"")&amp;","&amp;" FC Urban runs after-work football for "&amp;IF(D6="Canary Wharf","Canary Wharf","City")&amp;" teams. We have a "&amp;AC6&amp;" pitch at "&amp;X6&amp;", "&amp;Y6&amp;" min from your office, "&amp;IF(ISNUMBER(AB6),TEXT(AB6,"ddd d mmm")&amp;", "&amp;TEXT(AB6,"hh:mm"),"weekday evenings")&amp;", "&amp;IF(AD6&lt;&gt;"","£"&amp;IF(AD6=INT(AD6),TEXT(AD6,"0"),TEXT(AD6,"0.00")),"[PRICE PER PLAYER]")&amp;" a player. We handle booking, sign-ups and payments. Fancy "&amp;IF(ISNUMBER(SEARCH(LEFT(F6,1),"AEIOU")),"an ","a ")&amp;F6&amp;" team game? "&amp;IF(AL6&lt;&gt;"",AL6,IF(Offer!$C$5&lt;&gt;"",Offer!$C$5,"[NAME]")),LEFT("Hi"&amp;IF(O6&lt;&gt;""," "&amp;O6,"")&amp;","&amp;" FC Urban runs after-work football for "&amp;IF(D6="Canary Wharf","Canary Wharf","City")&amp;" teams: "&amp;AC6&amp;" at "&amp;X6&amp;", "&amp;Y6&amp;" min from your office, "&amp;IF(ISNUMBER(AB6),TEXT(AB6,"ddd d mmm")&amp;", "&amp;TEXT(AB6,"hh:mm"),"weekday evenings")&amp;", "&amp;IF(AD6&lt;&gt;"","£"&amp;IF(AD6=INT(AD6),TEXT(AD6,"0"),TEXT(AD6,"0.00")),"[PRICE PER PLAYER]")&amp;" pp. We handle booking and payments. Up for a team game? "&amp;IF(AL6&lt;&gt;"",AL6,IF(Offer!$C$5&lt;&gt;"",Offer!$C$5,"[NAME]")),300))</f>
        <v/>
      </c>
      <c r="AI6" s="14">
        <f>LEN(AH6)</f>
        <v/>
      </c>
      <c r="AJ6" s="14">
        <f>"Thanks for connecting"&amp;IF(O6&lt;&gt;"",", "&amp;O6,"")&amp;". "&amp;IF(ISNUMBER(AB6),"The "&amp;AC6&amp;" slot at "&amp;X6&amp;" is "&amp;IF(ISNUMBER(AB6),TEXT(AB6,"ddd d mmm")&amp;", "&amp;TEXT(AB6,"hh:mm"),"weekday evenings"),"We can book "&amp;AC6&amp;" at "&amp;X6&amp;" on a weekday evening that suits you")&amp;" and it's "&amp;IF(AD6&lt;&gt;"","£"&amp;IF(AD6=INT(AD6),TEXT(AD6,"0"),TEXT(AD6,"0.00")),"[PRICE PER PLAYER]")&amp;" a player, all booked and paid through one link. If football isn't your thing, who at "&amp;F6&amp;" would be the right person to organise a team game?"&amp;IF(Offer!$C$7&lt;&gt;""," Spots are held until "&amp;TEXT(Offer!$C$7,"dddd d mmmm")&amp;".","")&amp;" "&amp;IF(Offer!$C$6&lt;&gt;"",Offer!$C$6,"[JOINING LINK]")</f>
        <v/>
      </c>
      <c r="AK6" s="14">
        <f>IF(OR(ISNUMBER(SEARCH("[",AG6)),ISNUMBER(SEARCH("[",AJ6))),"Fill placeholders",IF(ISNUMBER(AB6),"Ready to send","Ready · no fixed slot"))</f>
        <v/>
      </c>
      <c r="AN6" s="17" t="n"/>
    </row>
    <row r="7">
      <c r="A7" s="11" t="n">
        <v>5</v>
      </c>
      <c r="B7" s="11" t="n">
        <v>1</v>
      </c>
      <c r="C7" s="11" t="inlineStr">
        <is>
          <t>Law firm</t>
        </is>
      </c>
      <c r="D7" s="11" t="inlineStr">
        <is>
          <t>City of London</t>
        </is>
      </c>
      <c r="E7" s="11" t="inlineStr">
        <is>
          <t>Norton Rose Fulbright LLP</t>
        </is>
      </c>
      <c r="F7" s="11" t="inlineStr">
        <is>
          <t>Norton Rose Fulbright</t>
        </is>
      </c>
      <c r="G7" s="11" t="inlineStr">
        <is>
          <t>OC328697</t>
        </is>
      </c>
      <c r="H7" s="12" t="inlineStr">
        <is>
          <t>Open</t>
        </is>
      </c>
      <c r="I7" s="12" t="inlineStr">
        <is>
          <t>Search</t>
        </is>
      </c>
      <c r="J7" s="11" t="inlineStr">
        <is>
          <t>Group</t>
        </is>
      </c>
      <c r="K7" s="13" t="n">
        <v>39232</v>
      </c>
      <c r="L7" s="11" t="inlineStr">
        <is>
          <t>3 More London Riverside, London</t>
        </is>
      </c>
      <c r="M7" s="11" t="inlineStr">
        <is>
          <t>SE1 2AQ</t>
        </is>
      </c>
      <c r="N7" s="11" t="inlineStr">
        <is>
          <t>No</t>
        </is>
      </c>
      <c r="U7" s="11" t="inlineStr">
        <is>
          <t>Bermondsey Riverside</t>
        </is>
      </c>
      <c r="V7" s="11" t="n">
        <v>15</v>
      </c>
      <c r="W7" s="11" t="n"/>
      <c r="X7" s="11" t="inlineStr">
        <is>
          <t>Bermondsey Riverside</t>
        </is>
      </c>
      <c r="Y7" s="11" t="n">
        <v>15</v>
      </c>
      <c r="Z7" s="14">
        <f>IFERROR(INDEX(Venues!$E$2:$E$15,MATCH(X7,Venues!$A$2:$A$15,0)),"Not checked")</f>
        <v/>
      </c>
      <c r="AA7" s="14">
        <f>IFERROR(INDEX(Venues!$F$2:$F$15,MATCH(X7,Venues!$A$2:$A$15,0)),0)</f>
        <v/>
      </c>
      <c r="AB7" s="15">
        <f>IFERROR(INDEX(Venues!$M$2:$M$15,MATCH(X7,Venues!$A$2:$A$15,0)),"")</f>
        <v/>
      </c>
      <c r="AC7" s="14">
        <f>IFERROR(INDEX(Venues!$N$2:$N$15,MATCH(X7,Venues!$A$2:$A$15,0)),"5-a-side")</f>
        <v/>
      </c>
      <c r="AD7" s="16">
        <f>IF(Offer!$C$4="","",Offer!$C$4)</f>
        <v/>
      </c>
      <c r="AE7" s="14">
        <f>X7&amp;" ("&amp;Y7&amp;" min walk) · "&amp;IF(ISNUMBER(AB7),TEXT(AB7,"ddd d mmm, hh:mm"),"slot to confirm with venue")&amp;" · "&amp;AC7&amp;" · "&amp;IF(AD7&lt;&gt;"","£"&amp;TEXT(AD7,"0.00")&amp;" pp","price TBC")</f>
        <v/>
      </c>
      <c r="AF7" s="14">
        <f>"After-work football for "&amp;F7&amp;" · "&amp;X7&amp;", "&amp;Y7&amp;" min from your office"</f>
        <v/>
      </c>
      <c r="AG7" s="14">
        <f>"Hi"&amp;IF(O7&lt;&gt;""," "&amp;O7,"")&amp;","&amp;CHAR(10)&amp;CHAR(10)&amp;"I'm "&amp;IF(AL7&lt;&gt;"",AL7,IF(Offer!$C$5&lt;&gt;"",Offer!$C$5,"[NAME]"))&amp;" from FC Urban. We organise after-work football for teams in the City and Canary Wharf."&amp;CHAR(10)&amp;CHAR(10)&amp;"We have a "&amp;AC7&amp;" pitch at "&amp;X7&amp;", "&amp;IF(OR(Y7=8,Y7=11,Y7=18),"an ","a ")&amp;Y7&amp;"-minute walk from your "&amp;M7&amp;" office, "&amp;IF(ISNUMBER(AB7),"on "&amp;TEXT(AB7,"dddd d mmmm")&amp;" at "&amp;TEXT(AB7,"hh:mm"),"on a weekday evening that suits your team")&amp;". It's "&amp;IF(AD7&lt;&gt;"","£"&amp;IF(AD7=INT(AD7),TEXT(AD7,"0"),TEXT(AD7,"0.00")),"[PRICE PER PLAYER]")&amp;" a player and we handle the pitch booking, sign-ups and payments, so all it takes is one person sharing a link with the team."&amp;CHAR(10)&amp;CHAR(10)&amp;"It works well as a team social or "&amp;IF(ISNUMBER(SEARCH(LEFT(F7,1),"AEIOU")),"an ","a ")&amp;F7&amp;"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LINK]")&amp;CHAR(10)&amp;CHAR(10)&amp;"Best,"&amp;CHAR(10)&amp;IF(AL7&lt;&gt;"",AL7,IF(Offer!$C$5&lt;&gt;"",Offer!$C$5,"[NAME]"))&amp;CHAR(10)&amp;"FC Urban"</f>
        <v/>
      </c>
      <c r="AH7" s="14">
        <f>IF(LEN("Hi"&amp;IF(O7&lt;&gt;""," "&amp;O7,"")&amp;","&amp;" FC Urban runs after-work football for "&amp;IF(D7="Canary Wharf","Canary Wharf","City")&amp;" teams. We have a "&amp;AC7&amp;" pitch at "&amp;X7&amp;", "&amp;Y7&amp;" min from your office, "&amp;IF(ISNUMBER(AB7),TEXT(AB7,"ddd d mmm")&amp;", "&amp;TEXT(AB7,"hh:mm"),"weekday evenings")&amp;", "&amp;IF(AD7&lt;&gt;"","£"&amp;IF(AD7=INT(AD7),TEXT(AD7,"0"),TEXT(AD7,"0.00")),"[PRICE PER PLAYER]")&amp;" a player. We handle booking, sign-ups and payments. Fancy "&amp;IF(ISNUMBER(SEARCH(LEFT(F7,1),"AEIOU")),"an ","a ")&amp;F7&amp;" team game? "&amp;IF(AL7&lt;&gt;"",AL7,IF(Offer!$C$5&lt;&gt;"",Offer!$C$5,"[NAME]")))&lt;=300,"Hi"&amp;IF(O7&lt;&gt;""," "&amp;O7,"")&amp;","&amp;" FC Urban runs after-work football for "&amp;IF(D7="Canary Wharf","Canary Wharf","City")&amp;" teams. We have a "&amp;AC7&amp;" pitch at "&amp;X7&amp;", "&amp;Y7&amp;" min from your office, "&amp;IF(ISNUMBER(AB7),TEXT(AB7,"ddd d mmm")&amp;", "&amp;TEXT(AB7,"hh:mm"),"weekday evenings")&amp;", "&amp;IF(AD7&lt;&gt;"","£"&amp;IF(AD7=INT(AD7),TEXT(AD7,"0"),TEXT(AD7,"0.00")),"[PRICE PER PLAYER]")&amp;" a player. We handle booking, sign-ups and payments. Fancy "&amp;IF(ISNUMBER(SEARCH(LEFT(F7,1),"AEIOU")),"an ","a ")&amp;F7&amp;" team game? "&amp;IF(AL7&lt;&gt;"",AL7,IF(Offer!$C$5&lt;&gt;"",Offer!$C$5,"[NAME]")),LEFT("Hi"&amp;IF(O7&lt;&gt;""," "&amp;O7,"")&amp;","&amp;" FC Urban runs after-work football for "&amp;IF(D7="Canary Wharf","Canary Wharf","City")&amp;" teams: "&amp;AC7&amp;" at "&amp;X7&amp;", "&amp;Y7&amp;" min from your office, "&amp;IF(ISNUMBER(AB7),TEXT(AB7,"ddd d mmm")&amp;", "&amp;TEXT(AB7,"hh:mm"),"weekday evenings")&amp;", "&amp;IF(AD7&lt;&gt;"","£"&amp;IF(AD7=INT(AD7),TEXT(AD7,"0"),TEXT(AD7,"0.00")),"[PRICE PER PLAYER]")&amp;" pp. We handle booking and payments. Up for a team game? "&amp;IF(AL7&lt;&gt;"",AL7,IF(Offer!$C$5&lt;&gt;"",Offer!$C$5,"[NAME]")),300))</f>
        <v/>
      </c>
      <c r="AI7" s="14">
        <f>LEN(AH7)</f>
        <v/>
      </c>
      <c r="AJ7" s="14">
        <f>"Thanks for connecting"&amp;IF(O7&lt;&gt;"",", "&amp;O7,"")&amp;". "&amp;IF(ISNUMBER(AB7),"The "&amp;AC7&amp;" slot at "&amp;X7&amp;" is "&amp;IF(ISNUMBER(AB7),TEXT(AB7,"ddd d mmm")&amp;", "&amp;TEXT(AB7,"hh:mm"),"weekday evenings"),"We can book "&amp;AC7&amp;" at "&amp;X7&amp;" on a weekday evening that suits you")&amp;" and it's "&amp;IF(AD7&lt;&gt;"","£"&amp;IF(AD7=INT(AD7),TEXT(AD7,"0"),TEXT(AD7,"0.00")),"[PRICE PER PLAYER]")&amp;" a player, all booked and paid through one link. If football isn't your thing, who at "&amp;F7&amp;" would be the right person to organise a team game?"&amp;IF(Offer!$C$7&lt;&gt;""," Spots are held until "&amp;TEXT(Offer!$C$7,"dddd d mmmm")&amp;".","")&amp;" "&amp;IF(Offer!$C$6&lt;&gt;"",Offer!$C$6,"[JOINING LINK]")</f>
        <v/>
      </c>
      <c r="AK7" s="14">
        <f>IF(OR(ISNUMBER(SEARCH("[",AG7)),ISNUMBER(SEARCH("[",AJ7))),"Fill placeholders",IF(ISNUMBER(AB7),"Ready to send","Ready · no fixed slot"))</f>
        <v/>
      </c>
      <c r="AN7" s="17" t="n"/>
    </row>
    <row r="8">
      <c r="A8" s="11" t="n">
        <v>6</v>
      </c>
      <c r="B8" s="11" t="n">
        <v>1</v>
      </c>
      <c r="C8" s="11" t="inlineStr">
        <is>
          <t>Law firm</t>
        </is>
      </c>
      <c r="D8" s="11" t="inlineStr">
        <is>
          <t>City of London</t>
        </is>
      </c>
      <c r="E8" s="11" t="inlineStr">
        <is>
          <t>Duncan Lewis Solicitors Ltd</t>
        </is>
      </c>
      <c r="F8" s="11" t="inlineStr">
        <is>
          <t>Duncan Lewis Solicitors</t>
        </is>
      </c>
      <c r="G8" s="11" t="inlineStr">
        <is>
          <t>03718422</t>
        </is>
      </c>
      <c r="H8" s="12" t="inlineStr">
        <is>
          <t>Open</t>
        </is>
      </c>
      <c r="I8" s="12" t="inlineStr">
        <is>
          <t>Search</t>
        </is>
      </c>
      <c r="J8" s="11" t="inlineStr">
        <is>
          <t>Group</t>
        </is>
      </c>
      <c r="K8" s="13" t="n">
        <v>36214</v>
      </c>
      <c r="L8" s="11" t="inlineStr">
        <is>
          <t>Sackville House 143-149, Fenchurch Street, London</t>
        </is>
      </c>
      <c r="M8" s="11" t="inlineStr">
        <is>
          <t>EC3M 6BL</t>
        </is>
      </c>
      <c r="N8" s="11" t="inlineStr">
        <is>
          <t>No</t>
        </is>
      </c>
      <c r="U8" s="11" t="inlineStr">
        <is>
          <t>Liverpool St - Attlee Centre</t>
        </is>
      </c>
      <c r="V8" s="11" t="n">
        <v>16</v>
      </c>
      <c r="W8" s="11" t="n"/>
      <c r="X8" s="11" t="inlineStr">
        <is>
          <t>Liverpool St - Attlee Centre</t>
        </is>
      </c>
      <c r="Y8" s="11" t="n">
        <v>16</v>
      </c>
      <c r="Z8" s="14">
        <f>IFERROR(INDEX(Venues!$E$2:$E$15,MATCH(X8,Venues!$A$2:$A$15,0)),"Not checked")</f>
        <v/>
      </c>
      <c r="AA8" s="14">
        <f>IFERROR(INDEX(Venues!$F$2:$F$15,MATCH(X8,Venues!$A$2:$A$15,0)),0)</f>
        <v/>
      </c>
      <c r="AB8" s="15">
        <f>IFERROR(INDEX(Venues!$M$2:$M$15,MATCH(X8,Venues!$A$2:$A$15,0)),"")</f>
        <v/>
      </c>
      <c r="AC8" s="14">
        <f>IFERROR(INDEX(Venues!$N$2:$N$15,MATCH(X8,Venues!$A$2:$A$15,0)),"5-a-side")</f>
        <v/>
      </c>
      <c r="AD8" s="16">
        <f>IF(Offer!$C$4="","",Offer!$C$4)</f>
        <v/>
      </c>
      <c r="AE8" s="14">
        <f>X8&amp;" ("&amp;Y8&amp;" min walk) · "&amp;IF(ISNUMBER(AB8),TEXT(AB8,"ddd d mmm, hh:mm"),"slot to confirm with venue")&amp;" · "&amp;AC8&amp;" · "&amp;IF(AD8&lt;&gt;"","£"&amp;TEXT(AD8,"0.00")&amp;" pp","price TBC")</f>
        <v/>
      </c>
      <c r="AF8" s="14">
        <f>"After-work football for "&amp;F8&amp;" · "&amp;X8&amp;", "&amp;Y8&amp;" min from your office"</f>
        <v/>
      </c>
      <c r="AG8" s="14">
        <f>"Hi"&amp;IF(O8&lt;&gt;""," "&amp;O8,"")&amp;","&amp;CHAR(10)&amp;CHAR(10)&amp;"I'm "&amp;IF(AL8&lt;&gt;"",AL8,IF(Offer!$C$5&lt;&gt;"",Offer!$C$5,"[NAME]"))&amp;" from FC Urban. We organise after-work football for teams in the City and Canary Wharf."&amp;CHAR(10)&amp;CHAR(10)&amp;"We have a "&amp;AC8&amp;" pitch at "&amp;X8&amp;", "&amp;IF(OR(Y8=8,Y8=11,Y8=18),"an ","a ")&amp;Y8&amp;"-minute walk from your "&amp;M8&amp;" office, "&amp;IF(ISNUMBER(AB8),"on "&amp;TEXT(AB8,"dddd d mmmm")&amp;" at "&amp;TEXT(AB8,"hh:mm"),"on a weekday evening that suits your team")&amp;". It's "&amp;IF(AD8&lt;&gt;"","£"&amp;IF(AD8=INT(AD8),TEXT(AD8,"0"),TEXT(AD8,"0.00")),"[PRICE PER PLAYER]")&amp;" a player and we handle the pitch booking, sign-ups and payments, so all it takes is one person sharing a link with the team."&amp;CHAR(10)&amp;CHAR(10)&amp;"It works well as a team social or "&amp;IF(ISNUMBER(SEARCH(LEFT(F8,1),"AEIOU")),"an ","a ")&amp;F8&amp;"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LINK]")&amp;CHAR(10)&amp;CHAR(10)&amp;"Best,"&amp;CHAR(10)&amp;IF(AL8&lt;&gt;"",AL8,IF(Offer!$C$5&lt;&gt;"",Offer!$C$5,"[NAME]"))&amp;CHAR(10)&amp;"FC Urban"</f>
        <v/>
      </c>
      <c r="AH8" s="14">
        <f>IF(LEN("Hi"&amp;IF(O8&lt;&gt;""," "&amp;O8,"")&amp;","&amp;" FC Urban runs after-work football for "&amp;IF(D8="Canary Wharf","Canary Wharf","City")&amp;" teams. We have a "&amp;AC8&amp;" pitch at "&amp;X8&amp;", "&amp;Y8&amp;" min from your office, "&amp;IF(ISNUMBER(AB8),TEXT(AB8,"ddd d mmm")&amp;", "&amp;TEXT(AB8,"hh:mm"),"weekday evenings")&amp;", "&amp;IF(AD8&lt;&gt;"","£"&amp;IF(AD8=INT(AD8),TEXT(AD8,"0"),TEXT(AD8,"0.00")),"[PRICE PER PLAYER]")&amp;" a player. We handle booking, sign-ups and payments. Fancy "&amp;IF(ISNUMBER(SEARCH(LEFT(F8,1),"AEIOU")),"an ","a ")&amp;F8&amp;" team game? "&amp;IF(AL8&lt;&gt;"",AL8,IF(Offer!$C$5&lt;&gt;"",Offer!$C$5,"[NAME]")))&lt;=300,"Hi"&amp;IF(O8&lt;&gt;""," "&amp;O8,"")&amp;","&amp;" FC Urban runs after-work football for "&amp;IF(D8="Canary Wharf","Canary Wharf","City")&amp;" teams. We have a "&amp;AC8&amp;" pitch at "&amp;X8&amp;", "&amp;Y8&amp;" min from your office, "&amp;IF(ISNUMBER(AB8),TEXT(AB8,"ddd d mmm")&amp;", "&amp;TEXT(AB8,"hh:mm"),"weekday evenings")&amp;", "&amp;IF(AD8&lt;&gt;"","£"&amp;IF(AD8=INT(AD8),TEXT(AD8,"0"),TEXT(AD8,"0.00")),"[PRICE PER PLAYER]")&amp;" a player. We handle booking, sign-ups and payments. Fancy "&amp;IF(ISNUMBER(SEARCH(LEFT(F8,1),"AEIOU")),"an ","a ")&amp;F8&amp;" team game? "&amp;IF(AL8&lt;&gt;"",AL8,IF(Offer!$C$5&lt;&gt;"",Offer!$C$5,"[NAME]")),LEFT("Hi"&amp;IF(O8&lt;&gt;""," "&amp;O8,"")&amp;","&amp;" FC Urban runs after-work football for "&amp;IF(D8="Canary Wharf","Canary Wharf","City")&amp;" teams: "&amp;AC8&amp;" at "&amp;X8&amp;", "&amp;Y8&amp;" min from your office, "&amp;IF(ISNUMBER(AB8),TEXT(AB8,"ddd d mmm")&amp;", "&amp;TEXT(AB8,"hh:mm"),"weekday evenings")&amp;", "&amp;IF(AD8&lt;&gt;"","£"&amp;IF(AD8=INT(AD8),TEXT(AD8,"0"),TEXT(AD8,"0.00")),"[PRICE PER PLAYER]")&amp;" pp. We handle booking and payments. Up for a team game? "&amp;IF(AL8&lt;&gt;"",AL8,IF(Offer!$C$5&lt;&gt;"",Offer!$C$5,"[NAME]")),300))</f>
        <v/>
      </c>
      <c r="AI8" s="14">
        <f>LEN(AH8)</f>
        <v/>
      </c>
      <c r="AJ8" s="14">
        <f>"Thanks for connecting"&amp;IF(O8&lt;&gt;"",", "&amp;O8,"")&amp;". "&amp;IF(ISNUMBER(AB8),"The "&amp;AC8&amp;" slot at "&amp;X8&amp;" is "&amp;IF(ISNUMBER(AB8),TEXT(AB8,"ddd d mmm")&amp;", "&amp;TEXT(AB8,"hh:mm"),"weekday evenings"),"We can book "&amp;AC8&amp;" at "&amp;X8&amp;" on a weekday evening that suits you")&amp;" and it's "&amp;IF(AD8&lt;&gt;"","£"&amp;IF(AD8=INT(AD8),TEXT(AD8,"0"),TEXT(AD8,"0.00")),"[PRICE PER PLAYER]")&amp;" a player, all booked and paid through one link. If football isn't your thing, who at "&amp;F8&amp;" would be the right person to organise a team game?"&amp;IF(Offer!$C$7&lt;&gt;""," Spots are held until "&amp;TEXT(Offer!$C$7,"dddd d mmmm")&amp;".","")&amp;" "&amp;IF(Offer!$C$6&lt;&gt;"",Offer!$C$6,"[JOINING LINK]")</f>
        <v/>
      </c>
      <c r="AK8" s="14">
        <f>IF(OR(ISNUMBER(SEARCH("[",AG8)),ISNUMBER(SEARCH("[",AJ8))),"Fill placeholders",IF(ISNUMBER(AB8),"Ready to send","Ready · no fixed slot"))</f>
        <v/>
      </c>
      <c r="AN8" s="17" t="n"/>
    </row>
    <row r="9">
      <c r="A9" s="11" t="n">
        <v>7</v>
      </c>
      <c r="B9" s="11" t="n">
        <v>1</v>
      </c>
      <c r="C9" s="11" t="inlineStr">
        <is>
          <t>Law firm</t>
        </is>
      </c>
      <c r="D9" s="11" t="inlineStr">
        <is>
          <t>City of London</t>
        </is>
      </c>
      <c r="E9" s="11" t="inlineStr">
        <is>
          <t>Linklaters LLP</t>
        </is>
      </c>
      <c r="F9" s="11" t="inlineStr">
        <is>
          <t>Linklaters</t>
        </is>
      </c>
      <c r="G9" s="11" t="inlineStr">
        <is>
          <t>OC326345</t>
        </is>
      </c>
      <c r="H9" s="12" t="inlineStr">
        <is>
          <t>Open</t>
        </is>
      </c>
      <c r="I9" s="12" t="inlineStr">
        <is>
          <t>Search</t>
        </is>
      </c>
      <c r="J9" s="11" t="inlineStr">
        <is>
          <t>Group</t>
        </is>
      </c>
      <c r="K9" s="13" t="n">
        <v>39140</v>
      </c>
      <c r="L9" s="11" t="inlineStr">
        <is>
          <t>20 Ropemaker Street, London</t>
        </is>
      </c>
      <c r="M9" s="11" t="inlineStr">
        <is>
          <t>EC2Y 9AR</t>
        </is>
      </c>
      <c r="N9" s="11" t="inlineStr">
        <is>
          <t>No</t>
        </is>
      </c>
      <c r="U9" s="11" t="inlineStr">
        <is>
          <t>Shoreditch Powerleague</t>
        </is>
      </c>
      <c r="V9" s="11" t="n">
        <v>16</v>
      </c>
      <c r="W9" s="11" t="inlineStr">
        <is>
          <t>Liverpool St - Attlee Centre (17.7)</t>
        </is>
      </c>
      <c r="X9" s="11" t="inlineStr">
        <is>
          <t>Shoreditch Powerleague</t>
        </is>
      </c>
      <c r="Y9" s="11" t="n">
        <v>16</v>
      </c>
      <c r="Z9" s="14">
        <f>IFERROR(INDEX(Venues!$E$2:$E$15,MATCH(X9,Venues!$A$2:$A$15,0)),"Not checked")</f>
        <v/>
      </c>
      <c r="AA9" s="14">
        <f>IFERROR(INDEX(Venues!$F$2:$F$15,MATCH(X9,Venues!$A$2:$A$15,0)),0)</f>
        <v/>
      </c>
      <c r="AB9" s="15">
        <f>IFERROR(INDEX(Venues!$M$2:$M$15,MATCH(X9,Venues!$A$2:$A$15,0)),"")</f>
        <v/>
      </c>
      <c r="AC9" s="14">
        <f>IFERROR(INDEX(Venues!$N$2:$N$15,MATCH(X9,Venues!$A$2:$A$15,0)),"5-a-side")</f>
        <v/>
      </c>
      <c r="AD9" s="16">
        <f>IF(Offer!$C$4="","",Offer!$C$4)</f>
        <v/>
      </c>
      <c r="AE9" s="14">
        <f>X9&amp;" ("&amp;Y9&amp;" min walk) · "&amp;IF(ISNUMBER(AB9),TEXT(AB9,"ddd d mmm, hh:mm"),"slot to confirm with venue")&amp;" · "&amp;AC9&amp;" · "&amp;IF(AD9&lt;&gt;"","£"&amp;TEXT(AD9,"0.00")&amp;" pp","price TBC")</f>
        <v/>
      </c>
      <c r="AF9" s="14">
        <f>"After-work football for "&amp;F9&amp;" · "&amp;X9&amp;", "&amp;Y9&amp;" min from your office"</f>
        <v/>
      </c>
      <c r="AG9" s="14">
        <f>"Hi"&amp;IF(O9&lt;&gt;""," "&amp;O9,"")&amp;","&amp;CHAR(10)&amp;CHAR(10)&amp;"I'm "&amp;IF(AL9&lt;&gt;"",AL9,IF(Offer!$C$5&lt;&gt;"",Offer!$C$5,"[NAME]"))&amp;" from FC Urban. We organise after-work football for teams in the City and Canary Wharf."&amp;CHAR(10)&amp;CHAR(10)&amp;"We have a "&amp;AC9&amp;" pitch at "&amp;X9&amp;", "&amp;IF(OR(Y9=8,Y9=11,Y9=18),"an ","a ")&amp;Y9&amp;"-minute walk from your "&amp;M9&amp;" office, "&amp;IF(ISNUMBER(AB9),"on "&amp;TEXT(AB9,"dddd d mmmm")&amp;" at "&amp;TEXT(AB9,"hh:mm"),"on a weekday evening that suits your team")&amp;". It's "&amp;IF(AD9&lt;&gt;"","£"&amp;IF(AD9=INT(AD9),TEXT(AD9,"0"),TEXT(AD9,"0.00")),"[PRICE PER PLAYER]")&amp;" a player and we handle the pitch booking, sign-ups and payments, so all it takes is one person sharing a link with the team."&amp;CHAR(10)&amp;CHAR(10)&amp;"It works well as a team social or "&amp;IF(ISNUMBER(SEARCH(LEFT(F9,1),"AEIOU")),"an ","a ")&amp;F9&amp;"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LINK]")&amp;CHAR(10)&amp;CHAR(10)&amp;"Best,"&amp;CHAR(10)&amp;IF(AL9&lt;&gt;"",AL9,IF(Offer!$C$5&lt;&gt;"",Offer!$C$5,"[NAME]"))&amp;CHAR(10)&amp;"FC Urban"</f>
        <v/>
      </c>
      <c r="AH9" s="14">
        <f>IF(LEN("Hi"&amp;IF(O9&lt;&gt;""," "&amp;O9,"")&amp;","&amp;" FC Urban runs after-work football for "&amp;IF(D9="Canary Wharf","Canary Wharf","City")&amp;" teams. We have a "&amp;AC9&amp;" pitch at "&amp;X9&amp;", "&amp;Y9&amp;" min from your office, "&amp;IF(ISNUMBER(AB9),TEXT(AB9,"ddd d mmm")&amp;", "&amp;TEXT(AB9,"hh:mm"),"weekday evenings")&amp;", "&amp;IF(AD9&lt;&gt;"","£"&amp;IF(AD9=INT(AD9),TEXT(AD9,"0"),TEXT(AD9,"0.00")),"[PRICE PER PLAYER]")&amp;" a player. We handle booking, sign-ups and payments. Fancy "&amp;IF(ISNUMBER(SEARCH(LEFT(F9,1),"AEIOU")),"an ","a ")&amp;F9&amp;" team game? "&amp;IF(AL9&lt;&gt;"",AL9,IF(Offer!$C$5&lt;&gt;"",Offer!$C$5,"[NAME]")))&lt;=300,"Hi"&amp;IF(O9&lt;&gt;""," "&amp;O9,"")&amp;","&amp;" FC Urban runs after-work football for "&amp;IF(D9="Canary Wharf","Canary Wharf","City")&amp;" teams. We have a "&amp;AC9&amp;" pitch at "&amp;X9&amp;", "&amp;Y9&amp;" min from your office, "&amp;IF(ISNUMBER(AB9),TEXT(AB9,"ddd d mmm")&amp;", "&amp;TEXT(AB9,"hh:mm"),"weekday evenings")&amp;", "&amp;IF(AD9&lt;&gt;"","£"&amp;IF(AD9=INT(AD9),TEXT(AD9,"0"),TEXT(AD9,"0.00")),"[PRICE PER PLAYER]")&amp;" a player. We handle booking, sign-ups and payments. Fancy "&amp;IF(ISNUMBER(SEARCH(LEFT(F9,1),"AEIOU")),"an ","a ")&amp;F9&amp;" team game? "&amp;IF(AL9&lt;&gt;"",AL9,IF(Offer!$C$5&lt;&gt;"",Offer!$C$5,"[NAME]")),LEFT("Hi"&amp;IF(O9&lt;&gt;""," "&amp;O9,"")&amp;","&amp;" FC Urban runs after-work football for "&amp;IF(D9="Canary Wharf","Canary Wharf","City")&amp;" teams: "&amp;AC9&amp;" at "&amp;X9&amp;", "&amp;Y9&amp;" min from your office, "&amp;IF(ISNUMBER(AB9),TEXT(AB9,"ddd d mmm")&amp;", "&amp;TEXT(AB9,"hh:mm"),"weekday evenings")&amp;", "&amp;IF(AD9&lt;&gt;"","£"&amp;IF(AD9=INT(AD9),TEXT(AD9,"0"),TEXT(AD9,"0.00")),"[PRICE PER PLAYER]")&amp;" pp. We handle booking and payments. Up for a team game? "&amp;IF(AL9&lt;&gt;"",AL9,IF(Offer!$C$5&lt;&gt;"",Offer!$C$5,"[NAME]")),300))</f>
        <v/>
      </c>
      <c r="AI9" s="14">
        <f>LEN(AH9)</f>
        <v/>
      </c>
      <c r="AJ9" s="14">
        <f>"Thanks for connecting"&amp;IF(O9&lt;&gt;"",", "&amp;O9,"")&amp;". "&amp;IF(ISNUMBER(AB9),"The "&amp;AC9&amp;" slot at "&amp;X9&amp;" is "&amp;IF(ISNUMBER(AB9),TEXT(AB9,"ddd d mmm")&amp;", "&amp;TEXT(AB9,"hh:mm"),"weekday evenings"),"We can book "&amp;AC9&amp;" at "&amp;X9&amp;" on a weekday evening that suits you")&amp;" and it's "&amp;IF(AD9&lt;&gt;"","£"&amp;IF(AD9=INT(AD9),TEXT(AD9,"0"),TEXT(AD9,"0.00")),"[PRICE PER PLAYER]")&amp;" a player, all booked and paid through one link. If football isn't your thing, who at "&amp;F9&amp;" would be the right person to organise a team game?"&amp;IF(Offer!$C$7&lt;&gt;""," Spots are held until "&amp;TEXT(Offer!$C$7,"dddd d mmmm")&amp;".","")&amp;" "&amp;IF(Offer!$C$6&lt;&gt;"",Offer!$C$6,"[JOINING LINK]")</f>
        <v/>
      </c>
      <c r="AK9" s="14">
        <f>IF(OR(ISNUMBER(SEARCH("[",AG9)),ISNUMBER(SEARCH("[",AJ9))),"Fill placeholders",IF(ISNUMBER(AB9),"Ready to send","Ready · no fixed slot"))</f>
        <v/>
      </c>
      <c r="AN9" s="17" t="n"/>
    </row>
    <row r="10">
      <c r="A10" s="11" t="n">
        <v>8</v>
      </c>
      <c r="B10" s="11" t="n">
        <v>1</v>
      </c>
      <c r="C10" s="11" t="inlineStr">
        <is>
          <t>Law firm</t>
        </is>
      </c>
      <c r="D10" s="11" t="inlineStr">
        <is>
          <t>City of London</t>
        </is>
      </c>
      <c r="E10" s="11" t="inlineStr">
        <is>
          <t>Stephenson Harwood LLP</t>
        </is>
      </c>
      <c r="F10" s="11" t="inlineStr">
        <is>
          <t>Stephenson Harwood</t>
        </is>
      </c>
      <c r="G10" s="11" t="inlineStr">
        <is>
          <t>OC373597</t>
        </is>
      </c>
      <c r="H10" s="12" t="inlineStr">
        <is>
          <t>Open</t>
        </is>
      </c>
      <c r="I10" s="12" t="inlineStr">
        <is>
          <t>Search</t>
        </is>
      </c>
      <c r="J10" s="11" t="inlineStr">
        <is>
          <t>Group</t>
        </is>
      </c>
      <c r="K10" s="13" t="n">
        <v>40989</v>
      </c>
      <c r="L10" s="11" t="inlineStr">
        <is>
          <t>1 Finsbury Circus, London</t>
        </is>
      </c>
      <c r="M10" s="11" t="inlineStr">
        <is>
          <t>EC2M 7SH</t>
        </is>
      </c>
      <c r="N10" s="11" t="inlineStr">
        <is>
          <t>No</t>
        </is>
      </c>
      <c r="U10" s="11" t="inlineStr">
        <is>
          <t>Shoreditch Powerleague</t>
        </is>
      </c>
      <c r="V10" s="11" t="n">
        <v>16</v>
      </c>
      <c r="W10" s="11" t="inlineStr">
        <is>
          <t>Liverpool St - Attlee Centre (16.3)</t>
        </is>
      </c>
      <c r="X10" s="11" t="inlineStr">
        <is>
          <t>Shoreditch Powerleague</t>
        </is>
      </c>
      <c r="Y10" s="11" t="n">
        <v>16</v>
      </c>
      <c r="Z10" s="14">
        <f>IFERROR(INDEX(Venues!$E$2:$E$15,MATCH(X10,Venues!$A$2:$A$15,0)),"Not checked")</f>
        <v/>
      </c>
      <c r="AA10" s="14">
        <f>IFERROR(INDEX(Venues!$F$2:$F$15,MATCH(X10,Venues!$A$2:$A$15,0)),0)</f>
        <v/>
      </c>
      <c r="AB10" s="15">
        <f>IFERROR(INDEX(Venues!$M$2:$M$15,MATCH(X10,Venues!$A$2:$A$15,0)),"")</f>
        <v/>
      </c>
      <c r="AC10" s="14">
        <f>IFERROR(INDEX(Venues!$N$2:$N$15,MATCH(X10,Venues!$A$2:$A$15,0)),"5-a-side")</f>
        <v/>
      </c>
      <c r="AD10" s="16">
        <f>IF(Offer!$C$4="","",Offer!$C$4)</f>
        <v/>
      </c>
      <c r="AE10" s="14">
        <f>X10&amp;" ("&amp;Y10&amp;" min walk) · "&amp;IF(ISNUMBER(AB10),TEXT(AB10,"ddd d mmm, hh:mm"),"slot to confirm with venue")&amp;" · "&amp;AC10&amp;" · "&amp;IF(AD10&lt;&gt;"","£"&amp;TEXT(AD10,"0.00")&amp;" pp","price TBC")</f>
        <v/>
      </c>
      <c r="AF10" s="14">
        <f>"After-work football for "&amp;F10&amp;" · "&amp;X10&amp;", "&amp;Y10&amp;" min from your office"</f>
        <v/>
      </c>
      <c r="AG10" s="14">
        <f>"Hi"&amp;IF(O10&lt;&gt;""," "&amp;O10,"")&amp;","&amp;CHAR(10)&amp;CHAR(10)&amp;"I'm "&amp;IF(AL10&lt;&gt;"",AL10,IF(Offer!$C$5&lt;&gt;"",Offer!$C$5,"[NAME]"))&amp;" from FC Urban. We organise after-work football for teams in the City and Canary Wharf."&amp;CHAR(10)&amp;CHAR(10)&amp;"We have a "&amp;AC10&amp;" pitch at "&amp;X10&amp;", "&amp;IF(OR(Y10=8,Y10=11,Y10=18),"an ","a ")&amp;Y10&amp;"-minute walk from your "&amp;M10&amp;" office, "&amp;IF(ISNUMBER(AB10),"on "&amp;TEXT(AB10,"dddd d mmmm")&amp;" at "&amp;TEXT(AB10,"hh:mm"),"on a weekday evening that suits your team")&amp;". It's "&amp;IF(AD10&lt;&gt;"","£"&amp;IF(AD10=INT(AD10),TEXT(AD10,"0"),TEXT(AD10,"0.00")),"[PRICE PER PLAYER]")&amp;" a player and we handle the pitch booking, sign-ups and payments, so all it takes is one person sharing a link with the team."&amp;CHAR(10)&amp;CHAR(10)&amp;"It works well as a team social or "&amp;IF(ISNUMBER(SEARCH(LEFT(F10,1),"AEIOU")),"an ","a ")&amp;F10&amp;"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LINK]")&amp;CHAR(10)&amp;CHAR(10)&amp;"Best,"&amp;CHAR(10)&amp;IF(AL10&lt;&gt;"",AL10,IF(Offer!$C$5&lt;&gt;"",Offer!$C$5,"[NAME]"))&amp;CHAR(10)&amp;"FC Urban"</f>
        <v/>
      </c>
      <c r="AH10" s="14">
        <f>IF(LEN("Hi"&amp;IF(O10&lt;&gt;""," "&amp;O10,"")&amp;","&amp;" FC Urban runs after-work football for "&amp;IF(D10="Canary Wharf","Canary Wharf","City")&amp;" teams. We have a "&amp;AC10&amp;" pitch at "&amp;X10&amp;", "&amp;Y10&amp;" min from your office, "&amp;IF(ISNUMBER(AB10),TEXT(AB10,"ddd d mmm")&amp;", "&amp;TEXT(AB10,"hh:mm"),"weekday evenings")&amp;", "&amp;IF(AD10&lt;&gt;"","£"&amp;IF(AD10=INT(AD10),TEXT(AD10,"0"),TEXT(AD10,"0.00")),"[PRICE PER PLAYER]")&amp;" a player. We handle booking, sign-ups and payments. Fancy "&amp;IF(ISNUMBER(SEARCH(LEFT(F10,1),"AEIOU")),"an ","a ")&amp;F10&amp;" team game? "&amp;IF(AL10&lt;&gt;"",AL10,IF(Offer!$C$5&lt;&gt;"",Offer!$C$5,"[NAME]")))&lt;=300,"Hi"&amp;IF(O10&lt;&gt;""," "&amp;O10,"")&amp;","&amp;" FC Urban runs after-work football for "&amp;IF(D10="Canary Wharf","Canary Wharf","City")&amp;" teams. We have a "&amp;AC10&amp;" pitch at "&amp;X10&amp;", "&amp;Y10&amp;" min from your office, "&amp;IF(ISNUMBER(AB10),TEXT(AB10,"ddd d mmm")&amp;", "&amp;TEXT(AB10,"hh:mm"),"weekday evenings")&amp;", "&amp;IF(AD10&lt;&gt;"","£"&amp;IF(AD10=INT(AD10),TEXT(AD10,"0"),TEXT(AD10,"0.00")),"[PRICE PER PLAYER]")&amp;" a player. We handle booking, sign-ups and payments. Fancy "&amp;IF(ISNUMBER(SEARCH(LEFT(F10,1),"AEIOU")),"an ","a ")&amp;F10&amp;" team game? "&amp;IF(AL10&lt;&gt;"",AL10,IF(Offer!$C$5&lt;&gt;"",Offer!$C$5,"[NAME]")),LEFT("Hi"&amp;IF(O10&lt;&gt;""," "&amp;O10,"")&amp;","&amp;" FC Urban runs after-work football for "&amp;IF(D10="Canary Wharf","Canary Wharf","City")&amp;" teams: "&amp;AC10&amp;" at "&amp;X10&amp;", "&amp;Y10&amp;" min from your office, "&amp;IF(ISNUMBER(AB10),TEXT(AB10,"ddd d mmm")&amp;", "&amp;TEXT(AB10,"hh:mm"),"weekday evenings")&amp;", "&amp;IF(AD10&lt;&gt;"","£"&amp;IF(AD10=INT(AD10),TEXT(AD10,"0"),TEXT(AD10,"0.00")),"[PRICE PER PLAYER]")&amp;" pp. We handle booking and payments. Up for a team game? "&amp;IF(AL10&lt;&gt;"",AL10,IF(Offer!$C$5&lt;&gt;"",Offer!$C$5,"[NAME]")),300))</f>
        <v/>
      </c>
      <c r="AI10" s="14">
        <f>LEN(AH10)</f>
        <v/>
      </c>
      <c r="AJ10" s="14">
        <f>"Thanks for connecting"&amp;IF(O10&lt;&gt;"",", "&amp;O10,"")&amp;". "&amp;IF(ISNUMBER(AB10),"The "&amp;AC10&amp;" slot at "&amp;X10&amp;" is "&amp;IF(ISNUMBER(AB10),TEXT(AB10,"ddd d mmm")&amp;", "&amp;TEXT(AB10,"hh:mm"),"weekday evenings"),"We can book "&amp;AC10&amp;" at "&amp;X10&amp;" on a weekday evening that suits you")&amp;" and it's "&amp;IF(AD10&lt;&gt;"","£"&amp;IF(AD10=INT(AD10),TEXT(AD10,"0"),TEXT(AD10,"0.00")),"[PRICE PER PLAYER]")&amp;" a player, all booked and paid through one link. If football isn't your thing, who at "&amp;F10&amp;" would be the right person to organise a team game?"&amp;IF(Offer!$C$7&lt;&gt;""," Spots are held until "&amp;TEXT(Offer!$C$7,"dddd d mmmm")&amp;".","")&amp;" "&amp;IF(Offer!$C$6&lt;&gt;"",Offer!$C$6,"[JOINING LINK]")</f>
        <v/>
      </c>
      <c r="AK10" s="14">
        <f>IF(OR(ISNUMBER(SEARCH("[",AG10)),ISNUMBER(SEARCH("[",AJ10))),"Fill placeholders",IF(ISNUMBER(AB10),"Ready to send","Ready · no fixed slot"))</f>
        <v/>
      </c>
      <c r="AN10" s="17" t="n"/>
    </row>
    <row r="11">
      <c r="A11" s="11" t="n">
        <v>9</v>
      </c>
      <c r="B11" s="11" t="n">
        <v>1</v>
      </c>
      <c r="C11" s="11" t="inlineStr">
        <is>
          <t>Law firm</t>
        </is>
      </c>
      <c r="D11" s="11" t="inlineStr">
        <is>
          <t>City of London</t>
        </is>
      </c>
      <c r="E11" s="11" t="inlineStr">
        <is>
          <t>Womble Bond Dickinson (UK) LLP</t>
        </is>
      </c>
      <c r="F11" s="11" t="inlineStr">
        <is>
          <t>Womble Bond Dickinson</t>
        </is>
      </c>
      <c r="G11" s="11" t="inlineStr">
        <is>
          <t>OC317661</t>
        </is>
      </c>
      <c r="H11" s="12" t="inlineStr">
        <is>
          <t>Open</t>
        </is>
      </c>
      <c r="I11" s="12" t="inlineStr">
        <is>
          <t>Search</t>
        </is>
      </c>
      <c r="J11" s="11" t="inlineStr">
        <is>
          <t>Group</t>
        </is>
      </c>
      <c r="K11" s="13" t="n">
        <v>38754</v>
      </c>
      <c r="L11" s="11" t="inlineStr">
        <is>
          <t>4 More London Riverside, London</t>
        </is>
      </c>
      <c r="M11" s="11" t="inlineStr">
        <is>
          <t>SE1 2AU</t>
        </is>
      </c>
      <c r="N11" s="11" t="inlineStr">
        <is>
          <t>No</t>
        </is>
      </c>
      <c r="U11" s="11" t="inlineStr">
        <is>
          <t>Bermondsey Riverside</t>
        </is>
      </c>
      <c r="V11" s="11" t="n">
        <v>16</v>
      </c>
      <c r="W11" s="11" t="n"/>
      <c r="X11" s="11" t="inlineStr">
        <is>
          <t>Bermondsey Riverside</t>
        </is>
      </c>
      <c r="Y11" s="11" t="n">
        <v>16</v>
      </c>
      <c r="Z11" s="14">
        <f>IFERROR(INDEX(Venues!$E$2:$E$15,MATCH(X11,Venues!$A$2:$A$15,0)),"Not checked")</f>
        <v/>
      </c>
      <c r="AA11" s="14">
        <f>IFERROR(INDEX(Venues!$F$2:$F$15,MATCH(X11,Venues!$A$2:$A$15,0)),0)</f>
        <v/>
      </c>
      <c r="AB11" s="15">
        <f>IFERROR(INDEX(Venues!$M$2:$M$15,MATCH(X11,Venues!$A$2:$A$15,0)),"")</f>
        <v/>
      </c>
      <c r="AC11" s="14">
        <f>IFERROR(INDEX(Venues!$N$2:$N$15,MATCH(X11,Venues!$A$2:$A$15,0)),"5-a-side")</f>
        <v/>
      </c>
      <c r="AD11" s="16">
        <f>IF(Offer!$C$4="","",Offer!$C$4)</f>
        <v/>
      </c>
      <c r="AE11" s="14">
        <f>X11&amp;" ("&amp;Y11&amp;" min walk) · "&amp;IF(ISNUMBER(AB11),TEXT(AB11,"ddd d mmm, hh:mm"),"slot to confirm with venue")&amp;" · "&amp;AC11&amp;" · "&amp;IF(AD11&lt;&gt;"","£"&amp;TEXT(AD11,"0.00")&amp;" pp","price TBC")</f>
        <v/>
      </c>
      <c r="AF11" s="14">
        <f>"After-work football for "&amp;F11&amp;" · "&amp;X11&amp;", "&amp;Y11&amp;" min from your office"</f>
        <v/>
      </c>
      <c r="AG11" s="14">
        <f>"Hi"&amp;IF(O11&lt;&gt;""," "&amp;O11,"")&amp;","&amp;CHAR(10)&amp;CHAR(10)&amp;"I'm "&amp;IF(AL11&lt;&gt;"",AL11,IF(Offer!$C$5&lt;&gt;"",Offer!$C$5,"[NAME]"))&amp;" from FC Urban. We organise after-work football for teams in the City and Canary Wharf."&amp;CHAR(10)&amp;CHAR(10)&amp;"We have a "&amp;AC11&amp;" pitch at "&amp;X11&amp;", "&amp;IF(OR(Y11=8,Y11=11,Y11=18),"an ","a ")&amp;Y11&amp;"-minute walk from your "&amp;M11&amp;" office, "&amp;IF(ISNUMBER(AB11),"on "&amp;TEXT(AB11,"dddd d mmmm")&amp;" at "&amp;TEXT(AB11,"hh:mm"),"on a weekday evening that suits your team")&amp;". It's "&amp;IF(AD11&lt;&gt;"","£"&amp;IF(AD11=INT(AD11),TEXT(AD11,"0"),TEXT(AD11,"0.00")),"[PRICE PER PLAYER]")&amp;" a player and we handle the pitch booking, sign-ups and payments, so all it takes is one person sharing a link with the team."&amp;CHAR(10)&amp;CHAR(10)&amp;"It works well as a team social or "&amp;IF(ISNUMBER(SEARCH(LEFT(F11,1),"AEIOU")),"an ","a ")&amp;F11&amp;"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LINK]")&amp;CHAR(10)&amp;CHAR(10)&amp;"Best,"&amp;CHAR(10)&amp;IF(AL11&lt;&gt;"",AL11,IF(Offer!$C$5&lt;&gt;"",Offer!$C$5,"[NAME]"))&amp;CHAR(10)&amp;"FC Urban"</f>
        <v/>
      </c>
      <c r="AH11" s="14">
        <f>IF(LEN("Hi"&amp;IF(O11&lt;&gt;""," "&amp;O11,"")&amp;","&amp;" FC Urban runs after-work football for "&amp;IF(D11="Canary Wharf","Canary Wharf","City")&amp;" teams. We have a "&amp;AC11&amp;" pitch at "&amp;X11&amp;", "&amp;Y11&amp;" min from your office, "&amp;IF(ISNUMBER(AB11),TEXT(AB11,"ddd d mmm")&amp;", "&amp;TEXT(AB11,"hh:mm"),"weekday evenings")&amp;", "&amp;IF(AD11&lt;&gt;"","£"&amp;IF(AD11=INT(AD11),TEXT(AD11,"0"),TEXT(AD11,"0.00")),"[PRICE PER PLAYER]")&amp;" a player. We handle booking, sign-ups and payments. Fancy "&amp;IF(ISNUMBER(SEARCH(LEFT(F11,1),"AEIOU")),"an ","a ")&amp;F11&amp;" team game? "&amp;IF(AL11&lt;&gt;"",AL11,IF(Offer!$C$5&lt;&gt;"",Offer!$C$5,"[NAME]")))&lt;=300,"Hi"&amp;IF(O11&lt;&gt;""," "&amp;O11,"")&amp;","&amp;" FC Urban runs after-work football for "&amp;IF(D11="Canary Wharf","Canary Wharf","City")&amp;" teams. We have a "&amp;AC11&amp;" pitch at "&amp;X11&amp;", "&amp;Y11&amp;" min from your office, "&amp;IF(ISNUMBER(AB11),TEXT(AB11,"ddd d mmm")&amp;", "&amp;TEXT(AB11,"hh:mm"),"weekday evenings")&amp;", "&amp;IF(AD11&lt;&gt;"","£"&amp;IF(AD11=INT(AD11),TEXT(AD11,"0"),TEXT(AD11,"0.00")),"[PRICE PER PLAYER]")&amp;" a player. We handle booking, sign-ups and payments. Fancy "&amp;IF(ISNUMBER(SEARCH(LEFT(F11,1),"AEIOU")),"an ","a ")&amp;F11&amp;" team game? "&amp;IF(AL11&lt;&gt;"",AL11,IF(Offer!$C$5&lt;&gt;"",Offer!$C$5,"[NAME]")),LEFT("Hi"&amp;IF(O11&lt;&gt;""," "&amp;O11,"")&amp;","&amp;" FC Urban runs after-work football for "&amp;IF(D11="Canary Wharf","Canary Wharf","City")&amp;" teams: "&amp;AC11&amp;" at "&amp;X11&amp;", "&amp;Y11&amp;" min from your office, "&amp;IF(ISNUMBER(AB11),TEXT(AB11,"ddd d mmm")&amp;", "&amp;TEXT(AB11,"hh:mm"),"weekday evenings")&amp;", "&amp;IF(AD11&lt;&gt;"","£"&amp;IF(AD11=INT(AD11),TEXT(AD11,"0"),TEXT(AD11,"0.00")),"[PRICE PER PLAYER]")&amp;" pp. We handle booking and payments. Up for a team game? "&amp;IF(AL11&lt;&gt;"",AL11,IF(Offer!$C$5&lt;&gt;"",Offer!$C$5,"[NAME]")),300))</f>
        <v/>
      </c>
      <c r="AI11" s="14">
        <f>LEN(AH11)</f>
        <v/>
      </c>
      <c r="AJ11" s="14">
        <f>"Thanks for connecting"&amp;IF(O11&lt;&gt;"",", "&amp;O11,"")&amp;". "&amp;IF(ISNUMBER(AB11),"The "&amp;AC11&amp;" slot at "&amp;X11&amp;" is "&amp;IF(ISNUMBER(AB11),TEXT(AB11,"ddd d mmm")&amp;", "&amp;TEXT(AB11,"hh:mm"),"weekday evenings"),"We can book "&amp;AC11&amp;" at "&amp;X11&amp;" on a weekday evening that suits you")&amp;" and it's "&amp;IF(AD11&lt;&gt;"","£"&amp;IF(AD11=INT(AD11),TEXT(AD11,"0"),TEXT(AD11,"0.00")),"[PRICE PER PLAYER]")&amp;" a player, all booked and paid through one link. If football isn't your thing, who at "&amp;F11&amp;" would be the right person to organise a team game?"&amp;IF(Offer!$C$7&lt;&gt;""," Spots are held until "&amp;TEXT(Offer!$C$7,"dddd d mmmm")&amp;".","")&amp;" "&amp;IF(Offer!$C$6&lt;&gt;"",Offer!$C$6,"[JOINING LINK]")</f>
        <v/>
      </c>
      <c r="AK11" s="14">
        <f>IF(OR(ISNUMBER(SEARCH("[",AG11)),ISNUMBER(SEARCH("[",AJ11))),"Fill placeholders",IF(ISNUMBER(AB11),"Ready to send","Ready · no fixed slot"))</f>
        <v/>
      </c>
      <c r="AN11" s="17" t="n"/>
    </row>
    <row r="12">
      <c r="A12" s="11" t="n">
        <v>10</v>
      </c>
      <c r="B12" s="11" t="n">
        <v>1</v>
      </c>
      <c r="C12" s="11" t="inlineStr">
        <is>
          <t>Law firm</t>
        </is>
      </c>
      <c r="D12" s="11" t="inlineStr">
        <is>
          <t>City of London</t>
        </is>
      </c>
      <c r="E12" s="11" t="inlineStr">
        <is>
          <t>Howard Kennedy LLP</t>
        </is>
      </c>
      <c r="F12" s="11" t="inlineStr">
        <is>
          <t>Howard Kennedy</t>
        </is>
      </c>
      <c r="G12" s="11" t="inlineStr">
        <is>
          <t>OC361417</t>
        </is>
      </c>
      <c r="H12" s="12" t="inlineStr">
        <is>
          <t>Open</t>
        </is>
      </c>
      <c r="I12" s="12" t="inlineStr">
        <is>
          <t>Search</t>
        </is>
      </c>
      <c r="J12" s="11" t="inlineStr">
        <is>
          <t>Group</t>
        </is>
      </c>
      <c r="K12" s="13" t="n">
        <v>40575</v>
      </c>
      <c r="L12" s="11" t="inlineStr">
        <is>
          <t>No.1, London Bridge, London</t>
        </is>
      </c>
      <c r="M12" s="11" t="inlineStr">
        <is>
          <t>SE1 9BG</t>
        </is>
      </c>
      <c r="N12" s="11" t="inlineStr">
        <is>
          <t>No</t>
        </is>
      </c>
      <c r="U12" s="11" t="inlineStr">
        <is>
          <t>Borough Academy</t>
        </is>
      </c>
      <c r="V12" s="11" t="n">
        <v>16</v>
      </c>
      <c r="W12" s="11" t="n"/>
      <c r="X12" s="11" t="inlineStr">
        <is>
          <t>Borough Academy</t>
        </is>
      </c>
      <c r="Y12" s="11" t="n">
        <v>16</v>
      </c>
      <c r="Z12" s="14">
        <f>IFERROR(INDEX(Venues!$E$2:$E$15,MATCH(X12,Venues!$A$2:$A$15,0)),"Not checked")</f>
        <v/>
      </c>
      <c r="AA12" s="14">
        <f>IFERROR(INDEX(Venues!$F$2:$F$15,MATCH(X12,Venues!$A$2:$A$15,0)),0)</f>
        <v/>
      </c>
      <c r="AB12" s="15">
        <f>IFERROR(INDEX(Venues!$M$2:$M$15,MATCH(X12,Venues!$A$2:$A$15,0)),"")</f>
        <v/>
      </c>
      <c r="AC12" s="14">
        <f>IFERROR(INDEX(Venues!$N$2:$N$15,MATCH(X12,Venues!$A$2:$A$15,0)),"5-a-side")</f>
        <v/>
      </c>
      <c r="AD12" s="16">
        <f>IF(Offer!$C$4="","",Offer!$C$4)</f>
        <v/>
      </c>
      <c r="AE12" s="14">
        <f>X12&amp;" ("&amp;Y12&amp;" min walk) · "&amp;IF(ISNUMBER(AB12),TEXT(AB12,"ddd d mmm, hh:mm"),"slot to confirm with venue")&amp;" · "&amp;AC12&amp;" · "&amp;IF(AD12&lt;&gt;"","£"&amp;TEXT(AD12,"0.00")&amp;" pp","price TBC")</f>
        <v/>
      </c>
      <c r="AF12" s="14">
        <f>"After-work football for "&amp;F12&amp;" · "&amp;X12&amp;", "&amp;Y12&amp;" min from your office"</f>
        <v/>
      </c>
      <c r="AG12" s="14">
        <f>"Hi"&amp;IF(O12&lt;&gt;""," "&amp;O12,"")&amp;","&amp;CHAR(10)&amp;CHAR(10)&amp;"I'm "&amp;IF(AL12&lt;&gt;"",AL12,IF(Offer!$C$5&lt;&gt;"",Offer!$C$5,"[NAME]"))&amp;" from FC Urban. We organise after-work football for teams in the City and Canary Wharf."&amp;CHAR(10)&amp;CHAR(10)&amp;"We have a "&amp;AC12&amp;" pitch at "&amp;X12&amp;", "&amp;IF(OR(Y12=8,Y12=11,Y12=18),"an ","a ")&amp;Y12&amp;"-minute walk from your "&amp;M12&amp;" office, "&amp;IF(ISNUMBER(AB12),"on "&amp;TEXT(AB12,"dddd d mmmm")&amp;" at "&amp;TEXT(AB12,"hh:mm"),"on a weekday evening that suits your team")&amp;". It's "&amp;IF(AD12&lt;&gt;"","£"&amp;IF(AD12=INT(AD12),TEXT(AD12,"0"),TEXT(AD12,"0.00")),"[PRICE PER PLAYER]")&amp;" a player and we handle the pitch booking, sign-ups and payments, so all it takes is one person sharing a link with the team."&amp;CHAR(10)&amp;CHAR(10)&amp;"It works well as a team social or "&amp;IF(ISNUMBER(SEARCH(LEFT(F12,1),"AEIOU")),"an ","a ")&amp;F12&amp;"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LINK]")&amp;CHAR(10)&amp;CHAR(10)&amp;"Best,"&amp;CHAR(10)&amp;IF(AL12&lt;&gt;"",AL12,IF(Offer!$C$5&lt;&gt;"",Offer!$C$5,"[NAME]"))&amp;CHAR(10)&amp;"FC Urban"</f>
        <v/>
      </c>
      <c r="AH12" s="14">
        <f>IF(LEN("Hi"&amp;IF(O12&lt;&gt;""," "&amp;O12,"")&amp;","&amp;" FC Urban runs after-work football for "&amp;IF(D12="Canary Wharf","Canary Wharf","City")&amp;" teams. We have a "&amp;AC12&amp;" pitch at "&amp;X12&amp;", "&amp;Y12&amp;" min from your office, "&amp;IF(ISNUMBER(AB12),TEXT(AB12,"ddd d mmm")&amp;", "&amp;TEXT(AB12,"hh:mm"),"weekday evenings")&amp;", "&amp;IF(AD12&lt;&gt;"","£"&amp;IF(AD12=INT(AD12),TEXT(AD12,"0"),TEXT(AD12,"0.00")),"[PRICE PER PLAYER]")&amp;" a player. We handle booking, sign-ups and payments. Fancy "&amp;IF(ISNUMBER(SEARCH(LEFT(F12,1),"AEIOU")),"an ","a ")&amp;F12&amp;" team game? "&amp;IF(AL12&lt;&gt;"",AL12,IF(Offer!$C$5&lt;&gt;"",Offer!$C$5,"[NAME]")))&lt;=300,"Hi"&amp;IF(O12&lt;&gt;""," "&amp;O12,"")&amp;","&amp;" FC Urban runs after-work football for "&amp;IF(D12="Canary Wharf","Canary Wharf","City")&amp;" teams. We have a "&amp;AC12&amp;" pitch at "&amp;X12&amp;", "&amp;Y12&amp;" min from your office, "&amp;IF(ISNUMBER(AB12),TEXT(AB12,"ddd d mmm")&amp;", "&amp;TEXT(AB12,"hh:mm"),"weekday evenings")&amp;", "&amp;IF(AD12&lt;&gt;"","£"&amp;IF(AD12=INT(AD12),TEXT(AD12,"0"),TEXT(AD12,"0.00")),"[PRICE PER PLAYER]")&amp;" a player. We handle booking, sign-ups and payments. Fancy "&amp;IF(ISNUMBER(SEARCH(LEFT(F12,1),"AEIOU")),"an ","a ")&amp;F12&amp;" team game? "&amp;IF(AL12&lt;&gt;"",AL12,IF(Offer!$C$5&lt;&gt;"",Offer!$C$5,"[NAME]")),LEFT("Hi"&amp;IF(O12&lt;&gt;""," "&amp;O12,"")&amp;","&amp;" FC Urban runs after-work football for "&amp;IF(D12="Canary Wharf","Canary Wharf","City")&amp;" teams: "&amp;AC12&amp;" at "&amp;X12&amp;", "&amp;Y12&amp;" min from your office, "&amp;IF(ISNUMBER(AB12),TEXT(AB12,"ddd d mmm")&amp;", "&amp;TEXT(AB12,"hh:mm"),"weekday evenings")&amp;", "&amp;IF(AD12&lt;&gt;"","£"&amp;IF(AD12=INT(AD12),TEXT(AD12,"0"),TEXT(AD12,"0.00")),"[PRICE PER PLAYER]")&amp;" pp. We handle booking and payments. Up for a team game? "&amp;IF(AL12&lt;&gt;"",AL12,IF(Offer!$C$5&lt;&gt;"",Offer!$C$5,"[NAME]")),300))</f>
        <v/>
      </c>
      <c r="AI12" s="14">
        <f>LEN(AH12)</f>
        <v/>
      </c>
      <c r="AJ12" s="14">
        <f>"Thanks for connecting"&amp;IF(O12&lt;&gt;"",", "&amp;O12,"")&amp;". "&amp;IF(ISNUMBER(AB12),"The "&amp;AC12&amp;" slot at "&amp;X12&amp;" is "&amp;IF(ISNUMBER(AB12),TEXT(AB12,"ddd d mmm")&amp;", "&amp;TEXT(AB12,"hh:mm"),"weekday evenings"),"We can book "&amp;AC12&amp;" at "&amp;X12&amp;" on a weekday evening that suits you")&amp;" and it's "&amp;IF(AD12&lt;&gt;"","£"&amp;IF(AD12=INT(AD12),TEXT(AD12,"0"),TEXT(AD12,"0.00")),"[PRICE PER PLAYER]")&amp;" a player, all booked and paid through one link. If football isn't your thing, who at "&amp;F12&amp;" would be the right person to organise a team game?"&amp;IF(Offer!$C$7&lt;&gt;""," Spots are held until "&amp;TEXT(Offer!$C$7,"dddd d mmmm")&amp;".","")&amp;" "&amp;IF(Offer!$C$6&lt;&gt;"",Offer!$C$6,"[JOINING LINK]")</f>
        <v/>
      </c>
      <c r="AK12" s="14">
        <f>IF(OR(ISNUMBER(SEARCH("[",AG12)),ISNUMBER(SEARCH("[",AJ12))),"Fill placeholders",IF(ISNUMBER(AB12),"Ready to send","Ready · no fixed slot"))</f>
        <v/>
      </c>
      <c r="AN12" s="17" t="n"/>
    </row>
    <row r="13">
      <c r="A13" s="11" t="n">
        <v>11</v>
      </c>
      <c r="B13" s="11" t="n">
        <v>1</v>
      </c>
      <c r="C13" s="11" t="inlineStr">
        <is>
          <t>Law firm</t>
        </is>
      </c>
      <c r="D13" s="11" t="inlineStr">
        <is>
          <t>City of London</t>
        </is>
      </c>
      <c r="E13" s="11" t="inlineStr">
        <is>
          <t>Devonshires Solicitors LLP</t>
        </is>
      </c>
      <c r="F13" s="11" t="inlineStr">
        <is>
          <t>Devonshires Solicitors</t>
        </is>
      </c>
      <c r="G13" s="11" t="inlineStr">
        <is>
          <t>OC397401</t>
        </is>
      </c>
      <c r="H13" s="12" t="inlineStr">
        <is>
          <t>Open</t>
        </is>
      </c>
      <c r="I13" s="12" t="inlineStr">
        <is>
          <t>Search</t>
        </is>
      </c>
      <c r="J13" s="11" t="inlineStr">
        <is>
          <t>Group</t>
        </is>
      </c>
      <c r="K13" s="13" t="n">
        <v>42011</v>
      </c>
      <c r="L13" s="11" t="inlineStr">
        <is>
          <t>30 Finsbury Circus, London</t>
        </is>
      </c>
      <c r="M13" s="11" t="inlineStr">
        <is>
          <t>EC2M 7DT</t>
        </is>
      </c>
      <c r="N13" s="11" t="inlineStr">
        <is>
          <t>No</t>
        </is>
      </c>
      <c r="U13" s="11" t="inlineStr">
        <is>
          <t>Liverpool St - Attlee Centre</t>
        </is>
      </c>
      <c r="V13" s="11" t="n">
        <v>16</v>
      </c>
      <c r="W13" s="11" t="inlineStr">
        <is>
          <t>Shoreditch Powerleague (16.7)</t>
        </is>
      </c>
      <c r="X13" s="11" t="inlineStr">
        <is>
          <t>Shoreditch Powerleague</t>
        </is>
      </c>
      <c r="Y13" s="11" t="n">
        <v>17</v>
      </c>
      <c r="Z13" s="14">
        <f>IFERROR(INDEX(Venues!$E$2:$E$15,MATCH(X13,Venues!$A$2:$A$15,0)),"Not checked")</f>
        <v/>
      </c>
      <c r="AA13" s="14">
        <f>IFERROR(INDEX(Venues!$F$2:$F$15,MATCH(X13,Venues!$A$2:$A$15,0)),0)</f>
        <v/>
      </c>
      <c r="AB13" s="15">
        <f>IFERROR(INDEX(Venues!$M$2:$M$15,MATCH(X13,Venues!$A$2:$A$15,0)),"")</f>
        <v/>
      </c>
      <c r="AC13" s="14">
        <f>IFERROR(INDEX(Venues!$N$2:$N$15,MATCH(X13,Venues!$A$2:$A$15,0)),"5-a-side")</f>
        <v/>
      </c>
      <c r="AD13" s="16">
        <f>IF(Offer!$C$4="","",Offer!$C$4)</f>
        <v/>
      </c>
      <c r="AE13" s="14">
        <f>X13&amp;" ("&amp;Y13&amp;" min walk) · "&amp;IF(ISNUMBER(AB13),TEXT(AB13,"ddd d mmm, hh:mm"),"slot to confirm with venue")&amp;" · "&amp;AC13&amp;" · "&amp;IF(AD13&lt;&gt;"","£"&amp;TEXT(AD13,"0.00")&amp;" pp","price TBC")</f>
        <v/>
      </c>
      <c r="AF13" s="14">
        <f>"After-work football for "&amp;F13&amp;" · "&amp;X13&amp;", "&amp;Y13&amp;" min from your office"</f>
        <v/>
      </c>
      <c r="AG13" s="14">
        <f>"Hi"&amp;IF(O13&lt;&gt;""," "&amp;O13,"")&amp;","&amp;CHAR(10)&amp;CHAR(10)&amp;"I'm "&amp;IF(AL13&lt;&gt;"",AL13,IF(Offer!$C$5&lt;&gt;"",Offer!$C$5,"[NAME]"))&amp;" from FC Urban. We organise after-work football for teams in the City and Canary Wharf."&amp;CHAR(10)&amp;CHAR(10)&amp;"We have a "&amp;AC13&amp;" pitch at "&amp;X13&amp;", "&amp;IF(OR(Y13=8,Y13=11,Y13=18),"an ","a ")&amp;Y13&amp;"-minute walk from your "&amp;M13&amp;" office, "&amp;IF(ISNUMBER(AB13),"on "&amp;TEXT(AB13,"dddd d mmmm")&amp;" at "&amp;TEXT(AB13,"hh:mm"),"on a weekday evening that suits your team")&amp;". It's "&amp;IF(AD13&lt;&gt;"","£"&amp;IF(AD13=INT(AD13),TEXT(AD13,"0"),TEXT(AD13,"0.00")),"[PRICE PER PLAYER]")&amp;" a player and we handle the pitch booking, sign-ups and payments, so all it takes is one person sharing a link with the team."&amp;CHAR(10)&amp;CHAR(10)&amp;"It works well as a team social or "&amp;IF(ISNUMBER(SEARCH(LEFT(F13,1),"AEIOU")),"an ","a ")&amp;F13&amp;"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LINK]")&amp;CHAR(10)&amp;CHAR(10)&amp;"Best,"&amp;CHAR(10)&amp;IF(AL13&lt;&gt;"",AL13,IF(Offer!$C$5&lt;&gt;"",Offer!$C$5,"[NAME]"))&amp;CHAR(10)&amp;"FC Urban"</f>
        <v/>
      </c>
      <c r="AH13" s="14">
        <f>IF(LEN("Hi"&amp;IF(O13&lt;&gt;""," "&amp;O13,"")&amp;","&amp;" FC Urban runs after-work football for "&amp;IF(D13="Canary Wharf","Canary Wharf","City")&amp;" teams. We have a "&amp;AC13&amp;" pitch at "&amp;X13&amp;", "&amp;Y13&amp;" min from your office, "&amp;IF(ISNUMBER(AB13),TEXT(AB13,"ddd d mmm")&amp;", "&amp;TEXT(AB13,"hh:mm"),"weekday evenings")&amp;", "&amp;IF(AD13&lt;&gt;"","£"&amp;IF(AD13=INT(AD13),TEXT(AD13,"0"),TEXT(AD13,"0.00")),"[PRICE PER PLAYER]")&amp;" a player. We handle booking, sign-ups and payments. Fancy "&amp;IF(ISNUMBER(SEARCH(LEFT(F13,1),"AEIOU")),"an ","a ")&amp;F13&amp;" team game? "&amp;IF(AL13&lt;&gt;"",AL13,IF(Offer!$C$5&lt;&gt;"",Offer!$C$5,"[NAME]")))&lt;=300,"Hi"&amp;IF(O13&lt;&gt;""," "&amp;O13,"")&amp;","&amp;" FC Urban runs after-work football for "&amp;IF(D13="Canary Wharf","Canary Wharf","City")&amp;" teams. We have a "&amp;AC13&amp;" pitch at "&amp;X13&amp;", "&amp;Y13&amp;" min from your office, "&amp;IF(ISNUMBER(AB13),TEXT(AB13,"ddd d mmm")&amp;", "&amp;TEXT(AB13,"hh:mm"),"weekday evenings")&amp;", "&amp;IF(AD13&lt;&gt;"","£"&amp;IF(AD13=INT(AD13),TEXT(AD13,"0"),TEXT(AD13,"0.00")),"[PRICE PER PLAYER]")&amp;" a player. We handle booking, sign-ups and payments. Fancy "&amp;IF(ISNUMBER(SEARCH(LEFT(F13,1),"AEIOU")),"an ","a ")&amp;F13&amp;" team game? "&amp;IF(AL13&lt;&gt;"",AL13,IF(Offer!$C$5&lt;&gt;"",Offer!$C$5,"[NAME]")),LEFT("Hi"&amp;IF(O13&lt;&gt;""," "&amp;O13,"")&amp;","&amp;" FC Urban runs after-work football for "&amp;IF(D13="Canary Wharf","Canary Wharf","City")&amp;" teams: "&amp;AC13&amp;" at "&amp;X13&amp;", "&amp;Y13&amp;" min from your office, "&amp;IF(ISNUMBER(AB13),TEXT(AB13,"ddd d mmm")&amp;", "&amp;TEXT(AB13,"hh:mm"),"weekday evenings")&amp;", "&amp;IF(AD13&lt;&gt;"","£"&amp;IF(AD13=INT(AD13),TEXT(AD13,"0"),TEXT(AD13,"0.00")),"[PRICE PER PLAYER]")&amp;" pp. We handle booking and payments. Up for a team game? "&amp;IF(AL13&lt;&gt;"",AL13,IF(Offer!$C$5&lt;&gt;"",Offer!$C$5,"[NAME]")),300))</f>
        <v/>
      </c>
      <c r="AI13" s="14">
        <f>LEN(AH13)</f>
        <v/>
      </c>
      <c r="AJ13" s="14">
        <f>"Thanks for connecting"&amp;IF(O13&lt;&gt;"",", "&amp;O13,"")&amp;". "&amp;IF(ISNUMBER(AB13),"The "&amp;AC13&amp;" slot at "&amp;X13&amp;" is "&amp;IF(ISNUMBER(AB13),TEXT(AB13,"ddd d mmm")&amp;", "&amp;TEXT(AB13,"hh:mm"),"weekday evenings"),"We can book "&amp;AC13&amp;" at "&amp;X13&amp;" on a weekday evening that suits you")&amp;" and it's "&amp;IF(AD13&lt;&gt;"","£"&amp;IF(AD13=INT(AD13),TEXT(AD13,"0"),TEXT(AD13,"0.00")),"[PRICE PER PLAYER]")&amp;" a player, all booked and paid through one link. If football isn't your thing, who at "&amp;F13&amp;" would be the right person to organise a team game?"&amp;IF(Offer!$C$7&lt;&gt;""," Spots are held until "&amp;TEXT(Offer!$C$7,"dddd d mmmm")&amp;".","")&amp;" "&amp;IF(Offer!$C$6&lt;&gt;"",Offer!$C$6,"[JOINING LINK]")</f>
        <v/>
      </c>
      <c r="AK13" s="14">
        <f>IF(OR(ISNUMBER(SEARCH("[",AG13)),ISNUMBER(SEARCH("[",AJ13))),"Fill placeholders",IF(ISNUMBER(AB13),"Ready to send","Ready · no fixed slot"))</f>
        <v/>
      </c>
      <c r="AN13" s="17" t="n"/>
    </row>
    <row r="14">
      <c r="A14" s="11" t="n">
        <v>12</v>
      </c>
      <c r="B14" s="11" t="n">
        <v>1</v>
      </c>
      <c r="C14" s="11" t="inlineStr">
        <is>
          <t>Law firm</t>
        </is>
      </c>
      <c r="D14" s="11" t="inlineStr">
        <is>
          <t>City of London</t>
        </is>
      </c>
      <c r="E14" s="11" t="inlineStr">
        <is>
          <t>Kennedys Law LLP</t>
        </is>
      </c>
      <c r="F14" s="11" t="inlineStr">
        <is>
          <t>Kennedys</t>
        </is>
      </c>
      <c r="G14" s="11" t="inlineStr">
        <is>
          <t>OC353214</t>
        </is>
      </c>
      <c r="H14" s="12" t="inlineStr">
        <is>
          <t>Open</t>
        </is>
      </c>
      <c r="I14" s="12" t="inlineStr">
        <is>
          <t>Search</t>
        </is>
      </c>
      <c r="J14" s="11" t="inlineStr">
        <is>
          <t>Group</t>
        </is>
      </c>
      <c r="K14" s="13" t="n">
        <v>40252</v>
      </c>
      <c r="L14" s="11" t="inlineStr">
        <is>
          <t>Kennedys, 20 Fenchurch Street, London</t>
        </is>
      </c>
      <c r="M14" s="11" t="inlineStr">
        <is>
          <t>EC3M 3BY</t>
        </is>
      </c>
      <c r="N14" s="11" t="inlineStr">
        <is>
          <t>No</t>
        </is>
      </c>
      <c r="U14" s="11" t="inlineStr">
        <is>
          <t>Liverpool St - Attlee Centre</t>
        </is>
      </c>
      <c r="V14" s="11" t="n">
        <v>17</v>
      </c>
      <c r="W14" s="11" t="n"/>
      <c r="X14" s="11" t="inlineStr">
        <is>
          <t>Liverpool St - Attlee Centre</t>
        </is>
      </c>
      <c r="Y14" s="11" t="n">
        <v>17</v>
      </c>
      <c r="Z14" s="14">
        <f>IFERROR(INDEX(Venues!$E$2:$E$15,MATCH(X14,Venues!$A$2:$A$15,0)),"Not checked")</f>
        <v/>
      </c>
      <c r="AA14" s="14">
        <f>IFERROR(INDEX(Venues!$F$2:$F$15,MATCH(X14,Venues!$A$2:$A$15,0)),0)</f>
        <v/>
      </c>
      <c r="AB14" s="15">
        <f>IFERROR(INDEX(Venues!$M$2:$M$15,MATCH(X14,Venues!$A$2:$A$15,0)),"")</f>
        <v/>
      </c>
      <c r="AC14" s="14">
        <f>IFERROR(INDEX(Venues!$N$2:$N$15,MATCH(X14,Venues!$A$2:$A$15,0)),"5-a-side")</f>
        <v/>
      </c>
      <c r="AD14" s="16">
        <f>IF(Offer!$C$4="","",Offer!$C$4)</f>
        <v/>
      </c>
      <c r="AE14" s="14">
        <f>X14&amp;" ("&amp;Y14&amp;" min walk) · "&amp;IF(ISNUMBER(AB14),TEXT(AB14,"ddd d mmm, hh:mm"),"slot to confirm with venue")&amp;" · "&amp;AC14&amp;" · "&amp;IF(AD14&lt;&gt;"","£"&amp;TEXT(AD14,"0.00")&amp;" pp","price TBC")</f>
        <v/>
      </c>
      <c r="AF14" s="14">
        <f>"After-work football for "&amp;F14&amp;" · "&amp;X14&amp;", "&amp;Y14&amp;" min from your office"</f>
        <v/>
      </c>
      <c r="AG14" s="14">
        <f>"Hi"&amp;IF(O14&lt;&gt;""," "&amp;O14,"")&amp;","&amp;CHAR(10)&amp;CHAR(10)&amp;"I'm "&amp;IF(AL14&lt;&gt;"",AL14,IF(Offer!$C$5&lt;&gt;"",Offer!$C$5,"[NAME]"))&amp;" from FC Urban. We organise after-work football for teams in the City and Canary Wharf."&amp;CHAR(10)&amp;CHAR(10)&amp;"We have a "&amp;AC14&amp;" pitch at "&amp;X14&amp;", "&amp;IF(OR(Y14=8,Y14=11,Y14=18),"an ","a ")&amp;Y14&amp;"-minute walk from your "&amp;M14&amp;" office, "&amp;IF(ISNUMBER(AB14),"on "&amp;TEXT(AB14,"dddd d mmmm")&amp;" at "&amp;TEXT(AB14,"hh:mm"),"on a weekday evening that suits your team")&amp;". It's "&amp;IF(AD14&lt;&gt;"","£"&amp;IF(AD14=INT(AD14),TEXT(AD14,"0"),TEXT(AD14,"0.00")),"[PRICE PER PLAYER]")&amp;" a player and we handle the pitch booking, sign-ups and payments, so all it takes is one person sharing a link with the team."&amp;CHAR(10)&amp;CHAR(10)&amp;"It works well as a team social or "&amp;IF(ISNUMBER(SEARCH(LEFT(F14,1),"AEIOU")),"an ","a ")&amp;F14&amp;"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LINK]")&amp;CHAR(10)&amp;CHAR(10)&amp;"Best,"&amp;CHAR(10)&amp;IF(AL14&lt;&gt;"",AL14,IF(Offer!$C$5&lt;&gt;"",Offer!$C$5,"[NAME]"))&amp;CHAR(10)&amp;"FC Urban"</f>
        <v/>
      </c>
      <c r="AH14" s="14">
        <f>IF(LEN("Hi"&amp;IF(O14&lt;&gt;""," "&amp;O14,"")&amp;","&amp;" FC Urban runs after-work football for "&amp;IF(D14="Canary Wharf","Canary Wharf","City")&amp;" teams. We have a "&amp;AC14&amp;" pitch at "&amp;X14&amp;", "&amp;Y14&amp;" min from your office, "&amp;IF(ISNUMBER(AB14),TEXT(AB14,"ddd d mmm")&amp;", "&amp;TEXT(AB14,"hh:mm"),"weekday evenings")&amp;", "&amp;IF(AD14&lt;&gt;"","£"&amp;IF(AD14=INT(AD14),TEXT(AD14,"0"),TEXT(AD14,"0.00")),"[PRICE PER PLAYER]")&amp;" a player. We handle booking, sign-ups and payments. Fancy "&amp;IF(ISNUMBER(SEARCH(LEFT(F14,1),"AEIOU")),"an ","a ")&amp;F14&amp;" team game? "&amp;IF(AL14&lt;&gt;"",AL14,IF(Offer!$C$5&lt;&gt;"",Offer!$C$5,"[NAME]")))&lt;=300,"Hi"&amp;IF(O14&lt;&gt;""," "&amp;O14,"")&amp;","&amp;" FC Urban runs after-work football for "&amp;IF(D14="Canary Wharf","Canary Wharf","City")&amp;" teams. We have a "&amp;AC14&amp;" pitch at "&amp;X14&amp;", "&amp;Y14&amp;" min from your office, "&amp;IF(ISNUMBER(AB14),TEXT(AB14,"ddd d mmm")&amp;", "&amp;TEXT(AB14,"hh:mm"),"weekday evenings")&amp;", "&amp;IF(AD14&lt;&gt;"","£"&amp;IF(AD14=INT(AD14),TEXT(AD14,"0"),TEXT(AD14,"0.00")),"[PRICE PER PLAYER]")&amp;" a player. We handle booking, sign-ups and payments. Fancy "&amp;IF(ISNUMBER(SEARCH(LEFT(F14,1),"AEIOU")),"an ","a ")&amp;F14&amp;" team game? "&amp;IF(AL14&lt;&gt;"",AL14,IF(Offer!$C$5&lt;&gt;"",Offer!$C$5,"[NAME]")),LEFT("Hi"&amp;IF(O14&lt;&gt;""," "&amp;O14,"")&amp;","&amp;" FC Urban runs after-work football for "&amp;IF(D14="Canary Wharf","Canary Wharf","City")&amp;" teams: "&amp;AC14&amp;" at "&amp;X14&amp;", "&amp;Y14&amp;" min from your office, "&amp;IF(ISNUMBER(AB14),TEXT(AB14,"ddd d mmm")&amp;", "&amp;TEXT(AB14,"hh:mm"),"weekday evenings")&amp;", "&amp;IF(AD14&lt;&gt;"","£"&amp;IF(AD14=INT(AD14),TEXT(AD14,"0"),TEXT(AD14,"0.00")),"[PRICE PER PLAYER]")&amp;" pp. We handle booking and payments. Up for a team game? "&amp;IF(AL14&lt;&gt;"",AL14,IF(Offer!$C$5&lt;&gt;"",Offer!$C$5,"[NAME]")),300))</f>
        <v/>
      </c>
      <c r="AI14" s="14">
        <f>LEN(AH14)</f>
        <v/>
      </c>
      <c r="AJ14" s="14">
        <f>"Thanks for connecting"&amp;IF(O14&lt;&gt;"",", "&amp;O14,"")&amp;". "&amp;IF(ISNUMBER(AB14),"The "&amp;AC14&amp;" slot at "&amp;X14&amp;" is "&amp;IF(ISNUMBER(AB14),TEXT(AB14,"ddd d mmm")&amp;", "&amp;TEXT(AB14,"hh:mm"),"weekday evenings"),"We can book "&amp;AC14&amp;" at "&amp;X14&amp;" on a weekday evening that suits you")&amp;" and it's "&amp;IF(AD14&lt;&gt;"","£"&amp;IF(AD14=INT(AD14),TEXT(AD14,"0"),TEXT(AD14,"0.00")),"[PRICE PER PLAYER]")&amp;" a player, all booked and paid through one link. If football isn't your thing, who at "&amp;F14&amp;" would be the right person to organise a team game?"&amp;IF(Offer!$C$7&lt;&gt;""," Spots are held until "&amp;TEXT(Offer!$C$7,"dddd d mmmm")&amp;".","")&amp;" "&amp;IF(Offer!$C$6&lt;&gt;"",Offer!$C$6,"[JOINING LINK]")</f>
        <v/>
      </c>
      <c r="AK14" s="14">
        <f>IF(OR(ISNUMBER(SEARCH("[",AG14)),ISNUMBER(SEARCH("[",AJ14))),"Fill placeholders",IF(ISNUMBER(AB14),"Ready to send","Ready · no fixed slot"))</f>
        <v/>
      </c>
      <c r="AN14" s="17" t="n"/>
    </row>
    <row r="15">
      <c r="A15" s="11" t="n">
        <v>13</v>
      </c>
      <c r="B15" s="11" t="n">
        <v>1</v>
      </c>
      <c r="C15" s="11" t="inlineStr">
        <is>
          <t>Law firm</t>
        </is>
      </c>
      <c r="D15" s="11" t="inlineStr">
        <is>
          <t>City of London</t>
        </is>
      </c>
      <c r="E15" s="11" t="inlineStr">
        <is>
          <t>PGMBM Ltd</t>
        </is>
      </c>
      <c r="F15" s="11" t="inlineStr">
        <is>
          <t>Pogust Goodhead</t>
        </is>
      </c>
      <c r="G15" s="11" t="inlineStr">
        <is>
          <t>11468874</t>
        </is>
      </c>
      <c r="H15" s="12" t="inlineStr">
        <is>
          <t>Open</t>
        </is>
      </c>
      <c r="I15" s="12" t="inlineStr">
        <is>
          <t>Search</t>
        </is>
      </c>
      <c r="J15" s="11" t="inlineStr">
        <is>
          <t>Group</t>
        </is>
      </c>
      <c r="K15" s="13" t="n">
        <v>43298</v>
      </c>
      <c r="L15" s="11" t="inlineStr">
        <is>
          <t>Chancery House, 53 - 64 Chancery Lane, London</t>
        </is>
      </c>
      <c r="M15" s="11" t="inlineStr">
        <is>
          <t>WC2A 1QS</t>
        </is>
      </c>
      <c r="N15" s="11" t="inlineStr">
        <is>
          <t>No</t>
        </is>
      </c>
      <c r="U15" s="11" t="inlineStr">
        <is>
          <t>St Pancras - Coram's Fields 3G</t>
        </is>
      </c>
      <c r="V15" s="11" t="n">
        <v>17</v>
      </c>
      <c r="W15" s="11" t="n"/>
      <c r="X15" s="11" t="inlineStr">
        <is>
          <t>St Pancras - Coram's Fields 3G</t>
        </is>
      </c>
      <c r="Y15" s="11" t="n">
        <v>17</v>
      </c>
      <c r="Z15" s="14">
        <f>IFERROR(INDEX(Venues!$E$2:$E$15,MATCH(X15,Venues!$A$2:$A$15,0)),"Not checked")</f>
        <v/>
      </c>
      <c r="AA15" s="14">
        <f>IFERROR(INDEX(Venues!$F$2:$F$15,MATCH(X15,Venues!$A$2:$A$15,0)),0)</f>
        <v/>
      </c>
      <c r="AB15" s="15">
        <f>IFERROR(INDEX(Venues!$M$2:$M$15,MATCH(X15,Venues!$A$2:$A$15,0)),"")</f>
        <v/>
      </c>
      <c r="AC15" s="14">
        <f>IFERROR(INDEX(Venues!$N$2:$N$15,MATCH(X15,Venues!$A$2:$A$15,0)),"5-a-side")</f>
        <v/>
      </c>
      <c r="AD15" s="16">
        <f>IF(Offer!$C$4="","",Offer!$C$4)</f>
        <v/>
      </c>
      <c r="AE15" s="14">
        <f>X15&amp;" ("&amp;Y15&amp;" min walk) · "&amp;IF(ISNUMBER(AB15),TEXT(AB15,"ddd d mmm, hh:mm"),"slot to confirm with venue")&amp;" · "&amp;AC15&amp;" · "&amp;IF(AD15&lt;&gt;"","£"&amp;TEXT(AD15,"0.00")&amp;" pp","price TBC")</f>
        <v/>
      </c>
      <c r="AF15" s="14">
        <f>"After-work football for "&amp;F15&amp;" · "&amp;X15&amp;", "&amp;Y15&amp;" min from your office"</f>
        <v/>
      </c>
      <c r="AG15" s="14">
        <f>"Hi"&amp;IF(O15&lt;&gt;""," "&amp;O15,"")&amp;","&amp;CHAR(10)&amp;CHAR(10)&amp;"I'm "&amp;IF(AL15&lt;&gt;"",AL15,IF(Offer!$C$5&lt;&gt;"",Offer!$C$5,"[NAME]"))&amp;" from FC Urban. We organise after-work football for teams in the City and Canary Wharf."&amp;CHAR(10)&amp;CHAR(10)&amp;"We have a "&amp;AC15&amp;" pitch at "&amp;X15&amp;", "&amp;IF(OR(Y15=8,Y15=11,Y15=18),"an ","a ")&amp;Y15&amp;"-minute walk from your "&amp;M15&amp;" office, "&amp;IF(ISNUMBER(AB15),"on "&amp;TEXT(AB15,"dddd d mmmm")&amp;" at "&amp;TEXT(AB15,"hh:mm"),"on a weekday evening that suits your team")&amp;". It's "&amp;IF(AD15&lt;&gt;"","£"&amp;IF(AD15=INT(AD15),TEXT(AD15,"0"),TEXT(AD15,"0.00")),"[PRICE PER PLAYER]")&amp;" a player and we handle the pitch booking, sign-ups and payments, so all it takes is one person sharing a link with the team."&amp;CHAR(10)&amp;CHAR(10)&amp;"It works well as a team social or "&amp;IF(ISNUMBER(SEARCH(LEFT(F15,1),"AEIOU")),"an ","a ")&amp;F15&amp;"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LINK]")&amp;CHAR(10)&amp;CHAR(10)&amp;"Best,"&amp;CHAR(10)&amp;IF(AL15&lt;&gt;"",AL15,IF(Offer!$C$5&lt;&gt;"",Offer!$C$5,"[NAME]"))&amp;CHAR(10)&amp;"FC Urban"</f>
        <v/>
      </c>
      <c r="AH15" s="14">
        <f>IF(LEN("Hi"&amp;IF(O15&lt;&gt;""," "&amp;O15,"")&amp;","&amp;" FC Urban runs after-work football for "&amp;IF(D15="Canary Wharf","Canary Wharf","City")&amp;" teams. We have a "&amp;AC15&amp;" pitch at "&amp;X15&amp;", "&amp;Y15&amp;" min from your office, "&amp;IF(ISNUMBER(AB15),TEXT(AB15,"ddd d mmm")&amp;", "&amp;TEXT(AB15,"hh:mm"),"weekday evenings")&amp;", "&amp;IF(AD15&lt;&gt;"","£"&amp;IF(AD15=INT(AD15),TEXT(AD15,"0"),TEXT(AD15,"0.00")),"[PRICE PER PLAYER]")&amp;" a player. We handle booking, sign-ups and payments. Fancy "&amp;IF(ISNUMBER(SEARCH(LEFT(F15,1),"AEIOU")),"an ","a ")&amp;F15&amp;" team game? "&amp;IF(AL15&lt;&gt;"",AL15,IF(Offer!$C$5&lt;&gt;"",Offer!$C$5,"[NAME]")))&lt;=300,"Hi"&amp;IF(O15&lt;&gt;""," "&amp;O15,"")&amp;","&amp;" FC Urban runs after-work football for "&amp;IF(D15="Canary Wharf","Canary Wharf","City")&amp;" teams. We have a "&amp;AC15&amp;" pitch at "&amp;X15&amp;", "&amp;Y15&amp;" min from your office, "&amp;IF(ISNUMBER(AB15),TEXT(AB15,"ddd d mmm")&amp;", "&amp;TEXT(AB15,"hh:mm"),"weekday evenings")&amp;", "&amp;IF(AD15&lt;&gt;"","£"&amp;IF(AD15=INT(AD15),TEXT(AD15,"0"),TEXT(AD15,"0.00")),"[PRICE PER PLAYER]")&amp;" a player. We handle booking, sign-ups and payments. Fancy "&amp;IF(ISNUMBER(SEARCH(LEFT(F15,1),"AEIOU")),"an ","a ")&amp;F15&amp;" team game? "&amp;IF(AL15&lt;&gt;"",AL15,IF(Offer!$C$5&lt;&gt;"",Offer!$C$5,"[NAME]")),LEFT("Hi"&amp;IF(O15&lt;&gt;""," "&amp;O15,"")&amp;","&amp;" FC Urban runs after-work football for "&amp;IF(D15="Canary Wharf","Canary Wharf","City")&amp;" teams: "&amp;AC15&amp;" at "&amp;X15&amp;", "&amp;Y15&amp;" min from your office, "&amp;IF(ISNUMBER(AB15),TEXT(AB15,"ddd d mmm")&amp;", "&amp;TEXT(AB15,"hh:mm"),"weekday evenings")&amp;", "&amp;IF(AD15&lt;&gt;"","£"&amp;IF(AD15=INT(AD15),TEXT(AD15,"0"),TEXT(AD15,"0.00")),"[PRICE PER PLAYER]")&amp;" pp. We handle booking and payments. Up for a team game? "&amp;IF(AL15&lt;&gt;"",AL15,IF(Offer!$C$5&lt;&gt;"",Offer!$C$5,"[NAME]")),300))</f>
        <v/>
      </c>
      <c r="AI15" s="14">
        <f>LEN(AH15)</f>
        <v/>
      </c>
      <c r="AJ15" s="14">
        <f>"Thanks for connecting"&amp;IF(O15&lt;&gt;"",", "&amp;O15,"")&amp;". "&amp;IF(ISNUMBER(AB15),"The "&amp;AC15&amp;" slot at "&amp;X15&amp;" is "&amp;IF(ISNUMBER(AB15),TEXT(AB15,"ddd d mmm")&amp;", "&amp;TEXT(AB15,"hh:mm"),"weekday evenings"),"We can book "&amp;AC15&amp;" at "&amp;X15&amp;" on a weekday evening that suits you")&amp;" and it's "&amp;IF(AD15&lt;&gt;"","£"&amp;IF(AD15=INT(AD15),TEXT(AD15,"0"),TEXT(AD15,"0.00")),"[PRICE PER PLAYER]")&amp;" a player, all booked and paid through one link. If football isn't your thing, who at "&amp;F15&amp;" would be the right person to organise a team game?"&amp;IF(Offer!$C$7&lt;&gt;""," Spots are held until "&amp;TEXT(Offer!$C$7,"dddd d mmmm")&amp;".","")&amp;" "&amp;IF(Offer!$C$6&lt;&gt;"",Offer!$C$6,"[JOINING LINK]")</f>
        <v/>
      </c>
      <c r="AK15" s="14">
        <f>IF(OR(ISNUMBER(SEARCH("[",AG15)),ISNUMBER(SEARCH("[",AJ15))),"Fill placeholders",IF(ISNUMBER(AB15),"Ready to send","Ready · no fixed slot"))</f>
        <v/>
      </c>
      <c r="AN15" s="17" t="n"/>
    </row>
    <row r="16">
      <c r="A16" s="11" t="n">
        <v>14</v>
      </c>
      <c r="B16" s="11" t="n">
        <v>1</v>
      </c>
      <c r="C16" s="11" t="inlineStr">
        <is>
          <t>Law firm</t>
        </is>
      </c>
      <c r="D16" s="11" t="inlineStr">
        <is>
          <t>City of London</t>
        </is>
      </c>
      <c r="E16" s="11" t="inlineStr">
        <is>
          <t>Squire Patton Boggs (UK) LLP</t>
        </is>
      </c>
      <c r="F16" s="11" t="inlineStr">
        <is>
          <t>Squire Patton Boggs</t>
        </is>
      </c>
      <c r="G16" s="11" t="inlineStr">
        <is>
          <t>OC335584</t>
        </is>
      </c>
      <c r="H16" s="12" t="inlineStr">
        <is>
          <t>Open</t>
        </is>
      </c>
      <c r="I16" s="12" t="inlineStr">
        <is>
          <t>Search</t>
        </is>
      </c>
      <c r="J16" s="11" t="inlineStr">
        <is>
          <t>Group</t>
        </is>
      </c>
      <c r="K16" s="13" t="n">
        <v>39521</v>
      </c>
      <c r="L16" s="11" t="inlineStr">
        <is>
          <t>60 London Wall, London</t>
        </is>
      </c>
      <c r="M16" s="11" t="inlineStr">
        <is>
          <t>EC2M 5TQ</t>
        </is>
      </c>
      <c r="N16" s="11" t="inlineStr">
        <is>
          <t>No</t>
        </is>
      </c>
      <c r="U16" s="11" t="inlineStr">
        <is>
          <t>Liverpool St - Attlee Centre</t>
        </is>
      </c>
      <c r="V16" s="11" t="n">
        <v>16</v>
      </c>
      <c r="W16" s="11" t="inlineStr">
        <is>
          <t>Shoreditch Powerleague (17.1)</t>
        </is>
      </c>
      <c r="X16" s="11" t="inlineStr">
        <is>
          <t>Shoreditch Powerleague</t>
        </is>
      </c>
      <c r="Y16" s="11" t="n">
        <v>17</v>
      </c>
      <c r="Z16" s="14">
        <f>IFERROR(INDEX(Venues!$E$2:$E$15,MATCH(X16,Venues!$A$2:$A$15,0)),"Not checked")</f>
        <v/>
      </c>
      <c r="AA16" s="14">
        <f>IFERROR(INDEX(Venues!$F$2:$F$15,MATCH(X16,Venues!$A$2:$A$15,0)),0)</f>
        <v/>
      </c>
      <c r="AB16" s="15">
        <f>IFERROR(INDEX(Venues!$M$2:$M$15,MATCH(X16,Venues!$A$2:$A$15,0)),"")</f>
        <v/>
      </c>
      <c r="AC16" s="14">
        <f>IFERROR(INDEX(Venues!$N$2:$N$15,MATCH(X16,Venues!$A$2:$A$15,0)),"5-a-side")</f>
        <v/>
      </c>
      <c r="AD16" s="16">
        <f>IF(Offer!$C$4="","",Offer!$C$4)</f>
        <v/>
      </c>
      <c r="AE16" s="14">
        <f>X16&amp;" ("&amp;Y16&amp;" min walk) · "&amp;IF(ISNUMBER(AB16),TEXT(AB16,"ddd d mmm, hh:mm"),"slot to confirm with venue")&amp;" · "&amp;AC16&amp;" · "&amp;IF(AD16&lt;&gt;"","£"&amp;TEXT(AD16,"0.00")&amp;" pp","price TBC")</f>
        <v/>
      </c>
      <c r="AF16" s="14">
        <f>"After-work football for "&amp;F16&amp;" · "&amp;X16&amp;", "&amp;Y16&amp;" min from your office"</f>
        <v/>
      </c>
      <c r="AG16" s="14">
        <f>"Hi"&amp;IF(O16&lt;&gt;""," "&amp;O16,"")&amp;","&amp;CHAR(10)&amp;CHAR(10)&amp;"I'm "&amp;IF(AL16&lt;&gt;"",AL16,IF(Offer!$C$5&lt;&gt;"",Offer!$C$5,"[NAME]"))&amp;" from FC Urban. We organise after-work football for teams in the City and Canary Wharf."&amp;CHAR(10)&amp;CHAR(10)&amp;"We have a "&amp;AC16&amp;" pitch at "&amp;X16&amp;", "&amp;IF(OR(Y16=8,Y16=11,Y16=18),"an ","a ")&amp;Y16&amp;"-minute walk from your "&amp;M16&amp;" office, "&amp;IF(ISNUMBER(AB16),"on "&amp;TEXT(AB16,"dddd d mmmm")&amp;" at "&amp;TEXT(AB16,"hh:mm"),"on a weekday evening that suits your team")&amp;". It's "&amp;IF(AD16&lt;&gt;"","£"&amp;IF(AD16=INT(AD16),TEXT(AD16,"0"),TEXT(AD16,"0.00")),"[PRICE PER PLAYER]")&amp;" a player and we handle the pitch booking, sign-ups and payments, so all it takes is one person sharing a link with the team."&amp;CHAR(10)&amp;CHAR(10)&amp;"It works well as a team social or "&amp;IF(ISNUMBER(SEARCH(LEFT(F16,1),"AEIOU")),"an ","a ")&amp;F16&amp;"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LINK]")&amp;CHAR(10)&amp;CHAR(10)&amp;"Best,"&amp;CHAR(10)&amp;IF(AL16&lt;&gt;"",AL16,IF(Offer!$C$5&lt;&gt;"",Offer!$C$5,"[NAME]"))&amp;CHAR(10)&amp;"FC Urban"</f>
        <v/>
      </c>
      <c r="AH16" s="14">
        <f>IF(LEN("Hi"&amp;IF(O16&lt;&gt;""," "&amp;O16,"")&amp;","&amp;" FC Urban runs after-work football for "&amp;IF(D16="Canary Wharf","Canary Wharf","City")&amp;" teams. We have a "&amp;AC16&amp;" pitch at "&amp;X16&amp;", "&amp;Y16&amp;" min from your office, "&amp;IF(ISNUMBER(AB16),TEXT(AB16,"ddd d mmm")&amp;", "&amp;TEXT(AB16,"hh:mm"),"weekday evenings")&amp;", "&amp;IF(AD16&lt;&gt;"","£"&amp;IF(AD16=INT(AD16),TEXT(AD16,"0"),TEXT(AD16,"0.00")),"[PRICE PER PLAYER]")&amp;" a player. We handle booking, sign-ups and payments. Fancy "&amp;IF(ISNUMBER(SEARCH(LEFT(F16,1),"AEIOU")),"an ","a ")&amp;F16&amp;" team game? "&amp;IF(AL16&lt;&gt;"",AL16,IF(Offer!$C$5&lt;&gt;"",Offer!$C$5,"[NAME]")))&lt;=300,"Hi"&amp;IF(O16&lt;&gt;""," "&amp;O16,"")&amp;","&amp;" FC Urban runs after-work football for "&amp;IF(D16="Canary Wharf","Canary Wharf","City")&amp;" teams. We have a "&amp;AC16&amp;" pitch at "&amp;X16&amp;", "&amp;Y16&amp;" min from your office, "&amp;IF(ISNUMBER(AB16),TEXT(AB16,"ddd d mmm")&amp;", "&amp;TEXT(AB16,"hh:mm"),"weekday evenings")&amp;", "&amp;IF(AD16&lt;&gt;"","£"&amp;IF(AD16=INT(AD16),TEXT(AD16,"0"),TEXT(AD16,"0.00")),"[PRICE PER PLAYER]")&amp;" a player. We handle booking, sign-ups and payments. Fancy "&amp;IF(ISNUMBER(SEARCH(LEFT(F16,1),"AEIOU")),"an ","a ")&amp;F16&amp;" team game? "&amp;IF(AL16&lt;&gt;"",AL16,IF(Offer!$C$5&lt;&gt;"",Offer!$C$5,"[NAME]")),LEFT("Hi"&amp;IF(O16&lt;&gt;""," "&amp;O16,"")&amp;","&amp;" FC Urban runs after-work football for "&amp;IF(D16="Canary Wharf","Canary Wharf","City")&amp;" teams: "&amp;AC16&amp;" at "&amp;X16&amp;", "&amp;Y16&amp;" min from your office, "&amp;IF(ISNUMBER(AB16),TEXT(AB16,"ddd d mmm")&amp;", "&amp;TEXT(AB16,"hh:mm"),"weekday evenings")&amp;", "&amp;IF(AD16&lt;&gt;"","£"&amp;IF(AD16=INT(AD16),TEXT(AD16,"0"),TEXT(AD16,"0.00")),"[PRICE PER PLAYER]")&amp;" pp. We handle booking and payments. Up for a team game? "&amp;IF(AL16&lt;&gt;"",AL16,IF(Offer!$C$5&lt;&gt;"",Offer!$C$5,"[NAME]")),300))</f>
        <v/>
      </c>
      <c r="AI16" s="14">
        <f>LEN(AH16)</f>
        <v/>
      </c>
      <c r="AJ16" s="14">
        <f>"Thanks for connecting"&amp;IF(O16&lt;&gt;"",", "&amp;O16,"")&amp;". "&amp;IF(ISNUMBER(AB16),"The "&amp;AC16&amp;" slot at "&amp;X16&amp;" is "&amp;IF(ISNUMBER(AB16),TEXT(AB16,"ddd d mmm")&amp;", "&amp;TEXT(AB16,"hh:mm"),"weekday evenings"),"We can book "&amp;AC16&amp;" at "&amp;X16&amp;" on a weekday evening that suits you")&amp;" and it's "&amp;IF(AD16&lt;&gt;"","£"&amp;IF(AD16=INT(AD16),TEXT(AD16,"0"),TEXT(AD16,"0.00")),"[PRICE PER PLAYER]")&amp;" a player, all booked and paid through one link. If football isn't your thing, who at "&amp;F16&amp;" would be the right person to organise a team game?"&amp;IF(Offer!$C$7&lt;&gt;""," Spots are held until "&amp;TEXT(Offer!$C$7,"dddd d mmmm")&amp;".","")&amp;" "&amp;IF(Offer!$C$6&lt;&gt;"",Offer!$C$6,"[JOINING LINK]")</f>
        <v/>
      </c>
      <c r="AK16" s="14">
        <f>IF(OR(ISNUMBER(SEARCH("[",AG16)),ISNUMBER(SEARCH("[",AJ16))),"Fill placeholders",IF(ISNUMBER(AB16),"Ready to send","Ready · no fixed slot"))</f>
        <v/>
      </c>
      <c r="AN16" s="17" t="n"/>
    </row>
    <row r="17">
      <c r="A17" s="11" t="n">
        <v>15</v>
      </c>
      <c r="B17" s="11" t="n">
        <v>1</v>
      </c>
      <c r="C17" s="11" t="inlineStr">
        <is>
          <t>Law firm</t>
        </is>
      </c>
      <c r="D17" s="11" t="inlineStr">
        <is>
          <t>City of London</t>
        </is>
      </c>
      <c r="E17" s="11" t="inlineStr">
        <is>
          <t>Simmons &amp; Simmons LLP</t>
        </is>
      </c>
      <c r="F17" s="11" t="inlineStr">
        <is>
          <t>Simmons &amp; Simmons</t>
        </is>
      </c>
      <c r="G17" s="11" t="inlineStr">
        <is>
          <t>OC352713</t>
        </is>
      </c>
      <c r="H17" s="12" t="inlineStr">
        <is>
          <t>Open</t>
        </is>
      </c>
      <c r="I17" s="12" t="inlineStr">
        <is>
          <t>Search</t>
        </is>
      </c>
      <c r="J17" s="11" t="inlineStr">
        <is>
          <t>Group</t>
        </is>
      </c>
      <c r="K17" s="13" t="n">
        <v>40238</v>
      </c>
      <c r="L17" s="11" t="inlineStr">
        <is>
          <t>Citypoint, One Ropemaker Street, London</t>
        </is>
      </c>
      <c r="M17" s="11" t="inlineStr">
        <is>
          <t>EC2Y 9SS</t>
        </is>
      </c>
      <c r="N17" s="11" t="inlineStr">
        <is>
          <t>No</t>
        </is>
      </c>
      <c r="U17" s="11" t="inlineStr">
        <is>
          <t>Shoreditch Powerleague</t>
        </is>
      </c>
      <c r="V17" s="11" t="n">
        <v>17</v>
      </c>
      <c r="W17" s="11" t="inlineStr">
        <is>
          <t>Liverpool St - Attlee Centre (19)</t>
        </is>
      </c>
      <c r="X17" s="11" t="inlineStr">
        <is>
          <t>Shoreditch Powerleague</t>
        </is>
      </c>
      <c r="Y17" s="11" t="n">
        <v>17</v>
      </c>
      <c r="Z17" s="14">
        <f>IFERROR(INDEX(Venues!$E$2:$E$15,MATCH(X17,Venues!$A$2:$A$15,0)),"Not checked")</f>
        <v/>
      </c>
      <c r="AA17" s="14">
        <f>IFERROR(INDEX(Venues!$F$2:$F$15,MATCH(X17,Venues!$A$2:$A$15,0)),0)</f>
        <v/>
      </c>
      <c r="AB17" s="15">
        <f>IFERROR(INDEX(Venues!$M$2:$M$15,MATCH(X17,Venues!$A$2:$A$15,0)),"")</f>
        <v/>
      </c>
      <c r="AC17" s="14">
        <f>IFERROR(INDEX(Venues!$N$2:$N$15,MATCH(X17,Venues!$A$2:$A$15,0)),"5-a-side")</f>
        <v/>
      </c>
      <c r="AD17" s="16">
        <f>IF(Offer!$C$4="","",Offer!$C$4)</f>
        <v/>
      </c>
      <c r="AE17" s="14">
        <f>X17&amp;" ("&amp;Y17&amp;" min walk) · "&amp;IF(ISNUMBER(AB17),TEXT(AB17,"ddd d mmm, hh:mm"),"slot to confirm with venue")&amp;" · "&amp;AC17&amp;" · "&amp;IF(AD17&lt;&gt;"","£"&amp;TEXT(AD17,"0.00")&amp;" pp","price TBC")</f>
        <v/>
      </c>
      <c r="AF17" s="14">
        <f>"After-work football for "&amp;F17&amp;" · "&amp;X17&amp;", "&amp;Y17&amp;" min from your office"</f>
        <v/>
      </c>
      <c r="AG17" s="14">
        <f>"Hi"&amp;IF(O17&lt;&gt;""," "&amp;O17,"")&amp;","&amp;CHAR(10)&amp;CHAR(10)&amp;"I'm "&amp;IF(AL17&lt;&gt;"",AL17,IF(Offer!$C$5&lt;&gt;"",Offer!$C$5,"[NAME]"))&amp;" from FC Urban. We organise after-work football for teams in the City and Canary Wharf."&amp;CHAR(10)&amp;CHAR(10)&amp;"We have a "&amp;AC17&amp;" pitch at "&amp;X17&amp;", "&amp;IF(OR(Y17=8,Y17=11,Y17=18),"an ","a ")&amp;Y17&amp;"-minute walk from your "&amp;M17&amp;" office, "&amp;IF(ISNUMBER(AB17),"on "&amp;TEXT(AB17,"dddd d mmmm")&amp;" at "&amp;TEXT(AB17,"hh:mm"),"on a weekday evening that suits your team")&amp;". It's "&amp;IF(AD17&lt;&gt;"","£"&amp;IF(AD17=INT(AD17),TEXT(AD17,"0"),TEXT(AD17,"0.00")),"[PRICE PER PLAYER]")&amp;" a player and we handle the pitch booking, sign-ups and payments, so all it takes is one person sharing a link with the team."&amp;CHAR(10)&amp;CHAR(10)&amp;"It works well as a team social or "&amp;IF(ISNUMBER(SEARCH(LEFT(F17,1),"AEIOU")),"an ","a ")&amp;F17&amp;"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LINK]")&amp;CHAR(10)&amp;CHAR(10)&amp;"Best,"&amp;CHAR(10)&amp;IF(AL17&lt;&gt;"",AL17,IF(Offer!$C$5&lt;&gt;"",Offer!$C$5,"[NAME]"))&amp;CHAR(10)&amp;"FC Urban"</f>
        <v/>
      </c>
      <c r="AH17" s="14">
        <f>IF(LEN("Hi"&amp;IF(O17&lt;&gt;""," "&amp;O17,"")&amp;","&amp;" FC Urban runs after-work football for "&amp;IF(D17="Canary Wharf","Canary Wharf","City")&amp;" teams. We have a "&amp;AC17&amp;" pitch at "&amp;X17&amp;", "&amp;Y17&amp;" min from your office, "&amp;IF(ISNUMBER(AB17),TEXT(AB17,"ddd d mmm")&amp;", "&amp;TEXT(AB17,"hh:mm"),"weekday evenings")&amp;", "&amp;IF(AD17&lt;&gt;"","£"&amp;IF(AD17=INT(AD17),TEXT(AD17,"0"),TEXT(AD17,"0.00")),"[PRICE PER PLAYER]")&amp;" a player. We handle booking, sign-ups and payments. Fancy "&amp;IF(ISNUMBER(SEARCH(LEFT(F17,1),"AEIOU")),"an ","a ")&amp;F17&amp;" team game? "&amp;IF(AL17&lt;&gt;"",AL17,IF(Offer!$C$5&lt;&gt;"",Offer!$C$5,"[NAME]")))&lt;=300,"Hi"&amp;IF(O17&lt;&gt;""," "&amp;O17,"")&amp;","&amp;" FC Urban runs after-work football for "&amp;IF(D17="Canary Wharf","Canary Wharf","City")&amp;" teams. We have a "&amp;AC17&amp;" pitch at "&amp;X17&amp;", "&amp;Y17&amp;" min from your office, "&amp;IF(ISNUMBER(AB17),TEXT(AB17,"ddd d mmm")&amp;", "&amp;TEXT(AB17,"hh:mm"),"weekday evenings")&amp;", "&amp;IF(AD17&lt;&gt;"","£"&amp;IF(AD17=INT(AD17),TEXT(AD17,"0"),TEXT(AD17,"0.00")),"[PRICE PER PLAYER]")&amp;" a player. We handle booking, sign-ups and payments. Fancy "&amp;IF(ISNUMBER(SEARCH(LEFT(F17,1),"AEIOU")),"an ","a ")&amp;F17&amp;" team game? "&amp;IF(AL17&lt;&gt;"",AL17,IF(Offer!$C$5&lt;&gt;"",Offer!$C$5,"[NAME]")),LEFT("Hi"&amp;IF(O17&lt;&gt;""," "&amp;O17,"")&amp;","&amp;" FC Urban runs after-work football for "&amp;IF(D17="Canary Wharf","Canary Wharf","City")&amp;" teams: "&amp;AC17&amp;" at "&amp;X17&amp;", "&amp;Y17&amp;" min from your office, "&amp;IF(ISNUMBER(AB17),TEXT(AB17,"ddd d mmm")&amp;", "&amp;TEXT(AB17,"hh:mm"),"weekday evenings")&amp;", "&amp;IF(AD17&lt;&gt;"","£"&amp;IF(AD17=INT(AD17),TEXT(AD17,"0"),TEXT(AD17,"0.00")),"[PRICE PER PLAYER]")&amp;" pp. We handle booking and payments. Up for a team game? "&amp;IF(AL17&lt;&gt;"",AL17,IF(Offer!$C$5&lt;&gt;"",Offer!$C$5,"[NAME]")),300))</f>
        <v/>
      </c>
      <c r="AI17" s="14">
        <f>LEN(AH17)</f>
        <v/>
      </c>
      <c r="AJ17" s="14">
        <f>"Thanks for connecting"&amp;IF(O17&lt;&gt;"",", "&amp;O17,"")&amp;". "&amp;IF(ISNUMBER(AB17),"The "&amp;AC17&amp;" slot at "&amp;X17&amp;" is "&amp;IF(ISNUMBER(AB17),TEXT(AB17,"ddd d mmm")&amp;", "&amp;TEXT(AB17,"hh:mm"),"weekday evenings"),"We can book "&amp;AC17&amp;" at "&amp;X17&amp;" on a weekday evening that suits you")&amp;" and it's "&amp;IF(AD17&lt;&gt;"","£"&amp;IF(AD17=INT(AD17),TEXT(AD17,"0"),TEXT(AD17,"0.00")),"[PRICE PER PLAYER]")&amp;" a player, all booked and paid through one link. If football isn't your thing, who at "&amp;F17&amp;" would be the right person to organise a team game?"&amp;IF(Offer!$C$7&lt;&gt;""," Spots are held until "&amp;TEXT(Offer!$C$7,"dddd d mmmm")&amp;".","")&amp;" "&amp;IF(Offer!$C$6&lt;&gt;"",Offer!$C$6,"[JOINING LINK]")</f>
        <v/>
      </c>
      <c r="AK17" s="14">
        <f>IF(OR(ISNUMBER(SEARCH("[",AG17)),ISNUMBER(SEARCH("[",AJ17))),"Fill placeholders",IF(ISNUMBER(AB17),"Ready to send","Ready · no fixed slot"))</f>
        <v/>
      </c>
      <c r="AN17" s="17" t="n"/>
    </row>
    <row r="18">
      <c r="A18" s="11" t="n">
        <v>16</v>
      </c>
      <c r="B18" s="11" t="n">
        <v>1</v>
      </c>
      <c r="C18" s="11" t="inlineStr">
        <is>
          <t>Law firm</t>
        </is>
      </c>
      <c r="D18" s="11" t="inlineStr">
        <is>
          <t>City of London</t>
        </is>
      </c>
      <c r="E18" s="11" t="inlineStr">
        <is>
          <t>Beale &amp; Company Solicitors LLP</t>
        </is>
      </c>
      <c r="F18" s="11" t="inlineStr">
        <is>
          <t>Beale &amp; Company Solicitors</t>
        </is>
      </c>
      <c r="G18" s="11" t="inlineStr">
        <is>
          <t>OC310010</t>
        </is>
      </c>
      <c r="H18" s="12" t="inlineStr">
        <is>
          <t>Open</t>
        </is>
      </c>
      <c r="I18" s="12" t="inlineStr">
        <is>
          <t>Search</t>
        </is>
      </c>
      <c r="J18" s="11" t="inlineStr">
        <is>
          <t>Group</t>
        </is>
      </c>
      <c r="K18" s="13" t="n">
        <v>38306</v>
      </c>
      <c r="L18" s="11" t="inlineStr">
        <is>
          <t>7 Bishopsgate, London</t>
        </is>
      </c>
      <c r="M18" s="11" t="inlineStr">
        <is>
          <t>EC2N 3AR</t>
        </is>
      </c>
      <c r="N18" s="11" t="inlineStr">
        <is>
          <t>No</t>
        </is>
      </c>
      <c r="U18" s="11" t="inlineStr">
        <is>
          <t>Liverpool St - Attlee Centre</t>
        </is>
      </c>
      <c r="V18" s="11" t="n">
        <v>13</v>
      </c>
      <c r="W18" s="11" t="inlineStr">
        <is>
          <t>Shoreditch Powerleague (17.7)</t>
        </is>
      </c>
      <c r="X18" s="11" t="inlineStr">
        <is>
          <t>Shoreditch Powerleague</t>
        </is>
      </c>
      <c r="Y18" s="11" t="n">
        <v>18</v>
      </c>
      <c r="Z18" s="14">
        <f>IFERROR(INDEX(Venues!$E$2:$E$15,MATCH(X18,Venues!$A$2:$A$15,0)),"Not checked")</f>
        <v/>
      </c>
      <c r="AA18" s="14">
        <f>IFERROR(INDEX(Venues!$F$2:$F$15,MATCH(X18,Venues!$A$2:$A$15,0)),0)</f>
        <v/>
      </c>
      <c r="AB18" s="15">
        <f>IFERROR(INDEX(Venues!$M$2:$M$15,MATCH(X18,Venues!$A$2:$A$15,0)),"")</f>
        <v/>
      </c>
      <c r="AC18" s="14">
        <f>IFERROR(INDEX(Venues!$N$2:$N$15,MATCH(X18,Venues!$A$2:$A$15,0)),"5-a-side")</f>
        <v/>
      </c>
      <c r="AD18" s="16">
        <f>IF(Offer!$C$4="","",Offer!$C$4)</f>
        <v/>
      </c>
      <c r="AE18" s="14">
        <f>X18&amp;" ("&amp;Y18&amp;" min walk) · "&amp;IF(ISNUMBER(AB18),TEXT(AB18,"ddd d mmm, hh:mm"),"slot to confirm with venue")&amp;" · "&amp;AC18&amp;" · "&amp;IF(AD18&lt;&gt;"","£"&amp;TEXT(AD18,"0.00")&amp;" pp","price TBC")</f>
        <v/>
      </c>
      <c r="AF18" s="14">
        <f>"After-work football for "&amp;F18&amp;" · "&amp;X18&amp;", "&amp;Y18&amp;" min from your office"</f>
        <v/>
      </c>
      <c r="AG18" s="14">
        <f>"Hi"&amp;IF(O18&lt;&gt;""," "&amp;O18,"")&amp;","&amp;CHAR(10)&amp;CHAR(10)&amp;"I'm "&amp;IF(AL18&lt;&gt;"",AL18,IF(Offer!$C$5&lt;&gt;"",Offer!$C$5,"[NAME]"))&amp;" from FC Urban. We organise after-work football for teams in the City and Canary Wharf."&amp;CHAR(10)&amp;CHAR(10)&amp;"We have a "&amp;AC18&amp;" pitch at "&amp;X18&amp;", "&amp;IF(OR(Y18=8,Y18=11,Y18=18),"an ","a ")&amp;Y18&amp;"-minute walk from your "&amp;M18&amp;" office, "&amp;IF(ISNUMBER(AB18),"on "&amp;TEXT(AB18,"dddd d mmmm")&amp;" at "&amp;TEXT(AB18,"hh:mm"),"on a weekday evening that suits your team")&amp;". It's "&amp;IF(AD18&lt;&gt;"","£"&amp;IF(AD18=INT(AD18),TEXT(AD18,"0"),TEXT(AD18,"0.00")),"[PRICE PER PLAYER]")&amp;" a player and we handle the pitch booking, sign-ups and payments, so all it takes is one person sharing a link with the team."&amp;CHAR(10)&amp;CHAR(10)&amp;"It works well as a team social or "&amp;IF(ISNUMBER(SEARCH(LEFT(F18,1),"AEIOU")),"an ","a ")&amp;F18&amp;"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LINK]")&amp;CHAR(10)&amp;CHAR(10)&amp;"Best,"&amp;CHAR(10)&amp;IF(AL18&lt;&gt;"",AL18,IF(Offer!$C$5&lt;&gt;"",Offer!$C$5,"[NAME]"))&amp;CHAR(10)&amp;"FC Urban"</f>
        <v/>
      </c>
      <c r="AH18" s="14">
        <f>IF(LEN("Hi"&amp;IF(O18&lt;&gt;""," "&amp;O18,"")&amp;","&amp;" FC Urban runs after-work football for "&amp;IF(D18="Canary Wharf","Canary Wharf","City")&amp;" teams. We have a "&amp;AC18&amp;" pitch at "&amp;X18&amp;", "&amp;Y18&amp;" min from your office, "&amp;IF(ISNUMBER(AB18),TEXT(AB18,"ddd d mmm")&amp;", "&amp;TEXT(AB18,"hh:mm"),"weekday evenings")&amp;", "&amp;IF(AD18&lt;&gt;"","£"&amp;IF(AD18=INT(AD18),TEXT(AD18,"0"),TEXT(AD18,"0.00")),"[PRICE PER PLAYER]")&amp;" a player. We handle booking, sign-ups and payments. Fancy "&amp;IF(ISNUMBER(SEARCH(LEFT(F18,1),"AEIOU")),"an ","a ")&amp;F18&amp;" team game? "&amp;IF(AL18&lt;&gt;"",AL18,IF(Offer!$C$5&lt;&gt;"",Offer!$C$5,"[NAME]")))&lt;=300,"Hi"&amp;IF(O18&lt;&gt;""," "&amp;O18,"")&amp;","&amp;" FC Urban runs after-work football for "&amp;IF(D18="Canary Wharf","Canary Wharf","City")&amp;" teams. We have a "&amp;AC18&amp;" pitch at "&amp;X18&amp;", "&amp;Y18&amp;" min from your office, "&amp;IF(ISNUMBER(AB18),TEXT(AB18,"ddd d mmm")&amp;", "&amp;TEXT(AB18,"hh:mm"),"weekday evenings")&amp;", "&amp;IF(AD18&lt;&gt;"","£"&amp;IF(AD18=INT(AD18),TEXT(AD18,"0"),TEXT(AD18,"0.00")),"[PRICE PER PLAYER]")&amp;" a player. We handle booking, sign-ups and payments. Fancy "&amp;IF(ISNUMBER(SEARCH(LEFT(F18,1),"AEIOU")),"an ","a ")&amp;F18&amp;" team game? "&amp;IF(AL18&lt;&gt;"",AL18,IF(Offer!$C$5&lt;&gt;"",Offer!$C$5,"[NAME]")),LEFT("Hi"&amp;IF(O18&lt;&gt;""," "&amp;O18,"")&amp;","&amp;" FC Urban runs after-work football for "&amp;IF(D18="Canary Wharf","Canary Wharf","City")&amp;" teams: "&amp;AC18&amp;" at "&amp;X18&amp;", "&amp;Y18&amp;" min from your office, "&amp;IF(ISNUMBER(AB18),TEXT(AB18,"ddd d mmm")&amp;", "&amp;TEXT(AB18,"hh:mm"),"weekday evenings")&amp;", "&amp;IF(AD18&lt;&gt;"","£"&amp;IF(AD18=INT(AD18),TEXT(AD18,"0"),TEXT(AD18,"0.00")),"[PRICE PER PLAYER]")&amp;" pp. We handle booking and payments. Up for a team game? "&amp;IF(AL18&lt;&gt;"",AL18,IF(Offer!$C$5&lt;&gt;"",Offer!$C$5,"[NAME]")),300))</f>
        <v/>
      </c>
      <c r="AI18" s="14">
        <f>LEN(AH18)</f>
        <v/>
      </c>
      <c r="AJ18" s="14">
        <f>"Thanks for connecting"&amp;IF(O18&lt;&gt;"",", "&amp;O18,"")&amp;". "&amp;IF(ISNUMBER(AB18),"The "&amp;AC18&amp;" slot at "&amp;X18&amp;" is "&amp;IF(ISNUMBER(AB18),TEXT(AB18,"ddd d mmm")&amp;", "&amp;TEXT(AB18,"hh:mm"),"weekday evenings"),"We can book "&amp;AC18&amp;" at "&amp;X18&amp;" on a weekday evening that suits you")&amp;" and it's "&amp;IF(AD18&lt;&gt;"","£"&amp;IF(AD18=INT(AD18),TEXT(AD18,"0"),TEXT(AD18,"0.00")),"[PRICE PER PLAYER]")&amp;" a player, all booked and paid through one link. If football isn't your thing, who at "&amp;F18&amp;" would be the right person to organise a team game?"&amp;IF(Offer!$C$7&lt;&gt;""," Spots are held until "&amp;TEXT(Offer!$C$7,"dddd d mmmm")&amp;".","")&amp;" "&amp;IF(Offer!$C$6&lt;&gt;"",Offer!$C$6,"[JOINING LINK]")</f>
        <v/>
      </c>
      <c r="AK18" s="14">
        <f>IF(OR(ISNUMBER(SEARCH("[",AG18)),ISNUMBER(SEARCH("[",AJ18))),"Fill placeholders",IF(ISNUMBER(AB18),"Ready to send","Ready · no fixed slot"))</f>
        <v/>
      </c>
      <c r="AN18" s="17" t="n"/>
    </row>
    <row r="19">
      <c r="A19" s="11" t="n">
        <v>17</v>
      </c>
      <c r="B19" s="11" t="n">
        <v>1</v>
      </c>
      <c r="C19" s="11" t="inlineStr">
        <is>
          <t>Law firm</t>
        </is>
      </c>
      <c r="D19" s="11" t="inlineStr">
        <is>
          <t>City of London</t>
        </is>
      </c>
      <c r="E19" s="11" t="inlineStr">
        <is>
          <t>DLA Piper International LLP</t>
        </is>
      </c>
      <c r="F19" s="11" t="inlineStr">
        <is>
          <t>DLA Piper</t>
        </is>
      </c>
      <c r="G19" s="11" t="inlineStr">
        <is>
          <t>OC305357</t>
        </is>
      </c>
      <c r="H19" s="12" t="inlineStr">
        <is>
          <t>Open</t>
        </is>
      </c>
      <c r="I19" s="12" t="inlineStr">
        <is>
          <t>Search</t>
        </is>
      </c>
      <c r="J19" s="11" t="inlineStr">
        <is>
          <t>Group</t>
        </is>
      </c>
      <c r="K19" s="13" t="n">
        <v>37855</v>
      </c>
      <c r="L19" s="11" t="inlineStr">
        <is>
          <t>160 Aldersgate Street, London</t>
        </is>
      </c>
      <c r="M19" s="11" t="inlineStr">
        <is>
          <t>EC1A 4HT</t>
        </is>
      </c>
      <c r="N19" s="11" t="inlineStr">
        <is>
          <t>No</t>
        </is>
      </c>
      <c r="U19" s="11" t="inlineStr">
        <is>
          <t>Old St - Moreland Primary School</t>
        </is>
      </c>
      <c r="V19" s="11" t="n">
        <v>18</v>
      </c>
      <c r="W19" s="11" t="n"/>
      <c r="X19" s="11" t="inlineStr">
        <is>
          <t>Old St - Moreland Primary School</t>
        </is>
      </c>
      <c r="Y19" s="11" t="n">
        <v>18</v>
      </c>
      <c r="Z19" s="14">
        <f>IFERROR(INDEX(Venues!$E$2:$E$15,MATCH(X19,Venues!$A$2:$A$15,0)),"Not checked")</f>
        <v/>
      </c>
      <c r="AA19" s="14">
        <f>IFERROR(INDEX(Venues!$F$2:$F$15,MATCH(X19,Venues!$A$2:$A$15,0)),0)</f>
        <v/>
      </c>
      <c r="AB19" s="15">
        <f>IFERROR(INDEX(Venues!$M$2:$M$15,MATCH(X19,Venues!$A$2:$A$15,0)),"")</f>
        <v/>
      </c>
      <c r="AC19" s="14">
        <f>IFERROR(INDEX(Venues!$N$2:$N$15,MATCH(X19,Venues!$A$2:$A$15,0)),"5-a-side")</f>
        <v/>
      </c>
      <c r="AD19" s="16">
        <f>IF(Offer!$C$4="","",Offer!$C$4)</f>
        <v/>
      </c>
      <c r="AE19" s="14">
        <f>X19&amp;" ("&amp;Y19&amp;" min walk) · "&amp;IF(ISNUMBER(AB19),TEXT(AB19,"ddd d mmm, hh:mm"),"slot to confirm with venue")&amp;" · "&amp;AC19&amp;" · "&amp;IF(AD19&lt;&gt;"","£"&amp;TEXT(AD19,"0.00")&amp;" pp","price TBC")</f>
        <v/>
      </c>
      <c r="AF19" s="14">
        <f>"After-work football for "&amp;F19&amp;" · "&amp;X19&amp;", "&amp;Y19&amp;" min from your office"</f>
        <v/>
      </c>
      <c r="AG19" s="14">
        <f>"Hi"&amp;IF(O19&lt;&gt;""," "&amp;O19,"")&amp;","&amp;CHAR(10)&amp;CHAR(10)&amp;"I'm "&amp;IF(AL19&lt;&gt;"",AL19,IF(Offer!$C$5&lt;&gt;"",Offer!$C$5,"[NAME]"))&amp;" from FC Urban. We organise after-work football for teams in the City and Canary Wharf."&amp;CHAR(10)&amp;CHAR(10)&amp;"We have a "&amp;AC19&amp;" pitch at "&amp;X19&amp;", "&amp;IF(OR(Y19=8,Y19=11,Y19=18),"an ","a ")&amp;Y19&amp;"-minute walk from your "&amp;M19&amp;" office, "&amp;IF(ISNUMBER(AB19),"on "&amp;TEXT(AB19,"dddd d mmmm")&amp;" at "&amp;TEXT(AB19,"hh:mm"),"on a weekday evening that suits your team")&amp;". It's "&amp;IF(AD19&lt;&gt;"","£"&amp;IF(AD19=INT(AD19),TEXT(AD19,"0"),TEXT(AD19,"0.00")),"[PRICE PER PLAYER]")&amp;" a player and we handle the pitch booking, sign-ups and payments, so all it takes is one person sharing a link with the team."&amp;CHAR(10)&amp;CHAR(10)&amp;"It works well as a team social or "&amp;IF(ISNUMBER(SEARCH(LEFT(F19,1),"AEIOU")),"an ","a ")&amp;F19&amp;"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LINK]")&amp;CHAR(10)&amp;CHAR(10)&amp;"Best,"&amp;CHAR(10)&amp;IF(AL19&lt;&gt;"",AL19,IF(Offer!$C$5&lt;&gt;"",Offer!$C$5,"[NAME]"))&amp;CHAR(10)&amp;"FC Urban"</f>
        <v/>
      </c>
      <c r="AH19" s="14">
        <f>IF(LEN("Hi"&amp;IF(O19&lt;&gt;""," "&amp;O19,"")&amp;","&amp;" FC Urban runs after-work football for "&amp;IF(D19="Canary Wharf","Canary Wharf","City")&amp;" teams. We have a "&amp;AC19&amp;" pitch at "&amp;X19&amp;", "&amp;Y19&amp;" min from your office, "&amp;IF(ISNUMBER(AB19),TEXT(AB19,"ddd d mmm")&amp;", "&amp;TEXT(AB19,"hh:mm"),"weekday evenings")&amp;", "&amp;IF(AD19&lt;&gt;"","£"&amp;IF(AD19=INT(AD19),TEXT(AD19,"0"),TEXT(AD19,"0.00")),"[PRICE PER PLAYER]")&amp;" a player. We handle booking, sign-ups and payments. Fancy "&amp;IF(ISNUMBER(SEARCH(LEFT(F19,1),"AEIOU")),"an ","a ")&amp;F19&amp;" team game? "&amp;IF(AL19&lt;&gt;"",AL19,IF(Offer!$C$5&lt;&gt;"",Offer!$C$5,"[NAME]")))&lt;=300,"Hi"&amp;IF(O19&lt;&gt;""," "&amp;O19,"")&amp;","&amp;" FC Urban runs after-work football for "&amp;IF(D19="Canary Wharf","Canary Wharf","City")&amp;" teams. We have a "&amp;AC19&amp;" pitch at "&amp;X19&amp;", "&amp;Y19&amp;" min from your office, "&amp;IF(ISNUMBER(AB19),TEXT(AB19,"ddd d mmm")&amp;", "&amp;TEXT(AB19,"hh:mm"),"weekday evenings")&amp;", "&amp;IF(AD19&lt;&gt;"","£"&amp;IF(AD19=INT(AD19),TEXT(AD19,"0"),TEXT(AD19,"0.00")),"[PRICE PER PLAYER]")&amp;" a player. We handle booking, sign-ups and payments. Fancy "&amp;IF(ISNUMBER(SEARCH(LEFT(F19,1),"AEIOU")),"an ","a ")&amp;F19&amp;" team game? "&amp;IF(AL19&lt;&gt;"",AL19,IF(Offer!$C$5&lt;&gt;"",Offer!$C$5,"[NAME]")),LEFT("Hi"&amp;IF(O19&lt;&gt;""," "&amp;O19,"")&amp;","&amp;" FC Urban runs after-work football for "&amp;IF(D19="Canary Wharf","Canary Wharf","City")&amp;" teams: "&amp;AC19&amp;" at "&amp;X19&amp;", "&amp;Y19&amp;" min from your office, "&amp;IF(ISNUMBER(AB19),TEXT(AB19,"ddd d mmm")&amp;", "&amp;TEXT(AB19,"hh:mm"),"weekday evenings")&amp;", "&amp;IF(AD19&lt;&gt;"","£"&amp;IF(AD19=INT(AD19),TEXT(AD19,"0"),TEXT(AD19,"0.00")),"[PRICE PER PLAYER]")&amp;" pp. We handle booking and payments. Up for a team game? "&amp;IF(AL19&lt;&gt;"",AL19,IF(Offer!$C$5&lt;&gt;"",Offer!$C$5,"[NAME]")),300))</f>
        <v/>
      </c>
      <c r="AI19" s="14">
        <f>LEN(AH19)</f>
        <v/>
      </c>
      <c r="AJ19" s="14">
        <f>"Thanks for connecting"&amp;IF(O19&lt;&gt;"",", "&amp;O19,"")&amp;". "&amp;IF(ISNUMBER(AB19),"The "&amp;AC19&amp;" slot at "&amp;X19&amp;" is "&amp;IF(ISNUMBER(AB19),TEXT(AB19,"ddd d mmm")&amp;", "&amp;TEXT(AB19,"hh:mm"),"weekday evenings"),"We can book "&amp;AC19&amp;" at "&amp;X19&amp;" on a weekday evening that suits you")&amp;" and it's "&amp;IF(AD19&lt;&gt;"","£"&amp;IF(AD19=INT(AD19),TEXT(AD19,"0"),TEXT(AD19,"0.00")),"[PRICE PER PLAYER]")&amp;" a player, all booked and paid through one link. If football isn't your thing, who at "&amp;F19&amp;" would be the right person to organise a team game?"&amp;IF(Offer!$C$7&lt;&gt;""," Spots are held until "&amp;TEXT(Offer!$C$7,"dddd d mmmm")&amp;".","")&amp;" "&amp;IF(Offer!$C$6&lt;&gt;"",Offer!$C$6,"[JOINING LINK]")</f>
        <v/>
      </c>
      <c r="AK19" s="14">
        <f>IF(OR(ISNUMBER(SEARCH("[",AG19)),ISNUMBER(SEARCH("[",AJ19))),"Fill placeholders",IF(ISNUMBER(AB19),"Ready to send","Ready · no fixed slot"))</f>
        <v/>
      </c>
      <c r="AN19" s="17" t="n"/>
    </row>
    <row r="20">
      <c r="A20" s="11" t="n">
        <v>18</v>
      </c>
      <c r="B20" s="11" t="n">
        <v>1</v>
      </c>
      <c r="C20" s="11" t="inlineStr">
        <is>
          <t>Law firm</t>
        </is>
      </c>
      <c r="D20" s="11" t="inlineStr">
        <is>
          <t>City of London</t>
        </is>
      </c>
      <c r="E20" s="11" t="inlineStr">
        <is>
          <t>Three Crowns (Services) LLP</t>
        </is>
      </c>
      <c r="F20" s="11" t="inlineStr">
        <is>
          <t>Three Crowns</t>
        </is>
      </c>
      <c r="G20" s="11" t="inlineStr">
        <is>
          <t>OC389628</t>
        </is>
      </c>
      <c r="H20" s="12" t="inlineStr">
        <is>
          <t>Open</t>
        </is>
      </c>
      <c r="I20" s="12" t="inlineStr">
        <is>
          <t>Search</t>
        </is>
      </c>
      <c r="J20" s="11" t="inlineStr">
        <is>
          <t>Group</t>
        </is>
      </c>
      <c r="K20" s="13" t="n">
        <v>41610</v>
      </c>
      <c r="L20" s="11" t="inlineStr">
        <is>
          <t>The Jj Mack Building, 33 Charterhouse Street, London</t>
        </is>
      </c>
      <c r="M20" s="11" t="inlineStr">
        <is>
          <t>EC1M 6HA</t>
        </is>
      </c>
      <c r="N20" s="11" t="inlineStr">
        <is>
          <t>No</t>
        </is>
      </c>
      <c r="U20" s="11" t="inlineStr">
        <is>
          <t>Old St - Moreland Primary School</t>
        </is>
      </c>
      <c r="V20" s="11" t="n">
        <v>18</v>
      </c>
      <c r="W20" s="11" t="n"/>
      <c r="X20" s="11" t="inlineStr">
        <is>
          <t>Old St - Moreland Primary School</t>
        </is>
      </c>
      <c r="Y20" s="11" t="n">
        <v>18</v>
      </c>
      <c r="Z20" s="14">
        <f>IFERROR(INDEX(Venues!$E$2:$E$15,MATCH(X20,Venues!$A$2:$A$15,0)),"Not checked")</f>
        <v/>
      </c>
      <c r="AA20" s="14">
        <f>IFERROR(INDEX(Venues!$F$2:$F$15,MATCH(X20,Venues!$A$2:$A$15,0)),0)</f>
        <v/>
      </c>
      <c r="AB20" s="15">
        <f>IFERROR(INDEX(Venues!$M$2:$M$15,MATCH(X20,Venues!$A$2:$A$15,0)),"")</f>
        <v/>
      </c>
      <c r="AC20" s="14">
        <f>IFERROR(INDEX(Venues!$N$2:$N$15,MATCH(X20,Venues!$A$2:$A$15,0)),"5-a-side")</f>
        <v/>
      </c>
      <c r="AD20" s="16">
        <f>IF(Offer!$C$4="","",Offer!$C$4)</f>
        <v/>
      </c>
      <c r="AE20" s="14">
        <f>X20&amp;" ("&amp;Y20&amp;" min walk) · "&amp;IF(ISNUMBER(AB20),TEXT(AB20,"ddd d mmm, hh:mm"),"slot to confirm with venue")&amp;" · "&amp;AC20&amp;" · "&amp;IF(AD20&lt;&gt;"","£"&amp;TEXT(AD20,"0.00")&amp;" pp","price TBC")</f>
        <v/>
      </c>
      <c r="AF20" s="14">
        <f>"After-work football for "&amp;F20&amp;" · "&amp;X20&amp;", "&amp;Y20&amp;" min from your office"</f>
        <v/>
      </c>
      <c r="AG20" s="14">
        <f>"Hi"&amp;IF(O20&lt;&gt;""," "&amp;O20,"")&amp;","&amp;CHAR(10)&amp;CHAR(10)&amp;"I'm "&amp;IF(AL20&lt;&gt;"",AL20,IF(Offer!$C$5&lt;&gt;"",Offer!$C$5,"[NAME]"))&amp;" from FC Urban. We organise after-work football for teams in the City and Canary Wharf."&amp;CHAR(10)&amp;CHAR(10)&amp;"We have a "&amp;AC20&amp;" pitch at "&amp;X20&amp;", "&amp;IF(OR(Y20=8,Y20=11,Y20=18),"an ","a ")&amp;Y20&amp;"-minute walk from your "&amp;M20&amp;" office, "&amp;IF(ISNUMBER(AB20),"on "&amp;TEXT(AB20,"dddd d mmmm")&amp;" at "&amp;TEXT(AB20,"hh:mm"),"on a weekday evening that suits your team")&amp;". It's "&amp;IF(AD20&lt;&gt;"","£"&amp;IF(AD20=INT(AD20),TEXT(AD20,"0"),TEXT(AD20,"0.00")),"[PRICE PER PLAYER]")&amp;" a player and we handle the pitch booking, sign-ups and payments, so all it takes is one person sharing a link with the team."&amp;CHAR(10)&amp;CHAR(10)&amp;"It works well as a team social or "&amp;IF(ISNUMBER(SEARCH(LEFT(F20,1),"AEIOU")),"an ","a ")&amp;F20&amp;"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LINK]")&amp;CHAR(10)&amp;CHAR(10)&amp;"Best,"&amp;CHAR(10)&amp;IF(AL20&lt;&gt;"",AL20,IF(Offer!$C$5&lt;&gt;"",Offer!$C$5,"[NAME]"))&amp;CHAR(10)&amp;"FC Urban"</f>
        <v/>
      </c>
      <c r="AH20" s="14">
        <f>IF(LEN("Hi"&amp;IF(O20&lt;&gt;""," "&amp;O20,"")&amp;","&amp;" FC Urban runs after-work football for "&amp;IF(D20="Canary Wharf","Canary Wharf","City")&amp;" teams. We have a "&amp;AC20&amp;" pitch at "&amp;X20&amp;", "&amp;Y20&amp;" min from your office, "&amp;IF(ISNUMBER(AB20),TEXT(AB20,"ddd d mmm")&amp;", "&amp;TEXT(AB20,"hh:mm"),"weekday evenings")&amp;", "&amp;IF(AD20&lt;&gt;"","£"&amp;IF(AD20=INT(AD20),TEXT(AD20,"0"),TEXT(AD20,"0.00")),"[PRICE PER PLAYER]")&amp;" a player. We handle booking, sign-ups and payments. Fancy "&amp;IF(ISNUMBER(SEARCH(LEFT(F20,1),"AEIOU")),"an ","a ")&amp;F20&amp;" team game? "&amp;IF(AL20&lt;&gt;"",AL20,IF(Offer!$C$5&lt;&gt;"",Offer!$C$5,"[NAME]")))&lt;=300,"Hi"&amp;IF(O20&lt;&gt;""," "&amp;O20,"")&amp;","&amp;" FC Urban runs after-work football for "&amp;IF(D20="Canary Wharf","Canary Wharf","City")&amp;" teams. We have a "&amp;AC20&amp;" pitch at "&amp;X20&amp;", "&amp;Y20&amp;" min from your office, "&amp;IF(ISNUMBER(AB20),TEXT(AB20,"ddd d mmm")&amp;", "&amp;TEXT(AB20,"hh:mm"),"weekday evenings")&amp;", "&amp;IF(AD20&lt;&gt;"","£"&amp;IF(AD20=INT(AD20),TEXT(AD20,"0"),TEXT(AD20,"0.00")),"[PRICE PER PLAYER]")&amp;" a player. We handle booking, sign-ups and payments. Fancy "&amp;IF(ISNUMBER(SEARCH(LEFT(F20,1),"AEIOU")),"an ","a ")&amp;F20&amp;" team game? "&amp;IF(AL20&lt;&gt;"",AL20,IF(Offer!$C$5&lt;&gt;"",Offer!$C$5,"[NAME]")),LEFT("Hi"&amp;IF(O20&lt;&gt;""," "&amp;O20,"")&amp;","&amp;" FC Urban runs after-work football for "&amp;IF(D20="Canary Wharf","Canary Wharf","City")&amp;" teams: "&amp;AC20&amp;" at "&amp;X20&amp;", "&amp;Y20&amp;" min from your office, "&amp;IF(ISNUMBER(AB20),TEXT(AB20,"ddd d mmm")&amp;", "&amp;TEXT(AB20,"hh:mm"),"weekday evenings")&amp;", "&amp;IF(AD20&lt;&gt;"","£"&amp;IF(AD20=INT(AD20),TEXT(AD20,"0"),TEXT(AD20,"0.00")),"[PRICE PER PLAYER]")&amp;" pp. We handle booking and payments. Up for a team game? "&amp;IF(AL20&lt;&gt;"",AL20,IF(Offer!$C$5&lt;&gt;"",Offer!$C$5,"[NAME]")),300))</f>
        <v/>
      </c>
      <c r="AI20" s="14">
        <f>LEN(AH20)</f>
        <v/>
      </c>
      <c r="AJ20" s="14">
        <f>"Thanks for connecting"&amp;IF(O20&lt;&gt;"",", "&amp;O20,"")&amp;". "&amp;IF(ISNUMBER(AB20),"The "&amp;AC20&amp;" slot at "&amp;X20&amp;" is "&amp;IF(ISNUMBER(AB20),TEXT(AB20,"ddd d mmm")&amp;", "&amp;TEXT(AB20,"hh:mm"),"weekday evenings"),"We can book "&amp;AC20&amp;" at "&amp;X20&amp;" on a weekday evening that suits you")&amp;" and it's "&amp;IF(AD20&lt;&gt;"","£"&amp;IF(AD20=INT(AD20),TEXT(AD20,"0"),TEXT(AD20,"0.00")),"[PRICE PER PLAYER]")&amp;" a player, all booked and paid through one link. If football isn't your thing, who at "&amp;F20&amp;" would be the right person to organise a team game?"&amp;IF(Offer!$C$7&lt;&gt;""," Spots are held until "&amp;TEXT(Offer!$C$7,"dddd d mmmm")&amp;".","")&amp;" "&amp;IF(Offer!$C$6&lt;&gt;"",Offer!$C$6,"[JOINING LINK]")</f>
        <v/>
      </c>
      <c r="AK20" s="14">
        <f>IF(OR(ISNUMBER(SEARCH("[",AG20)),ISNUMBER(SEARCH("[",AJ20))),"Fill placeholders",IF(ISNUMBER(AB20),"Ready to send","Ready · no fixed slot"))</f>
        <v/>
      </c>
      <c r="AN20" s="17" t="n"/>
    </row>
    <row r="21">
      <c r="A21" s="11" t="n">
        <v>19</v>
      </c>
      <c r="B21" s="11" t="n">
        <v>1</v>
      </c>
      <c r="C21" s="11" t="inlineStr">
        <is>
          <t>Law firm</t>
        </is>
      </c>
      <c r="D21" s="11" t="inlineStr">
        <is>
          <t>City of London</t>
        </is>
      </c>
      <c r="E21" s="11" t="inlineStr">
        <is>
          <t>Holman Fenwick Willan LLP</t>
        </is>
      </c>
      <c r="F21" s="11" t="inlineStr">
        <is>
          <t>Holman Fenwick Willan</t>
        </is>
      </c>
      <c r="G21" s="11" t="inlineStr">
        <is>
          <t>OC343361</t>
        </is>
      </c>
      <c r="H21" s="12" t="inlineStr">
        <is>
          <t>Open</t>
        </is>
      </c>
      <c r="I21" s="12" t="inlineStr">
        <is>
          <t>Search</t>
        </is>
      </c>
      <c r="J21" s="11" t="inlineStr">
        <is>
          <t>Group</t>
        </is>
      </c>
      <c r="K21" s="13" t="n">
        <v>39860</v>
      </c>
      <c r="L21" s="11" t="inlineStr">
        <is>
          <t>8 Bishopsgate, London</t>
        </is>
      </c>
      <c r="M21" s="11" t="inlineStr">
        <is>
          <t>EC2N 4BQ</t>
        </is>
      </c>
      <c r="N21" s="11" t="inlineStr">
        <is>
          <t>No</t>
        </is>
      </c>
      <c r="U21" s="11" t="inlineStr">
        <is>
          <t>Liverpool St - Attlee Centre</t>
        </is>
      </c>
      <c r="V21" s="11" t="n">
        <v>14</v>
      </c>
      <c r="W21" s="11" t="inlineStr">
        <is>
          <t>Shoreditch Powerleague (18.7)</t>
        </is>
      </c>
      <c r="X21" s="11" t="inlineStr">
        <is>
          <t>Shoreditch Powerleague</t>
        </is>
      </c>
      <c r="Y21" s="11" t="n">
        <v>19</v>
      </c>
      <c r="Z21" s="14">
        <f>IFERROR(INDEX(Venues!$E$2:$E$15,MATCH(X21,Venues!$A$2:$A$15,0)),"Not checked")</f>
        <v/>
      </c>
      <c r="AA21" s="14">
        <f>IFERROR(INDEX(Venues!$F$2:$F$15,MATCH(X21,Venues!$A$2:$A$15,0)),0)</f>
        <v/>
      </c>
      <c r="AB21" s="15">
        <f>IFERROR(INDEX(Venues!$M$2:$M$15,MATCH(X21,Venues!$A$2:$A$15,0)),"")</f>
        <v/>
      </c>
      <c r="AC21" s="14">
        <f>IFERROR(INDEX(Venues!$N$2:$N$15,MATCH(X21,Venues!$A$2:$A$15,0)),"5-a-side")</f>
        <v/>
      </c>
      <c r="AD21" s="16">
        <f>IF(Offer!$C$4="","",Offer!$C$4)</f>
        <v/>
      </c>
      <c r="AE21" s="14">
        <f>X21&amp;" ("&amp;Y21&amp;" min walk) · "&amp;IF(ISNUMBER(AB21),TEXT(AB21,"ddd d mmm, hh:mm"),"slot to confirm with venue")&amp;" · "&amp;AC21&amp;" · "&amp;IF(AD21&lt;&gt;"","£"&amp;TEXT(AD21,"0.00")&amp;" pp","price TBC")</f>
        <v/>
      </c>
      <c r="AF21" s="14">
        <f>"After-work football for "&amp;F21&amp;" · "&amp;X21&amp;", "&amp;Y21&amp;" min from your office"</f>
        <v/>
      </c>
      <c r="AG21" s="14">
        <f>"Hi"&amp;IF(O21&lt;&gt;""," "&amp;O21,"")&amp;","&amp;CHAR(10)&amp;CHAR(10)&amp;"I'm "&amp;IF(AL21&lt;&gt;"",AL21,IF(Offer!$C$5&lt;&gt;"",Offer!$C$5,"[NAME]"))&amp;" from FC Urban. We organise after-work football for teams in the City and Canary Wharf."&amp;CHAR(10)&amp;CHAR(10)&amp;"We have a "&amp;AC21&amp;" pitch at "&amp;X21&amp;", "&amp;IF(OR(Y21=8,Y21=11,Y21=18),"an ","a ")&amp;Y21&amp;"-minute walk from your "&amp;M21&amp;" office, "&amp;IF(ISNUMBER(AB21),"on "&amp;TEXT(AB21,"dddd d mmmm")&amp;" at "&amp;TEXT(AB21,"hh:mm"),"on a weekday evening that suits your team")&amp;". It's "&amp;IF(AD21&lt;&gt;"","£"&amp;IF(AD21=INT(AD21),TEXT(AD21,"0"),TEXT(AD21,"0.00")),"[PRICE PER PLAYER]")&amp;" a player and we handle the pitch booking, sign-ups and payments, so all it takes is one person sharing a link with the team."&amp;CHAR(10)&amp;CHAR(10)&amp;"It works well as a team social or "&amp;IF(ISNUMBER(SEARCH(LEFT(F21,1),"AEIOU")),"an ","a ")&amp;F21&amp;"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LINK]")&amp;CHAR(10)&amp;CHAR(10)&amp;"Best,"&amp;CHAR(10)&amp;IF(AL21&lt;&gt;"",AL21,IF(Offer!$C$5&lt;&gt;"",Offer!$C$5,"[NAME]"))&amp;CHAR(10)&amp;"FC Urban"</f>
        <v/>
      </c>
      <c r="AH21" s="14">
        <f>IF(LEN("Hi"&amp;IF(O21&lt;&gt;""," "&amp;O21,"")&amp;","&amp;" FC Urban runs after-work football for "&amp;IF(D21="Canary Wharf","Canary Wharf","City")&amp;" teams. We have a "&amp;AC21&amp;" pitch at "&amp;X21&amp;", "&amp;Y21&amp;" min from your office, "&amp;IF(ISNUMBER(AB21),TEXT(AB21,"ddd d mmm")&amp;", "&amp;TEXT(AB21,"hh:mm"),"weekday evenings")&amp;", "&amp;IF(AD21&lt;&gt;"","£"&amp;IF(AD21=INT(AD21),TEXT(AD21,"0"),TEXT(AD21,"0.00")),"[PRICE PER PLAYER]")&amp;" a player. We handle booking, sign-ups and payments. Fancy "&amp;IF(ISNUMBER(SEARCH(LEFT(F21,1),"AEIOU")),"an ","a ")&amp;F21&amp;" team game? "&amp;IF(AL21&lt;&gt;"",AL21,IF(Offer!$C$5&lt;&gt;"",Offer!$C$5,"[NAME]")))&lt;=300,"Hi"&amp;IF(O21&lt;&gt;""," "&amp;O21,"")&amp;","&amp;" FC Urban runs after-work football for "&amp;IF(D21="Canary Wharf","Canary Wharf","City")&amp;" teams. We have a "&amp;AC21&amp;" pitch at "&amp;X21&amp;", "&amp;Y21&amp;" min from your office, "&amp;IF(ISNUMBER(AB21),TEXT(AB21,"ddd d mmm")&amp;", "&amp;TEXT(AB21,"hh:mm"),"weekday evenings")&amp;", "&amp;IF(AD21&lt;&gt;"","£"&amp;IF(AD21=INT(AD21),TEXT(AD21,"0"),TEXT(AD21,"0.00")),"[PRICE PER PLAYER]")&amp;" a player. We handle booking, sign-ups and payments. Fancy "&amp;IF(ISNUMBER(SEARCH(LEFT(F21,1),"AEIOU")),"an ","a ")&amp;F21&amp;" team game? "&amp;IF(AL21&lt;&gt;"",AL21,IF(Offer!$C$5&lt;&gt;"",Offer!$C$5,"[NAME]")),LEFT("Hi"&amp;IF(O21&lt;&gt;""," "&amp;O21,"")&amp;","&amp;" FC Urban runs after-work football for "&amp;IF(D21="Canary Wharf","Canary Wharf","City")&amp;" teams: "&amp;AC21&amp;" at "&amp;X21&amp;", "&amp;Y21&amp;" min from your office, "&amp;IF(ISNUMBER(AB21),TEXT(AB21,"ddd d mmm")&amp;", "&amp;TEXT(AB21,"hh:mm"),"weekday evenings")&amp;", "&amp;IF(AD21&lt;&gt;"","£"&amp;IF(AD21=INT(AD21),TEXT(AD21,"0"),TEXT(AD21,"0.00")),"[PRICE PER PLAYER]")&amp;" pp. We handle booking and payments. Up for a team game? "&amp;IF(AL21&lt;&gt;"",AL21,IF(Offer!$C$5&lt;&gt;"",Offer!$C$5,"[NAME]")),300))</f>
        <v/>
      </c>
      <c r="AI21" s="14">
        <f>LEN(AH21)</f>
        <v/>
      </c>
      <c r="AJ21" s="14">
        <f>"Thanks for connecting"&amp;IF(O21&lt;&gt;"",", "&amp;O21,"")&amp;". "&amp;IF(ISNUMBER(AB21),"The "&amp;AC21&amp;" slot at "&amp;X21&amp;" is "&amp;IF(ISNUMBER(AB21),TEXT(AB21,"ddd d mmm")&amp;", "&amp;TEXT(AB21,"hh:mm"),"weekday evenings"),"We can book "&amp;AC21&amp;" at "&amp;X21&amp;" on a weekday evening that suits you")&amp;" and it's "&amp;IF(AD21&lt;&gt;"","£"&amp;IF(AD21=INT(AD21),TEXT(AD21,"0"),TEXT(AD21,"0.00")),"[PRICE PER PLAYER]")&amp;" a player, all booked and paid through one link. If football isn't your thing, who at "&amp;F21&amp;" would be the right person to organise a team game?"&amp;IF(Offer!$C$7&lt;&gt;""," Spots are held until "&amp;TEXT(Offer!$C$7,"dddd d mmmm")&amp;".","")&amp;" "&amp;IF(Offer!$C$6&lt;&gt;"",Offer!$C$6,"[JOINING LINK]")</f>
        <v/>
      </c>
      <c r="AK21" s="14">
        <f>IF(OR(ISNUMBER(SEARCH("[",AG21)),ISNUMBER(SEARCH("[",AJ21))),"Fill placeholders",IF(ISNUMBER(AB21),"Ready to send","Ready · no fixed slot"))</f>
        <v/>
      </c>
      <c r="AN21" s="17" t="n"/>
    </row>
    <row r="22">
      <c r="A22" s="11" t="n">
        <v>20</v>
      </c>
      <c r="B22" s="11" t="n">
        <v>1</v>
      </c>
      <c r="C22" s="11" t="inlineStr">
        <is>
          <t>Bank</t>
        </is>
      </c>
      <c r="D22" s="11" t="inlineStr">
        <is>
          <t>Canary Wharf</t>
        </is>
      </c>
      <c r="E22" s="11" t="inlineStr">
        <is>
          <t>HSBC Bank PLC</t>
        </is>
      </c>
      <c r="F22" s="11" t="inlineStr">
        <is>
          <t>HSBC</t>
        </is>
      </c>
      <c r="G22" s="11" t="inlineStr">
        <is>
          <t>00014259</t>
        </is>
      </c>
      <c r="H22" s="12" t="inlineStr">
        <is>
          <t>Open</t>
        </is>
      </c>
      <c r="I22" s="12" t="inlineStr">
        <is>
          <t>Search</t>
        </is>
      </c>
      <c r="J22" s="11" t="inlineStr">
        <is>
          <t>Group</t>
        </is>
      </c>
      <c r="K22" s="13" t="n">
        <v>-7121</v>
      </c>
      <c r="L22" s="11" t="inlineStr">
        <is>
          <t>8 Canada Square, London</t>
        </is>
      </c>
      <c r="M22" s="11" t="inlineStr">
        <is>
          <t>E14 5HQ</t>
        </is>
      </c>
      <c r="N22" s="11" t="inlineStr">
        <is>
          <t>Yes</t>
        </is>
      </c>
      <c r="U22" s="11" t="inlineStr">
        <is>
          <t>Poplar</t>
        </is>
      </c>
      <c r="V22" s="11" t="n">
        <v>6</v>
      </c>
      <c r="W22" s="11" t="inlineStr">
        <is>
          <t>PlayFootball Canary Wharf - Westferry (E14 8HH) (17.2)</t>
        </is>
      </c>
      <c r="X22" s="11" t="inlineStr">
        <is>
          <t>Poplar</t>
        </is>
      </c>
      <c r="Y22" s="11" t="n">
        <v>6</v>
      </c>
      <c r="Z22" s="14">
        <f>IFERROR(INDEX(Venues!$E$2:$E$15,MATCH(X22,Venues!$A$2:$A$15,0)),"Not checked")</f>
        <v/>
      </c>
      <c r="AA22" s="14">
        <f>IFERROR(INDEX(Venues!$F$2:$F$15,MATCH(X22,Venues!$A$2:$A$15,0)),0)</f>
        <v/>
      </c>
      <c r="AB22" s="15">
        <f>IFERROR(INDEX(Venues!$M$2:$M$15,MATCH(X22,Venues!$A$2:$A$15,0)),"")</f>
        <v/>
      </c>
      <c r="AC22" s="14">
        <f>IFERROR(INDEX(Venues!$N$2:$N$15,MATCH(X22,Venues!$A$2:$A$15,0)),"5-a-side")</f>
        <v/>
      </c>
      <c r="AD22" s="16">
        <f>IF(Offer!$C$4="","",Offer!$C$4)</f>
        <v/>
      </c>
      <c r="AE22" s="14">
        <f>X22&amp;" ("&amp;Y22&amp;" min walk) · "&amp;IF(ISNUMBER(AB22),TEXT(AB22,"ddd d mmm, hh:mm"),"slot to confirm with venue")&amp;" · "&amp;AC22&amp;" · "&amp;IF(AD22&lt;&gt;"","£"&amp;TEXT(AD22,"0.00")&amp;" pp","price TBC")</f>
        <v/>
      </c>
      <c r="AF22" s="14">
        <f>"After-work football for "&amp;F22&amp;" · "&amp;X22&amp;", "&amp;Y22&amp;" min from your office"</f>
        <v/>
      </c>
      <c r="AG22" s="14">
        <f>"Hi"&amp;IF(O22&lt;&gt;""," "&amp;O22,"")&amp;","&amp;CHAR(10)&amp;CHAR(10)&amp;"I'm "&amp;IF(AL22&lt;&gt;"",AL22,IF(Offer!$C$5&lt;&gt;"",Offer!$C$5,"[NAME]"))&amp;" from FC Urban. We organise after-work football for teams in the City and Canary Wharf."&amp;CHAR(10)&amp;CHAR(10)&amp;"We have a "&amp;AC22&amp;" pitch at "&amp;X22&amp;", "&amp;IF(OR(Y22=8,Y22=11,Y22=18),"an ","a ")&amp;Y22&amp;"-minute walk from your "&amp;M22&amp;" office, "&amp;IF(ISNUMBER(AB22),"on "&amp;TEXT(AB22,"dddd d mmmm")&amp;" at "&amp;TEXT(AB22,"hh:mm"),"on a weekday evening that suits your team")&amp;". It's "&amp;IF(AD22&lt;&gt;"","£"&amp;IF(AD22=INT(AD22),TEXT(AD22,"0"),TEXT(AD22,"0.00")),"[PRICE PER PLAYER]")&amp;" a player and we handle the pitch booking, sign-ups and payments, so all it takes is one person sharing a link with the team."&amp;CHAR(10)&amp;CHAR(10)&amp;"It works well as a team social or "&amp;IF(ISNUMBER(SEARCH(LEFT(F22,1),"AEIOU")),"an ","a ")&amp;F22&amp;"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LINK]")&amp;CHAR(10)&amp;CHAR(10)&amp;"Best,"&amp;CHAR(10)&amp;IF(AL22&lt;&gt;"",AL22,IF(Offer!$C$5&lt;&gt;"",Offer!$C$5,"[NAME]"))&amp;CHAR(10)&amp;"FC Urban"</f>
        <v/>
      </c>
      <c r="AH22" s="14">
        <f>IF(LEN("Hi"&amp;IF(O22&lt;&gt;""," "&amp;O22,"")&amp;","&amp;" FC Urban runs after-work football for "&amp;IF(D22="Canary Wharf","Canary Wharf","City")&amp;" teams. We have a "&amp;AC22&amp;" pitch at "&amp;X22&amp;", "&amp;Y22&amp;" min from your office, "&amp;IF(ISNUMBER(AB22),TEXT(AB22,"ddd d mmm")&amp;", "&amp;TEXT(AB22,"hh:mm"),"weekday evenings")&amp;", "&amp;IF(AD22&lt;&gt;"","£"&amp;IF(AD22=INT(AD22),TEXT(AD22,"0"),TEXT(AD22,"0.00")),"[PRICE PER PLAYER]")&amp;" a player. We handle booking, sign-ups and payments. Fancy "&amp;IF(ISNUMBER(SEARCH(LEFT(F22,1),"AEIOU")),"an ","a ")&amp;F22&amp;" team game? "&amp;IF(AL22&lt;&gt;"",AL22,IF(Offer!$C$5&lt;&gt;"",Offer!$C$5,"[NAME]")))&lt;=300,"Hi"&amp;IF(O22&lt;&gt;""," "&amp;O22,"")&amp;","&amp;" FC Urban runs after-work football for "&amp;IF(D22="Canary Wharf","Canary Wharf","City")&amp;" teams. We have a "&amp;AC22&amp;" pitch at "&amp;X22&amp;", "&amp;Y22&amp;" min from your office, "&amp;IF(ISNUMBER(AB22),TEXT(AB22,"ddd d mmm")&amp;", "&amp;TEXT(AB22,"hh:mm"),"weekday evenings")&amp;", "&amp;IF(AD22&lt;&gt;"","£"&amp;IF(AD22=INT(AD22),TEXT(AD22,"0"),TEXT(AD22,"0.00")),"[PRICE PER PLAYER]")&amp;" a player. We handle booking, sign-ups and payments. Fancy "&amp;IF(ISNUMBER(SEARCH(LEFT(F22,1),"AEIOU")),"an ","a ")&amp;F22&amp;" team game? "&amp;IF(AL22&lt;&gt;"",AL22,IF(Offer!$C$5&lt;&gt;"",Offer!$C$5,"[NAME]")),LEFT("Hi"&amp;IF(O22&lt;&gt;""," "&amp;O22,"")&amp;","&amp;" FC Urban runs after-work football for "&amp;IF(D22="Canary Wharf","Canary Wharf","City")&amp;" teams: "&amp;AC22&amp;" at "&amp;X22&amp;", "&amp;Y22&amp;" min from your office, "&amp;IF(ISNUMBER(AB22),TEXT(AB22,"ddd d mmm")&amp;", "&amp;TEXT(AB22,"hh:mm"),"weekday evenings")&amp;", "&amp;IF(AD22&lt;&gt;"","£"&amp;IF(AD22=INT(AD22),TEXT(AD22,"0"),TEXT(AD22,"0.00")),"[PRICE PER PLAYER]")&amp;" pp. We handle booking and payments. Up for a team game? "&amp;IF(AL22&lt;&gt;"",AL22,IF(Offer!$C$5&lt;&gt;"",Offer!$C$5,"[NAME]")),300))</f>
        <v/>
      </c>
      <c r="AI22" s="14">
        <f>LEN(AH22)</f>
        <v/>
      </c>
      <c r="AJ22" s="14">
        <f>"Thanks for connecting"&amp;IF(O22&lt;&gt;"",", "&amp;O22,"")&amp;". "&amp;IF(ISNUMBER(AB22),"The "&amp;AC22&amp;" slot at "&amp;X22&amp;" is "&amp;IF(ISNUMBER(AB22),TEXT(AB22,"ddd d mmm")&amp;", "&amp;TEXT(AB22,"hh:mm"),"weekday evenings"),"We can book "&amp;AC22&amp;" at "&amp;X22&amp;" on a weekday evening that suits you")&amp;" and it's "&amp;IF(AD22&lt;&gt;"","£"&amp;IF(AD22=INT(AD22),TEXT(AD22,"0"),TEXT(AD22,"0.00")),"[PRICE PER PLAYER]")&amp;" a player, all booked and paid through one link. If football isn't your thing, who at "&amp;F22&amp;" would be the right person to organise a team game?"&amp;IF(Offer!$C$7&lt;&gt;""," Spots are held until "&amp;TEXT(Offer!$C$7,"dddd d mmmm")&amp;".","")&amp;" "&amp;IF(Offer!$C$6&lt;&gt;"",Offer!$C$6,"[JOINING LINK]")</f>
        <v/>
      </c>
      <c r="AK22" s="14">
        <f>IF(OR(ISNUMBER(SEARCH("[",AG22)),ISNUMBER(SEARCH("[",AJ22))),"Fill placeholders",IF(ISNUMBER(AB22),"Ready to send","Ready · no fixed slot"))</f>
        <v/>
      </c>
      <c r="AN22" s="17" t="n"/>
    </row>
    <row r="23">
      <c r="A23" s="11" t="n">
        <v>21</v>
      </c>
      <c r="B23" s="11" t="n">
        <v>1</v>
      </c>
      <c r="C23" s="11" t="inlineStr">
        <is>
          <t>Bank</t>
        </is>
      </c>
      <c r="D23" s="11" t="inlineStr">
        <is>
          <t>City of London</t>
        </is>
      </c>
      <c r="E23" s="11" t="inlineStr">
        <is>
          <t>Itaú BBA International PLC</t>
        </is>
      </c>
      <c r="F23" s="11" t="inlineStr">
        <is>
          <t>Itaú BBA</t>
        </is>
      </c>
      <c r="G23" s="11" t="inlineStr">
        <is>
          <t>07425398</t>
        </is>
      </c>
      <c r="H23" s="12" t="inlineStr">
        <is>
          <t>Open</t>
        </is>
      </c>
      <c r="I23" s="12" t="inlineStr">
        <is>
          <t>Search</t>
        </is>
      </c>
      <c r="J23" s="11" t="inlineStr">
        <is>
          <t>Group</t>
        </is>
      </c>
      <c r="K23" s="13" t="n">
        <v>40483</v>
      </c>
      <c r="L23" s="11" t="inlineStr">
        <is>
          <t>The Broadgate Tower, Level 10A, 20 Primrose Street, London</t>
        </is>
      </c>
      <c r="M23" s="11" t="inlineStr">
        <is>
          <t>EC2A 2EW</t>
        </is>
      </c>
      <c r="N23" s="11" t="inlineStr">
        <is>
          <t>Yes</t>
        </is>
      </c>
      <c r="U23" s="11" t="inlineStr">
        <is>
          <t>Shoreditch Powerleague</t>
        </is>
      </c>
      <c r="V23" s="11" t="n">
        <v>6</v>
      </c>
      <c r="W23" s="11" t="inlineStr">
        <is>
          <t>Liverpool St - Attlee Centre (9.9)</t>
        </is>
      </c>
      <c r="X23" s="11" t="inlineStr">
        <is>
          <t>Shoreditch Powerleague</t>
        </is>
      </c>
      <c r="Y23" s="11" t="n">
        <v>6</v>
      </c>
      <c r="Z23" s="14">
        <f>IFERROR(INDEX(Venues!$E$2:$E$15,MATCH(X23,Venues!$A$2:$A$15,0)),"Not checked")</f>
        <v/>
      </c>
      <c r="AA23" s="14">
        <f>IFERROR(INDEX(Venues!$F$2:$F$15,MATCH(X23,Venues!$A$2:$A$15,0)),0)</f>
        <v/>
      </c>
      <c r="AB23" s="15">
        <f>IFERROR(INDEX(Venues!$M$2:$M$15,MATCH(X23,Venues!$A$2:$A$15,0)),"")</f>
        <v/>
      </c>
      <c r="AC23" s="14">
        <f>IFERROR(INDEX(Venues!$N$2:$N$15,MATCH(X23,Venues!$A$2:$A$15,0)),"5-a-side")</f>
        <v/>
      </c>
      <c r="AD23" s="16">
        <f>IF(Offer!$C$4="","",Offer!$C$4)</f>
        <v/>
      </c>
      <c r="AE23" s="14">
        <f>X23&amp;" ("&amp;Y23&amp;" min walk) · "&amp;IF(ISNUMBER(AB23),TEXT(AB23,"ddd d mmm, hh:mm"),"slot to confirm with venue")&amp;" · "&amp;AC23&amp;" · "&amp;IF(AD23&lt;&gt;"","£"&amp;TEXT(AD23,"0.00")&amp;" pp","price TBC")</f>
        <v/>
      </c>
      <c r="AF23" s="14">
        <f>"After-work football for "&amp;F23&amp;" · "&amp;X23&amp;", "&amp;Y23&amp;" min from your office"</f>
        <v/>
      </c>
      <c r="AG23" s="14">
        <f>"Hi"&amp;IF(O23&lt;&gt;""," "&amp;O23,"")&amp;","&amp;CHAR(10)&amp;CHAR(10)&amp;"I'm "&amp;IF(AL23&lt;&gt;"",AL23,IF(Offer!$C$5&lt;&gt;"",Offer!$C$5,"[NAME]"))&amp;" from FC Urban. We organise after-work football for teams in the City and Canary Wharf."&amp;CHAR(10)&amp;CHAR(10)&amp;"We have a "&amp;AC23&amp;" pitch at "&amp;X23&amp;", "&amp;IF(OR(Y23=8,Y23=11,Y23=18),"an ","a ")&amp;Y23&amp;"-minute walk from your "&amp;M23&amp;" office, "&amp;IF(ISNUMBER(AB23),"on "&amp;TEXT(AB23,"dddd d mmmm")&amp;" at "&amp;TEXT(AB23,"hh:mm"),"on a weekday evening that suits your team")&amp;". It's "&amp;IF(AD23&lt;&gt;"","£"&amp;IF(AD23=INT(AD23),TEXT(AD23,"0"),TEXT(AD23,"0.00")),"[PRICE PER PLAYER]")&amp;" a player and we handle the pitch booking, sign-ups and payments, so all it takes is one person sharing a link with the team."&amp;CHAR(10)&amp;CHAR(10)&amp;"It works well as a team social or "&amp;IF(ISNUMBER(SEARCH(LEFT(F23,1),"AEIOU")),"an ","a ")&amp;F23&amp;"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LINK]")&amp;CHAR(10)&amp;CHAR(10)&amp;"Best,"&amp;CHAR(10)&amp;IF(AL23&lt;&gt;"",AL23,IF(Offer!$C$5&lt;&gt;"",Offer!$C$5,"[NAME]"))&amp;CHAR(10)&amp;"FC Urban"</f>
        <v/>
      </c>
      <c r="AH23" s="14">
        <f>IF(LEN("Hi"&amp;IF(O23&lt;&gt;""," "&amp;O23,"")&amp;","&amp;" FC Urban runs after-work football for "&amp;IF(D23="Canary Wharf","Canary Wharf","City")&amp;" teams. We have a "&amp;AC23&amp;" pitch at "&amp;X23&amp;", "&amp;Y23&amp;" min from your office, "&amp;IF(ISNUMBER(AB23),TEXT(AB23,"ddd d mmm")&amp;", "&amp;TEXT(AB23,"hh:mm"),"weekday evenings")&amp;", "&amp;IF(AD23&lt;&gt;"","£"&amp;IF(AD23=INT(AD23),TEXT(AD23,"0"),TEXT(AD23,"0.00")),"[PRICE PER PLAYER]")&amp;" a player. We handle booking, sign-ups and payments. Fancy "&amp;IF(ISNUMBER(SEARCH(LEFT(F23,1),"AEIOU")),"an ","a ")&amp;F23&amp;" team game? "&amp;IF(AL23&lt;&gt;"",AL23,IF(Offer!$C$5&lt;&gt;"",Offer!$C$5,"[NAME]")))&lt;=300,"Hi"&amp;IF(O23&lt;&gt;""," "&amp;O23,"")&amp;","&amp;" FC Urban runs after-work football for "&amp;IF(D23="Canary Wharf","Canary Wharf","City")&amp;" teams. We have a "&amp;AC23&amp;" pitch at "&amp;X23&amp;", "&amp;Y23&amp;" min from your office, "&amp;IF(ISNUMBER(AB23),TEXT(AB23,"ddd d mmm")&amp;", "&amp;TEXT(AB23,"hh:mm"),"weekday evenings")&amp;", "&amp;IF(AD23&lt;&gt;"","£"&amp;IF(AD23=INT(AD23),TEXT(AD23,"0"),TEXT(AD23,"0.00")),"[PRICE PER PLAYER]")&amp;" a player. We handle booking, sign-ups and payments. Fancy "&amp;IF(ISNUMBER(SEARCH(LEFT(F23,1),"AEIOU")),"an ","a ")&amp;F23&amp;" team game? "&amp;IF(AL23&lt;&gt;"",AL23,IF(Offer!$C$5&lt;&gt;"",Offer!$C$5,"[NAME]")),LEFT("Hi"&amp;IF(O23&lt;&gt;""," "&amp;O23,"")&amp;","&amp;" FC Urban runs after-work football for "&amp;IF(D23="Canary Wharf","Canary Wharf","City")&amp;" teams: "&amp;AC23&amp;" at "&amp;X23&amp;", "&amp;Y23&amp;" min from your office, "&amp;IF(ISNUMBER(AB23),TEXT(AB23,"ddd d mmm")&amp;", "&amp;TEXT(AB23,"hh:mm"),"weekday evenings")&amp;", "&amp;IF(AD23&lt;&gt;"","£"&amp;IF(AD23=INT(AD23),TEXT(AD23,"0"),TEXT(AD23,"0.00")),"[PRICE PER PLAYER]")&amp;" pp. We handle booking and payments. Up for a team game? "&amp;IF(AL23&lt;&gt;"",AL23,IF(Offer!$C$5&lt;&gt;"",Offer!$C$5,"[NAME]")),300))</f>
        <v/>
      </c>
      <c r="AI23" s="14">
        <f>LEN(AH23)</f>
        <v/>
      </c>
      <c r="AJ23" s="14">
        <f>"Thanks for connecting"&amp;IF(O23&lt;&gt;"",", "&amp;O23,"")&amp;". "&amp;IF(ISNUMBER(AB23),"The "&amp;AC23&amp;" slot at "&amp;X23&amp;" is "&amp;IF(ISNUMBER(AB23),TEXT(AB23,"ddd d mmm")&amp;", "&amp;TEXT(AB23,"hh:mm"),"weekday evenings"),"We can book "&amp;AC23&amp;" at "&amp;X23&amp;" on a weekday evening that suits you")&amp;" and it's "&amp;IF(AD23&lt;&gt;"","£"&amp;IF(AD23=INT(AD23),TEXT(AD23,"0"),TEXT(AD23,"0.00")),"[PRICE PER PLAYER]")&amp;" a player, all booked and paid through one link. If football isn't your thing, who at "&amp;F23&amp;" would be the right person to organise a team game?"&amp;IF(Offer!$C$7&lt;&gt;""," Spots are held until "&amp;TEXT(Offer!$C$7,"dddd d mmmm")&amp;".","")&amp;" "&amp;IF(Offer!$C$6&lt;&gt;"",Offer!$C$6,"[JOINING LINK]")</f>
        <v/>
      </c>
      <c r="AK23" s="14">
        <f>IF(OR(ISNUMBER(SEARCH("[",AG23)),ISNUMBER(SEARCH("[",AJ23))),"Fill placeholders",IF(ISNUMBER(AB23),"Ready to send","Ready · no fixed slot"))</f>
        <v/>
      </c>
      <c r="AN23" s="17" t="n"/>
    </row>
    <row r="24">
      <c r="A24" s="11" t="n">
        <v>22</v>
      </c>
      <c r="B24" s="11" t="n">
        <v>1</v>
      </c>
      <c r="C24" s="11" t="inlineStr">
        <is>
          <t>Bank</t>
        </is>
      </c>
      <c r="D24" s="11" t="inlineStr">
        <is>
          <t>City of London</t>
        </is>
      </c>
      <c r="E24" s="11" t="inlineStr">
        <is>
          <t>National Westminster Bank Public Limited Company</t>
        </is>
      </c>
      <c r="F24" s="11" t="inlineStr">
        <is>
          <t>NatWest</t>
        </is>
      </c>
      <c r="G24" s="11" t="inlineStr">
        <is>
          <t>00929027</t>
        </is>
      </c>
      <c r="H24" s="12" t="inlineStr">
        <is>
          <t>Open</t>
        </is>
      </c>
      <c r="I24" s="12" t="inlineStr">
        <is>
          <t>Search</t>
        </is>
      </c>
      <c r="J24" s="11" t="inlineStr">
        <is>
          <t>Group</t>
        </is>
      </c>
      <c r="K24" s="13" t="n">
        <v>24915</v>
      </c>
      <c r="L24" s="11" t="inlineStr">
        <is>
          <t>250 Bishopsgate, London</t>
        </is>
      </c>
      <c r="M24" s="11" t="inlineStr">
        <is>
          <t>EC2M 4AA</t>
        </is>
      </c>
      <c r="N24" s="11" t="inlineStr">
        <is>
          <t>No</t>
        </is>
      </c>
      <c r="U24" s="11" t="inlineStr">
        <is>
          <t>Liverpool St - Attlee Centre</t>
        </is>
      </c>
      <c r="V24" s="11" t="n">
        <v>7</v>
      </c>
      <c r="W24" s="11" t="inlineStr">
        <is>
          <t>Shoreditch Powerleague (7.8)</t>
        </is>
      </c>
      <c r="X24" s="11" t="inlineStr">
        <is>
          <t>Shoreditch Powerleague</t>
        </is>
      </c>
      <c r="Y24" s="11" t="n">
        <v>8</v>
      </c>
      <c r="Z24" s="14">
        <f>IFERROR(INDEX(Venues!$E$2:$E$15,MATCH(X24,Venues!$A$2:$A$15,0)),"Not checked")</f>
        <v/>
      </c>
      <c r="AA24" s="14">
        <f>IFERROR(INDEX(Venues!$F$2:$F$15,MATCH(X24,Venues!$A$2:$A$15,0)),0)</f>
        <v/>
      </c>
      <c r="AB24" s="15">
        <f>IFERROR(INDEX(Venues!$M$2:$M$15,MATCH(X24,Venues!$A$2:$A$15,0)),"")</f>
        <v/>
      </c>
      <c r="AC24" s="14">
        <f>IFERROR(INDEX(Venues!$N$2:$N$15,MATCH(X24,Venues!$A$2:$A$15,0)),"5-a-side")</f>
        <v/>
      </c>
      <c r="AD24" s="16">
        <f>IF(Offer!$C$4="","",Offer!$C$4)</f>
        <v/>
      </c>
      <c r="AE24" s="14">
        <f>X24&amp;" ("&amp;Y24&amp;" min walk) · "&amp;IF(ISNUMBER(AB24),TEXT(AB24,"ddd d mmm, hh:mm"),"slot to confirm with venue")&amp;" · "&amp;AC24&amp;" · "&amp;IF(AD24&lt;&gt;"","£"&amp;TEXT(AD24,"0.00")&amp;" pp","price TBC")</f>
        <v/>
      </c>
      <c r="AF24" s="14">
        <f>"After-work football for "&amp;F24&amp;" · "&amp;X24&amp;", "&amp;Y24&amp;" min from your office"</f>
        <v/>
      </c>
      <c r="AG24" s="14">
        <f>"Hi"&amp;IF(O24&lt;&gt;""," "&amp;O24,"")&amp;","&amp;CHAR(10)&amp;CHAR(10)&amp;"I'm "&amp;IF(AL24&lt;&gt;"",AL24,IF(Offer!$C$5&lt;&gt;"",Offer!$C$5,"[NAME]"))&amp;" from FC Urban. We organise after-work football for teams in the City and Canary Wharf."&amp;CHAR(10)&amp;CHAR(10)&amp;"We have a "&amp;AC24&amp;" pitch at "&amp;X24&amp;", "&amp;IF(OR(Y24=8,Y24=11,Y24=18),"an ","a ")&amp;Y24&amp;"-minute walk from your "&amp;M24&amp;" office, "&amp;IF(ISNUMBER(AB24),"on "&amp;TEXT(AB24,"dddd d mmmm")&amp;" at "&amp;TEXT(AB24,"hh:mm"),"on a weekday evening that suits your team")&amp;". It's "&amp;IF(AD24&lt;&gt;"","£"&amp;IF(AD24=INT(AD24),TEXT(AD24,"0"),TEXT(AD24,"0.00")),"[PRICE PER PLAYER]")&amp;" a player and we handle the pitch booking, sign-ups and payments, so all it takes is one person sharing a link with the team."&amp;CHAR(10)&amp;CHAR(10)&amp;"It works well as a team social or "&amp;IF(ISNUMBER(SEARCH(LEFT(F24,1),"AEIOU")),"an ","a ")&amp;F24&amp;"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LINK]")&amp;CHAR(10)&amp;CHAR(10)&amp;"Best,"&amp;CHAR(10)&amp;IF(AL24&lt;&gt;"",AL24,IF(Offer!$C$5&lt;&gt;"",Offer!$C$5,"[NAME]"))&amp;CHAR(10)&amp;"FC Urban"</f>
        <v/>
      </c>
      <c r="AH24" s="14">
        <f>IF(LEN("Hi"&amp;IF(O24&lt;&gt;""," "&amp;O24,"")&amp;","&amp;" FC Urban runs after-work football for "&amp;IF(D24="Canary Wharf","Canary Wharf","City")&amp;" teams. We have a "&amp;AC24&amp;" pitch at "&amp;X24&amp;", "&amp;Y24&amp;" min from your office, "&amp;IF(ISNUMBER(AB24),TEXT(AB24,"ddd d mmm")&amp;", "&amp;TEXT(AB24,"hh:mm"),"weekday evenings")&amp;", "&amp;IF(AD24&lt;&gt;"","£"&amp;IF(AD24=INT(AD24),TEXT(AD24,"0"),TEXT(AD24,"0.00")),"[PRICE PER PLAYER]")&amp;" a player. We handle booking, sign-ups and payments. Fancy "&amp;IF(ISNUMBER(SEARCH(LEFT(F24,1),"AEIOU")),"an ","a ")&amp;F24&amp;" team game? "&amp;IF(AL24&lt;&gt;"",AL24,IF(Offer!$C$5&lt;&gt;"",Offer!$C$5,"[NAME]")))&lt;=300,"Hi"&amp;IF(O24&lt;&gt;""," "&amp;O24,"")&amp;","&amp;" FC Urban runs after-work football for "&amp;IF(D24="Canary Wharf","Canary Wharf","City")&amp;" teams. We have a "&amp;AC24&amp;" pitch at "&amp;X24&amp;", "&amp;Y24&amp;" min from your office, "&amp;IF(ISNUMBER(AB24),TEXT(AB24,"ddd d mmm")&amp;", "&amp;TEXT(AB24,"hh:mm"),"weekday evenings")&amp;", "&amp;IF(AD24&lt;&gt;"","£"&amp;IF(AD24=INT(AD24),TEXT(AD24,"0"),TEXT(AD24,"0.00")),"[PRICE PER PLAYER]")&amp;" a player. We handle booking, sign-ups and payments. Fancy "&amp;IF(ISNUMBER(SEARCH(LEFT(F24,1),"AEIOU")),"an ","a ")&amp;F24&amp;" team game? "&amp;IF(AL24&lt;&gt;"",AL24,IF(Offer!$C$5&lt;&gt;"",Offer!$C$5,"[NAME]")),LEFT("Hi"&amp;IF(O24&lt;&gt;""," "&amp;O24,"")&amp;","&amp;" FC Urban runs after-work football for "&amp;IF(D24="Canary Wharf","Canary Wharf","City")&amp;" teams: "&amp;AC24&amp;" at "&amp;X24&amp;", "&amp;Y24&amp;" min from your office, "&amp;IF(ISNUMBER(AB24),TEXT(AB24,"ddd d mmm")&amp;", "&amp;TEXT(AB24,"hh:mm"),"weekday evenings")&amp;", "&amp;IF(AD24&lt;&gt;"","£"&amp;IF(AD24=INT(AD24),TEXT(AD24,"0"),TEXT(AD24,"0.00")),"[PRICE PER PLAYER]")&amp;" pp. We handle booking and payments. Up for a team game? "&amp;IF(AL24&lt;&gt;"",AL24,IF(Offer!$C$5&lt;&gt;"",Offer!$C$5,"[NAME]")),300))</f>
        <v/>
      </c>
      <c r="AI24" s="14">
        <f>LEN(AH24)</f>
        <v/>
      </c>
      <c r="AJ24" s="14">
        <f>"Thanks for connecting"&amp;IF(O24&lt;&gt;"",", "&amp;O24,"")&amp;". "&amp;IF(ISNUMBER(AB24),"The "&amp;AC24&amp;" slot at "&amp;X24&amp;" is "&amp;IF(ISNUMBER(AB24),TEXT(AB24,"ddd d mmm")&amp;", "&amp;TEXT(AB24,"hh:mm"),"weekday evenings"),"We can book "&amp;AC24&amp;" at "&amp;X24&amp;" on a weekday evening that suits you")&amp;" and it's "&amp;IF(AD24&lt;&gt;"","£"&amp;IF(AD24=INT(AD24),TEXT(AD24,"0"),TEXT(AD24,"0.00")),"[PRICE PER PLAYER]")&amp;" a player, all booked and paid through one link. If football isn't your thing, who at "&amp;F24&amp;" would be the right person to organise a team game?"&amp;IF(Offer!$C$7&lt;&gt;""," Spots are held until "&amp;TEXT(Offer!$C$7,"dddd d mmmm")&amp;".","")&amp;" "&amp;IF(Offer!$C$6&lt;&gt;"",Offer!$C$6,"[JOINING LINK]")</f>
        <v/>
      </c>
      <c r="AK24" s="14">
        <f>IF(OR(ISNUMBER(SEARCH("[",AG24)),ISNUMBER(SEARCH("[",AJ24))),"Fill placeholders",IF(ISNUMBER(AB24),"Ready to send","Ready · no fixed slot"))</f>
        <v/>
      </c>
      <c r="AN24" s="17" t="n"/>
    </row>
    <row r="25">
      <c r="A25" s="11" t="n">
        <v>23</v>
      </c>
      <c r="B25" s="11" t="n">
        <v>1</v>
      </c>
      <c r="C25" s="11" t="inlineStr">
        <is>
          <t>Bank</t>
        </is>
      </c>
      <c r="D25" s="11" t="inlineStr">
        <is>
          <t>City of London</t>
        </is>
      </c>
      <c r="E25" s="11" t="inlineStr">
        <is>
          <t>Starling Bank Limited</t>
        </is>
      </c>
      <c r="F25" s="11" t="inlineStr">
        <is>
          <t>Starling Bank</t>
        </is>
      </c>
      <c r="G25" s="11" t="inlineStr">
        <is>
          <t>09092149</t>
        </is>
      </c>
      <c r="H25" s="12" t="inlineStr">
        <is>
          <t>Open</t>
        </is>
      </c>
      <c r="I25" s="12" t="inlineStr">
        <is>
          <t>Search</t>
        </is>
      </c>
      <c r="J25" s="11" t="inlineStr">
        <is>
          <t>Group</t>
        </is>
      </c>
      <c r="K25" s="13" t="n">
        <v>41808</v>
      </c>
      <c r="L25" s="11" t="inlineStr">
        <is>
          <t>5Th Floor London Fruit And Wool Exchange, 1 Duval Square, London</t>
        </is>
      </c>
      <c r="M25" s="11" t="inlineStr">
        <is>
          <t>E1 6PW</t>
        </is>
      </c>
      <c r="N25" s="11" t="inlineStr">
        <is>
          <t>No</t>
        </is>
      </c>
      <c r="U25" s="11" t="inlineStr">
        <is>
          <t>Liverpool St - Attlee Centre</t>
        </is>
      </c>
      <c r="V25" s="11" t="n">
        <v>3</v>
      </c>
      <c r="W25" s="11" t="inlineStr">
        <is>
          <t>Shoreditch Powerleague (8.1); Whitechapel (18.6)</t>
        </is>
      </c>
      <c r="X25" s="11" t="inlineStr">
        <is>
          <t>Shoreditch Powerleague</t>
        </is>
      </c>
      <c r="Y25" s="11" t="n">
        <v>8</v>
      </c>
      <c r="Z25" s="14">
        <f>IFERROR(INDEX(Venues!$E$2:$E$15,MATCH(X25,Venues!$A$2:$A$15,0)),"Not checked")</f>
        <v/>
      </c>
      <c r="AA25" s="14">
        <f>IFERROR(INDEX(Venues!$F$2:$F$15,MATCH(X25,Venues!$A$2:$A$15,0)),0)</f>
        <v/>
      </c>
      <c r="AB25" s="15">
        <f>IFERROR(INDEX(Venues!$M$2:$M$15,MATCH(X25,Venues!$A$2:$A$15,0)),"")</f>
        <v/>
      </c>
      <c r="AC25" s="14">
        <f>IFERROR(INDEX(Venues!$N$2:$N$15,MATCH(X25,Venues!$A$2:$A$15,0)),"5-a-side")</f>
        <v/>
      </c>
      <c r="AD25" s="16">
        <f>IF(Offer!$C$4="","",Offer!$C$4)</f>
        <v/>
      </c>
      <c r="AE25" s="14">
        <f>X25&amp;" ("&amp;Y25&amp;" min walk) · "&amp;IF(ISNUMBER(AB25),TEXT(AB25,"ddd d mmm, hh:mm"),"slot to confirm with venue")&amp;" · "&amp;AC25&amp;" · "&amp;IF(AD25&lt;&gt;"","£"&amp;TEXT(AD25,"0.00")&amp;" pp","price TBC")</f>
        <v/>
      </c>
      <c r="AF25" s="14">
        <f>"After-work football for "&amp;F25&amp;" · "&amp;X25&amp;", "&amp;Y25&amp;" min from your office"</f>
        <v/>
      </c>
      <c r="AG25" s="14">
        <f>"Hi"&amp;IF(O25&lt;&gt;""," "&amp;O25,"")&amp;","&amp;CHAR(10)&amp;CHAR(10)&amp;"I'm "&amp;IF(AL25&lt;&gt;"",AL25,IF(Offer!$C$5&lt;&gt;"",Offer!$C$5,"[NAME]"))&amp;" from FC Urban. We organise after-work football for teams in the City and Canary Wharf."&amp;CHAR(10)&amp;CHAR(10)&amp;"We have a "&amp;AC25&amp;" pitch at "&amp;X25&amp;", "&amp;IF(OR(Y25=8,Y25=11,Y25=18),"an ","a ")&amp;Y25&amp;"-minute walk from your "&amp;M25&amp;" office, "&amp;IF(ISNUMBER(AB25),"on "&amp;TEXT(AB25,"dddd d mmmm")&amp;" at "&amp;TEXT(AB25,"hh:mm"),"on a weekday evening that suits your team")&amp;". It's "&amp;IF(AD25&lt;&gt;"","£"&amp;IF(AD25=INT(AD25),TEXT(AD25,"0"),TEXT(AD25,"0.00")),"[PRICE PER PLAYER]")&amp;" a player and we handle the pitch booking, sign-ups and payments, so all it takes is one person sharing a link with the team."&amp;CHAR(10)&amp;CHAR(10)&amp;"It works well as a team social or "&amp;IF(ISNUMBER(SEARCH(LEFT(F25,1),"AEIOU")),"an ","a ")&amp;F25&amp;"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LINK]")&amp;CHAR(10)&amp;CHAR(10)&amp;"Best,"&amp;CHAR(10)&amp;IF(AL25&lt;&gt;"",AL25,IF(Offer!$C$5&lt;&gt;"",Offer!$C$5,"[NAME]"))&amp;CHAR(10)&amp;"FC Urban"</f>
        <v/>
      </c>
      <c r="AH25" s="14">
        <f>IF(LEN("Hi"&amp;IF(O25&lt;&gt;""," "&amp;O25,"")&amp;","&amp;" FC Urban runs after-work football for "&amp;IF(D25="Canary Wharf","Canary Wharf","City")&amp;" teams. We have a "&amp;AC25&amp;" pitch at "&amp;X25&amp;", "&amp;Y25&amp;" min from your office, "&amp;IF(ISNUMBER(AB25),TEXT(AB25,"ddd d mmm")&amp;", "&amp;TEXT(AB25,"hh:mm"),"weekday evenings")&amp;", "&amp;IF(AD25&lt;&gt;"","£"&amp;IF(AD25=INT(AD25),TEXT(AD25,"0"),TEXT(AD25,"0.00")),"[PRICE PER PLAYER]")&amp;" a player. We handle booking, sign-ups and payments. Fancy "&amp;IF(ISNUMBER(SEARCH(LEFT(F25,1),"AEIOU")),"an ","a ")&amp;F25&amp;" team game? "&amp;IF(AL25&lt;&gt;"",AL25,IF(Offer!$C$5&lt;&gt;"",Offer!$C$5,"[NAME]")))&lt;=300,"Hi"&amp;IF(O25&lt;&gt;""," "&amp;O25,"")&amp;","&amp;" FC Urban runs after-work football for "&amp;IF(D25="Canary Wharf","Canary Wharf","City")&amp;" teams. We have a "&amp;AC25&amp;" pitch at "&amp;X25&amp;", "&amp;Y25&amp;" min from your office, "&amp;IF(ISNUMBER(AB25),TEXT(AB25,"ddd d mmm")&amp;", "&amp;TEXT(AB25,"hh:mm"),"weekday evenings")&amp;", "&amp;IF(AD25&lt;&gt;"","£"&amp;IF(AD25=INT(AD25),TEXT(AD25,"0"),TEXT(AD25,"0.00")),"[PRICE PER PLAYER]")&amp;" a player. We handle booking, sign-ups and payments. Fancy "&amp;IF(ISNUMBER(SEARCH(LEFT(F25,1),"AEIOU")),"an ","a ")&amp;F25&amp;" team game? "&amp;IF(AL25&lt;&gt;"",AL25,IF(Offer!$C$5&lt;&gt;"",Offer!$C$5,"[NAME]")),LEFT("Hi"&amp;IF(O25&lt;&gt;""," "&amp;O25,"")&amp;","&amp;" FC Urban runs after-work football for "&amp;IF(D25="Canary Wharf","Canary Wharf","City")&amp;" teams: "&amp;AC25&amp;" at "&amp;X25&amp;", "&amp;Y25&amp;" min from your office, "&amp;IF(ISNUMBER(AB25),TEXT(AB25,"ddd d mmm")&amp;", "&amp;TEXT(AB25,"hh:mm"),"weekday evenings")&amp;", "&amp;IF(AD25&lt;&gt;"","£"&amp;IF(AD25=INT(AD25),TEXT(AD25,"0"),TEXT(AD25,"0.00")),"[PRICE PER PLAYER]")&amp;" pp. We handle booking and payments. Up for a team game? "&amp;IF(AL25&lt;&gt;"",AL25,IF(Offer!$C$5&lt;&gt;"",Offer!$C$5,"[NAME]")),300))</f>
        <v/>
      </c>
      <c r="AI25" s="14">
        <f>LEN(AH25)</f>
        <v/>
      </c>
      <c r="AJ25" s="14">
        <f>"Thanks for connecting"&amp;IF(O25&lt;&gt;"",", "&amp;O25,"")&amp;". "&amp;IF(ISNUMBER(AB25),"The "&amp;AC25&amp;" slot at "&amp;X25&amp;" is "&amp;IF(ISNUMBER(AB25),TEXT(AB25,"ddd d mmm")&amp;", "&amp;TEXT(AB25,"hh:mm"),"weekday evenings"),"We can book "&amp;AC25&amp;" at "&amp;X25&amp;" on a weekday evening that suits you")&amp;" and it's "&amp;IF(AD25&lt;&gt;"","£"&amp;IF(AD25=INT(AD25),TEXT(AD25,"0"),TEXT(AD25,"0.00")),"[PRICE PER PLAYER]")&amp;" a player, all booked and paid through one link. If football isn't your thing, who at "&amp;F25&amp;" would be the right person to organise a team game?"&amp;IF(Offer!$C$7&lt;&gt;""," Spots are held until "&amp;TEXT(Offer!$C$7,"dddd d mmmm")&amp;".","")&amp;" "&amp;IF(Offer!$C$6&lt;&gt;"",Offer!$C$6,"[JOINING LINK]")</f>
        <v/>
      </c>
      <c r="AK25" s="14">
        <f>IF(OR(ISNUMBER(SEARCH("[",AG25)),ISNUMBER(SEARCH("[",AJ25))),"Fill placeholders",IF(ISNUMBER(AB25),"Ready to send","Ready · no fixed slot"))</f>
        <v/>
      </c>
      <c r="AN25" s="17" t="n"/>
    </row>
    <row r="26">
      <c r="A26" s="11" t="n">
        <v>24</v>
      </c>
      <c r="B26" s="11" t="n">
        <v>1</v>
      </c>
      <c r="C26" s="11" t="inlineStr">
        <is>
          <t>Bank</t>
        </is>
      </c>
      <c r="D26" s="11" t="inlineStr">
        <is>
          <t>City of London</t>
        </is>
      </c>
      <c r="E26" s="11" t="inlineStr">
        <is>
          <t>Allica Bank Limited</t>
        </is>
      </c>
      <c r="F26" s="11" t="inlineStr">
        <is>
          <t>Allica Bank</t>
        </is>
      </c>
      <c r="G26" s="11" t="inlineStr">
        <is>
          <t>07706156</t>
        </is>
      </c>
      <c r="H26" s="12" t="inlineStr">
        <is>
          <t>Open</t>
        </is>
      </c>
      <c r="I26" s="12" t="inlineStr">
        <is>
          <t>Search</t>
        </is>
      </c>
      <c r="J26" s="11" t="inlineStr">
        <is>
          <t>Group</t>
        </is>
      </c>
      <c r="K26" s="13" t="n">
        <v>40739</v>
      </c>
      <c r="L26" s="11" t="inlineStr">
        <is>
          <t>4Th/5Th Floor, 15 Worship Street, London</t>
        </is>
      </c>
      <c r="M26" s="11" t="inlineStr">
        <is>
          <t>EC2A 2DT</t>
        </is>
      </c>
      <c r="N26" s="11" t="inlineStr">
        <is>
          <t>Yes</t>
        </is>
      </c>
      <c r="U26" s="11" t="inlineStr">
        <is>
          <t>Shoreditch Powerleague</t>
        </is>
      </c>
      <c r="V26" s="11" t="n">
        <v>12</v>
      </c>
      <c r="W26" s="11" t="inlineStr">
        <is>
          <t>Liverpool St - Attlee Centre (16.9); Old St - Moreland Primary School (17.9)</t>
        </is>
      </c>
      <c r="X26" s="11" t="inlineStr">
        <is>
          <t>Shoreditch Powerleague</t>
        </is>
      </c>
      <c r="Y26" s="11" t="n">
        <v>12</v>
      </c>
      <c r="Z26" s="14">
        <f>IFERROR(INDEX(Venues!$E$2:$E$15,MATCH(X26,Venues!$A$2:$A$15,0)),"Not checked")</f>
        <v/>
      </c>
      <c r="AA26" s="14">
        <f>IFERROR(INDEX(Venues!$F$2:$F$15,MATCH(X26,Venues!$A$2:$A$15,0)),0)</f>
        <v/>
      </c>
      <c r="AB26" s="15">
        <f>IFERROR(INDEX(Venues!$M$2:$M$15,MATCH(X26,Venues!$A$2:$A$15,0)),"")</f>
        <v/>
      </c>
      <c r="AC26" s="14">
        <f>IFERROR(INDEX(Venues!$N$2:$N$15,MATCH(X26,Venues!$A$2:$A$15,0)),"5-a-side")</f>
        <v/>
      </c>
      <c r="AD26" s="16">
        <f>IF(Offer!$C$4="","",Offer!$C$4)</f>
        <v/>
      </c>
      <c r="AE26" s="14">
        <f>X26&amp;" ("&amp;Y26&amp;" min walk) · "&amp;IF(ISNUMBER(AB26),TEXT(AB26,"ddd d mmm, hh:mm"),"slot to confirm with venue")&amp;" · "&amp;AC26&amp;" · "&amp;IF(AD26&lt;&gt;"","£"&amp;TEXT(AD26,"0.00")&amp;" pp","price TBC")</f>
        <v/>
      </c>
      <c r="AF26" s="14">
        <f>"After-work football for "&amp;F26&amp;" · "&amp;X26&amp;", "&amp;Y26&amp;" min from your office"</f>
        <v/>
      </c>
      <c r="AG26" s="14">
        <f>"Hi"&amp;IF(O26&lt;&gt;""," "&amp;O26,"")&amp;","&amp;CHAR(10)&amp;CHAR(10)&amp;"I'm "&amp;IF(AL26&lt;&gt;"",AL26,IF(Offer!$C$5&lt;&gt;"",Offer!$C$5,"[NAME]"))&amp;" from FC Urban. We organise after-work football for teams in the City and Canary Wharf."&amp;CHAR(10)&amp;CHAR(10)&amp;"We have a "&amp;AC26&amp;" pitch at "&amp;X26&amp;", "&amp;IF(OR(Y26=8,Y26=11,Y26=18),"an ","a ")&amp;Y26&amp;"-minute walk from your "&amp;M26&amp;" office, "&amp;IF(ISNUMBER(AB26),"on "&amp;TEXT(AB26,"dddd d mmmm")&amp;" at "&amp;TEXT(AB26,"hh:mm"),"on a weekday evening that suits your team")&amp;". It's "&amp;IF(AD26&lt;&gt;"","£"&amp;IF(AD26=INT(AD26),TEXT(AD26,"0"),TEXT(AD26,"0.00")),"[PRICE PER PLAYER]")&amp;" a player and we handle the pitch booking, sign-ups and payments, so all it takes is one person sharing a link with the team."&amp;CHAR(10)&amp;CHAR(10)&amp;"It works well as a team social or "&amp;IF(ISNUMBER(SEARCH(LEFT(F26,1),"AEIOU")),"an ","a ")&amp;F26&amp;"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LINK]")&amp;CHAR(10)&amp;CHAR(10)&amp;"Best,"&amp;CHAR(10)&amp;IF(AL26&lt;&gt;"",AL26,IF(Offer!$C$5&lt;&gt;"",Offer!$C$5,"[NAME]"))&amp;CHAR(10)&amp;"FC Urban"</f>
        <v/>
      </c>
      <c r="AH26" s="14">
        <f>IF(LEN("Hi"&amp;IF(O26&lt;&gt;""," "&amp;O26,"")&amp;","&amp;" FC Urban runs after-work football for "&amp;IF(D26="Canary Wharf","Canary Wharf","City")&amp;" teams. We have a "&amp;AC26&amp;" pitch at "&amp;X26&amp;", "&amp;Y26&amp;" min from your office, "&amp;IF(ISNUMBER(AB26),TEXT(AB26,"ddd d mmm")&amp;", "&amp;TEXT(AB26,"hh:mm"),"weekday evenings")&amp;", "&amp;IF(AD26&lt;&gt;"","£"&amp;IF(AD26=INT(AD26),TEXT(AD26,"0"),TEXT(AD26,"0.00")),"[PRICE PER PLAYER]")&amp;" a player. We handle booking, sign-ups and payments. Fancy "&amp;IF(ISNUMBER(SEARCH(LEFT(F26,1),"AEIOU")),"an ","a ")&amp;F26&amp;" team game? "&amp;IF(AL26&lt;&gt;"",AL26,IF(Offer!$C$5&lt;&gt;"",Offer!$C$5,"[NAME]")))&lt;=300,"Hi"&amp;IF(O26&lt;&gt;""," "&amp;O26,"")&amp;","&amp;" FC Urban runs after-work football for "&amp;IF(D26="Canary Wharf","Canary Wharf","City")&amp;" teams. We have a "&amp;AC26&amp;" pitch at "&amp;X26&amp;", "&amp;Y26&amp;" min from your office, "&amp;IF(ISNUMBER(AB26),TEXT(AB26,"ddd d mmm")&amp;", "&amp;TEXT(AB26,"hh:mm"),"weekday evenings")&amp;", "&amp;IF(AD26&lt;&gt;"","£"&amp;IF(AD26=INT(AD26),TEXT(AD26,"0"),TEXT(AD26,"0.00")),"[PRICE PER PLAYER]")&amp;" a player. We handle booking, sign-ups and payments. Fancy "&amp;IF(ISNUMBER(SEARCH(LEFT(F26,1),"AEIOU")),"an ","a ")&amp;F26&amp;" team game? "&amp;IF(AL26&lt;&gt;"",AL26,IF(Offer!$C$5&lt;&gt;"",Offer!$C$5,"[NAME]")),LEFT("Hi"&amp;IF(O26&lt;&gt;""," "&amp;O26,"")&amp;","&amp;" FC Urban runs after-work football for "&amp;IF(D26="Canary Wharf","Canary Wharf","City")&amp;" teams: "&amp;AC26&amp;" at "&amp;X26&amp;", "&amp;Y26&amp;" min from your office, "&amp;IF(ISNUMBER(AB26),TEXT(AB26,"ddd d mmm")&amp;", "&amp;TEXT(AB26,"hh:mm"),"weekday evenings")&amp;", "&amp;IF(AD26&lt;&gt;"","£"&amp;IF(AD26=INT(AD26),TEXT(AD26,"0"),TEXT(AD26,"0.00")),"[PRICE PER PLAYER]")&amp;" pp. We handle booking and payments. Up for a team game? "&amp;IF(AL26&lt;&gt;"",AL26,IF(Offer!$C$5&lt;&gt;"",Offer!$C$5,"[NAME]")),300))</f>
        <v/>
      </c>
      <c r="AI26" s="14">
        <f>LEN(AH26)</f>
        <v/>
      </c>
      <c r="AJ26" s="14">
        <f>"Thanks for connecting"&amp;IF(O26&lt;&gt;"",", "&amp;O26,"")&amp;". "&amp;IF(ISNUMBER(AB26),"The "&amp;AC26&amp;" slot at "&amp;X26&amp;" is "&amp;IF(ISNUMBER(AB26),TEXT(AB26,"ddd d mmm")&amp;", "&amp;TEXT(AB26,"hh:mm"),"weekday evenings"),"We can book "&amp;AC26&amp;" at "&amp;X26&amp;" on a weekday evening that suits you")&amp;" and it's "&amp;IF(AD26&lt;&gt;"","£"&amp;IF(AD26=INT(AD26),TEXT(AD26,"0"),TEXT(AD26,"0.00")),"[PRICE PER PLAYER]")&amp;" a player, all booked and paid through one link. If football isn't your thing, who at "&amp;F26&amp;" would be the right person to organise a team game?"&amp;IF(Offer!$C$7&lt;&gt;""," Spots are held until "&amp;TEXT(Offer!$C$7,"dddd d mmmm")&amp;".","")&amp;" "&amp;IF(Offer!$C$6&lt;&gt;"",Offer!$C$6,"[JOINING LINK]")</f>
        <v/>
      </c>
      <c r="AK26" s="14">
        <f>IF(OR(ISNUMBER(SEARCH("[",AG26)),ISNUMBER(SEARCH("[",AJ26))),"Fill placeholders",IF(ISNUMBER(AB26),"Ready to send","Ready · no fixed slot"))</f>
        <v/>
      </c>
      <c r="AN26" s="17" t="n"/>
    </row>
    <row r="27">
      <c r="A27" s="11" t="n">
        <v>25</v>
      </c>
      <c r="B27" s="11" t="n">
        <v>1</v>
      </c>
      <c r="C27" s="11" t="inlineStr">
        <is>
          <t>Bank</t>
        </is>
      </c>
      <c r="D27" s="11" t="inlineStr">
        <is>
          <t>City of London</t>
        </is>
      </c>
      <c r="E27" s="11" t="inlineStr">
        <is>
          <t>Gatehouse Bank PLC</t>
        </is>
      </c>
      <c r="F27" s="11" t="inlineStr">
        <is>
          <t>Gatehouse Bank</t>
        </is>
      </c>
      <c r="G27" s="11" t="inlineStr">
        <is>
          <t>06260053</t>
        </is>
      </c>
      <c r="H27" s="12" t="inlineStr">
        <is>
          <t>Open</t>
        </is>
      </c>
      <c r="I27" s="12" t="inlineStr">
        <is>
          <t>Search</t>
        </is>
      </c>
      <c r="J27" s="11" t="inlineStr">
        <is>
          <t>Group</t>
        </is>
      </c>
      <c r="K27" s="13" t="n">
        <v>39227</v>
      </c>
      <c r="L27" s="11" t="inlineStr">
        <is>
          <t>The Helicon, One South Place, London</t>
        </is>
      </c>
      <c r="M27" s="11" t="inlineStr">
        <is>
          <t>EC2M 2RB</t>
        </is>
      </c>
      <c r="N27" s="11" t="inlineStr">
        <is>
          <t>Yes</t>
        </is>
      </c>
      <c r="U27" s="11" t="inlineStr">
        <is>
          <t>Shoreditch Powerleague</t>
        </is>
      </c>
      <c r="V27" s="11" t="n">
        <v>15</v>
      </c>
      <c r="W27" s="11" t="inlineStr">
        <is>
          <t>Liverpool St - Attlee Centre (16.3)</t>
        </is>
      </c>
      <c r="X27" s="11" t="inlineStr">
        <is>
          <t>Shoreditch Powerleague</t>
        </is>
      </c>
      <c r="Y27" s="11" t="n">
        <v>15</v>
      </c>
      <c r="Z27" s="14">
        <f>IFERROR(INDEX(Venues!$E$2:$E$15,MATCH(X27,Venues!$A$2:$A$15,0)),"Not checked")</f>
        <v/>
      </c>
      <c r="AA27" s="14">
        <f>IFERROR(INDEX(Venues!$F$2:$F$15,MATCH(X27,Venues!$A$2:$A$15,0)),0)</f>
        <v/>
      </c>
      <c r="AB27" s="15">
        <f>IFERROR(INDEX(Venues!$M$2:$M$15,MATCH(X27,Venues!$A$2:$A$15,0)),"")</f>
        <v/>
      </c>
      <c r="AC27" s="14">
        <f>IFERROR(INDEX(Venues!$N$2:$N$15,MATCH(X27,Venues!$A$2:$A$15,0)),"5-a-side")</f>
        <v/>
      </c>
      <c r="AD27" s="16">
        <f>IF(Offer!$C$4="","",Offer!$C$4)</f>
        <v/>
      </c>
      <c r="AE27" s="14">
        <f>X27&amp;" ("&amp;Y27&amp;" min walk) · "&amp;IF(ISNUMBER(AB27),TEXT(AB27,"ddd d mmm, hh:mm"),"slot to confirm with venue")&amp;" · "&amp;AC27&amp;" · "&amp;IF(AD27&lt;&gt;"","£"&amp;TEXT(AD27,"0.00")&amp;" pp","price TBC")</f>
        <v/>
      </c>
      <c r="AF27" s="14">
        <f>"After-work football for "&amp;F27&amp;" · "&amp;X27&amp;", "&amp;Y27&amp;" min from your office"</f>
        <v/>
      </c>
      <c r="AG27" s="14">
        <f>"Hi"&amp;IF(O27&lt;&gt;""," "&amp;O27,"")&amp;","&amp;CHAR(10)&amp;CHAR(10)&amp;"I'm "&amp;IF(AL27&lt;&gt;"",AL27,IF(Offer!$C$5&lt;&gt;"",Offer!$C$5,"[NAME]"))&amp;" from FC Urban. We organise after-work football for teams in the City and Canary Wharf."&amp;CHAR(10)&amp;CHAR(10)&amp;"We have a "&amp;AC27&amp;" pitch at "&amp;X27&amp;", "&amp;IF(OR(Y27=8,Y27=11,Y27=18),"an ","a ")&amp;Y27&amp;"-minute walk from your "&amp;M27&amp;" office, "&amp;IF(ISNUMBER(AB27),"on "&amp;TEXT(AB27,"dddd d mmmm")&amp;" at "&amp;TEXT(AB27,"hh:mm"),"on a weekday evening that suits your team")&amp;". It's "&amp;IF(AD27&lt;&gt;"","£"&amp;IF(AD27=INT(AD27),TEXT(AD27,"0"),TEXT(AD27,"0.00")),"[PRICE PER PLAYER]")&amp;" a player and we handle the pitch booking, sign-ups and payments, so all it takes is one person sharing a link with the team."&amp;CHAR(10)&amp;CHAR(10)&amp;"It works well as a team social or "&amp;IF(ISNUMBER(SEARCH(LEFT(F27,1),"AEIOU")),"an ","a ")&amp;F27&amp;"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LINK]")&amp;CHAR(10)&amp;CHAR(10)&amp;"Best,"&amp;CHAR(10)&amp;IF(AL27&lt;&gt;"",AL27,IF(Offer!$C$5&lt;&gt;"",Offer!$C$5,"[NAME]"))&amp;CHAR(10)&amp;"FC Urban"</f>
        <v/>
      </c>
      <c r="AH27" s="14">
        <f>IF(LEN("Hi"&amp;IF(O27&lt;&gt;""," "&amp;O27,"")&amp;","&amp;" FC Urban runs after-work football for "&amp;IF(D27="Canary Wharf","Canary Wharf","City")&amp;" teams. We have a "&amp;AC27&amp;" pitch at "&amp;X27&amp;", "&amp;Y27&amp;" min from your office, "&amp;IF(ISNUMBER(AB27),TEXT(AB27,"ddd d mmm")&amp;", "&amp;TEXT(AB27,"hh:mm"),"weekday evenings")&amp;", "&amp;IF(AD27&lt;&gt;"","£"&amp;IF(AD27=INT(AD27),TEXT(AD27,"0"),TEXT(AD27,"0.00")),"[PRICE PER PLAYER]")&amp;" a player. We handle booking, sign-ups and payments. Fancy "&amp;IF(ISNUMBER(SEARCH(LEFT(F27,1),"AEIOU")),"an ","a ")&amp;F27&amp;" team game? "&amp;IF(AL27&lt;&gt;"",AL27,IF(Offer!$C$5&lt;&gt;"",Offer!$C$5,"[NAME]")))&lt;=300,"Hi"&amp;IF(O27&lt;&gt;""," "&amp;O27,"")&amp;","&amp;" FC Urban runs after-work football for "&amp;IF(D27="Canary Wharf","Canary Wharf","City")&amp;" teams. We have a "&amp;AC27&amp;" pitch at "&amp;X27&amp;", "&amp;Y27&amp;" min from your office, "&amp;IF(ISNUMBER(AB27),TEXT(AB27,"ddd d mmm")&amp;", "&amp;TEXT(AB27,"hh:mm"),"weekday evenings")&amp;", "&amp;IF(AD27&lt;&gt;"","£"&amp;IF(AD27=INT(AD27),TEXT(AD27,"0"),TEXT(AD27,"0.00")),"[PRICE PER PLAYER]")&amp;" a player. We handle booking, sign-ups and payments. Fancy "&amp;IF(ISNUMBER(SEARCH(LEFT(F27,1),"AEIOU")),"an ","a ")&amp;F27&amp;" team game? "&amp;IF(AL27&lt;&gt;"",AL27,IF(Offer!$C$5&lt;&gt;"",Offer!$C$5,"[NAME]")),LEFT("Hi"&amp;IF(O27&lt;&gt;""," "&amp;O27,"")&amp;","&amp;" FC Urban runs after-work football for "&amp;IF(D27="Canary Wharf","Canary Wharf","City")&amp;" teams: "&amp;AC27&amp;" at "&amp;X27&amp;", "&amp;Y27&amp;" min from your office, "&amp;IF(ISNUMBER(AB27),TEXT(AB27,"ddd d mmm")&amp;", "&amp;TEXT(AB27,"hh:mm"),"weekday evenings")&amp;", "&amp;IF(AD27&lt;&gt;"","£"&amp;IF(AD27=INT(AD27),TEXT(AD27,"0"),TEXT(AD27,"0.00")),"[PRICE PER PLAYER]")&amp;" pp. We handle booking and payments. Up for a team game? "&amp;IF(AL27&lt;&gt;"",AL27,IF(Offer!$C$5&lt;&gt;"",Offer!$C$5,"[NAME]")),300))</f>
        <v/>
      </c>
      <c r="AI27" s="14">
        <f>LEN(AH27)</f>
        <v/>
      </c>
      <c r="AJ27" s="14">
        <f>"Thanks for connecting"&amp;IF(O27&lt;&gt;"",", "&amp;O27,"")&amp;". "&amp;IF(ISNUMBER(AB27),"The "&amp;AC27&amp;" slot at "&amp;X27&amp;" is "&amp;IF(ISNUMBER(AB27),TEXT(AB27,"ddd d mmm")&amp;", "&amp;TEXT(AB27,"hh:mm"),"weekday evenings"),"We can book "&amp;AC27&amp;" at "&amp;X27&amp;" on a weekday evening that suits you")&amp;" and it's "&amp;IF(AD27&lt;&gt;"","£"&amp;IF(AD27=INT(AD27),TEXT(AD27,"0"),TEXT(AD27,"0.00")),"[PRICE PER PLAYER]")&amp;" a player, all booked and paid through one link. If football isn't your thing, who at "&amp;F27&amp;" would be the right person to organise a team game?"&amp;IF(Offer!$C$7&lt;&gt;""," Spots are held until "&amp;TEXT(Offer!$C$7,"dddd d mmmm")&amp;".","")&amp;" "&amp;IF(Offer!$C$6&lt;&gt;"",Offer!$C$6,"[JOINING LINK]")</f>
        <v/>
      </c>
      <c r="AK27" s="14">
        <f>IF(OR(ISNUMBER(SEARCH("[",AG27)),ISNUMBER(SEARCH("[",AJ27))),"Fill placeholders",IF(ISNUMBER(AB27),"Ready to send","Ready · no fixed slot"))</f>
        <v/>
      </c>
      <c r="AN27" s="17" t="n"/>
    </row>
    <row r="28">
      <c r="A28" s="11" t="n">
        <v>26</v>
      </c>
      <c r="B28" s="11" t="n">
        <v>1</v>
      </c>
      <c r="C28" s="11" t="inlineStr">
        <is>
          <t>Bank</t>
        </is>
      </c>
      <c r="D28" s="11" t="inlineStr">
        <is>
          <t>City of London</t>
        </is>
      </c>
      <c r="E28" s="11" t="inlineStr">
        <is>
          <t>Hampshire Trust Bank PLC</t>
        </is>
      </c>
      <c r="F28" s="11" t="inlineStr">
        <is>
          <t>Hampshire Trust Bank</t>
        </is>
      </c>
      <c r="G28" s="11" t="inlineStr">
        <is>
          <t>01311315</t>
        </is>
      </c>
      <c r="H28" s="12" t="inlineStr">
        <is>
          <t>Open</t>
        </is>
      </c>
      <c r="I28" s="12" t="inlineStr">
        <is>
          <t>Search</t>
        </is>
      </c>
      <c r="J28" s="11" t="inlineStr">
        <is>
          <t>Group</t>
        </is>
      </c>
      <c r="K28" s="13" t="n">
        <v>28243</v>
      </c>
      <c r="L28" s="11" t="inlineStr">
        <is>
          <t>80 Fenchurch Street, London</t>
        </is>
      </c>
      <c r="M28" s="11" t="inlineStr">
        <is>
          <t>EC3M 4BY</t>
        </is>
      </c>
      <c r="N28" s="11" t="inlineStr">
        <is>
          <t>No</t>
        </is>
      </c>
      <c r="U28" s="11" t="inlineStr">
        <is>
          <t>Liverpool St - Attlee Centre</t>
        </is>
      </c>
      <c r="V28" s="11" t="n">
        <v>10</v>
      </c>
      <c r="W28" s="11" t="inlineStr">
        <is>
          <t>Shoreditch Powerleague (18.7)</t>
        </is>
      </c>
      <c r="X28" s="11" t="inlineStr">
        <is>
          <t>Shoreditch Powerleague</t>
        </is>
      </c>
      <c r="Y28" s="11" t="n">
        <v>19</v>
      </c>
      <c r="Z28" s="14">
        <f>IFERROR(INDEX(Venues!$E$2:$E$15,MATCH(X28,Venues!$A$2:$A$15,0)),"Not checked")</f>
        <v/>
      </c>
      <c r="AA28" s="14">
        <f>IFERROR(INDEX(Venues!$F$2:$F$15,MATCH(X28,Venues!$A$2:$A$15,0)),0)</f>
        <v/>
      </c>
      <c r="AB28" s="15">
        <f>IFERROR(INDEX(Venues!$M$2:$M$15,MATCH(X28,Venues!$A$2:$A$15,0)),"")</f>
        <v/>
      </c>
      <c r="AC28" s="14">
        <f>IFERROR(INDEX(Venues!$N$2:$N$15,MATCH(X28,Venues!$A$2:$A$15,0)),"5-a-side")</f>
        <v/>
      </c>
      <c r="AD28" s="16">
        <f>IF(Offer!$C$4="","",Offer!$C$4)</f>
        <v/>
      </c>
      <c r="AE28" s="14">
        <f>X28&amp;" ("&amp;Y28&amp;" min walk) · "&amp;IF(ISNUMBER(AB28),TEXT(AB28,"ddd d mmm, hh:mm"),"slot to confirm with venue")&amp;" · "&amp;AC28&amp;" · "&amp;IF(AD28&lt;&gt;"","£"&amp;TEXT(AD28,"0.00")&amp;" pp","price TBC")</f>
        <v/>
      </c>
      <c r="AF28" s="14">
        <f>"After-work football for "&amp;F28&amp;" · "&amp;X28&amp;", "&amp;Y28&amp;" min from your office"</f>
        <v/>
      </c>
      <c r="AG28" s="14">
        <f>"Hi"&amp;IF(O28&lt;&gt;""," "&amp;O28,"")&amp;","&amp;CHAR(10)&amp;CHAR(10)&amp;"I'm "&amp;IF(AL28&lt;&gt;"",AL28,IF(Offer!$C$5&lt;&gt;"",Offer!$C$5,"[NAME]"))&amp;" from FC Urban. We organise after-work football for teams in the City and Canary Wharf."&amp;CHAR(10)&amp;CHAR(10)&amp;"We have a "&amp;AC28&amp;" pitch at "&amp;X28&amp;", "&amp;IF(OR(Y28=8,Y28=11,Y28=18),"an ","a ")&amp;Y28&amp;"-minute walk from your "&amp;M28&amp;" office, "&amp;IF(ISNUMBER(AB28),"on "&amp;TEXT(AB28,"dddd d mmmm")&amp;" at "&amp;TEXT(AB28,"hh:mm"),"on a weekday evening that suits your team")&amp;". It's "&amp;IF(AD28&lt;&gt;"","£"&amp;IF(AD28=INT(AD28),TEXT(AD28,"0"),TEXT(AD28,"0.00")),"[PRICE PER PLAYER]")&amp;" a player and we handle the pitch booking, sign-ups and payments, so all it takes is one person sharing a link with the team."&amp;CHAR(10)&amp;CHAR(10)&amp;"It works well as a team social or "&amp;IF(ISNUMBER(SEARCH(LEFT(F28,1),"AEIOU")),"an ","a ")&amp;F28&amp;"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LINK]")&amp;CHAR(10)&amp;CHAR(10)&amp;"Best,"&amp;CHAR(10)&amp;IF(AL28&lt;&gt;"",AL28,IF(Offer!$C$5&lt;&gt;"",Offer!$C$5,"[NAME]"))&amp;CHAR(10)&amp;"FC Urban"</f>
        <v/>
      </c>
      <c r="AH28" s="14">
        <f>IF(LEN("Hi"&amp;IF(O28&lt;&gt;""," "&amp;O28,"")&amp;","&amp;" FC Urban runs after-work football for "&amp;IF(D28="Canary Wharf","Canary Wharf","City")&amp;" teams. We have a "&amp;AC28&amp;" pitch at "&amp;X28&amp;", "&amp;Y28&amp;" min from your office, "&amp;IF(ISNUMBER(AB28),TEXT(AB28,"ddd d mmm")&amp;", "&amp;TEXT(AB28,"hh:mm"),"weekday evenings")&amp;", "&amp;IF(AD28&lt;&gt;"","£"&amp;IF(AD28=INT(AD28),TEXT(AD28,"0"),TEXT(AD28,"0.00")),"[PRICE PER PLAYER]")&amp;" a player. We handle booking, sign-ups and payments. Fancy "&amp;IF(ISNUMBER(SEARCH(LEFT(F28,1),"AEIOU")),"an ","a ")&amp;F28&amp;" team game? "&amp;IF(AL28&lt;&gt;"",AL28,IF(Offer!$C$5&lt;&gt;"",Offer!$C$5,"[NAME]")))&lt;=300,"Hi"&amp;IF(O28&lt;&gt;""," "&amp;O28,"")&amp;","&amp;" FC Urban runs after-work football for "&amp;IF(D28="Canary Wharf","Canary Wharf","City")&amp;" teams. We have a "&amp;AC28&amp;" pitch at "&amp;X28&amp;", "&amp;Y28&amp;" min from your office, "&amp;IF(ISNUMBER(AB28),TEXT(AB28,"ddd d mmm")&amp;", "&amp;TEXT(AB28,"hh:mm"),"weekday evenings")&amp;", "&amp;IF(AD28&lt;&gt;"","£"&amp;IF(AD28=INT(AD28),TEXT(AD28,"0"),TEXT(AD28,"0.00")),"[PRICE PER PLAYER]")&amp;" a player. We handle booking, sign-ups and payments. Fancy "&amp;IF(ISNUMBER(SEARCH(LEFT(F28,1),"AEIOU")),"an ","a ")&amp;F28&amp;" team game? "&amp;IF(AL28&lt;&gt;"",AL28,IF(Offer!$C$5&lt;&gt;"",Offer!$C$5,"[NAME]")),LEFT("Hi"&amp;IF(O28&lt;&gt;""," "&amp;O28,"")&amp;","&amp;" FC Urban runs after-work football for "&amp;IF(D28="Canary Wharf","Canary Wharf","City")&amp;" teams: "&amp;AC28&amp;" at "&amp;X28&amp;", "&amp;Y28&amp;" min from your office, "&amp;IF(ISNUMBER(AB28),TEXT(AB28,"ddd d mmm")&amp;", "&amp;TEXT(AB28,"hh:mm"),"weekday evenings")&amp;", "&amp;IF(AD28&lt;&gt;"","£"&amp;IF(AD28=INT(AD28),TEXT(AD28,"0"),TEXT(AD28,"0.00")),"[PRICE PER PLAYER]")&amp;" pp. We handle booking and payments. Up for a team game? "&amp;IF(AL28&lt;&gt;"",AL28,IF(Offer!$C$5&lt;&gt;"",Offer!$C$5,"[NAME]")),300))</f>
        <v/>
      </c>
      <c r="AI28" s="14">
        <f>LEN(AH28)</f>
        <v/>
      </c>
      <c r="AJ28" s="14">
        <f>"Thanks for connecting"&amp;IF(O28&lt;&gt;"",", "&amp;O28,"")&amp;". "&amp;IF(ISNUMBER(AB28),"The "&amp;AC28&amp;" slot at "&amp;X28&amp;" is "&amp;IF(ISNUMBER(AB28),TEXT(AB28,"ddd d mmm")&amp;", "&amp;TEXT(AB28,"hh:mm"),"weekday evenings"),"We can book "&amp;AC28&amp;" at "&amp;X28&amp;" on a weekday evening that suits you")&amp;" and it's "&amp;IF(AD28&lt;&gt;"","£"&amp;IF(AD28=INT(AD28),TEXT(AD28,"0"),TEXT(AD28,"0.00")),"[PRICE PER PLAYER]")&amp;" a player, all booked and paid through one link. If football isn't your thing, who at "&amp;F28&amp;" would be the right person to organise a team game?"&amp;IF(Offer!$C$7&lt;&gt;""," Spots are held until "&amp;TEXT(Offer!$C$7,"dddd d mmmm")&amp;".","")&amp;" "&amp;IF(Offer!$C$6&lt;&gt;"",Offer!$C$6,"[JOINING LINK]")</f>
        <v/>
      </c>
      <c r="AK28" s="14">
        <f>IF(OR(ISNUMBER(SEARCH("[",AG28)),ISNUMBER(SEARCH("[",AJ28))),"Fill placeholders",IF(ISNUMBER(AB28),"Ready to send","Ready · no fixed slot"))</f>
        <v/>
      </c>
      <c r="AN28" s="17" t="n"/>
    </row>
    <row r="29">
      <c r="A29" s="11" t="n">
        <v>27</v>
      </c>
      <c r="B29" s="11" t="n">
        <v>1</v>
      </c>
      <c r="C29" s="11" t="inlineStr">
        <is>
          <t>Bank</t>
        </is>
      </c>
      <c r="D29" s="11" t="inlineStr">
        <is>
          <t>City of London</t>
        </is>
      </c>
      <c r="E29" s="11" t="inlineStr">
        <is>
          <t>Shawbrook Bank Limited</t>
        </is>
      </c>
      <c r="F29" s="11" t="inlineStr">
        <is>
          <t>Shawbrook Bank</t>
        </is>
      </c>
      <c r="G29" s="11" t="inlineStr">
        <is>
          <t>00388466</t>
        </is>
      </c>
      <c r="H29" s="12" t="inlineStr">
        <is>
          <t>Open</t>
        </is>
      </c>
      <c r="I29" s="12" t="inlineStr">
        <is>
          <t>Search</t>
        </is>
      </c>
      <c r="J29" s="11" t="inlineStr">
        <is>
          <t>Group</t>
        </is>
      </c>
      <c r="K29" s="13" t="n">
        <v>16252</v>
      </c>
      <c r="L29" s="11" t="inlineStr">
        <is>
          <t>Floor 10,, 40 Leadenhall Street, London</t>
        </is>
      </c>
      <c r="M29" s="11" t="inlineStr">
        <is>
          <t>EC3A 2BJ</t>
        </is>
      </c>
      <c r="N29" s="11" t="inlineStr">
        <is>
          <t>Yes</t>
        </is>
      </c>
      <c r="U29" s="11" t="inlineStr">
        <is>
          <t>Liverpool St - Attlee Centre</t>
        </is>
      </c>
      <c r="V29" s="11" t="n">
        <v>11</v>
      </c>
      <c r="W29" s="11" t="inlineStr">
        <is>
          <t>Shoreditch Powerleague (18.7)</t>
        </is>
      </c>
      <c r="X29" s="11" t="inlineStr">
        <is>
          <t>Shoreditch Powerleague</t>
        </is>
      </c>
      <c r="Y29" s="11" t="n">
        <v>19</v>
      </c>
      <c r="Z29" s="14">
        <f>IFERROR(INDEX(Venues!$E$2:$E$15,MATCH(X29,Venues!$A$2:$A$15,0)),"Not checked")</f>
        <v/>
      </c>
      <c r="AA29" s="14">
        <f>IFERROR(INDEX(Venues!$F$2:$F$15,MATCH(X29,Venues!$A$2:$A$15,0)),0)</f>
        <v/>
      </c>
      <c r="AB29" s="15">
        <f>IFERROR(INDEX(Venues!$M$2:$M$15,MATCH(X29,Venues!$A$2:$A$15,0)),"")</f>
        <v/>
      </c>
      <c r="AC29" s="14">
        <f>IFERROR(INDEX(Venues!$N$2:$N$15,MATCH(X29,Venues!$A$2:$A$15,0)),"5-a-side")</f>
        <v/>
      </c>
      <c r="AD29" s="16">
        <f>IF(Offer!$C$4="","",Offer!$C$4)</f>
        <v/>
      </c>
      <c r="AE29" s="14">
        <f>X29&amp;" ("&amp;Y29&amp;" min walk) · "&amp;IF(ISNUMBER(AB29),TEXT(AB29,"ddd d mmm, hh:mm"),"slot to confirm with venue")&amp;" · "&amp;AC29&amp;" · "&amp;IF(AD29&lt;&gt;"","£"&amp;TEXT(AD29,"0.00")&amp;" pp","price TBC")</f>
        <v/>
      </c>
      <c r="AF29" s="14">
        <f>"After-work football for "&amp;F29&amp;" · "&amp;X29&amp;", "&amp;Y29&amp;" min from your office"</f>
        <v/>
      </c>
      <c r="AG29" s="14">
        <f>"Hi"&amp;IF(O29&lt;&gt;""," "&amp;O29,"")&amp;","&amp;CHAR(10)&amp;CHAR(10)&amp;"I'm "&amp;IF(AL29&lt;&gt;"",AL29,IF(Offer!$C$5&lt;&gt;"",Offer!$C$5,"[NAME]"))&amp;" from FC Urban. We organise after-work football for teams in the City and Canary Wharf."&amp;CHAR(10)&amp;CHAR(10)&amp;"We have a "&amp;AC29&amp;" pitch at "&amp;X29&amp;", "&amp;IF(OR(Y29=8,Y29=11,Y29=18),"an ","a ")&amp;Y29&amp;"-minute walk from your "&amp;M29&amp;" office, "&amp;IF(ISNUMBER(AB29),"on "&amp;TEXT(AB29,"dddd d mmmm")&amp;" at "&amp;TEXT(AB29,"hh:mm"),"on a weekday evening that suits your team")&amp;". It's "&amp;IF(AD29&lt;&gt;"","£"&amp;IF(AD29=INT(AD29),TEXT(AD29,"0"),TEXT(AD29,"0.00")),"[PRICE PER PLAYER]")&amp;" a player and we handle the pitch booking, sign-ups and payments, so all it takes is one person sharing a link with the team."&amp;CHAR(10)&amp;CHAR(10)&amp;"It works well as a team social or "&amp;IF(ISNUMBER(SEARCH(LEFT(F29,1),"AEIOU")),"an ","a ")&amp;F29&amp;"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LINK]")&amp;CHAR(10)&amp;CHAR(10)&amp;"Best,"&amp;CHAR(10)&amp;IF(AL29&lt;&gt;"",AL29,IF(Offer!$C$5&lt;&gt;"",Offer!$C$5,"[NAME]"))&amp;CHAR(10)&amp;"FC Urban"</f>
        <v/>
      </c>
      <c r="AH29" s="14">
        <f>IF(LEN("Hi"&amp;IF(O29&lt;&gt;""," "&amp;O29,"")&amp;","&amp;" FC Urban runs after-work football for "&amp;IF(D29="Canary Wharf","Canary Wharf","City")&amp;" teams. We have a "&amp;AC29&amp;" pitch at "&amp;X29&amp;", "&amp;Y29&amp;" min from your office, "&amp;IF(ISNUMBER(AB29),TEXT(AB29,"ddd d mmm")&amp;", "&amp;TEXT(AB29,"hh:mm"),"weekday evenings")&amp;", "&amp;IF(AD29&lt;&gt;"","£"&amp;IF(AD29=INT(AD29),TEXT(AD29,"0"),TEXT(AD29,"0.00")),"[PRICE PER PLAYER]")&amp;" a player. We handle booking, sign-ups and payments. Fancy "&amp;IF(ISNUMBER(SEARCH(LEFT(F29,1),"AEIOU")),"an ","a ")&amp;F29&amp;" team game? "&amp;IF(AL29&lt;&gt;"",AL29,IF(Offer!$C$5&lt;&gt;"",Offer!$C$5,"[NAME]")))&lt;=300,"Hi"&amp;IF(O29&lt;&gt;""," "&amp;O29,"")&amp;","&amp;" FC Urban runs after-work football for "&amp;IF(D29="Canary Wharf","Canary Wharf","City")&amp;" teams. We have a "&amp;AC29&amp;" pitch at "&amp;X29&amp;", "&amp;Y29&amp;" min from your office, "&amp;IF(ISNUMBER(AB29),TEXT(AB29,"ddd d mmm")&amp;", "&amp;TEXT(AB29,"hh:mm"),"weekday evenings")&amp;", "&amp;IF(AD29&lt;&gt;"","£"&amp;IF(AD29=INT(AD29),TEXT(AD29,"0"),TEXT(AD29,"0.00")),"[PRICE PER PLAYER]")&amp;" a player. We handle booking, sign-ups and payments. Fancy "&amp;IF(ISNUMBER(SEARCH(LEFT(F29,1),"AEIOU")),"an ","a ")&amp;F29&amp;" team game? "&amp;IF(AL29&lt;&gt;"",AL29,IF(Offer!$C$5&lt;&gt;"",Offer!$C$5,"[NAME]")),LEFT("Hi"&amp;IF(O29&lt;&gt;""," "&amp;O29,"")&amp;","&amp;" FC Urban runs after-work football for "&amp;IF(D29="Canary Wharf","Canary Wharf","City")&amp;" teams: "&amp;AC29&amp;" at "&amp;X29&amp;", "&amp;Y29&amp;" min from your office, "&amp;IF(ISNUMBER(AB29),TEXT(AB29,"ddd d mmm")&amp;", "&amp;TEXT(AB29,"hh:mm"),"weekday evenings")&amp;", "&amp;IF(AD29&lt;&gt;"","£"&amp;IF(AD29=INT(AD29),TEXT(AD29,"0"),TEXT(AD29,"0.00")),"[PRICE PER PLAYER]")&amp;" pp. We handle booking and payments. Up for a team game? "&amp;IF(AL29&lt;&gt;"",AL29,IF(Offer!$C$5&lt;&gt;"",Offer!$C$5,"[NAME]")),300))</f>
        <v/>
      </c>
      <c r="AI29" s="14">
        <f>LEN(AH29)</f>
        <v/>
      </c>
      <c r="AJ29" s="14">
        <f>"Thanks for connecting"&amp;IF(O29&lt;&gt;"",", "&amp;O29,"")&amp;". "&amp;IF(ISNUMBER(AB29),"The "&amp;AC29&amp;" slot at "&amp;X29&amp;" is "&amp;IF(ISNUMBER(AB29),TEXT(AB29,"ddd d mmm")&amp;", "&amp;TEXT(AB29,"hh:mm"),"weekday evenings"),"We can book "&amp;AC29&amp;" at "&amp;X29&amp;" on a weekday evening that suits you")&amp;" and it's "&amp;IF(AD29&lt;&gt;"","£"&amp;IF(AD29=INT(AD29),TEXT(AD29,"0"),TEXT(AD29,"0.00")),"[PRICE PER PLAYER]")&amp;" a player, all booked and paid through one link. If football isn't your thing, who at "&amp;F29&amp;" would be the right person to organise a team game?"&amp;IF(Offer!$C$7&lt;&gt;""," Spots are held until "&amp;TEXT(Offer!$C$7,"dddd d mmmm")&amp;".","")&amp;" "&amp;IF(Offer!$C$6&lt;&gt;"",Offer!$C$6,"[JOINING LINK]")</f>
        <v/>
      </c>
      <c r="AK29" s="14">
        <f>IF(OR(ISNUMBER(SEARCH("[",AG29)),ISNUMBER(SEARCH("[",AJ29))),"Fill placeholders",IF(ISNUMBER(AB29),"Ready to send","Ready · no fixed slot"))</f>
        <v/>
      </c>
      <c r="AN29" s="17" t="n"/>
    </row>
    <row r="30">
      <c r="A30" s="11" t="n">
        <v>28</v>
      </c>
      <c r="B30" s="11" t="n">
        <v>1</v>
      </c>
      <c r="C30" s="11" t="inlineStr">
        <is>
          <t>Public / state-owned bank</t>
        </is>
      </c>
      <c r="D30" s="11" t="inlineStr">
        <is>
          <t>City of London</t>
        </is>
      </c>
      <c r="E30" s="11" t="inlineStr">
        <is>
          <t>Agdevco Limited</t>
        </is>
      </c>
      <c r="F30" s="11" t="inlineStr">
        <is>
          <t>AgDevCo</t>
        </is>
      </c>
      <c r="G30" s="11" t="inlineStr">
        <is>
          <t>07026479</t>
        </is>
      </c>
      <c r="H30" s="12" t="inlineStr">
        <is>
          <t>Open</t>
        </is>
      </c>
      <c r="I30" s="12" t="inlineStr">
        <is>
          <t>Search</t>
        </is>
      </c>
      <c r="J30" s="11" t="inlineStr">
        <is>
          <t>Group</t>
        </is>
      </c>
      <c r="K30" s="13" t="n">
        <v>40078</v>
      </c>
      <c r="L30" s="11" t="inlineStr">
        <is>
          <t>Chancery House 53-64 Chancery Lane, Holborn, London</t>
        </is>
      </c>
      <c r="M30" s="11" t="inlineStr">
        <is>
          <t>WC2A 1QS</t>
        </is>
      </c>
      <c r="N30" s="11" t="inlineStr">
        <is>
          <t>No</t>
        </is>
      </c>
      <c r="U30" s="11" t="inlineStr">
        <is>
          <t>St Pancras - Coram's Fields 3G</t>
        </is>
      </c>
      <c r="V30" s="11" t="n">
        <v>17</v>
      </c>
      <c r="W30" s="11" t="n"/>
      <c r="X30" s="11" t="inlineStr">
        <is>
          <t>St Pancras - Coram's Fields 3G</t>
        </is>
      </c>
      <c r="Y30" s="11" t="n">
        <v>17</v>
      </c>
      <c r="Z30" s="14">
        <f>IFERROR(INDEX(Venues!$E$2:$E$15,MATCH(X30,Venues!$A$2:$A$15,0)),"Not checked")</f>
        <v/>
      </c>
      <c r="AA30" s="14">
        <f>IFERROR(INDEX(Venues!$F$2:$F$15,MATCH(X30,Venues!$A$2:$A$15,0)),0)</f>
        <v/>
      </c>
      <c r="AB30" s="15">
        <f>IFERROR(INDEX(Venues!$M$2:$M$15,MATCH(X30,Venues!$A$2:$A$15,0)),"")</f>
        <v/>
      </c>
      <c r="AC30" s="14">
        <f>IFERROR(INDEX(Venues!$N$2:$N$15,MATCH(X30,Venues!$A$2:$A$15,0)),"5-a-side")</f>
        <v/>
      </c>
      <c r="AD30" s="16">
        <f>IF(Offer!$C$4="","",Offer!$C$4)</f>
        <v/>
      </c>
      <c r="AE30" s="14">
        <f>X30&amp;" ("&amp;Y30&amp;" min walk) · "&amp;IF(ISNUMBER(AB30),TEXT(AB30,"ddd d mmm, hh:mm"),"slot to confirm with venue")&amp;" · "&amp;AC30&amp;" · "&amp;IF(AD30&lt;&gt;"","£"&amp;TEXT(AD30,"0.00")&amp;" pp","price TBC")</f>
        <v/>
      </c>
      <c r="AF30" s="14">
        <f>"After-work football for "&amp;F30&amp;" · "&amp;X30&amp;", "&amp;Y30&amp;" min from your office"</f>
        <v/>
      </c>
      <c r="AG30" s="14">
        <f>"Hi"&amp;IF(O30&lt;&gt;""," "&amp;O30,"")&amp;","&amp;CHAR(10)&amp;CHAR(10)&amp;"I'm "&amp;IF(AL30&lt;&gt;"",AL30,IF(Offer!$C$5&lt;&gt;"",Offer!$C$5,"[NAME]"))&amp;" from FC Urban. We organise after-work football for teams in the City and Canary Wharf."&amp;CHAR(10)&amp;CHAR(10)&amp;"We have a "&amp;AC30&amp;" pitch at "&amp;X30&amp;", "&amp;IF(OR(Y30=8,Y30=11,Y30=18),"an ","a ")&amp;Y30&amp;"-minute walk from your "&amp;M30&amp;" office, "&amp;IF(ISNUMBER(AB30),"on "&amp;TEXT(AB30,"dddd d mmmm")&amp;" at "&amp;TEXT(AB30,"hh:mm"),"on a weekday evening that suits your team")&amp;". It's "&amp;IF(AD30&lt;&gt;"","£"&amp;IF(AD30=INT(AD30),TEXT(AD30,"0"),TEXT(AD30,"0.00")),"[PRICE PER PLAYER]")&amp;" a player and we handle the pitch booking, sign-ups and payments, so all it takes is one person sharing a link with the team."&amp;CHAR(10)&amp;CHAR(10)&amp;"It works well as a team social or "&amp;IF(ISNUMBER(SEARCH(LEFT(F30,1),"AEIOU")),"an ","a ")&amp;F30&amp;"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LINK]")&amp;CHAR(10)&amp;CHAR(10)&amp;"Best,"&amp;CHAR(10)&amp;IF(AL30&lt;&gt;"",AL30,IF(Offer!$C$5&lt;&gt;"",Offer!$C$5,"[NAME]"))&amp;CHAR(10)&amp;"FC Urban"</f>
        <v/>
      </c>
      <c r="AH30" s="14">
        <f>IF(LEN("Hi"&amp;IF(O30&lt;&gt;""," "&amp;O30,"")&amp;","&amp;" FC Urban runs after-work football for "&amp;IF(D30="Canary Wharf","Canary Wharf","City")&amp;" teams. We have a "&amp;AC30&amp;" pitch at "&amp;X30&amp;", "&amp;Y30&amp;" min from your office, "&amp;IF(ISNUMBER(AB30),TEXT(AB30,"ddd d mmm")&amp;", "&amp;TEXT(AB30,"hh:mm"),"weekday evenings")&amp;", "&amp;IF(AD30&lt;&gt;"","£"&amp;IF(AD30=INT(AD30),TEXT(AD30,"0"),TEXT(AD30,"0.00")),"[PRICE PER PLAYER]")&amp;" a player. We handle booking, sign-ups and payments. Fancy "&amp;IF(ISNUMBER(SEARCH(LEFT(F30,1),"AEIOU")),"an ","a ")&amp;F30&amp;" team game? "&amp;IF(AL30&lt;&gt;"",AL30,IF(Offer!$C$5&lt;&gt;"",Offer!$C$5,"[NAME]")))&lt;=300,"Hi"&amp;IF(O30&lt;&gt;""," "&amp;O30,"")&amp;","&amp;" FC Urban runs after-work football for "&amp;IF(D30="Canary Wharf","Canary Wharf","City")&amp;" teams. We have a "&amp;AC30&amp;" pitch at "&amp;X30&amp;", "&amp;Y30&amp;" min from your office, "&amp;IF(ISNUMBER(AB30),TEXT(AB30,"ddd d mmm")&amp;", "&amp;TEXT(AB30,"hh:mm"),"weekday evenings")&amp;", "&amp;IF(AD30&lt;&gt;"","£"&amp;IF(AD30=INT(AD30),TEXT(AD30,"0"),TEXT(AD30,"0.00")),"[PRICE PER PLAYER]")&amp;" a player. We handle booking, sign-ups and payments. Fancy "&amp;IF(ISNUMBER(SEARCH(LEFT(F30,1),"AEIOU")),"an ","a ")&amp;F30&amp;" team game? "&amp;IF(AL30&lt;&gt;"",AL30,IF(Offer!$C$5&lt;&gt;"",Offer!$C$5,"[NAME]")),LEFT("Hi"&amp;IF(O30&lt;&gt;""," "&amp;O30,"")&amp;","&amp;" FC Urban runs after-work football for "&amp;IF(D30="Canary Wharf","Canary Wharf","City")&amp;" teams: "&amp;AC30&amp;" at "&amp;X30&amp;", "&amp;Y30&amp;" min from your office, "&amp;IF(ISNUMBER(AB30),TEXT(AB30,"ddd d mmm")&amp;", "&amp;TEXT(AB30,"hh:mm"),"weekday evenings")&amp;", "&amp;IF(AD30&lt;&gt;"","£"&amp;IF(AD30=INT(AD30),TEXT(AD30,"0"),TEXT(AD30,"0.00")),"[PRICE PER PLAYER]")&amp;" pp. We handle booking and payments. Up for a team game? "&amp;IF(AL30&lt;&gt;"",AL30,IF(Offer!$C$5&lt;&gt;"",Offer!$C$5,"[NAME]")),300))</f>
        <v/>
      </c>
      <c r="AI30" s="14">
        <f>LEN(AH30)</f>
        <v/>
      </c>
      <c r="AJ30" s="14">
        <f>"Thanks for connecting"&amp;IF(O30&lt;&gt;"",", "&amp;O30,"")&amp;". "&amp;IF(ISNUMBER(AB30),"The "&amp;AC30&amp;" slot at "&amp;X30&amp;" is "&amp;IF(ISNUMBER(AB30),TEXT(AB30,"ddd d mmm")&amp;", "&amp;TEXT(AB30,"hh:mm"),"weekday evenings"),"We can book "&amp;AC30&amp;" at "&amp;X30&amp;" on a weekday evening that suits you")&amp;" and it's "&amp;IF(AD30&lt;&gt;"","£"&amp;IF(AD30=INT(AD30),TEXT(AD30,"0"),TEXT(AD30,"0.00")),"[PRICE PER PLAYER]")&amp;" a player, all booked and paid through one link. If football isn't your thing, who at "&amp;F30&amp;" would be the right person to organise a team game?"&amp;IF(Offer!$C$7&lt;&gt;""," Spots are held until "&amp;TEXT(Offer!$C$7,"dddd d mmmm")&amp;".","")&amp;" "&amp;IF(Offer!$C$6&lt;&gt;"",Offer!$C$6,"[JOINING LINK]")</f>
        <v/>
      </c>
      <c r="AK30" s="14">
        <f>IF(OR(ISNUMBER(SEARCH("[",AG30)),ISNUMBER(SEARCH("[",AJ30))),"Fill placeholders",IF(ISNUMBER(AB30),"Ready to send","Ready · no fixed slot"))</f>
        <v/>
      </c>
      <c r="AN30" s="17" t="n"/>
    </row>
    <row r="31">
      <c r="A31" s="11" t="n">
        <v>29</v>
      </c>
      <c r="B31" s="11" t="n">
        <v>1</v>
      </c>
      <c r="C31" s="11" t="inlineStr">
        <is>
          <t>Public / state-owned bank</t>
        </is>
      </c>
      <c r="D31" s="11" t="inlineStr">
        <is>
          <t>City of London</t>
        </is>
      </c>
      <c r="E31" s="11" t="inlineStr">
        <is>
          <t>Bank of England</t>
        </is>
      </c>
      <c r="F31" s="11" t="inlineStr">
        <is>
          <t>the Bank of England</t>
        </is>
      </c>
      <c r="G31" s="11" t="n"/>
      <c r="H31" s="11" t="n"/>
      <c r="I31" s="12" t="inlineStr">
        <is>
          <t>Search</t>
        </is>
      </c>
      <c r="J31" s="11" t="inlineStr">
        <is>
          <t>Statutory corporation</t>
        </is>
      </c>
      <c r="K31" s="13" t="n"/>
      <c r="L31" s="11" t="inlineStr">
        <is>
          <t>Threadneedle Street, London</t>
        </is>
      </c>
      <c r="M31" s="11" t="inlineStr">
        <is>
          <t>EC2R 8AH</t>
        </is>
      </c>
      <c r="N31" s="11" t="inlineStr">
        <is>
          <t>Yes</t>
        </is>
      </c>
      <c r="U31" s="11" t="inlineStr">
        <is>
          <t>Liverpool St - Attlee Centre</t>
        </is>
      </c>
      <c r="V31" s="11" t="n">
        <v>19</v>
      </c>
      <c r="W31" s="11" t="n"/>
      <c r="X31" s="11" t="inlineStr">
        <is>
          <t>Liverpool St - Attlee Centre</t>
        </is>
      </c>
      <c r="Y31" s="11" t="n">
        <v>19</v>
      </c>
      <c r="Z31" s="14">
        <f>IFERROR(INDEX(Venues!$E$2:$E$15,MATCH(X31,Venues!$A$2:$A$15,0)),"Not checked")</f>
        <v/>
      </c>
      <c r="AA31" s="14">
        <f>IFERROR(INDEX(Venues!$F$2:$F$15,MATCH(X31,Venues!$A$2:$A$15,0)),0)</f>
        <v/>
      </c>
      <c r="AB31" s="15">
        <f>IFERROR(INDEX(Venues!$M$2:$M$15,MATCH(X31,Venues!$A$2:$A$15,0)),"")</f>
        <v/>
      </c>
      <c r="AC31" s="14">
        <f>IFERROR(INDEX(Venues!$N$2:$N$15,MATCH(X31,Venues!$A$2:$A$15,0)),"5-a-side")</f>
        <v/>
      </c>
      <c r="AD31" s="16">
        <f>IF(Offer!$C$4="","",Offer!$C$4)</f>
        <v/>
      </c>
      <c r="AE31" s="14">
        <f>X31&amp;" ("&amp;Y31&amp;" min walk) · "&amp;IF(ISNUMBER(AB31),TEXT(AB31,"ddd d mmm, hh:mm"),"slot to confirm with venue")&amp;" · "&amp;AC31&amp;" · "&amp;IF(AD31&lt;&gt;"","£"&amp;TEXT(AD31,"0.00")&amp;" pp","price TBC")</f>
        <v/>
      </c>
      <c r="AF31" s="14">
        <f>"After-work football for "&amp;F31&amp;" · "&amp;X31&amp;", "&amp;Y31&amp;" min from your office"</f>
        <v/>
      </c>
      <c r="AG31" s="14">
        <f>"Hi"&amp;IF(O31&lt;&gt;""," "&amp;O31,"")&amp;","&amp;CHAR(10)&amp;CHAR(10)&amp;"I'm "&amp;IF(AL31&lt;&gt;"",AL31,IF(Offer!$C$5&lt;&gt;"",Offer!$C$5,"[NAME]"))&amp;" from FC Urban. We organise after-work football for teams in the City and Canary Wharf."&amp;CHAR(10)&amp;CHAR(10)&amp;"We have a "&amp;AC31&amp;" pitch at "&amp;X31&amp;", "&amp;IF(OR(Y31=8,Y31=11,Y31=18),"an ","a ")&amp;Y31&amp;"-minute walk from your "&amp;M31&amp;" office, "&amp;IF(ISNUMBER(AB31),"on "&amp;TEXT(AB31,"dddd d mmmm")&amp;" at "&amp;TEXT(AB31,"hh:mm"),"on a weekday evening that suits your team")&amp;". It's "&amp;IF(AD31&lt;&gt;"","£"&amp;IF(AD31=INT(AD31),TEXT(AD31,"0"),TEXT(AD31,"0.00")),"[PRICE PER PLAYER]")&amp;" a player and we handle the pitch booking, sign-ups and payments, so all it takes is one person sharing a link with the team."&amp;CHAR(10)&amp;CHAR(10)&amp;"It works well as a team social or "&amp;IF(ISNUMBER(SEARCH(LEFT(F31,1),"AEIOU")),"an ","a ")&amp;F31&amp;"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LINK]")&amp;CHAR(10)&amp;CHAR(10)&amp;"Best,"&amp;CHAR(10)&amp;IF(AL31&lt;&gt;"",AL31,IF(Offer!$C$5&lt;&gt;"",Offer!$C$5,"[NAME]"))&amp;CHAR(10)&amp;"FC Urban"</f>
        <v/>
      </c>
      <c r="AH31" s="14">
        <f>IF(LEN("Hi"&amp;IF(O31&lt;&gt;""," "&amp;O31,"")&amp;","&amp;" FC Urban runs after-work football for "&amp;IF(D31="Canary Wharf","Canary Wharf","City")&amp;" teams. We have a "&amp;AC31&amp;" pitch at "&amp;X31&amp;", "&amp;Y31&amp;" min from your office, "&amp;IF(ISNUMBER(AB31),TEXT(AB31,"ddd d mmm")&amp;", "&amp;TEXT(AB31,"hh:mm"),"weekday evenings")&amp;", "&amp;IF(AD31&lt;&gt;"","£"&amp;IF(AD31=INT(AD31),TEXT(AD31,"0"),TEXT(AD31,"0.00")),"[PRICE PER PLAYER]")&amp;" a player. We handle booking, sign-ups and payments. Fancy "&amp;IF(ISNUMBER(SEARCH(LEFT(F31,1),"AEIOU")),"an ","a ")&amp;F31&amp;" team game? "&amp;IF(AL31&lt;&gt;"",AL31,IF(Offer!$C$5&lt;&gt;"",Offer!$C$5,"[NAME]")))&lt;=300,"Hi"&amp;IF(O31&lt;&gt;""," "&amp;O31,"")&amp;","&amp;" FC Urban runs after-work football for "&amp;IF(D31="Canary Wharf","Canary Wharf","City")&amp;" teams. We have a "&amp;AC31&amp;" pitch at "&amp;X31&amp;", "&amp;Y31&amp;" min from your office, "&amp;IF(ISNUMBER(AB31),TEXT(AB31,"ddd d mmm")&amp;", "&amp;TEXT(AB31,"hh:mm"),"weekday evenings")&amp;", "&amp;IF(AD31&lt;&gt;"","£"&amp;IF(AD31=INT(AD31),TEXT(AD31,"0"),TEXT(AD31,"0.00")),"[PRICE PER PLAYER]")&amp;" a player. We handle booking, sign-ups and payments. Fancy "&amp;IF(ISNUMBER(SEARCH(LEFT(F31,1),"AEIOU")),"an ","a ")&amp;F31&amp;" team game? "&amp;IF(AL31&lt;&gt;"",AL31,IF(Offer!$C$5&lt;&gt;"",Offer!$C$5,"[NAME]")),LEFT("Hi"&amp;IF(O31&lt;&gt;""," "&amp;O31,"")&amp;","&amp;" FC Urban runs after-work football for "&amp;IF(D31="Canary Wharf","Canary Wharf","City")&amp;" teams: "&amp;AC31&amp;" at "&amp;X31&amp;", "&amp;Y31&amp;" min from your office, "&amp;IF(ISNUMBER(AB31),TEXT(AB31,"ddd d mmm")&amp;", "&amp;TEXT(AB31,"hh:mm"),"weekday evenings")&amp;", "&amp;IF(AD31&lt;&gt;"","£"&amp;IF(AD31=INT(AD31),TEXT(AD31,"0"),TEXT(AD31,"0.00")),"[PRICE PER PLAYER]")&amp;" pp. We handle booking and payments. Up for a team game? "&amp;IF(AL31&lt;&gt;"",AL31,IF(Offer!$C$5&lt;&gt;"",Offer!$C$5,"[NAME]")),300))</f>
        <v/>
      </c>
      <c r="AI31" s="14">
        <f>LEN(AH31)</f>
        <v/>
      </c>
      <c r="AJ31" s="14">
        <f>"Thanks for connecting"&amp;IF(O31&lt;&gt;"",", "&amp;O31,"")&amp;". "&amp;IF(ISNUMBER(AB31),"The "&amp;AC31&amp;" slot at "&amp;X31&amp;" is "&amp;IF(ISNUMBER(AB31),TEXT(AB31,"ddd d mmm")&amp;", "&amp;TEXT(AB31,"hh:mm"),"weekday evenings"),"We can book "&amp;AC31&amp;" at "&amp;X31&amp;" on a weekday evening that suits you")&amp;" and it's "&amp;IF(AD31&lt;&gt;"","£"&amp;IF(AD31=INT(AD31),TEXT(AD31,"0"),TEXT(AD31,"0.00")),"[PRICE PER PLAYER]")&amp;" a player, all booked and paid through one link. If football isn't your thing, who at "&amp;F31&amp;" would be the right person to organise a team game?"&amp;IF(Offer!$C$7&lt;&gt;""," Spots are held until "&amp;TEXT(Offer!$C$7,"dddd d mmmm")&amp;".","")&amp;" "&amp;IF(Offer!$C$6&lt;&gt;"",Offer!$C$6,"[JOINING LINK]")</f>
        <v/>
      </c>
      <c r="AK31" s="14">
        <f>IF(OR(ISNUMBER(SEARCH("[",AG31)),ISNUMBER(SEARCH("[",AJ31))),"Fill placeholders",IF(ISNUMBER(AB31),"Ready to send","Ready · no fixed slot"))</f>
        <v/>
      </c>
      <c r="AN31" s="17" t="n"/>
    </row>
    <row r="32">
      <c r="A32" s="11" t="n">
        <v>30</v>
      </c>
      <c r="B32" s="11" t="n">
        <v>2</v>
      </c>
      <c r="C32" s="11" t="inlineStr">
        <is>
          <t>Law firm</t>
        </is>
      </c>
      <c r="D32" s="11" t="inlineStr">
        <is>
          <t>City of London</t>
        </is>
      </c>
      <c r="E32" s="11" t="inlineStr">
        <is>
          <t>Maples and Calder</t>
        </is>
      </c>
      <c r="F32" s="11" t="inlineStr">
        <is>
          <t>Maples Group</t>
        </is>
      </c>
      <c r="G32" s="11" t="inlineStr">
        <is>
          <t>03369233</t>
        </is>
      </c>
      <c r="H32" s="12" t="inlineStr">
        <is>
          <t>Open</t>
        </is>
      </c>
      <c r="I32" s="12" t="inlineStr">
        <is>
          <t>Search</t>
        </is>
      </c>
      <c r="J32" s="11" t="inlineStr">
        <is>
          <t>Full</t>
        </is>
      </c>
      <c r="K32" s="13" t="n">
        <v>35556</v>
      </c>
      <c r="L32" s="11" t="inlineStr">
        <is>
          <t>Duo Level 6, 280 Bishopsgate, London</t>
        </is>
      </c>
      <c r="M32" s="11" t="inlineStr">
        <is>
          <t>EC2M 4RB</t>
        </is>
      </c>
      <c r="N32" s="11" t="inlineStr">
        <is>
          <t>No</t>
        </is>
      </c>
      <c r="U32" s="11" t="inlineStr">
        <is>
          <t>Shoreditch Powerleague</t>
        </is>
      </c>
      <c r="V32" s="11" t="n">
        <v>7</v>
      </c>
      <c r="W32" s="11" t="inlineStr">
        <is>
          <t>Liverpool St - Attlee Centre (7.1)</t>
        </is>
      </c>
      <c r="X32" s="11" t="inlineStr">
        <is>
          <t>Shoreditch Powerleague</t>
        </is>
      </c>
      <c r="Y32" s="11" t="n">
        <v>7</v>
      </c>
      <c r="Z32" s="14">
        <f>IFERROR(INDEX(Venues!$E$2:$E$15,MATCH(X32,Venues!$A$2:$A$15,0)),"Not checked")</f>
        <v/>
      </c>
      <c r="AA32" s="14">
        <f>IFERROR(INDEX(Venues!$F$2:$F$15,MATCH(X32,Venues!$A$2:$A$15,0)),0)</f>
        <v/>
      </c>
      <c r="AB32" s="15">
        <f>IFERROR(INDEX(Venues!$M$2:$M$15,MATCH(X32,Venues!$A$2:$A$15,0)),"")</f>
        <v/>
      </c>
      <c r="AC32" s="14">
        <f>IFERROR(INDEX(Venues!$N$2:$N$15,MATCH(X32,Venues!$A$2:$A$15,0)),"5-a-side")</f>
        <v/>
      </c>
      <c r="AD32" s="16">
        <f>IF(Offer!$C$4="","",Offer!$C$4)</f>
        <v/>
      </c>
      <c r="AE32" s="14">
        <f>X32&amp;" ("&amp;Y32&amp;" min walk) · "&amp;IF(ISNUMBER(AB32),TEXT(AB32,"ddd d mmm, hh:mm"),"slot to confirm with venue")&amp;" · "&amp;AC32&amp;" · "&amp;IF(AD32&lt;&gt;"","£"&amp;TEXT(AD32,"0.00")&amp;" pp","price TBC")</f>
        <v/>
      </c>
      <c r="AF32" s="14">
        <f>"After-work football for "&amp;F32&amp;" · "&amp;X32&amp;", "&amp;Y32&amp;" min from your office"</f>
        <v/>
      </c>
      <c r="AG32" s="14">
        <f>"Hi"&amp;IF(O32&lt;&gt;""," "&amp;O32,"")&amp;","&amp;CHAR(10)&amp;CHAR(10)&amp;"I'm "&amp;IF(AL32&lt;&gt;"",AL32,IF(Offer!$C$5&lt;&gt;"",Offer!$C$5,"[NAME]"))&amp;" from FC Urban. We organise after-work football for teams in the City and Canary Wharf."&amp;CHAR(10)&amp;CHAR(10)&amp;"We have a "&amp;AC32&amp;" pitch at "&amp;X32&amp;", "&amp;IF(OR(Y32=8,Y32=11,Y32=18),"an ","a ")&amp;Y32&amp;"-minute walk from your "&amp;M32&amp;" office, "&amp;IF(ISNUMBER(AB32),"on "&amp;TEXT(AB32,"dddd d mmmm")&amp;" at "&amp;TEXT(AB32,"hh:mm"),"on a weekday evening that suits your team")&amp;". It's "&amp;IF(AD32&lt;&gt;"","£"&amp;IF(AD32=INT(AD32),TEXT(AD32,"0"),TEXT(AD32,"0.00")),"[PRICE PER PLAYER]")&amp;" a player and we handle the pitch booking, sign-ups and payments, so all it takes is one person sharing a link with the team."&amp;CHAR(10)&amp;CHAR(10)&amp;"It works well as a team social or "&amp;IF(ISNUMBER(SEARCH(LEFT(F32,1),"AEIOU")),"an ","a ")&amp;F32&amp;"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LINK]")&amp;CHAR(10)&amp;CHAR(10)&amp;"Best,"&amp;CHAR(10)&amp;IF(AL32&lt;&gt;"",AL32,IF(Offer!$C$5&lt;&gt;"",Offer!$C$5,"[NAME]"))&amp;CHAR(10)&amp;"FC Urban"</f>
        <v/>
      </c>
      <c r="AH32" s="14">
        <f>IF(LEN("Hi"&amp;IF(O32&lt;&gt;""," "&amp;O32,"")&amp;","&amp;" FC Urban runs after-work football for "&amp;IF(D32="Canary Wharf","Canary Wharf","City")&amp;" teams. We have a "&amp;AC32&amp;" pitch at "&amp;X32&amp;", "&amp;Y32&amp;" min from your office, "&amp;IF(ISNUMBER(AB32),TEXT(AB32,"ddd d mmm")&amp;", "&amp;TEXT(AB32,"hh:mm"),"weekday evenings")&amp;", "&amp;IF(AD32&lt;&gt;"","£"&amp;IF(AD32=INT(AD32),TEXT(AD32,"0"),TEXT(AD32,"0.00")),"[PRICE PER PLAYER]")&amp;" a player. We handle booking, sign-ups and payments. Fancy "&amp;IF(ISNUMBER(SEARCH(LEFT(F32,1),"AEIOU")),"an ","a ")&amp;F32&amp;" team game? "&amp;IF(AL32&lt;&gt;"",AL32,IF(Offer!$C$5&lt;&gt;"",Offer!$C$5,"[NAME]")))&lt;=300,"Hi"&amp;IF(O32&lt;&gt;""," "&amp;O32,"")&amp;","&amp;" FC Urban runs after-work football for "&amp;IF(D32="Canary Wharf","Canary Wharf","City")&amp;" teams. We have a "&amp;AC32&amp;" pitch at "&amp;X32&amp;", "&amp;Y32&amp;" min from your office, "&amp;IF(ISNUMBER(AB32),TEXT(AB32,"ddd d mmm")&amp;", "&amp;TEXT(AB32,"hh:mm"),"weekday evenings")&amp;", "&amp;IF(AD32&lt;&gt;"","£"&amp;IF(AD32=INT(AD32),TEXT(AD32,"0"),TEXT(AD32,"0.00")),"[PRICE PER PLAYER]")&amp;" a player. We handle booking, sign-ups and payments. Fancy "&amp;IF(ISNUMBER(SEARCH(LEFT(F32,1),"AEIOU")),"an ","a ")&amp;F32&amp;" team game? "&amp;IF(AL32&lt;&gt;"",AL32,IF(Offer!$C$5&lt;&gt;"",Offer!$C$5,"[NAME]")),LEFT("Hi"&amp;IF(O32&lt;&gt;""," "&amp;O32,"")&amp;","&amp;" FC Urban runs after-work football for "&amp;IF(D32="Canary Wharf","Canary Wharf","City")&amp;" teams: "&amp;AC32&amp;" at "&amp;X32&amp;", "&amp;Y32&amp;" min from your office, "&amp;IF(ISNUMBER(AB32),TEXT(AB32,"ddd d mmm")&amp;", "&amp;TEXT(AB32,"hh:mm"),"weekday evenings")&amp;", "&amp;IF(AD32&lt;&gt;"","£"&amp;IF(AD32=INT(AD32),TEXT(AD32,"0"),TEXT(AD32,"0.00")),"[PRICE PER PLAYER]")&amp;" pp. We handle booking and payments. Up for a team game? "&amp;IF(AL32&lt;&gt;"",AL32,IF(Offer!$C$5&lt;&gt;"",Offer!$C$5,"[NAME]")),300))</f>
        <v/>
      </c>
      <c r="AI32" s="14">
        <f>LEN(AH32)</f>
        <v/>
      </c>
      <c r="AJ32" s="14">
        <f>"Thanks for connecting"&amp;IF(O32&lt;&gt;"",", "&amp;O32,"")&amp;". "&amp;IF(ISNUMBER(AB32),"The "&amp;AC32&amp;" slot at "&amp;X32&amp;" is "&amp;IF(ISNUMBER(AB32),TEXT(AB32,"ddd d mmm")&amp;", "&amp;TEXT(AB32,"hh:mm"),"weekday evenings"),"We can book "&amp;AC32&amp;" at "&amp;X32&amp;" on a weekday evening that suits you")&amp;" and it's "&amp;IF(AD32&lt;&gt;"","£"&amp;IF(AD32=INT(AD32),TEXT(AD32,"0"),TEXT(AD32,"0.00")),"[PRICE PER PLAYER]")&amp;" a player, all booked and paid through one link. If football isn't your thing, who at "&amp;F32&amp;" would be the right person to organise a team game?"&amp;IF(Offer!$C$7&lt;&gt;""," Spots are held until "&amp;TEXT(Offer!$C$7,"dddd d mmmm")&amp;".","")&amp;" "&amp;IF(Offer!$C$6&lt;&gt;"",Offer!$C$6,"[JOINING LINK]")</f>
        <v/>
      </c>
      <c r="AK32" s="14">
        <f>IF(OR(ISNUMBER(SEARCH("[",AG32)),ISNUMBER(SEARCH("[",AJ32))),"Fill placeholders",IF(ISNUMBER(AB32),"Ready to send","Ready · no fixed slot"))</f>
        <v/>
      </c>
      <c r="AN32" s="17" t="n"/>
    </row>
    <row r="33">
      <c r="A33" s="11" t="n">
        <v>31</v>
      </c>
      <c r="B33" s="11" t="n">
        <v>2</v>
      </c>
      <c r="C33" s="11" t="inlineStr">
        <is>
          <t>Law firm</t>
        </is>
      </c>
      <c r="D33" s="11" t="inlineStr">
        <is>
          <t>City of London</t>
        </is>
      </c>
      <c r="E33" s="11" t="inlineStr">
        <is>
          <t>Watson Farley &amp; Williams LLP</t>
        </is>
      </c>
      <c r="F33" s="11" t="inlineStr">
        <is>
          <t>Watson Farley &amp; Williams</t>
        </is>
      </c>
      <c r="G33" s="11" t="inlineStr">
        <is>
          <t>OC312252</t>
        </is>
      </c>
      <c r="H33" s="12" t="inlineStr">
        <is>
          <t>Open</t>
        </is>
      </c>
      <c r="I33" s="12" t="inlineStr">
        <is>
          <t>Search</t>
        </is>
      </c>
      <c r="J33" s="11" t="inlineStr">
        <is>
          <t>Full</t>
        </is>
      </c>
      <c r="K33" s="13" t="n">
        <v>38428</v>
      </c>
      <c r="L33" s="11" t="inlineStr">
        <is>
          <t>15 Appold Street, London</t>
        </is>
      </c>
      <c r="M33" s="11" t="inlineStr">
        <is>
          <t>EC2A 2HB</t>
        </is>
      </c>
      <c r="N33" s="11" t="inlineStr">
        <is>
          <t>No</t>
        </is>
      </c>
      <c r="U33" s="11" t="inlineStr">
        <is>
          <t>Shoreditch Powerleague</t>
        </is>
      </c>
      <c r="V33" s="11" t="n">
        <v>10</v>
      </c>
      <c r="W33" s="11" t="inlineStr">
        <is>
          <t>Liverpool St - Attlee Centre (12.1)</t>
        </is>
      </c>
      <c r="X33" s="11" t="inlineStr">
        <is>
          <t>Shoreditch Powerleague</t>
        </is>
      </c>
      <c r="Y33" s="11" t="n">
        <v>10</v>
      </c>
      <c r="Z33" s="14">
        <f>IFERROR(INDEX(Venues!$E$2:$E$15,MATCH(X33,Venues!$A$2:$A$15,0)),"Not checked")</f>
        <v/>
      </c>
      <c r="AA33" s="14">
        <f>IFERROR(INDEX(Venues!$F$2:$F$15,MATCH(X33,Venues!$A$2:$A$15,0)),0)</f>
        <v/>
      </c>
      <c r="AB33" s="15">
        <f>IFERROR(INDEX(Venues!$M$2:$M$15,MATCH(X33,Venues!$A$2:$A$15,0)),"")</f>
        <v/>
      </c>
      <c r="AC33" s="14">
        <f>IFERROR(INDEX(Venues!$N$2:$N$15,MATCH(X33,Venues!$A$2:$A$15,0)),"5-a-side")</f>
        <v/>
      </c>
      <c r="AD33" s="16">
        <f>IF(Offer!$C$4="","",Offer!$C$4)</f>
        <v/>
      </c>
      <c r="AE33" s="14">
        <f>X33&amp;" ("&amp;Y33&amp;" min walk) · "&amp;IF(ISNUMBER(AB33),TEXT(AB33,"ddd d mmm, hh:mm"),"slot to confirm with venue")&amp;" · "&amp;AC33&amp;" · "&amp;IF(AD33&lt;&gt;"","£"&amp;TEXT(AD33,"0.00")&amp;" pp","price TBC")</f>
        <v/>
      </c>
      <c r="AF33" s="14">
        <f>"After-work football for "&amp;F33&amp;" · "&amp;X33&amp;", "&amp;Y33&amp;" min from your office"</f>
        <v/>
      </c>
      <c r="AG33" s="14">
        <f>"Hi"&amp;IF(O33&lt;&gt;""," "&amp;O33,"")&amp;","&amp;CHAR(10)&amp;CHAR(10)&amp;"I'm "&amp;IF(AL33&lt;&gt;"",AL33,IF(Offer!$C$5&lt;&gt;"",Offer!$C$5,"[NAME]"))&amp;" from FC Urban. We organise after-work football for teams in the City and Canary Wharf."&amp;CHAR(10)&amp;CHAR(10)&amp;"We have a "&amp;AC33&amp;" pitch at "&amp;X33&amp;", "&amp;IF(OR(Y33=8,Y33=11,Y33=18),"an ","a ")&amp;Y33&amp;"-minute walk from your "&amp;M33&amp;" office, "&amp;IF(ISNUMBER(AB33),"on "&amp;TEXT(AB33,"dddd d mmmm")&amp;" at "&amp;TEXT(AB33,"hh:mm"),"on a weekday evening that suits your team")&amp;". It's "&amp;IF(AD33&lt;&gt;"","£"&amp;IF(AD33=INT(AD33),TEXT(AD33,"0"),TEXT(AD33,"0.00")),"[PRICE PER PLAYER]")&amp;" a player and we handle the pitch booking, sign-ups and payments, so all it takes is one person sharing a link with the team."&amp;CHAR(10)&amp;CHAR(10)&amp;"It works well as a team social or "&amp;IF(ISNUMBER(SEARCH(LEFT(F33,1),"AEIOU")),"an ","a ")&amp;F33&amp;"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LINK]")&amp;CHAR(10)&amp;CHAR(10)&amp;"Best,"&amp;CHAR(10)&amp;IF(AL33&lt;&gt;"",AL33,IF(Offer!$C$5&lt;&gt;"",Offer!$C$5,"[NAME]"))&amp;CHAR(10)&amp;"FC Urban"</f>
        <v/>
      </c>
      <c r="AH33" s="14">
        <f>IF(LEN("Hi"&amp;IF(O33&lt;&gt;""," "&amp;O33,"")&amp;","&amp;" FC Urban runs after-work football for "&amp;IF(D33="Canary Wharf","Canary Wharf","City")&amp;" teams. We have a "&amp;AC33&amp;" pitch at "&amp;X33&amp;", "&amp;Y33&amp;" min from your office, "&amp;IF(ISNUMBER(AB33),TEXT(AB33,"ddd d mmm")&amp;", "&amp;TEXT(AB33,"hh:mm"),"weekday evenings")&amp;", "&amp;IF(AD33&lt;&gt;"","£"&amp;IF(AD33=INT(AD33),TEXT(AD33,"0"),TEXT(AD33,"0.00")),"[PRICE PER PLAYER]")&amp;" a player. We handle booking, sign-ups and payments. Fancy "&amp;IF(ISNUMBER(SEARCH(LEFT(F33,1),"AEIOU")),"an ","a ")&amp;F33&amp;" team game? "&amp;IF(AL33&lt;&gt;"",AL33,IF(Offer!$C$5&lt;&gt;"",Offer!$C$5,"[NAME]")))&lt;=300,"Hi"&amp;IF(O33&lt;&gt;""," "&amp;O33,"")&amp;","&amp;" FC Urban runs after-work football for "&amp;IF(D33="Canary Wharf","Canary Wharf","City")&amp;" teams. We have a "&amp;AC33&amp;" pitch at "&amp;X33&amp;", "&amp;Y33&amp;" min from your office, "&amp;IF(ISNUMBER(AB33),TEXT(AB33,"ddd d mmm")&amp;", "&amp;TEXT(AB33,"hh:mm"),"weekday evenings")&amp;", "&amp;IF(AD33&lt;&gt;"","£"&amp;IF(AD33=INT(AD33),TEXT(AD33,"0"),TEXT(AD33,"0.00")),"[PRICE PER PLAYER]")&amp;" a player. We handle booking, sign-ups and payments. Fancy "&amp;IF(ISNUMBER(SEARCH(LEFT(F33,1),"AEIOU")),"an ","a ")&amp;F33&amp;" team game? "&amp;IF(AL33&lt;&gt;"",AL33,IF(Offer!$C$5&lt;&gt;"",Offer!$C$5,"[NAME]")),LEFT("Hi"&amp;IF(O33&lt;&gt;""," "&amp;O33,"")&amp;","&amp;" FC Urban runs after-work football for "&amp;IF(D33="Canary Wharf","Canary Wharf","City")&amp;" teams: "&amp;AC33&amp;" at "&amp;X33&amp;", "&amp;Y33&amp;" min from your office, "&amp;IF(ISNUMBER(AB33),TEXT(AB33,"ddd d mmm")&amp;", "&amp;TEXT(AB33,"hh:mm"),"weekday evenings")&amp;", "&amp;IF(AD33&lt;&gt;"","£"&amp;IF(AD33=INT(AD33),TEXT(AD33,"0"),TEXT(AD33,"0.00")),"[PRICE PER PLAYER]")&amp;" pp. We handle booking and payments. Up for a team game? "&amp;IF(AL33&lt;&gt;"",AL33,IF(Offer!$C$5&lt;&gt;"",Offer!$C$5,"[NAME]")),300))</f>
        <v/>
      </c>
      <c r="AI33" s="14">
        <f>LEN(AH33)</f>
        <v/>
      </c>
      <c r="AJ33" s="14">
        <f>"Thanks for connecting"&amp;IF(O33&lt;&gt;"",", "&amp;O33,"")&amp;". "&amp;IF(ISNUMBER(AB33),"The "&amp;AC33&amp;" slot at "&amp;X33&amp;" is "&amp;IF(ISNUMBER(AB33),TEXT(AB33,"ddd d mmm")&amp;", "&amp;TEXT(AB33,"hh:mm"),"weekday evenings"),"We can book "&amp;AC33&amp;" at "&amp;X33&amp;" on a weekday evening that suits you")&amp;" and it's "&amp;IF(AD33&lt;&gt;"","£"&amp;IF(AD33=INT(AD33),TEXT(AD33,"0"),TEXT(AD33,"0.00")),"[PRICE PER PLAYER]")&amp;" a player, all booked and paid through one link. If football isn't your thing, who at "&amp;F33&amp;" would be the right person to organise a team game?"&amp;IF(Offer!$C$7&lt;&gt;""," Spots are held until "&amp;TEXT(Offer!$C$7,"dddd d mmmm")&amp;".","")&amp;" "&amp;IF(Offer!$C$6&lt;&gt;"",Offer!$C$6,"[JOINING LINK]")</f>
        <v/>
      </c>
      <c r="AK33" s="14">
        <f>IF(OR(ISNUMBER(SEARCH("[",AG33)),ISNUMBER(SEARCH("[",AJ33))),"Fill placeholders",IF(ISNUMBER(AB33),"Ready to send","Ready · no fixed slot"))</f>
        <v/>
      </c>
      <c r="AN33" s="17" t="n"/>
    </row>
    <row r="34">
      <c r="A34" s="11" t="n">
        <v>32</v>
      </c>
      <c r="B34" s="11" t="n">
        <v>2</v>
      </c>
      <c r="C34" s="11" t="inlineStr">
        <is>
          <t>Law firm</t>
        </is>
      </c>
      <c r="D34" s="11" t="inlineStr">
        <is>
          <t>City of London</t>
        </is>
      </c>
      <c r="E34" s="11" t="inlineStr">
        <is>
          <t>Conyers Dill &amp; Pearman</t>
        </is>
      </c>
      <c r="F34" s="11" t="inlineStr">
        <is>
          <t>Conyers Dill &amp; Pearman</t>
        </is>
      </c>
      <c r="G34" s="11" t="inlineStr">
        <is>
          <t>03495343</t>
        </is>
      </c>
      <c r="H34" s="12" t="inlineStr">
        <is>
          <t>Open</t>
        </is>
      </c>
      <c r="I34" s="12" t="inlineStr">
        <is>
          <t>Search</t>
        </is>
      </c>
      <c r="J34" s="11" t="inlineStr">
        <is>
          <t>Full</t>
        </is>
      </c>
      <c r="K34" s="13" t="n">
        <v>35809</v>
      </c>
      <c r="L34" s="11" t="inlineStr">
        <is>
          <t>10 Finsbury Square, London</t>
        </is>
      </c>
      <c r="M34" s="11" t="inlineStr">
        <is>
          <t>EC2A 1AF</t>
        </is>
      </c>
      <c r="N34" s="11" t="inlineStr">
        <is>
          <t>No</t>
        </is>
      </c>
      <c r="U34" s="11" t="inlineStr">
        <is>
          <t>Shoreditch Powerleague</t>
        </is>
      </c>
      <c r="V34" s="11" t="n">
        <v>14</v>
      </c>
      <c r="W34" s="11" t="inlineStr">
        <is>
          <t>Liverpool St - Attlee Centre (17.4); Old St - Moreland Primary School (18.3)</t>
        </is>
      </c>
      <c r="X34" s="11" t="inlineStr">
        <is>
          <t>Shoreditch Powerleague</t>
        </is>
      </c>
      <c r="Y34" s="11" t="n">
        <v>14</v>
      </c>
      <c r="Z34" s="14">
        <f>IFERROR(INDEX(Venues!$E$2:$E$15,MATCH(X34,Venues!$A$2:$A$15,0)),"Not checked")</f>
        <v/>
      </c>
      <c r="AA34" s="14">
        <f>IFERROR(INDEX(Venues!$F$2:$F$15,MATCH(X34,Venues!$A$2:$A$15,0)),0)</f>
        <v/>
      </c>
      <c r="AB34" s="15">
        <f>IFERROR(INDEX(Venues!$M$2:$M$15,MATCH(X34,Venues!$A$2:$A$15,0)),"")</f>
        <v/>
      </c>
      <c r="AC34" s="14">
        <f>IFERROR(INDEX(Venues!$N$2:$N$15,MATCH(X34,Venues!$A$2:$A$15,0)),"5-a-side")</f>
        <v/>
      </c>
      <c r="AD34" s="16">
        <f>IF(Offer!$C$4="","",Offer!$C$4)</f>
        <v/>
      </c>
      <c r="AE34" s="14">
        <f>X34&amp;" ("&amp;Y34&amp;" min walk) · "&amp;IF(ISNUMBER(AB34),TEXT(AB34,"ddd d mmm, hh:mm"),"slot to confirm with venue")&amp;" · "&amp;AC34&amp;" · "&amp;IF(AD34&lt;&gt;"","£"&amp;TEXT(AD34,"0.00")&amp;" pp","price TBC")</f>
        <v/>
      </c>
      <c r="AF34" s="14">
        <f>"After-work football for "&amp;F34&amp;" · "&amp;X34&amp;", "&amp;Y34&amp;" min from your office"</f>
        <v/>
      </c>
      <c r="AG34" s="14">
        <f>"Hi"&amp;IF(O34&lt;&gt;""," "&amp;O34,"")&amp;","&amp;CHAR(10)&amp;CHAR(10)&amp;"I'm "&amp;IF(AL34&lt;&gt;"",AL34,IF(Offer!$C$5&lt;&gt;"",Offer!$C$5,"[NAME]"))&amp;" from FC Urban. We organise after-work football for teams in the City and Canary Wharf."&amp;CHAR(10)&amp;CHAR(10)&amp;"We have a "&amp;AC34&amp;" pitch at "&amp;X34&amp;", "&amp;IF(OR(Y34=8,Y34=11,Y34=18),"an ","a ")&amp;Y34&amp;"-minute walk from your "&amp;M34&amp;" office, "&amp;IF(ISNUMBER(AB34),"on "&amp;TEXT(AB34,"dddd d mmmm")&amp;" at "&amp;TEXT(AB34,"hh:mm"),"on a weekday evening that suits your team")&amp;". It's "&amp;IF(AD34&lt;&gt;"","£"&amp;IF(AD34=INT(AD34),TEXT(AD34,"0"),TEXT(AD34,"0.00")),"[PRICE PER PLAYER]")&amp;" a player and we handle the pitch booking, sign-ups and payments, so all it takes is one person sharing a link with the team."&amp;CHAR(10)&amp;CHAR(10)&amp;"It works well as a team social or "&amp;IF(ISNUMBER(SEARCH(LEFT(F34,1),"AEIOU")),"an ","a ")&amp;F34&amp;"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LINK]")&amp;CHAR(10)&amp;CHAR(10)&amp;"Best,"&amp;CHAR(10)&amp;IF(AL34&lt;&gt;"",AL34,IF(Offer!$C$5&lt;&gt;"",Offer!$C$5,"[NAME]"))&amp;CHAR(10)&amp;"FC Urban"</f>
        <v/>
      </c>
      <c r="AH34" s="14">
        <f>IF(LEN("Hi"&amp;IF(O34&lt;&gt;""," "&amp;O34,"")&amp;","&amp;" FC Urban runs after-work football for "&amp;IF(D34="Canary Wharf","Canary Wharf","City")&amp;" teams. We have a "&amp;AC34&amp;" pitch at "&amp;X34&amp;", "&amp;Y34&amp;" min from your office, "&amp;IF(ISNUMBER(AB34),TEXT(AB34,"ddd d mmm")&amp;", "&amp;TEXT(AB34,"hh:mm"),"weekday evenings")&amp;", "&amp;IF(AD34&lt;&gt;"","£"&amp;IF(AD34=INT(AD34),TEXT(AD34,"0"),TEXT(AD34,"0.00")),"[PRICE PER PLAYER]")&amp;" a player. We handle booking, sign-ups and payments. Fancy "&amp;IF(ISNUMBER(SEARCH(LEFT(F34,1),"AEIOU")),"an ","a ")&amp;F34&amp;" team game? "&amp;IF(AL34&lt;&gt;"",AL34,IF(Offer!$C$5&lt;&gt;"",Offer!$C$5,"[NAME]")))&lt;=300,"Hi"&amp;IF(O34&lt;&gt;""," "&amp;O34,"")&amp;","&amp;" FC Urban runs after-work football for "&amp;IF(D34="Canary Wharf","Canary Wharf","City")&amp;" teams. We have a "&amp;AC34&amp;" pitch at "&amp;X34&amp;", "&amp;Y34&amp;" min from your office, "&amp;IF(ISNUMBER(AB34),TEXT(AB34,"ddd d mmm")&amp;", "&amp;TEXT(AB34,"hh:mm"),"weekday evenings")&amp;", "&amp;IF(AD34&lt;&gt;"","£"&amp;IF(AD34=INT(AD34),TEXT(AD34,"0"),TEXT(AD34,"0.00")),"[PRICE PER PLAYER]")&amp;" a player. We handle booking, sign-ups and payments. Fancy "&amp;IF(ISNUMBER(SEARCH(LEFT(F34,1),"AEIOU")),"an ","a ")&amp;F34&amp;" team game? "&amp;IF(AL34&lt;&gt;"",AL34,IF(Offer!$C$5&lt;&gt;"",Offer!$C$5,"[NAME]")),LEFT("Hi"&amp;IF(O34&lt;&gt;""," "&amp;O34,"")&amp;","&amp;" FC Urban runs after-work football for "&amp;IF(D34="Canary Wharf","Canary Wharf","City")&amp;" teams: "&amp;AC34&amp;" at "&amp;X34&amp;", "&amp;Y34&amp;" min from your office, "&amp;IF(ISNUMBER(AB34),TEXT(AB34,"ddd d mmm")&amp;", "&amp;TEXT(AB34,"hh:mm"),"weekday evenings")&amp;", "&amp;IF(AD34&lt;&gt;"","£"&amp;IF(AD34=INT(AD34),TEXT(AD34,"0"),TEXT(AD34,"0.00")),"[PRICE PER PLAYER]")&amp;" pp. We handle booking and payments. Up for a team game? "&amp;IF(AL34&lt;&gt;"",AL34,IF(Offer!$C$5&lt;&gt;"",Offer!$C$5,"[NAME]")),300))</f>
        <v/>
      </c>
      <c r="AI34" s="14">
        <f>LEN(AH34)</f>
        <v/>
      </c>
      <c r="AJ34" s="14">
        <f>"Thanks for connecting"&amp;IF(O34&lt;&gt;"",", "&amp;O34,"")&amp;". "&amp;IF(ISNUMBER(AB34),"The "&amp;AC34&amp;" slot at "&amp;X34&amp;" is "&amp;IF(ISNUMBER(AB34),TEXT(AB34,"ddd d mmm")&amp;", "&amp;TEXT(AB34,"hh:mm"),"weekday evenings"),"We can book "&amp;AC34&amp;" at "&amp;X34&amp;" on a weekday evening that suits you")&amp;" and it's "&amp;IF(AD34&lt;&gt;"","£"&amp;IF(AD34=INT(AD34),TEXT(AD34,"0"),TEXT(AD34,"0.00")),"[PRICE PER PLAYER]")&amp;" a player, all booked and paid through one link. If football isn't your thing, who at "&amp;F34&amp;" would be the right person to organise a team game?"&amp;IF(Offer!$C$7&lt;&gt;""," Spots are held until "&amp;TEXT(Offer!$C$7,"dddd d mmmm")&amp;".","")&amp;" "&amp;IF(Offer!$C$6&lt;&gt;"",Offer!$C$6,"[JOINING LINK]")</f>
        <v/>
      </c>
      <c r="AK34" s="14">
        <f>IF(OR(ISNUMBER(SEARCH("[",AG34)),ISNUMBER(SEARCH("[",AJ34))),"Fill placeholders",IF(ISNUMBER(AB34),"Ready to send","Ready · no fixed slot"))</f>
        <v/>
      </c>
      <c r="AN34" s="17" t="n"/>
    </row>
    <row r="35">
      <c r="A35" s="11" t="n">
        <v>33</v>
      </c>
      <c r="B35" s="11" t="n">
        <v>2</v>
      </c>
      <c r="C35" s="11" t="inlineStr">
        <is>
          <t>Law firm</t>
        </is>
      </c>
      <c r="D35" s="11" t="inlineStr">
        <is>
          <t>City of London</t>
        </is>
      </c>
      <c r="E35" s="11" t="inlineStr">
        <is>
          <t>Greenberg Traurig, LLP</t>
        </is>
      </c>
      <c r="F35" s="11" t="inlineStr">
        <is>
          <t>Greenberg Traurig</t>
        </is>
      </c>
      <c r="G35" s="11" t="inlineStr">
        <is>
          <t>OC346053</t>
        </is>
      </c>
      <c r="H35" s="12" t="inlineStr">
        <is>
          <t>Open</t>
        </is>
      </c>
      <c r="I35" s="12" t="inlineStr">
        <is>
          <t>Search</t>
        </is>
      </c>
      <c r="J35" s="11" t="inlineStr">
        <is>
          <t>Full</t>
        </is>
      </c>
      <c r="K35" s="13" t="n">
        <v>39965</v>
      </c>
      <c r="L35" s="11" t="inlineStr">
        <is>
          <t>The Shard Level 8, 32 London Bridge Street, London</t>
        </is>
      </c>
      <c r="M35" s="11" t="inlineStr">
        <is>
          <t>SE1 9SG</t>
        </is>
      </c>
      <c r="N35" s="11" t="inlineStr">
        <is>
          <t>No</t>
        </is>
      </c>
      <c r="U35" s="11" t="inlineStr">
        <is>
          <t>Borough Academy</t>
        </is>
      </c>
      <c r="V35" s="11" t="n">
        <v>15</v>
      </c>
      <c r="W35" s="11" t="n"/>
      <c r="X35" s="11" t="inlineStr">
        <is>
          <t>Borough Academy</t>
        </is>
      </c>
      <c r="Y35" s="11" t="n">
        <v>15</v>
      </c>
      <c r="Z35" s="14">
        <f>IFERROR(INDEX(Venues!$E$2:$E$15,MATCH(X35,Venues!$A$2:$A$15,0)),"Not checked")</f>
        <v/>
      </c>
      <c r="AA35" s="14">
        <f>IFERROR(INDEX(Venues!$F$2:$F$15,MATCH(X35,Venues!$A$2:$A$15,0)),0)</f>
        <v/>
      </c>
      <c r="AB35" s="15">
        <f>IFERROR(INDEX(Venues!$M$2:$M$15,MATCH(X35,Venues!$A$2:$A$15,0)),"")</f>
        <v/>
      </c>
      <c r="AC35" s="14">
        <f>IFERROR(INDEX(Venues!$N$2:$N$15,MATCH(X35,Venues!$A$2:$A$15,0)),"5-a-side")</f>
        <v/>
      </c>
      <c r="AD35" s="16">
        <f>IF(Offer!$C$4="","",Offer!$C$4)</f>
        <v/>
      </c>
      <c r="AE35" s="14">
        <f>X35&amp;" ("&amp;Y35&amp;" min walk) · "&amp;IF(ISNUMBER(AB35),TEXT(AB35,"ddd d mmm, hh:mm"),"slot to confirm with venue")&amp;" · "&amp;AC35&amp;" · "&amp;IF(AD35&lt;&gt;"","£"&amp;TEXT(AD35,"0.00")&amp;" pp","price TBC")</f>
        <v/>
      </c>
      <c r="AF35" s="14">
        <f>"After-work football for "&amp;F35&amp;" · "&amp;X35&amp;", "&amp;Y35&amp;" min from your office"</f>
        <v/>
      </c>
      <c r="AG35" s="14">
        <f>"Hi"&amp;IF(O35&lt;&gt;""," "&amp;O35,"")&amp;","&amp;CHAR(10)&amp;CHAR(10)&amp;"I'm "&amp;IF(AL35&lt;&gt;"",AL35,IF(Offer!$C$5&lt;&gt;"",Offer!$C$5,"[NAME]"))&amp;" from FC Urban. We organise after-work football for teams in the City and Canary Wharf."&amp;CHAR(10)&amp;CHAR(10)&amp;"We have a "&amp;AC35&amp;" pitch at "&amp;X35&amp;", "&amp;IF(OR(Y35=8,Y35=11,Y35=18),"an ","a ")&amp;Y35&amp;"-minute walk from your "&amp;M35&amp;" office, "&amp;IF(ISNUMBER(AB35),"on "&amp;TEXT(AB35,"dddd d mmmm")&amp;" at "&amp;TEXT(AB35,"hh:mm"),"on a weekday evening that suits your team")&amp;". It's "&amp;IF(AD35&lt;&gt;"","£"&amp;IF(AD35=INT(AD35),TEXT(AD35,"0"),TEXT(AD35,"0.00")),"[PRICE PER PLAYER]")&amp;" a player and we handle the pitch booking, sign-ups and payments, so all it takes is one person sharing a link with the team."&amp;CHAR(10)&amp;CHAR(10)&amp;"It works well as a team social or "&amp;IF(ISNUMBER(SEARCH(LEFT(F35,1),"AEIOU")),"an ","a ")&amp;F35&amp;"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LINK]")&amp;CHAR(10)&amp;CHAR(10)&amp;"Best,"&amp;CHAR(10)&amp;IF(AL35&lt;&gt;"",AL35,IF(Offer!$C$5&lt;&gt;"",Offer!$C$5,"[NAME]"))&amp;CHAR(10)&amp;"FC Urban"</f>
        <v/>
      </c>
      <c r="AH35" s="14">
        <f>IF(LEN("Hi"&amp;IF(O35&lt;&gt;""," "&amp;O35,"")&amp;","&amp;" FC Urban runs after-work football for "&amp;IF(D35="Canary Wharf","Canary Wharf","City")&amp;" teams. We have a "&amp;AC35&amp;" pitch at "&amp;X35&amp;", "&amp;Y35&amp;" min from your office, "&amp;IF(ISNUMBER(AB35),TEXT(AB35,"ddd d mmm")&amp;", "&amp;TEXT(AB35,"hh:mm"),"weekday evenings")&amp;", "&amp;IF(AD35&lt;&gt;"","£"&amp;IF(AD35=INT(AD35),TEXT(AD35,"0"),TEXT(AD35,"0.00")),"[PRICE PER PLAYER]")&amp;" a player. We handle booking, sign-ups and payments. Fancy "&amp;IF(ISNUMBER(SEARCH(LEFT(F35,1),"AEIOU")),"an ","a ")&amp;F35&amp;" team game? "&amp;IF(AL35&lt;&gt;"",AL35,IF(Offer!$C$5&lt;&gt;"",Offer!$C$5,"[NAME]")))&lt;=300,"Hi"&amp;IF(O35&lt;&gt;""," "&amp;O35,"")&amp;","&amp;" FC Urban runs after-work football for "&amp;IF(D35="Canary Wharf","Canary Wharf","City")&amp;" teams. We have a "&amp;AC35&amp;" pitch at "&amp;X35&amp;", "&amp;Y35&amp;" min from your office, "&amp;IF(ISNUMBER(AB35),TEXT(AB35,"ddd d mmm")&amp;", "&amp;TEXT(AB35,"hh:mm"),"weekday evenings")&amp;", "&amp;IF(AD35&lt;&gt;"","£"&amp;IF(AD35=INT(AD35),TEXT(AD35,"0"),TEXT(AD35,"0.00")),"[PRICE PER PLAYER]")&amp;" a player. We handle booking, sign-ups and payments. Fancy "&amp;IF(ISNUMBER(SEARCH(LEFT(F35,1),"AEIOU")),"an ","a ")&amp;F35&amp;" team game? "&amp;IF(AL35&lt;&gt;"",AL35,IF(Offer!$C$5&lt;&gt;"",Offer!$C$5,"[NAME]")),LEFT("Hi"&amp;IF(O35&lt;&gt;""," "&amp;O35,"")&amp;","&amp;" FC Urban runs after-work football for "&amp;IF(D35="Canary Wharf","Canary Wharf","City")&amp;" teams: "&amp;AC35&amp;" at "&amp;X35&amp;", "&amp;Y35&amp;" min from your office, "&amp;IF(ISNUMBER(AB35),TEXT(AB35,"ddd d mmm")&amp;", "&amp;TEXT(AB35,"hh:mm"),"weekday evenings")&amp;", "&amp;IF(AD35&lt;&gt;"","£"&amp;IF(AD35=INT(AD35),TEXT(AD35,"0"),TEXT(AD35,"0.00")),"[PRICE PER PLAYER]")&amp;" pp. We handle booking and payments. Up for a team game? "&amp;IF(AL35&lt;&gt;"",AL35,IF(Offer!$C$5&lt;&gt;"",Offer!$C$5,"[NAME]")),300))</f>
        <v/>
      </c>
      <c r="AI35" s="14">
        <f>LEN(AH35)</f>
        <v/>
      </c>
      <c r="AJ35" s="14">
        <f>"Thanks for connecting"&amp;IF(O35&lt;&gt;"",", "&amp;O35,"")&amp;". "&amp;IF(ISNUMBER(AB35),"The "&amp;AC35&amp;" slot at "&amp;X35&amp;" is "&amp;IF(ISNUMBER(AB35),TEXT(AB35,"ddd d mmm")&amp;", "&amp;TEXT(AB35,"hh:mm"),"weekday evenings"),"We can book "&amp;AC35&amp;" at "&amp;X35&amp;" on a weekday evening that suits you")&amp;" and it's "&amp;IF(AD35&lt;&gt;"","£"&amp;IF(AD35=INT(AD35),TEXT(AD35,"0"),TEXT(AD35,"0.00")),"[PRICE PER PLAYER]")&amp;" a player, all booked and paid through one link. If football isn't your thing, who at "&amp;F35&amp;" would be the right person to organise a team game?"&amp;IF(Offer!$C$7&lt;&gt;""," Spots are held until "&amp;TEXT(Offer!$C$7,"dddd d mmmm")&amp;".","")&amp;" "&amp;IF(Offer!$C$6&lt;&gt;"",Offer!$C$6,"[JOINING LINK]")</f>
        <v/>
      </c>
      <c r="AK35" s="14">
        <f>IF(OR(ISNUMBER(SEARCH("[",AG35)),ISNUMBER(SEARCH("[",AJ35))),"Fill placeholders",IF(ISNUMBER(AB35),"Ready to send","Ready · no fixed slot"))</f>
        <v/>
      </c>
      <c r="AN35" s="17" t="n"/>
    </row>
    <row r="36">
      <c r="A36" s="11" t="n">
        <v>34</v>
      </c>
      <c r="B36" s="11" t="n">
        <v>2</v>
      </c>
      <c r="C36" s="11" t="inlineStr">
        <is>
          <t>Law firm</t>
        </is>
      </c>
      <c r="D36" s="11" t="inlineStr">
        <is>
          <t>City of London</t>
        </is>
      </c>
      <c r="E36" s="11" t="inlineStr">
        <is>
          <t>Paul Hastings (Europe) LLP</t>
        </is>
      </c>
      <c r="F36" s="11" t="inlineStr">
        <is>
          <t>Paul Hastings</t>
        </is>
      </c>
      <c r="G36" s="11" t="inlineStr">
        <is>
          <t>OC306535</t>
        </is>
      </c>
      <c r="H36" s="12" t="inlineStr">
        <is>
          <t>Open</t>
        </is>
      </c>
      <c r="I36" s="12" t="inlineStr">
        <is>
          <t>Search</t>
        </is>
      </c>
      <c r="J36" s="11" t="inlineStr">
        <is>
          <t>Full</t>
        </is>
      </c>
      <c r="K36" s="13" t="n">
        <v>38002</v>
      </c>
      <c r="L36" s="11" t="inlineStr">
        <is>
          <t>100 Bishopsgate, London</t>
        </is>
      </c>
      <c r="M36" s="11" t="inlineStr">
        <is>
          <t>EC2N 4AG</t>
        </is>
      </c>
      <c r="N36" s="11" t="inlineStr">
        <is>
          <t>No</t>
        </is>
      </c>
      <c r="U36" s="11" t="inlineStr">
        <is>
          <t>Liverpool St - Attlee Centre</t>
        </is>
      </c>
      <c r="V36" s="11" t="n">
        <v>10</v>
      </c>
      <c r="W36" s="11" t="inlineStr">
        <is>
          <t>Shoreditch Powerleague (15.2)</t>
        </is>
      </c>
      <c r="X36" s="11" t="inlineStr">
        <is>
          <t>Shoreditch Powerleague</t>
        </is>
      </c>
      <c r="Y36" s="11" t="n">
        <v>15</v>
      </c>
      <c r="Z36" s="14">
        <f>IFERROR(INDEX(Venues!$E$2:$E$15,MATCH(X36,Venues!$A$2:$A$15,0)),"Not checked")</f>
        <v/>
      </c>
      <c r="AA36" s="14">
        <f>IFERROR(INDEX(Venues!$F$2:$F$15,MATCH(X36,Venues!$A$2:$A$15,0)),0)</f>
        <v/>
      </c>
      <c r="AB36" s="15">
        <f>IFERROR(INDEX(Venues!$M$2:$M$15,MATCH(X36,Venues!$A$2:$A$15,0)),"")</f>
        <v/>
      </c>
      <c r="AC36" s="14">
        <f>IFERROR(INDEX(Venues!$N$2:$N$15,MATCH(X36,Venues!$A$2:$A$15,0)),"5-a-side")</f>
        <v/>
      </c>
      <c r="AD36" s="16">
        <f>IF(Offer!$C$4="","",Offer!$C$4)</f>
        <v/>
      </c>
      <c r="AE36" s="14">
        <f>X36&amp;" ("&amp;Y36&amp;" min walk) · "&amp;IF(ISNUMBER(AB36),TEXT(AB36,"ddd d mmm, hh:mm"),"slot to confirm with venue")&amp;" · "&amp;AC36&amp;" · "&amp;IF(AD36&lt;&gt;"","£"&amp;TEXT(AD36,"0.00")&amp;" pp","price TBC")</f>
        <v/>
      </c>
      <c r="AF36" s="14">
        <f>"After-work football for "&amp;F36&amp;" · "&amp;X36&amp;", "&amp;Y36&amp;" min from your office"</f>
        <v/>
      </c>
      <c r="AG36" s="14">
        <f>"Hi"&amp;IF(O36&lt;&gt;""," "&amp;O36,"")&amp;","&amp;CHAR(10)&amp;CHAR(10)&amp;"I'm "&amp;IF(AL36&lt;&gt;"",AL36,IF(Offer!$C$5&lt;&gt;"",Offer!$C$5,"[NAME]"))&amp;" from FC Urban. We organise after-work football for teams in the City and Canary Wharf."&amp;CHAR(10)&amp;CHAR(10)&amp;"We have a "&amp;AC36&amp;" pitch at "&amp;X36&amp;", "&amp;IF(OR(Y36=8,Y36=11,Y36=18),"an ","a ")&amp;Y36&amp;"-minute walk from your "&amp;M36&amp;" office, "&amp;IF(ISNUMBER(AB36),"on "&amp;TEXT(AB36,"dddd d mmmm")&amp;" at "&amp;TEXT(AB36,"hh:mm"),"on a weekday evening that suits your team")&amp;". It's "&amp;IF(AD36&lt;&gt;"","£"&amp;IF(AD36=INT(AD36),TEXT(AD36,"0"),TEXT(AD36,"0.00")),"[PRICE PER PLAYER]")&amp;" a player and we handle the pitch booking, sign-ups and payments, so all it takes is one person sharing a link with the team."&amp;CHAR(10)&amp;CHAR(10)&amp;"It works well as a team social or "&amp;IF(ISNUMBER(SEARCH(LEFT(F36,1),"AEIOU")),"an ","a ")&amp;F36&amp;"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LINK]")&amp;CHAR(10)&amp;CHAR(10)&amp;"Best,"&amp;CHAR(10)&amp;IF(AL36&lt;&gt;"",AL36,IF(Offer!$C$5&lt;&gt;"",Offer!$C$5,"[NAME]"))&amp;CHAR(10)&amp;"FC Urban"</f>
        <v/>
      </c>
      <c r="AH36" s="14">
        <f>IF(LEN("Hi"&amp;IF(O36&lt;&gt;""," "&amp;O36,"")&amp;","&amp;" FC Urban runs after-work football for "&amp;IF(D36="Canary Wharf","Canary Wharf","City")&amp;" teams. We have a "&amp;AC36&amp;" pitch at "&amp;X36&amp;", "&amp;Y36&amp;" min from your office, "&amp;IF(ISNUMBER(AB36),TEXT(AB36,"ddd d mmm")&amp;", "&amp;TEXT(AB36,"hh:mm"),"weekday evenings")&amp;", "&amp;IF(AD36&lt;&gt;"","£"&amp;IF(AD36=INT(AD36),TEXT(AD36,"0"),TEXT(AD36,"0.00")),"[PRICE PER PLAYER]")&amp;" a player. We handle booking, sign-ups and payments. Fancy "&amp;IF(ISNUMBER(SEARCH(LEFT(F36,1),"AEIOU")),"an ","a ")&amp;F36&amp;" team game? "&amp;IF(AL36&lt;&gt;"",AL36,IF(Offer!$C$5&lt;&gt;"",Offer!$C$5,"[NAME]")))&lt;=300,"Hi"&amp;IF(O36&lt;&gt;""," "&amp;O36,"")&amp;","&amp;" FC Urban runs after-work football for "&amp;IF(D36="Canary Wharf","Canary Wharf","City")&amp;" teams. We have a "&amp;AC36&amp;" pitch at "&amp;X36&amp;", "&amp;Y36&amp;" min from your office, "&amp;IF(ISNUMBER(AB36),TEXT(AB36,"ddd d mmm")&amp;", "&amp;TEXT(AB36,"hh:mm"),"weekday evenings")&amp;", "&amp;IF(AD36&lt;&gt;"","£"&amp;IF(AD36=INT(AD36),TEXT(AD36,"0"),TEXT(AD36,"0.00")),"[PRICE PER PLAYER]")&amp;" a player. We handle booking, sign-ups and payments. Fancy "&amp;IF(ISNUMBER(SEARCH(LEFT(F36,1),"AEIOU")),"an ","a ")&amp;F36&amp;" team game? "&amp;IF(AL36&lt;&gt;"",AL36,IF(Offer!$C$5&lt;&gt;"",Offer!$C$5,"[NAME]")),LEFT("Hi"&amp;IF(O36&lt;&gt;""," "&amp;O36,"")&amp;","&amp;" FC Urban runs after-work football for "&amp;IF(D36="Canary Wharf","Canary Wharf","City")&amp;" teams: "&amp;AC36&amp;" at "&amp;X36&amp;", "&amp;Y36&amp;" min from your office, "&amp;IF(ISNUMBER(AB36),TEXT(AB36,"ddd d mmm")&amp;", "&amp;TEXT(AB36,"hh:mm"),"weekday evenings")&amp;", "&amp;IF(AD36&lt;&gt;"","£"&amp;IF(AD36=INT(AD36),TEXT(AD36,"0"),TEXT(AD36,"0.00")),"[PRICE PER PLAYER]")&amp;" pp. We handle booking and payments. Up for a team game? "&amp;IF(AL36&lt;&gt;"",AL36,IF(Offer!$C$5&lt;&gt;"",Offer!$C$5,"[NAME]")),300))</f>
        <v/>
      </c>
      <c r="AI36" s="14">
        <f>LEN(AH36)</f>
        <v/>
      </c>
      <c r="AJ36" s="14">
        <f>"Thanks for connecting"&amp;IF(O36&lt;&gt;"",", "&amp;O36,"")&amp;". "&amp;IF(ISNUMBER(AB36),"The "&amp;AC36&amp;" slot at "&amp;X36&amp;" is "&amp;IF(ISNUMBER(AB36),TEXT(AB36,"ddd d mmm")&amp;", "&amp;TEXT(AB36,"hh:mm"),"weekday evenings"),"We can book "&amp;AC36&amp;" at "&amp;X36&amp;" on a weekday evening that suits you")&amp;" and it's "&amp;IF(AD36&lt;&gt;"","£"&amp;IF(AD36=INT(AD36),TEXT(AD36,"0"),TEXT(AD36,"0.00")),"[PRICE PER PLAYER]")&amp;" a player, all booked and paid through one link. If football isn't your thing, who at "&amp;F36&amp;" would be the right person to organise a team game?"&amp;IF(Offer!$C$7&lt;&gt;""," Spots are held until "&amp;TEXT(Offer!$C$7,"dddd d mmmm")&amp;".","")&amp;" "&amp;IF(Offer!$C$6&lt;&gt;"",Offer!$C$6,"[JOINING LINK]")</f>
        <v/>
      </c>
      <c r="AK36" s="14">
        <f>IF(OR(ISNUMBER(SEARCH("[",AG36)),ISNUMBER(SEARCH("[",AJ36))),"Fill placeholders",IF(ISNUMBER(AB36),"Ready to send","Ready · no fixed slot"))</f>
        <v/>
      </c>
      <c r="AN36" s="17" t="n"/>
    </row>
    <row r="37">
      <c r="A37" s="11" t="n">
        <v>35</v>
      </c>
      <c r="B37" s="11" t="n">
        <v>2</v>
      </c>
      <c r="C37" s="11" t="inlineStr">
        <is>
          <t>Law firm</t>
        </is>
      </c>
      <c r="D37" s="11" t="inlineStr">
        <is>
          <t>City of London</t>
        </is>
      </c>
      <c r="E37" s="11" t="inlineStr">
        <is>
          <t>Runnymede Law Limited</t>
        </is>
      </c>
      <c r="F37" s="11" t="inlineStr">
        <is>
          <t>Runnymede Law</t>
        </is>
      </c>
      <c r="G37" s="11" t="inlineStr">
        <is>
          <t>09248715</t>
        </is>
      </c>
      <c r="H37" s="12" t="inlineStr">
        <is>
          <t>Open</t>
        </is>
      </c>
      <c r="I37" s="12" t="inlineStr">
        <is>
          <t>Search</t>
        </is>
      </c>
      <c r="J37" s="11" t="inlineStr">
        <is>
          <t>Full</t>
        </is>
      </c>
      <c r="K37" s="13" t="n">
        <v>41915</v>
      </c>
      <c r="L37" s="11" t="inlineStr">
        <is>
          <t>Exchequer Court, 33 St. Mary Axe, London</t>
        </is>
      </c>
      <c r="M37" s="11" t="inlineStr">
        <is>
          <t>EC3A 8AA</t>
        </is>
      </c>
      <c r="N37" s="11" t="inlineStr">
        <is>
          <t>No</t>
        </is>
      </c>
      <c r="U37" s="11" t="inlineStr">
        <is>
          <t>Liverpool St - Attlee Centre</t>
        </is>
      </c>
      <c r="V37" s="11" t="n">
        <v>10</v>
      </c>
      <c r="W37" s="11" t="inlineStr">
        <is>
          <t>Shoreditch Powerleague (15.5)</t>
        </is>
      </c>
      <c r="X37" s="11" t="inlineStr">
        <is>
          <t>Shoreditch Powerleague</t>
        </is>
      </c>
      <c r="Y37" s="11" t="n">
        <v>16</v>
      </c>
      <c r="Z37" s="14">
        <f>IFERROR(INDEX(Venues!$E$2:$E$15,MATCH(X37,Venues!$A$2:$A$15,0)),"Not checked")</f>
        <v/>
      </c>
      <c r="AA37" s="14">
        <f>IFERROR(INDEX(Venues!$F$2:$F$15,MATCH(X37,Venues!$A$2:$A$15,0)),0)</f>
        <v/>
      </c>
      <c r="AB37" s="15">
        <f>IFERROR(INDEX(Venues!$M$2:$M$15,MATCH(X37,Venues!$A$2:$A$15,0)),"")</f>
        <v/>
      </c>
      <c r="AC37" s="14">
        <f>IFERROR(INDEX(Venues!$N$2:$N$15,MATCH(X37,Venues!$A$2:$A$15,0)),"5-a-side")</f>
        <v/>
      </c>
      <c r="AD37" s="16">
        <f>IF(Offer!$C$4="","",Offer!$C$4)</f>
        <v/>
      </c>
      <c r="AE37" s="14">
        <f>X37&amp;" ("&amp;Y37&amp;" min walk) · "&amp;IF(ISNUMBER(AB37),TEXT(AB37,"ddd d mmm, hh:mm"),"slot to confirm with venue")&amp;" · "&amp;AC37&amp;" · "&amp;IF(AD37&lt;&gt;"","£"&amp;TEXT(AD37,"0.00")&amp;" pp","price TBC")</f>
        <v/>
      </c>
      <c r="AF37" s="14">
        <f>"After-work football for "&amp;F37&amp;" · "&amp;X37&amp;", "&amp;Y37&amp;" min from your office"</f>
        <v/>
      </c>
      <c r="AG37" s="14">
        <f>"Hi"&amp;IF(O37&lt;&gt;""," "&amp;O37,"")&amp;","&amp;CHAR(10)&amp;CHAR(10)&amp;"I'm "&amp;IF(AL37&lt;&gt;"",AL37,IF(Offer!$C$5&lt;&gt;"",Offer!$C$5,"[NAME]"))&amp;" from FC Urban. We organise after-work football for teams in the City and Canary Wharf."&amp;CHAR(10)&amp;CHAR(10)&amp;"We have a "&amp;AC37&amp;" pitch at "&amp;X37&amp;", "&amp;IF(OR(Y37=8,Y37=11,Y37=18),"an ","a ")&amp;Y37&amp;"-minute walk from your "&amp;M37&amp;" office, "&amp;IF(ISNUMBER(AB37),"on "&amp;TEXT(AB37,"dddd d mmmm")&amp;" at "&amp;TEXT(AB37,"hh:mm"),"on a weekday evening that suits your team")&amp;". It's "&amp;IF(AD37&lt;&gt;"","£"&amp;IF(AD37=INT(AD37),TEXT(AD37,"0"),TEXT(AD37,"0.00")),"[PRICE PER PLAYER]")&amp;" a player and we handle the pitch booking, sign-ups and payments, so all it takes is one person sharing a link with the team."&amp;CHAR(10)&amp;CHAR(10)&amp;"It works well as a team social or "&amp;IF(ISNUMBER(SEARCH(LEFT(F37,1),"AEIOU")),"an ","a ")&amp;F37&amp;"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LINK]")&amp;CHAR(10)&amp;CHAR(10)&amp;"Best,"&amp;CHAR(10)&amp;IF(AL37&lt;&gt;"",AL37,IF(Offer!$C$5&lt;&gt;"",Offer!$C$5,"[NAME]"))&amp;CHAR(10)&amp;"FC Urban"</f>
        <v/>
      </c>
      <c r="AH37" s="14">
        <f>IF(LEN("Hi"&amp;IF(O37&lt;&gt;""," "&amp;O37,"")&amp;","&amp;" FC Urban runs after-work football for "&amp;IF(D37="Canary Wharf","Canary Wharf","City")&amp;" teams. We have a "&amp;AC37&amp;" pitch at "&amp;X37&amp;", "&amp;Y37&amp;" min from your office, "&amp;IF(ISNUMBER(AB37),TEXT(AB37,"ddd d mmm")&amp;", "&amp;TEXT(AB37,"hh:mm"),"weekday evenings")&amp;", "&amp;IF(AD37&lt;&gt;"","£"&amp;IF(AD37=INT(AD37),TEXT(AD37,"0"),TEXT(AD37,"0.00")),"[PRICE PER PLAYER]")&amp;" a player. We handle booking, sign-ups and payments. Fancy "&amp;IF(ISNUMBER(SEARCH(LEFT(F37,1),"AEIOU")),"an ","a ")&amp;F37&amp;" team game? "&amp;IF(AL37&lt;&gt;"",AL37,IF(Offer!$C$5&lt;&gt;"",Offer!$C$5,"[NAME]")))&lt;=300,"Hi"&amp;IF(O37&lt;&gt;""," "&amp;O37,"")&amp;","&amp;" FC Urban runs after-work football for "&amp;IF(D37="Canary Wharf","Canary Wharf","City")&amp;" teams. We have a "&amp;AC37&amp;" pitch at "&amp;X37&amp;", "&amp;Y37&amp;" min from your office, "&amp;IF(ISNUMBER(AB37),TEXT(AB37,"ddd d mmm")&amp;", "&amp;TEXT(AB37,"hh:mm"),"weekday evenings")&amp;", "&amp;IF(AD37&lt;&gt;"","£"&amp;IF(AD37=INT(AD37),TEXT(AD37,"0"),TEXT(AD37,"0.00")),"[PRICE PER PLAYER]")&amp;" a player. We handle booking, sign-ups and payments. Fancy "&amp;IF(ISNUMBER(SEARCH(LEFT(F37,1),"AEIOU")),"an ","a ")&amp;F37&amp;" team game? "&amp;IF(AL37&lt;&gt;"",AL37,IF(Offer!$C$5&lt;&gt;"",Offer!$C$5,"[NAME]")),LEFT("Hi"&amp;IF(O37&lt;&gt;""," "&amp;O37,"")&amp;","&amp;" FC Urban runs after-work football for "&amp;IF(D37="Canary Wharf","Canary Wharf","City")&amp;" teams: "&amp;AC37&amp;" at "&amp;X37&amp;", "&amp;Y37&amp;" min from your office, "&amp;IF(ISNUMBER(AB37),TEXT(AB37,"ddd d mmm")&amp;", "&amp;TEXT(AB37,"hh:mm"),"weekday evenings")&amp;", "&amp;IF(AD37&lt;&gt;"","£"&amp;IF(AD37=INT(AD37),TEXT(AD37,"0"),TEXT(AD37,"0.00")),"[PRICE PER PLAYER]")&amp;" pp. We handle booking and payments. Up for a team game? "&amp;IF(AL37&lt;&gt;"",AL37,IF(Offer!$C$5&lt;&gt;"",Offer!$C$5,"[NAME]")),300))</f>
        <v/>
      </c>
      <c r="AI37" s="14">
        <f>LEN(AH37)</f>
        <v/>
      </c>
      <c r="AJ37" s="14">
        <f>"Thanks for connecting"&amp;IF(O37&lt;&gt;"",", "&amp;O37,"")&amp;". "&amp;IF(ISNUMBER(AB37),"The "&amp;AC37&amp;" slot at "&amp;X37&amp;" is "&amp;IF(ISNUMBER(AB37),TEXT(AB37,"ddd d mmm")&amp;", "&amp;TEXT(AB37,"hh:mm"),"weekday evenings"),"We can book "&amp;AC37&amp;" at "&amp;X37&amp;" on a weekday evening that suits you")&amp;" and it's "&amp;IF(AD37&lt;&gt;"","£"&amp;IF(AD37=INT(AD37),TEXT(AD37,"0"),TEXT(AD37,"0.00")),"[PRICE PER PLAYER]")&amp;" a player, all booked and paid through one link. If football isn't your thing, who at "&amp;F37&amp;" would be the right person to organise a team game?"&amp;IF(Offer!$C$7&lt;&gt;""," Spots are held until "&amp;TEXT(Offer!$C$7,"dddd d mmmm")&amp;".","")&amp;" "&amp;IF(Offer!$C$6&lt;&gt;"",Offer!$C$6,"[JOINING LINK]")</f>
        <v/>
      </c>
      <c r="AK37" s="14">
        <f>IF(OR(ISNUMBER(SEARCH("[",AG37)),ISNUMBER(SEARCH("[",AJ37))),"Fill placeholders",IF(ISNUMBER(AB37),"Ready to send","Ready · no fixed slot"))</f>
        <v/>
      </c>
      <c r="AN37" s="17" t="n"/>
    </row>
    <row r="38">
      <c r="A38" s="11" t="n">
        <v>36</v>
      </c>
      <c r="B38" s="11" t="n">
        <v>2</v>
      </c>
      <c r="C38" s="11" t="inlineStr">
        <is>
          <t>Law firm</t>
        </is>
      </c>
      <c r="D38" s="11" t="inlineStr">
        <is>
          <t>City of London</t>
        </is>
      </c>
      <c r="E38" s="11" t="inlineStr">
        <is>
          <t>Doyle Clayton Solicitors Limited</t>
        </is>
      </c>
      <c r="F38" s="11" t="inlineStr">
        <is>
          <t>Doyle Clayton Solicitors</t>
        </is>
      </c>
      <c r="G38" s="11" t="inlineStr">
        <is>
          <t>06963121</t>
        </is>
      </c>
      <c r="H38" s="12" t="inlineStr">
        <is>
          <t>Open</t>
        </is>
      </c>
      <c r="I38" s="12" t="inlineStr">
        <is>
          <t>Search</t>
        </is>
      </c>
      <c r="J38" s="11" t="inlineStr">
        <is>
          <t>Full</t>
        </is>
      </c>
      <c r="K38" s="13" t="n">
        <v>40009</v>
      </c>
      <c r="L38" s="11" t="inlineStr">
        <is>
          <t>24 Chiswell Street, 7Th Floor, London</t>
        </is>
      </c>
      <c r="M38" s="11" t="inlineStr">
        <is>
          <t>EC1Y 4TY</t>
        </is>
      </c>
      <c r="N38" s="11" t="inlineStr">
        <is>
          <t>No</t>
        </is>
      </c>
      <c r="U38" s="11" t="inlineStr">
        <is>
          <t>Shoreditch Powerleague</t>
        </is>
      </c>
      <c r="V38" s="11" t="n">
        <v>16</v>
      </c>
      <c r="W38" s="11" t="inlineStr">
        <is>
          <t>Old St - Moreland Primary School (17.3)</t>
        </is>
      </c>
      <c r="X38" s="11" t="inlineStr">
        <is>
          <t>Shoreditch Powerleague</t>
        </is>
      </c>
      <c r="Y38" s="11" t="n">
        <v>16</v>
      </c>
      <c r="Z38" s="14">
        <f>IFERROR(INDEX(Venues!$E$2:$E$15,MATCH(X38,Venues!$A$2:$A$15,0)),"Not checked")</f>
        <v/>
      </c>
      <c r="AA38" s="14">
        <f>IFERROR(INDEX(Venues!$F$2:$F$15,MATCH(X38,Venues!$A$2:$A$15,0)),0)</f>
        <v/>
      </c>
      <c r="AB38" s="15">
        <f>IFERROR(INDEX(Venues!$M$2:$M$15,MATCH(X38,Venues!$A$2:$A$15,0)),"")</f>
        <v/>
      </c>
      <c r="AC38" s="14">
        <f>IFERROR(INDEX(Venues!$N$2:$N$15,MATCH(X38,Venues!$A$2:$A$15,0)),"5-a-side")</f>
        <v/>
      </c>
      <c r="AD38" s="16">
        <f>IF(Offer!$C$4="","",Offer!$C$4)</f>
        <v/>
      </c>
      <c r="AE38" s="14">
        <f>X38&amp;" ("&amp;Y38&amp;" min walk) · "&amp;IF(ISNUMBER(AB38),TEXT(AB38,"ddd d mmm, hh:mm"),"slot to confirm with venue")&amp;" · "&amp;AC38&amp;" · "&amp;IF(AD38&lt;&gt;"","£"&amp;TEXT(AD38,"0.00")&amp;" pp","price TBC")</f>
        <v/>
      </c>
      <c r="AF38" s="14">
        <f>"After-work football for "&amp;F38&amp;" · "&amp;X38&amp;", "&amp;Y38&amp;" min from your office"</f>
        <v/>
      </c>
      <c r="AG38" s="14">
        <f>"Hi"&amp;IF(O38&lt;&gt;""," "&amp;O38,"")&amp;","&amp;CHAR(10)&amp;CHAR(10)&amp;"I'm "&amp;IF(AL38&lt;&gt;"",AL38,IF(Offer!$C$5&lt;&gt;"",Offer!$C$5,"[NAME]"))&amp;" from FC Urban. We organise after-work football for teams in the City and Canary Wharf."&amp;CHAR(10)&amp;CHAR(10)&amp;"We have a "&amp;AC38&amp;" pitch at "&amp;X38&amp;", "&amp;IF(OR(Y38=8,Y38=11,Y38=18),"an ","a ")&amp;Y38&amp;"-minute walk from your "&amp;M38&amp;" office, "&amp;IF(ISNUMBER(AB38),"on "&amp;TEXT(AB38,"dddd d mmmm")&amp;" at "&amp;TEXT(AB38,"hh:mm"),"on a weekday evening that suits your team")&amp;". It's "&amp;IF(AD38&lt;&gt;"","£"&amp;IF(AD38=INT(AD38),TEXT(AD38,"0"),TEXT(AD38,"0.00")),"[PRICE PER PLAYER]")&amp;" a player and we handle the pitch booking, sign-ups and payments, so all it takes is one person sharing a link with the team."&amp;CHAR(10)&amp;CHAR(10)&amp;"It works well as a team social or "&amp;IF(ISNUMBER(SEARCH(LEFT(F38,1),"AEIOU")),"an ","a ")&amp;F38&amp;"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LINK]")&amp;CHAR(10)&amp;CHAR(10)&amp;"Best,"&amp;CHAR(10)&amp;IF(AL38&lt;&gt;"",AL38,IF(Offer!$C$5&lt;&gt;"",Offer!$C$5,"[NAME]"))&amp;CHAR(10)&amp;"FC Urban"</f>
        <v/>
      </c>
      <c r="AH38" s="14">
        <f>IF(LEN("Hi"&amp;IF(O38&lt;&gt;""," "&amp;O38,"")&amp;","&amp;" FC Urban runs after-work football for "&amp;IF(D38="Canary Wharf","Canary Wharf","City")&amp;" teams. We have a "&amp;AC38&amp;" pitch at "&amp;X38&amp;", "&amp;Y38&amp;" min from your office, "&amp;IF(ISNUMBER(AB38),TEXT(AB38,"ddd d mmm")&amp;", "&amp;TEXT(AB38,"hh:mm"),"weekday evenings")&amp;", "&amp;IF(AD38&lt;&gt;"","£"&amp;IF(AD38=INT(AD38),TEXT(AD38,"0"),TEXT(AD38,"0.00")),"[PRICE PER PLAYER]")&amp;" a player. We handle booking, sign-ups and payments. Fancy "&amp;IF(ISNUMBER(SEARCH(LEFT(F38,1),"AEIOU")),"an ","a ")&amp;F38&amp;" team game? "&amp;IF(AL38&lt;&gt;"",AL38,IF(Offer!$C$5&lt;&gt;"",Offer!$C$5,"[NAME]")))&lt;=300,"Hi"&amp;IF(O38&lt;&gt;""," "&amp;O38,"")&amp;","&amp;" FC Urban runs after-work football for "&amp;IF(D38="Canary Wharf","Canary Wharf","City")&amp;" teams. We have a "&amp;AC38&amp;" pitch at "&amp;X38&amp;", "&amp;Y38&amp;" min from your office, "&amp;IF(ISNUMBER(AB38),TEXT(AB38,"ddd d mmm")&amp;", "&amp;TEXT(AB38,"hh:mm"),"weekday evenings")&amp;", "&amp;IF(AD38&lt;&gt;"","£"&amp;IF(AD38=INT(AD38),TEXT(AD38,"0"),TEXT(AD38,"0.00")),"[PRICE PER PLAYER]")&amp;" a player. We handle booking, sign-ups and payments. Fancy "&amp;IF(ISNUMBER(SEARCH(LEFT(F38,1),"AEIOU")),"an ","a ")&amp;F38&amp;" team game? "&amp;IF(AL38&lt;&gt;"",AL38,IF(Offer!$C$5&lt;&gt;"",Offer!$C$5,"[NAME]")),LEFT("Hi"&amp;IF(O38&lt;&gt;""," "&amp;O38,"")&amp;","&amp;" FC Urban runs after-work football for "&amp;IF(D38="Canary Wharf","Canary Wharf","City")&amp;" teams: "&amp;AC38&amp;" at "&amp;X38&amp;", "&amp;Y38&amp;" min from your office, "&amp;IF(ISNUMBER(AB38),TEXT(AB38,"ddd d mmm")&amp;", "&amp;TEXT(AB38,"hh:mm"),"weekday evenings")&amp;", "&amp;IF(AD38&lt;&gt;"","£"&amp;IF(AD38=INT(AD38),TEXT(AD38,"0"),TEXT(AD38,"0.00")),"[PRICE PER PLAYER]")&amp;" pp. We handle booking and payments. Up for a team game? "&amp;IF(AL38&lt;&gt;"",AL38,IF(Offer!$C$5&lt;&gt;"",Offer!$C$5,"[NAME]")),300))</f>
        <v/>
      </c>
      <c r="AI38" s="14">
        <f>LEN(AH38)</f>
        <v/>
      </c>
      <c r="AJ38" s="14">
        <f>"Thanks for connecting"&amp;IF(O38&lt;&gt;"",", "&amp;O38,"")&amp;". "&amp;IF(ISNUMBER(AB38),"The "&amp;AC38&amp;" slot at "&amp;X38&amp;" is "&amp;IF(ISNUMBER(AB38),TEXT(AB38,"ddd d mmm")&amp;", "&amp;TEXT(AB38,"hh:mm"),"weekday evenings"),"We can book "&amp;AC38&amp;" at "&amp;X38&amp;" on a weekday evening that suits you")&amp;" and it's "&amp;IF(AD38&lt;&gt;"","£"&amp;IF(AD38=INT(AD38),TEXT(AD38,"0"),TEXT(AD38,"0.00")),"[PRICE PER PLAYER]")&amp;" a player, all booked and paid through one link. If football isn't your thing, who at "&amp;F38&amp;" would be the right person to organise a team game?"&amp;IF(Offer!$C$7&lt;&gt;""," Spots are held until "&amp;TEXT(Offer!$C$7,"dddd d mmmm")&amp;".","")&amp;" "&amp;IF(Offer!$C$6&lt;&gt;"",Offer!$C$6,"[JOINING LINK]")</f>
        <v/>
      </c>
      <c r="AK38" s="14">
        <f>IF(OR(ISNUMBER(SEARCH("[",AG38)),ISNUMBER(SEARCH("[",AJ38))),"Fill placeholders",IF(ISNUMBER(AB38),"Ready to send","Ready · no fixed slot"))</f>
        <v/>
      </c>
      <c r="AN38" s="17" t="n"/>
    </row>
    <row r="39">
      <c r="A39" s="11" t="n">
        <v>37</v>
      </c>
      <c r="B39" s="11" t="n">
        <v>2</v>
      </c>
      <c r="C39" s="11" t="inlineStr">
        <is>
          <t>Law firm</t>
        </is>
      </c>
      <c r="D39" s="11" t="inlineStr">
        <is>
          <t>City of London</t>
        </is>
      </c>
      <c r="E39" s="11" t="inlineStr">
        <is>
          <t>ALM Global (EMEA) Ltd</t>
        </is>
      </c>
      <c r="F39" s="11" t="inlineStr">
        <is>
          <t>ALM Global</t>
        </is>
      </c>
      <c r="G39" s="11" t="inlineStr">
        <is>
          <t>04110598</t>
        </is>
      </c>
      <c r="H39" s="12" t="inlineStr">
        <is>
          <t>Open</t>
        </is>
      </c>
      <c r="I39" s="12" t="inlineStr">
        <is>
          <t>Search</t>
        </is>
      </c>
      <c r="J39" s="11" t="inlineStr">
        <is>
          <t>Full</t>
        </is>
      </c>
      <c r="K39" s="13" t="n">
        <v>36845</v>
      </c>
      <c r="L39" s="11" t="inlineStr">
        <is>
          <t>4Th Floor Holborn Gate, 330 High Holborn, London</t>
        </is>
      </c>
      <c r="M39" s="11" t="inlineStr">
        <is>
          <t>WC1V 7QT</t>
        </is>
      </c>
      <c r="N39" s="11" t="inlineStr">
        <is>
          <t>No</t>
        </is>
      </c>
      <c r="U39" s="11" t="inlineStr">
        <is>
          <t>St Pancras - Coram's Fields 3G</t>
        </is>
      </c>
      <c r="V39" s="11" t="n">
        <v>17</v>
      </c>
      <c r="W39" s="11" t="n"/>
      <c r="X39" s="11" t="inlineStr">
        <is>
          <t>St Pancras - Coram's Fields 3G</t>
        </is>
      </c>
      <c r="Y39" s="11" t="n">
        <v>17</v>
      </c>
      <c r="Z39" s="14">
        <f>IFERROR(INDEX(Venues!$E$2:$E$15,MATCH(X39,Venues!$A$2:$A$15,0)),"Not checked")</f>
        <v/>
      </c>
      <c r="AA39" s="14">
        <f>IFERROR(INDEX(Venues!$F$2:$F$15,MATCH(X39,Venues!$A$2:$A$15,0)),0)</f>
        <v/>
      </c>
      <c r="AB39" s="15">
        <f>IFERROR(INDEX(Venues!$M$2:$M$15,MATCH(X39,Venues!$A$2:$A$15,0)),"")</f>
        <v/>
      </c>
      <c r="AC39" s="14">
        <f>IFERROR(INDEX(Venues!$N$2:$N$15,MATCH(X39,Venues!$A$2:$A$15,0)),"5-a-side")</f>
        <v/>
      </c>
      <c r="AD39" s="16">
        <f>IF(Offer!$C$4="","",Offer!$C$4)</f>
        <v/>
      </c>
      <c r="AE39" s="14">
        <f>X39&amp;" ("&amp;Y39&amp;" min walk) · "&amp;IF(ISNUMBER(AB39),TEXT(AB39,"ddd d mmm, hh:mm"),"slot to confirm with venue")&amp;" · "&amp;AC39&amp;" · "&amp;IF(AD39&lt;&gt;"","£"&amp;TEXT(AD39,"0.00")&amp;" pp","price TBC")</f>
        <v/>
      </c>
      <c r="AF39" s="14">
        <f>"After-work football for "&amp;F39&amp;" · "&amp;X39&amp;", "&amp;Y39&amp;" min from your office"</f>
        <v/>
      </c>
      <c r="AG39" s="14">
        <f>"Hi"&amp;IF(O39&lt;&gt;""," "&amp;O39,"")&amp;","&amp;CHAR(10)&amp;CHAR(10)&amp;"I'm "&amp;IF(AL39&lt;&gt;"",AL39,IF(Offer!$C$5&lt;&gt;"",Offer!$C$5,"[NAME]"))&amp;" from FC Urban. We organise after-work football for teams in the City and Canary Wharf."&amp;CHAR(10)&amp;CHAR(10)&amp;"We have a "&amp;AC39&amp;" pitch at "&amp;X39&amp;", "&amp;IF(OR(Y39=8,Y39=11,Y39=18),"an ","a ")&amp;Y39&amp;"-minute walk from your "&amp;M39&amp;" office, "&amp;IF(ISNUMBER(AB39),"on "&amp;TEXT(AB39,"dddd d mmmm")&amp;" at "&amp;TEXT(AB39,"hh:mm"),"on a weekday evening that suits your team")&amp;". It's "&amp;IF(AD39&lt;&gt;"","£"&amp;IF(AD39=INT(AD39),TEXT(AD39,"0"),TEXT(AD39,"0.00")),"[PRICE PER PLAYER]")&amp;" a player and we handle the pitch booking, sign-ups and payments, so all it takes is one person sharing a link with the team."&amp;CHAR(10)&amp;CHAR(10)&amp;"It works well as a team social or "&amp;IF(ISNUMBER(SEARCH(LEFT(F39,1),"AEIOU")),"an ","a ")&amp;F39&amp;"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LINK]")&amp;CHAR(10)&amp;CHAR(10)&amp;"Best,"&amp;CHAR(10)&amp;IF(AL39&lt;&gt;"",AL39,IF(Offer!$C$5&lt;&gt;"",Offer!$C$5,"[NAME]"))&amp;CHAR(10)&amp;"FC Urban"</f>
        <v/>
      </c>
      <c r="AH39" s="14">
        <f>IF(LEN("Hi"&amp;IF(O39&lt;&gt;""," "&amp;O39,"")&amp;","&amp;" FC Urban runs after-work football for "&amp;IF(D39="Canary Wharf","Canary Wharf","City")&amp;" teams. We have a "&amp;AC39&amp;" pitch at "&amp;X39&amp;", "&amp;Y39&amp;" min from your office, "&amp;IF(ISNUMBER(AB39),TEXT(AB39,"ddd d mmm")&amp;", "&amp;TEXT(AB39,"hh:mm"),"weekday evenings")&amp;", "&amp;IF(AD39&lt;&gt;"","£"&amp;IF(AD39=INT(AD39),TEXT(AD39,"0"),TEXT(AD39,"0.00")),"[PRICE PER PLAYER]")&amp;" a player. We handle booking, sign-ups and payments. Fancy "&amp;IF(ISNUMBER(SEARCH(LEFT(F39,1),"AEIOU")),"an ","a ")&amp;F39&amp;" team game? "&amp;IF(AL39&lt;&gt;"",AL39,IF(Offer!$C$5&lt;&gt;"",Offer!$C$5,"[NAME]")))&lt;=300,"Hi"&amp;IF(O39&lt;&gt;""," "&amp;O39,"")&amp;","&amp;" FC Urban runs after-work football for "&amp;IF(D39="Canary Wharf","Canary Wharf","City")&amp;" teams. We have a "&amp;AC39&amp;" pitch at "&amp;X39&amp;", "&amp;Y39&amp;" min from your office, "&amp;IF(ISNUMBER(AB39),TEXT(AB39,"ddd d mmm")&amp;", "&amp;TEXT(AB39,"hh:mm"),"weekday evenings")&amp;", "&amp;IF(AD39&lt;&gt;"","£"&amp;IF(AD39=INT(AD39),TEXT(AD39,"0"),TEXT(AD39,"0.00")),"[PRICE PER PLAYER]")&amp;" a player. We handle booking, sign-ups and payments. Fancy "&amp;IF(ISNUMBER(SEARCH(LEFT(F39,1),"AEIOU")),"an ","a ")&amp;F39&amp;" team game? "&amp;IF(AL39&lt;&gt;"",AL39,IF(Offer!$C$5&lt;&gt;"",Offer!$C$5,"[NAME]")),LEFT("Hi"&amp;IF(O39&lt;&gt;""," "&amp;O39,"")&amp;","&amp;" FC Urban runs after-work football for "&amp;IF(D39="Canary Wharf","Canary Wharf","City")&amp;" teams: "&amp;AC39&amp;" at "&amp;X39&amp;", "&amp;Y39&amp;" min from your office, "&amp;IF(ISNUMBER(AB39),TEXT(AB39,"ddd d mmm")&amp;", "&amp;TEXT(AB39,"hh:mm"),"weekday evenings")&amp;", "&amp;IF(AD39&lt;&gt;"","£"&amp;IF(AD39=INT(AD39),TEXT(AD39,"0"),TEXT(AD39,"0.00")),"[PRICE PER PLAYER]")&amp;" pp. We handle booking and payments. Up for a team game? "&amp;IF(AL39&lt;&gt;"",AL39,IF(Offer!$C$5&lt;&gt;"",Offer!$C$5,"[NAME]")),300))</f>
        <v/>
      </c>
      <c r="AI39" s="14">
        <f>LEN(AH39)</f>
        <v/>
      </c>
      <c r="AJ39" s="14">
        <f>"Thanks for connecting"&amp;IF(O39&lt;&gt;"",", "&amp;O39,"")&amp;". "&amp;IF(ISNUMBER(AB39),"The "&amp;AC39&amp;" slot at "&amp;X39&amp;" is "&amp;IF(ISNUMBER(AB39),TEXT(AB39,"ddd d mmm")&amp;", "&amp;TEXT(AB39,"hh:mm"),"weekday evenings"),"We can book "&amp;AC39&amp;" at "&amp;X39&amp;" on a weekday evening that suits you")&amp;" and it's "&amp;IF(AD39&lt;&gt;"","£"&amp;IF(AD39=INT(AD39),TEXT(AD39,"0"),TEXT(AD39,"0.00")),"[PRICE PER PLAYER]")&amp;" a player, all booked and paid through one link. If football isn't your thing, who at "&amp;F39&amp;" would be the right person to organise a team game?"&amp;IF(Offer!$C$7&lt;&gt;""," Spots are held until "&amp;TEXT(Offer!$C$7,"dddd d mmmm")&amp;".","")&amp;" "&amp;IF(Offer!$C$6&lt;&gt;"",Offer!$C$6,"[JOINING LINK]")</f>
        <v/>
      </c>
      <c r="AK39" s="14">
        <f>IF(OR(ISNUMBER(SEARCH("[",AG39)),ISNUMBER(SEARCH("[",AJ39))),"Fill placeholders",IF(ISNUMBER(AB39),"Ready to send","Ready · no fixed slot"))</f>
        <v/>
      </c>
      <c r="AN39" s="17" t="n"/>
    </row>
    <row r="40">
      <c r="A40" s="11" t="n">
        <v>38</v>
      </c>
      <c r="B40" s="11" t="n">
        <v>2</v>
      </c>
      <c r="C40" s="11" t="inlineStr">
        <is>
          <t>Law firm</t>
        </is>
      </c>
      <c r="D40" s="11" t="inlineStr">
        <is>
          <t>City of London</t>
        </is>
      </c>
      <c r="E40" s="11" t="inlineStr">
        <is>
          <t>Michael Osborne LLP</t>
        </is>
      </c>
      <c r="F40" s="11" t="inlineStr">
        <is>
          <t>Michael Osborne</t>
        </is>
      </c>
      <c r="G40" s="11" t="inlineStr">
        <is>
          <t>OC322220</t>
        </is>
      </c>
      <c r="H40" s="12" t="inlineStr">
        <is>
          <t>Open</t>
        </is>
      </c>
      <c r="I40" s="12" t="inlineStr">
        <is>
          <t>Search</t>
        </is>
      </c>
      <c r="J40" s="11" t="inlineStr">
        <is>
          <t>Full</t>
        </is>
      </c>
      <c r="K40" s="13" t="n">
        <v>38967</v>
      </c>
      <c r="L40" s="11" t="inlineStr">
        <is>
          <t>5Th Floor, 70 Gracechurch Street, London</t>
        </is>
      </c>
      <c r="M40" s="11" t="inlineStr">
        <is>
          <t>EC3V 0XL</t>
        </is>
      </c>
      <c r="N40" s="11" t="inlineStr">
        <is>
          <t>No</t>
        </is>
      </c>
      <c r="U40" s="11" t="inlineStr">
        <is>
          <t>Liverpool St - Attlee Centre</t>
        </is>
      </c>
      <c r="V40" s="11" t="n">
        <v>17</v>
      </c>
      <c r="W40" s="11" t="n"/>
      <c r="X40" s="11" t="inlineStr">
        <is>
          <t>Liverpool St - Attlee Centre</t>
        </is>
      </c>
      <c r="Y40" s="11" t="n">
        <v>17</v>
      </c>
      <c r="Z40" s="14">
        <f>IFERROR(INDEX(Venues!$E$2:$E$15,MATCH(X40,Venues!$A$2:$A$15,0)),"Not checked")</f>
        <v/>
      </c>
      <c r="AA40" s="14">
        <f>IFERROR(INDEX(Venues!$F$2:$F$15,MATCH(X40,Venues!$A$2:$A$15,0)),0)</f>
        <v/>
      </c>
      <c r="AB40" s="15">
        <f>IFERROR(INDEX(Venues!$M$2:$M$15,MATCH(X40,Venues!$A$2:$A$15,0)),"")</f>
        <v/>
      </c>
      <c r="AC40" s="14">
        <f>IFERROR(INDEX(Venues!$N$2:$N$15,MATCH(X40,Venues!$A$2:$A$15,0)),"5-a-side")</f>
        <v/>
      </c>
      <c r="AD40" s="16">
        <f>IF(Offer!$C$4="","",Offer!$C$4)</f>
        <v/>
      </c>
      <c r="AE40" s="14">
        <f>X40&amp;" ("&amp;Y40&amp;" min walk) · "&amp;IF(ISNUMBER(AB40),TEXT(AB40,"ddd d mmm, hh:mm"),"slot to confirm with venue")&amp;" · "&amp;AC40&amp;" · "&amp;IF(AD40&lt;&gt;"","£"&amp;TEXT(AD40,"0.00")&amp;" pp","price TBC")</f>
        <v/>
      </c>
      <c r="AF40" s="14">
        <f>"After-work football for "&amp;F40&amp;" · "&amp;X40&amp;", "&amp;Y40&amp;" min from your office"</f>
        <v/>
      </c>
      <c r="AG40" s="14">
        <f>"Hi"&amp;IF(O40&lt;&gt;""," "&amp;O40,"")&amp;","&amp;CHAR(10)&amp;CHAR(10)&amp;"I'm "&amp;IF(AL40&lt;&gt;"",AL40,IF(Offer!$C$5&lt;&gt;"",Offer!$C$5,"[NAME]"))&amp;" from FC Urban. We organise after-work football for teams in the City and Canary Wharf."&amp;CHAR(10)&amp;CHAR(10)&amp;"We have a "&amp;AC40&amp;" pitch at "&amp;X40&amp;", "&amp;IF(OR(Y40=8,Y40=11,Y40=18),"an ","a ")&amp;Y40&amp;"-minute walk from your "&amp;M40&amp;" office, "&amp;IF(ISNUMBER(AB40),"on "&amp;TEXT(AB40,"dddd d mmmm")&amp;" at "&amp;TEXT(AB40,"hh:mm"),"on a weekday evening that suits your team")&amp;". It's "&amp;IF(AD40&lt;&gt;"","£"&amp;IF(AD40=INT(AD40),TEXT(AD40,"0"),TEXT(AD40,"0.00")),"[PRICE PER PLAYER]")&amp;" a player and we handle the pitch booking, sign-ups and payments, so all it takes is one person sharing a link with the team."&amp;CHAR(10)&amp;CHAR(10)&amp;"It works well as a team social or "&amp;IF(ISNUMBER(SEARCH(LEFT(F40,1),"AEIOU")),"an ","a ")&amp;F40&amp;"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LINK]")&amp;CHAR(10)&amp;CHAR(10)&amp;"Best,"&amp;CHAR(10)&amp;IF(AL40&lt;&gt;"",AL40,IF(Offer!$C$5&lt;&gt;"",Offer!$C$5,"[NAME]"))&amp;CHAR(10)&amp;"FC Urban"</f>
        <v/>
      </c>
      <c r="AH40" s="14">
        <f>IF(LEN("Hi"&amp;IF(O40&lt;&gt;""," "&amp;O40,"")&amp;","&amp;" FC Urban runs after-work football for "&amp;IF(D40="Canary Wharf","Canary Wharf","City")&amp;" teams. We have a "&amp;AC40&amp;" pitch at "&amp;X40&amp;", "&amp;Y40&amp;" min from your office, "&amp;IF(ISNUMBER(AB40),TEXT(AB40,"ddd d mmm")&amp;", "&amp;TEXT(AB40,"hh:mm"),"weekday evenings")&amp;", "&amp;IF(AD40&lt;&gt;"","£"&amp;IF(AD40=INT(AD40),TEXT(AD40,"0"),TEXT(AD40,"0.00")),"[PRICE PER PLAYER]")&amp;" a player. We handle booking, sign-ups and payments. Fancy "&amp;IF(ISNUMBER(SEARCH(LEFT(F40,1),"AEIOU")),"an ","a ")&amp;F40&amp;" team game? "&amp;IF(AL40&lt;&gt;"",AL40,IF(Offer!$C$5&lt;&gt;"",Offer!$C$5,"[NAME]")))&lt;=300,"Hi"&amp;IF(O40&lt;&gt;""," "&amp;O40,"")&amp;","&amp;" FC Urban runs after-work football for "&amp;IF(D40="Canary Wharf","Canary Wharf","City")&amp;" teams. We have a "&amp;AC40&amp;" pitch at "&amp;X40&amp;", "&amp;Y40&amp;" min from your office, "&amp;IF(ISNUMBER(AB40),TEXT(AB40,"ddd d mmm")&amp;", "&amp;TEXT(AB40,"hh:mm"),"weekday evenings")&amp;", "&amp;IF(AD40&lt;&gt;"","£"&amp;IF(AD40=INT(AD40),TEXT(AD40,"0"),TEXT(AD40,"0.00")),"[PRICE PER PLAYER]")&amp;" a player. We handle booking, sign-ups and payments. Fancy "&amp;IF(ISNUMBER(SEARCH(LEFT(F40,1),"AEIOU")),"an ","a ")&amp;F40&amp;" team game? "&amp;IF(AL40&lt;&gt;"",AL40,IF(Offer!$C$5&lt;&gt;"",Offer!$C$5,"[NAME]")),LEFT("Hi"&amp;IF(O40&lt;&gt;""," "&amp;O40,"")&amp;","&amp;" FC Urban runs after-work football for "&amp;IF(D40="Canary Wharf","Canary Wharf","City")&amp;" teams: "&amp;AC40&amp;" at "&amp;X40&amp;", "&amp;Y40&amp;" min from your office, "&amp;IF(ISNUMBER(AB40),TEXT(AB40,"ddd d mmm")&amp;", "&amp;TEXT(AB40,"hh:mm"),"weekday evenings")&amp;", "&amp;IF(AD40&lt;&gt;"","£"&amp;IF(AD40=INT(AD40),TEXT(AD40,"0"),TEXT(AD40,"0.00")),"[PRICE PER PLAYER]")&amp;" pp. We handle booking and payments. Up for a team game? "&amp;IF(AL40&lt;&gt;"",AL40,IF(Offer!$C$5&lt;&gt;"",Offer!$C$5,"[NAME]")),300))</f>
        <v/>
      </c>
      <c r="AI40" s="14">
        <f>LEN(AH40)</f>
        <v/>
      </c>
      <c r="AJ40" s="14">
        <f>"Thanks for connecting"&amp;IF(O40&lt;&gt;"",", "&amp;O40,"")&amp;". "&amp;IF(ISNUMBER(AB40),"The "&amp;AC40&amp;" slot at "&amp;X40&amp;" is "&amp;IF(ISNUMBER(AB40),TEXT(AB40,"ddd d mmm")&amp;", "&amp;TEXT(AB40,"hh:mm"),"weekday evenings"),"We can book "&amp;AC40&amp;" at "&amp;X40&amp;" on a weekday evening that suits you")&amp;" and it's "&amp;IF(AD40&lt;&gt;"","£"&amp;IF(AD40=INT(AD40),TEXT(AD40,"0"),TEXT(AD40,"0.00")),"[PRICE PER PLAYER]")&amp;" a player, all booked and paid through one link. If football isn't your thing, who at "&amp;F40&amp;" would be the right person to organise a team game?"&amp;IF(Offer!$C$7&lt;&gt;""," Spots are held until "&amp;TEXT(Offer!$C$7,"dddd d mmmm")&amp;".","")&amp;" "&amp;IF(Offer!$C$6&lt;&gt;"",Offer!$C$6,"[JOINING LINK]")</f>
        <v/>
      </c>
      <c r="AK40" s="14">
        <f>IF(OR(ISNUMBER(SEARCH("[",AG40)),ISNUMBER(SEARCH("[",AJ40))),"Fill placeholders",IF(ISNUMBER(AB40),"Ready to send","Ready · no fixed slot"))</f>
        <v/>
      </c>
      <c r="AN40" s="17" t="n"/>
    </row>
    <row r="41">
      <c r="A41" s="11" t="n">
        <v>39</v>
      </c>
      <c r="B41" s="11" t="n">
        <v>2</v>
      </c>
      <c r="C41" s="11" t="inlineStr">
        <is>
          <t>Law firm</t>
        </is>
      </c>
      <c r="D41" s="11" t="inlineStr">
        <is>
          <t>City of London</t>
        </is>
      </c>
      <c r="E41" s="11" t="inlineStr">
        <is>
          <t>Stewartsbridge LLP</t>
        </is>
      </c>
      <c r="F41" s="11" t="inlineStr">
        <is>
          <t>Stewartsbridge</t>
        </is>
      </c>
      <c r="G41" s="11" t="inlineStr">
        <is>
          <t>OC321631</t>
        </is>
      </c>
      <c r="H41" s="12" t="inlineStr">
        <is>
          <t>Open</t>
        </is>
      </c>
      <c r="I41" s="12" t="inlineStr">
        <is>
          <t>Search</t>
        </is>
      </c>
      <c r="J41" s="11" t="inlineStr">
        <is>
          <t>Full</t>
        </is>
      </c>
      <c r="K41" s="13" t="n">
        <v>38945</v>
      </c>
      <c r="L41" s="11" t="inlineStr">
        <is>
          <t>5Th Floor, 70 Gracechurch Street, London</t>
        </is>
      </c>
      <c r="M41" s="11" t="inlineStr">
        <is>
          <t>EC3V 0XL</t>
        </is>
      </c>
      <c r="N41" s="11" t="inlineStr">
        <is>
          <t>No</t>
        </is>
      </c>
      <c r="U41" s="11" t="inlineStr">
        <is>
          <t>Liverpool St - Attlee Centre</t>
        </is>
      </c>
      <c r="V41" s="11" t="n">
        <v>17</v>
      </c>
      <c r="W41" s="11" t="n"/>
      <c r="X41" s="11" t="inlineStr">
        <is>
          <t>Liverpool St - Attlee Centre</t>
        </is>
      </c>
      <c r="Y41" s="11" t="n">
        <v>17</v>
      </c>
      <c r="Z41" s="14">
        <f>IFERROR(INDEX(Venues!$E$2:$E$15,MATCH(X41,Venues!$A$2:$A$15,0)),"Not checked")</f>
        <v/>
      </c>
      <c r="AA41" s="14">
        <f>IFERROR(INDEX(Venues!$F$2:$F$15,MATCH(X41,Venues!$A$2:$A$15,0)),0)</f>
        <v/>
      </c>
      <c r="AB41" s="15">
        <f>IFERROR(INDEX(Venues!$M$2:$M$15,MATCH(X41,Venues!$A$2:$A$15,0)),"")</f>
        <v/>
      </c>
      <c r="AC41" s="14">
        <f>IFERROR(INDEX(Venues!$N$2:$N$15,MATCH(X41,Venues!$A$2:$A$15,0)),"5-a-side")</f>
        <v/>
      </c>
      <c r="AD41" s="16">
        <f>IF(Offer!$C$4="","",Offer!$C$4)</f>
        <v/>
      </c>
      <c r="AE41" s="14">
        <f>X41&amp;" ("&amp;Y41&amp;" min walk) · "&amp;IF(ISNUMBER(AB41),TEXT(AB41,"ddd d mmm, hh:mm"),"slot to confirm with venue")&amp;" · "&amp;AC41&amp;" · "&amp;IF(AD41&lt;&gt;"","£"&amp;TEXT(AD41,"0.00")&amp;" pp","price TBC")</f>
        <v/>
      </c>
      <c r="AF41" s="14">
        <f>"After-work football for "&amp;F41&amp;" · "&amp;X41&amp;", "&amp;Y41&amp;" min from your office"</f>
        <v/>
      </c>
      <c r="AG41" s="14">
        <f>"Hi"&amp;IF(O41&lt;&gt;""," "&amp;O41,"")&amp;","&amp;CHAR(10)&amp;CHAR(10)&amp;"I'm "&amp;IF(AL41&lt;&gt;"",AL41,IF(Offer!$C$5&lt;&gt;"",Offer!$C$5,"[NAME]"))&amp;" from FC Urban. We organise after-work football for teams in the City and Canary Wharf."&amp;CHAR(10)&amp;CHAR(10)&amp;"We have a "&amp;AC41&amp;" pitch at "&amp;X41&amp;", "&amp;IF(OR(Y41=8,Y41=11,Y41=18),"an ","a ")&amp;Y41&amp;"-minute walk from your "&amp;M41&amp;" office, "&amp;IF(ISNUMBER(AB41),"on "&amp;TEXT(AB41,"dddd d mmmm")&amp;" at "&amp;TEXT(AB41,"hh:mm"),"on a weekday evening that suits your team")&amp;". It's "&amp;IF(AD41&lt;&gt;"","£"&amp;IF(AD41=INT(AD41),TEXT(AD41,"0"),TEXT(AD41,"0.00")),"[PRICE PER PLAYER]")&amp;" a player and we handle the pitch booking, sign-ups and payments, so all it takes is one person sharing a link with the team."&amp;CHAR(10)&amp;CHAR(10)&amp;"It works well as a team social or "&amp;IF(ISNUMBER(SEARCH(LEFT(F41,1),"AEIOU")),"an ","a ")&amp;F41&amp;"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LINK]")&amp;CHAR(10)&amp;CHAR(10)&amp;"Best,"&amp;CHAR(10)&amp;IF(AL41&lt;&gt;"",AL41,IF(Offer!$C$5&lt;&gt;"",Offer!$C$5,"[NAME]"))&amp;CHAR(10)&amp;"FC Urban"</f>
        <v/>
      </c>
      <c r="AH41" s="14">
        <f>IF(LEN("Hi"&amp;IF(O41&lt;&gt;""," "&amp;O41,"")&amp;","&amp;" FC Urban runs after-work football for "&amp;IF(D41="Canary Wharf","Canary Wharf","City")&amp;" teams. We have a "&amp;AC41&amp;" pitch at "&amp;X41&amp;", "&amp;Y41&amp;" min from your office, "&amp;IF(ISNUMBER(AB41),TEXT(AB41,"ddd d mmm")&amp;", "&amp;TEXT(AB41,"hh:mm"),"weekday evenings")&amp;", "&amp;IF(AD41&lt;&gt;"","£"&amp;IF(AD41=INT(AD41),TEXT(AD41,"0"),TEXT(AD41,"0.00")),"[PRICE PER PLAYER]")&amp;" a player. We handle booking, sign-ups and payments. Fancy "&amp;IF(ISNUMBER(SEARCH(LEFT(F41,1),"AEIOU")),"an ","a ")&amp;F41&amp;" team game? "&amp;IF(AL41&lt;&gt;"",AL41,IF(Offer!$C$5&lt;&gt;"",Offer!$C$5,"[NAME]")))&lt;=300,"Hi"&amp;IF(O41&lt;&gt;""," "&amp;O41,"")&amp;","&amp;" FC Urban runs after-work football for "&amp;IF(D41="Canary Wharf","Canary Wharf","City")&amp;" teams. We have a "&amp;AC41&amp;" pitch at "&amp;X41&amp;", "&amp;Y41&amp;" min from your office, "&amp;IF(ISNUMBER(AB41),TEXT(AB41,"ddd d mmm")&amp;", "&amp;TEXT(AB41,"hh:mm"),"weekday evenings")&amp;", "&amp;IF(AD41&lt;&gt;"","£"&amp;IF(AD41=INT(AD41),TEXT(AD41,"0"),TEXT(AD41,"0.00")),"[PRICE PER PLAYER]")&amp;" a player. We handle booking, sign-ups and payments. Fancy "&amp;IF(ISNUMBER(SEARCH(LEFT(F41,1),"AEIOU")),"an ","a ")&amp;F41&amp;" team game? "&amp;IF(AL41&lt;&gt;"",AL41,IF(Offer!$C$5&lt;&gt;"",Offer!$C$5,"[NAME]")),LEFT("Hi"&amp;IF(O41&lt;&gt;""," "&amp;O41,"")&amp;","&amp;" FC Urban runs after-work football for "&amp;IF(D41="Canary Wharf","Canary Wharf","City")&amp;" teams: "&amp;AC41&amp;" at "&amp;X41&amp;", "&amp;Y41&amp;" min from your office, "&amp;IF(ISNUMBER(AB41),TEXT(AB41,"ddd d mmm")&amp;", "&amp;TEXT(AB41,"hh:mm"),"weekday evenings")&amp;", "&amp;IF(AD41&lt;&gt;"","£"&amp;IF(AD41=INT(AD41),TEXT(AD41,"0"),TEXT(AD41,"0.00")),"[PRICE PER PLAYER]")&amp;" pp. We handle booking and payments. Up for a team game? "&amp;IF(AL41&lt;&gt;"",AL41,IF(Offer!$C$5&lt;&gt;"",Offer!$C$5,"[NAME]")),300))</f>
        <v/>
      </c>
      <c r="AI41" s="14">
        <f>LEN(AH41)</f>
        <v/>
      </c>
      <c r="AJ41" s="14">
        <f>"Thanks for connecting"&amp;IF(O41&lt;&gt;"",", "&amp;O41,"")&amp;". "&amp;IF(ISNUMBER(AB41),"The "&amp;AC41&amp;" slot at "&amp;X41&amp;" is "&amp;IF(ISNUMBER(AB41),TEXT(AB41,"ddd d mmm")&amp;", "&amp;TEXT(AB41,"hh:mm"),"weekday evenings"),"We can book "&amp;AC41&amp;" at "&amp;X41&amp;" on a weekday evening that suits you")&amp;" and it's "&amp;IF(AD41&lt;&gt;"","£"&amp;IF(AD41=INT(AD41),TEXT(AD41,"0"),TEXT(AD41,"0.00")),"[PRICE PER PLAYER]")&amp;" a player, all booked and paid through one link. If football isn't your thing, who at "&amp;F41&amp;" would be the right person to organise a team game?"&amp;IF(Offer!$C$7&lt;&gt;""," Spots are held until "&amp;TEXT(Offer!$C$7,"dddd d mmmm")&amp;".","")&amp;" "&amp;IF(Offer!$C$6&lt;&gt;"",Offer!$C$6,"[JOINING LINK]")</f>
        <v/>
      </c>
      <c r="AK41" s="14">
        <f>IF(OR(ISNUMBER(SEARCH("[",AG41)),ISNUMBER(SEARCH("[",AJ41))),"Fill placeholders",IF(ISNUMBER(AB41),"Ready to send","Ready · no fixed slot"))</f>
        <v/>
      </c>
      <c r="AN41" s="17" t="n"/>
    </row>
    <row r="42">
      <c r="A42" s="11" t="n">
        <v>40</v>
      </c>
      <c r="B42" s="11" t="n">
        <v>2</v>
      </c>
      <c r="C42" s="11" t="inlineStr">
        <is>
          <t>Law firm</t>
        </is>
      </c>
      <c r="D42" s="11" t="inlineStr">
        <is>
          <t>City of London</t>
        </is>
      </c>
      <c r="E42" s="11" t="inlineStr">
        <is>
          <t>Bates Wells &amp; Braithwaite London LLP</t>
        </is>
      </c>
      <c r="F42" s="11" t="inlineStr">
        <is>
          <t>Bates Wells &amp; Braithwaite London</t>
        </is>
      </c>
      <c r="G42" s="11" t="inlineStr">
        <is>
          <t>OC325522</t>
        </is>
      </c>
      <c r="H42" s="12" t="inlineStr">
        <is>
          <t>Open</t>
        </is>
      </c>
      <c r="I42" s="12" t="inlineStr">
        <is>
          <t>Search</t>
        </is>
      </c>
      <c r="J42" s="11" t="inlineStr">
        <is>
          <t>Full</t>
        </is>
      </c>
      <c r="K42" s="13" t="n">
        <v>39106</v>
      </c>
      <c r="L42" s="11" t="inlineStr">
        <is>
          <t>10 Queen Street Place, London</t>
        </is>
      </c>
      <c r="M42" s="11" t="inlineStr">
        <is>
          <t>EC4R 1BE</t>
        </is>
      </c>
      <c r="N42" s="11" t="inlineStr">
        <is>
          <t>No</t>
        </is>
      </c>
      <c r="U42" s="11" t="inlineStr">
        <is>
          <t>Borough Academy</t>
        </is>
      </c>
      <c r="V42" s="11" t="n">
        <v>17</v>
      </c>
      <c r="W42" s="11" t="n"/>
      <c r="X42" s="11" t="inlineStr">
        <is>
          <t>Borough Academy</t>
        </is>
      </c>
      <c r="Y42" s="11" t="n">
        <v>17</v>
      </c>
      <c r="Z42" s="14">
        <f>IFERROR(INDEX(Venues!$E$2:$E$15,MATCH(X42,Venues!$A$2:$A$15,0)),"Not checked")</f>
        <v/>
      </c>
      <c r="AA42" s="14">
        <f>IFERROR(INDEX(Venues!$F$2:$F$15,MATCH(X42,Venues!$A$2:$A$15,0)),0)</f>
        <v/>
      </c>
      <c r="AB42" s="15">
        <f>IFERROR(INDEX(Venues!$M$2:$M$15,MATCH(X42,Venues!$A$2:$A$15,0)),"")</f>
        <v/>
      </c>
      <c r="AC42" s="14">
        <f>IFERROR(INDEX(Venues!$N$2:$N$15,MATCH(X42,Venues!$A$2:$A$15,0)),"5-a-side")</f>
        <v/>
      </c>
      <c r="AD42" s="16">
        <f>IF(Offer!$C$4="","",Offer!$C$4)</f>
        <v/>
      </c>
      <c r="AE42" s="14">
        <f>X42&amp;" ("&amp;Y42&amp;" min walk) · "&amp;IF(ISNUMBER(AB42),TEXT(AB42,"ddd d mmm, hh:mm"),"slot to confirm with venue")&amp;" · "&amp;AC42&amp;" · "&amp;IF(AD42&lt;&gt;"","£"&amp;TEXT(AD42,"0.00")&amp;" pp","price TBC")</f>
        <v/>
      </c>
      <c r="AF42" s="14">
        <f>"After-work football for "&amp;F42&amp;" · "&amp;X42&amp;", "&amp;Y42&amp;" min from your office"</f>
        <v/>
      </c>
      <c r="AG42" s="14">
        <f>"Hi"&amp;IF(O42&lt;&gt;""," "&amp;O42,"")&amp;","&amp;CHAR(10)&amp;CHAR(10)&amp;"I'm "&amp;IF(AL42&lt;&gt;"",AL42,IF(Offer!$C$5&lt;&gt;"",Offer!$C$5,"[NAME]"))&amp;" from FC Urban. We organise after-work football for teams in the City and Canary Wharf."&amp;CHAR(10)&amp;CHAR(10)&amp;"We have a "&amp;AC42&amp;" pitch at "&amp;X42&amp;", "&amp;IF(OR(Y42=8,Y42=11,Y42=18),"an ","a ")&amp;Y42&amp;"-minute walk from your "&amp;M42&amp;" office, "&amp;IF(ISNUMBER(AB42),"on "&amp;TEXT(AB42,"dddd d mmmm")&amp;" at "&amp;TEXT(AB42,"hh:mm"),"on a weekday evening that suits your team")&amp;". It's "&amp;IF(AD42&lt;&gt;"","£"&amp;IF(AD42=INT(AD42),TEXT(AD42,"0"),TEXT(AD42,"0.00")),"[PRICE PER PLAYER]")&amp;" a player and we handle the pitch booking, sign-ups and payments, so all it takes is one person sharing a link with the team."&amp;CHAR(10)&amp;CHAR(10)&amp;"It works well as a team social or "&amp;IF(ISNUMBER(SEARCH(LEFT(F42,1),"AEIOU")),"an ","a ")&amp;F42&amp;"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LINK]")&amp;CHAR(10)&amp;CHAR(10)&amp;"Best,"&amp;CHAR(10)&amp;IF(AL42&lt;&gt;"",AL42,IF(Offer!$C$5&lt;&gt;"",Offer!$C$5,"[NAME]"))&amp;CHAR(10)&amp;"FC Urban"</f>
        <v/>
      </c>
      <c r="AH42" s="14">
        <f>IF(LEN("Hi"&amp;IF(O42&lt;&gt;""," "&amp;O42,"")&amp;","&amp;" FC Urban runs after-work football for "&amp;IF(D42="Canary Wharf","Canary Wharf","City")&amp;" teams. We have a "&amp;AC42&amp;" pitch at "&amp;X42&amp;", "&amp;Y42&amp;" min from your office, "&amp;IF(ISNUMBER(AB42),TEXT(AB42,"ddd d mmm")&amp;", "&amp;TEXT(AB42,"hh:mm"),"weekday evenings")&amp;", "&amp;IF(AD42&lt;&gt;"","£"&amp;IF(AD42=INT(AD42),TEXT(AD42,"0"),TEXT(AD42,"0.00")),"[PRICE PER PLAYER]")&amp;" a player. We handle booking, sign-ups and payments. Fancy "&amp;IF(ISNUMBER(SEARCH(LEFT(F42,1),"AEIOU")),"an ","a ")&amp;F42&amp;" team game? "&amp;IF(AL42&lt;&gt;"",AL42,IF(Offer!$C$5&lt;&gt;"",Offer!$C$5,"[NAME]")))&lt;=300,"Hi"&amp;IF(O42&lt;&gt;""," "&amp;O42,"")&amp;","&amp;" FC Urban runs after-work football for "&amp;IF(D42="Canary Wharf","Canary Wharf","City")&amp;" teams. We have a "&amp;AC42&amp;" pitch at "&amp;X42&amp;", "&amp;Y42&amp;" min from your office, "&amp;IF(ISNUMBER(AB42),TEXT(AB42,"ddd d mmm")&amp;", "&amp;TEXT(AB42,"hh:mm"),"weekday evenings")&amp;", "&amp;IF(AD42&lt;&gt;"","£"&amp;IF(AD42=INT(AD42),TEXT(AD42,"0"),TEXT(AD42,"0.00")),"[PRICE PER PLAYER]")&amp;" a player. We handle booking, sign-ups and payments. Fancy "&amp;IF(ISNUMBER(SEARCH(LEFT(F42,1),"AEIOU")),"an ","a ")&amp;F42&amp;" team game? "&amp;IF(AL42&lt;&gt;"",AL42,IF(Offer!$C$5&lt;&gt;"",Offer!$C$5,"[NAME]")),LEFT("Hi"&amp;IF(O42&lt;&gt;""," "&amp;O42,"")&amp;","&amp;" FC Urban runs after-work football for "&amp;IF(D42="Canary Wharf","Canary Wharf","City")&amp;" teams: "&amp;AC42&amp;" at "&amp;X42&amp;", "&amp;Y42&amp;" min from your office, "&amp;IF(ISNUMBER(AB42),TEXT(AB42,"ddd d mmm")&amp;", "&amp;TEXT(AB42,"hh:mm"),"weekday evenings")&amp;", "&amp;IF(AD42&lt;&gt;"","£"&amp;IF(AD42=INT(AD42),TEXT(AD42,"0"),TEXT(AD42,"0.00")),"[PRICE PER PLAYER]")&amp;" pp. We handle booking and payments. Up for a team game? "&amp;IF(AL42&lt;&gt;"",AL42,IF(Offer!$C$5&lt;&gt;"",Offer!$C$5,"[NAME]")),300))</f>
        <v/>
      </c>
      <c r="AI42" s="14">
        <f>LEN(AH42)</f>
        <v/>
      </c>
      <c r="AJ42" s="14">
        <f>"Thanks for connecting"&amp;IF(O42&lt;&gt;"",", "&amp;O42,"")&amp;". "&amp;IF(ISNUMBER(AB42),"The "&amp;AC42&amp;" slot at "&amp;X42&amp;" is "&amp;IF(ISNUMBER(AB42),TEXT(AB42,"ddd d mmm")&amp;", "&amp;TEXT(AB42,"hh:mm"),"weekday evenings"),"We can book "&amp;AC42&amp;" at "&amp;X42&amp;" on a weekday evening that suits you")&amp;" and it's "&amp;IF(AD42&lt;&gt;"","£"&amp;IF(AD42=INT(AD42),TEXT(AD42,"0"),TEXT(AD42,"0.00")),"[PRICE PER PLAYER]")&amp;" a player, all booked and paid through one link. If football isn't your thing, who at "&amp;F42&amp;" would be the right person to organise a team game?"&amp;IF(Offer!$C$7&lt;&gt;""," Spots are held until "&amp;TEXT(Offer!$C$7,"dddd d mmmm")&amp;".","")&amp;" "&amp;IF(Offer!$C$6&lt;&gt;"",Offer!$C$6,"[JOINING LINK]")</f>
        <v/>
      </c>
      <c r="AK42" s="14">
        <f>IF(OR(ISNUMBER(SEARCH("[",AG42)),ISNUMBER(SEARCH("[",AJ42))),"Fill placeholders",IF(ISNUMBER(AB42),"Ready to send","Ready · no fixed slot"))</f>
        <v/>
      </c>
      <c r="AN42" s="17" t="n"/>
    </row>
    <row r="43">
      <c r="A43" s="11" t="n">
        <v>41</v>
      </c>
      <c r="B43" s="11" t="n">
        <v>2</v>
      </c>
      <c r="C43" s="11" t="inlineStr">
        <is>
          <t>Law firm</t>
        </is>
      </c>
      <c r="D43" s="11" t="inlineStr">
        <is>
          <t>City of London</t>
        </is>
      </c>
      <c r="E43" s="11" t="inlineStr">
        <is>
          <t>Keystone Law Limited</t>
        </is>
      </c>
      <c r="F43" s="11" t="inlineStr">
        <is>
          <t>Keystone Law</t>
        </is>
      </c>
      <c r="G43" s="11" t="inlineStr">
        <is>
          <t>04650763</t>
        </is>
      </c>
      <c r="H43" s="12" t="inlineStr">
        <is>
          <t>Open</t>
        </is>
      </c>
      <c r="I43" s="12" t="inlineStr">
        <is>
          <t>Search</t>
        </is>
      </c>
      <c r="J43" s="11" t="inlineStr">
        <is>
          <t>Full</t>
        </is>
      </c>
      <c r="K43" s="13" t="n">
        <v>37650</v>
      </c>
      <c r="L43" s="11" t="inlineStr">
        <is>
          <t>48 Chancery Lane, London</t>
        </is>
      </c>
      <c r="M43" s="11" t="inlineStr">
        <is>
          <t>WC2A 1JF</t>
        </is>
      </c>
      <c r="N43" s="11" t="inlineStr">
        <is>
          <t>No</t>
        </is>
      </c>
      <c r="U43" s="11" t="inlineStr">
        <is>
          <t>St Pancras - Coram's Fields 3G</t>
        </is>
      </c>
      <c r="V43" s="11" t="n">
        <v>18</v>
      </c>
      <c r="W43" s="11" t="n"/>
      <c r="X43" s="11" t="inlineStr">
        <is>
          <t>St Pancras - Coram's Fields 3G</t>
        </is>
      </c>
      <c r="Y43" s="11" t="n">
        <v>18</v>
      </c>
      <c r="Z43" s="14">
        <f>IFERROR(INDEX(Venues!$E$2:$E$15,MATCH(X43,Venues!$A$2:$A$15,0)),"Not checked")</f>
        <v/>
      </c>
      <c r="AA43" s="14">
        <f>IFERROR(INDEX(Venues!$F$2:$F$15,MATCH(X43,Venues!$A$2:$A$15,0)),0)</f>
        <v/>
      </c>
      <c r="AB43" s="15">
        <f>IFERROR(INDEX(Venues!$M$2:$M$15,MATCH(X43,Venues!$A$2:$A$15,0)),"")</f>
        <v/>
      </c>
      <c r="AC43" s="14">
        <f>IFERROR(INDEX(Venues!$N$2:$N$15,MATCH(X43,Venues!$A$2:$A$15,0)),"5-a-side")</f>
        <v/>
      </c>
      <c r="AD43" s="16">
        <f>IF(Offer!$C$4="","",Offer!$C$4)</f>
        <v/>
      </c>
      <c r="AE43" s="14">
        <f>X43&amp;" ("&amp;Y43&amp;" min walk) · "&amp;IF(ISNUMBER(AB43),TEXT(AB43,"ddd d mmm, hh:mm"),"slot to confirm with venue")&amp;" · "&amp;AC43&amp;" · "&amp;IF(AD43&lt;&gt;"","£"&amp;TEXT(AD43,"0.00")&amp;" pp","price TBC")</f>
        <v/>
      </c>
      <c r="AF43" s="14">
        <f>"After-work football for "&amp;F43&amp;" · "&amp;X43&amp;", "&amp;Y43&amp;" min from your office"</f>
        <v/>
      </c>
      <c r="AG43" s="14">
        <f>"Hi"&amp;IF(O43&lt;&gt;""," "&amp;O43,"")&amp;","&amp;CHAR(10)&amp;CHAR(10)&amp;"I'm "&amp;IF(AL43&lt;&gt;"",AL43,IF(Offer!$C$5&lt;&gt;"",Offer!$C$5,"[NAME]"))&amp;" from FC Urban. We organise after-work football for teams in the City and Canary Wharf."&amp;CHAR(10)&amp;CHAR(10)&amp;"We have a "&amp;AC43&amp;" pitch at "&amp;X43&amp;", "&amp;IF(OR(Y43=8,Y43=11,Y43=18),"an ","a ")&amp;Y43&amp;"-minute walk from your "&amp;M43&amp;" office, "&amp;IF(ISNUMBER(AB43),"on "&amp;TEXT(AB43,"dddd d mmmm")&amp;" at "&amp;TEXT(AB43,"hh:mm"),"on a weekday evening that suits your team")&amp;". It's "&amp;IF(AD43&lt;&gt;"","£"&amp;IF(AD43=INT(AD43),TEXT(AD43,"0"),TEXT(AD43,"0.00")),"[PRICE PER PLAYER]")&amp;" a player and we handle the pitch booking, sign-ups and payments, so all it takes is one person sharing a link with the team."&amp;CHAR(10)&amp;CHAR(10)&amp;"It works well as a team social or "&amp;IF(ISNUMBER(SEARCH(LEFT(F43,1),"AEIOU")),"an ","a ")&amp;F43&amp;"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LINK]")&amp;CHAR(10)&amp;CHAR(10)&amp;"Best,"&amp;CHAR(10)&amp;IF(AL43&lt;&gt;"",AL43,IF(Offer!$C$5&lt;&gt;"",Offer!$C$5,"[NAME]"))&amp;CHAR(10)&amp;"FC Urban"</f>
        <v/>
      </c>
      <c r="AH43" s="14">
        <f>IF(LEN("Hi"&amp;IF(O43&lt;&gt;""," "&amp;O43,"")&amp;","&amp;" FC Urban runs after-work football for "&amp;IF(D43="Canary Wharf","Canary Wharf","City")&amp;" teams. We have a "&amp;AC43&amp;" pitch at "&amp;X43&amp;", "&amp;Y43&amp;" min from your office, "&amp;IF(ISNUMBER(AB43),TEXT(AB43,"ddd d mmm")&amp;", "&amp;TEXT(AB43,"hh:mm"),"weekday evenings")&amp;", "&amp;IF(AD43&lt;&gt;"","£"&amp;IF(AD43=INT(AD43),TEXT(AD43,"0"),TEXT(AD43,"0.00")),"[PRICE PER PLAYER]")&amp;" a player. We handle booking, sign-ups and payments. Fancy "&amp;IF(ISNUMBER(SEARCH(LEFT(F43,1),"AEIOU")),"an ","a ")&amp;F43&amp;" team game? "&amp;IF(AL43&lt;&gt;"",AL43,IF(Offer!$C$5&lt;&gt;"",Offer!$C$5,"[NAME]")))&lt;=300,"Hi"&amp;IF(O43&lt;&gt;""," "&amp;O43,"")&amp;","&amp;" FC Urban runs after-work football for "&amp;IF(D43="Canary Wharf","Canary Wharf","City")&amp;" teams. We have a "&amp;AC43&amp;" pitch at "&amp;X43&amp;", "&amp;Y43&amp;" min from your office, "&amp;IF(ISNUMBER(AB43),TEXT(AB43,"ddd d mmm")&amp;", "&amp;TEXT(AB43,"hh:mm"),"weekday evenings")&amp;", "&amp;IF(AD43&lt;&gt;"","£"&amp;IF(AD43=INT(AD43),TEXT(AD43,"0"),TEXT(AD43,"0.00")),"[PRICE PER PLAYER]")&amp;" a player. We handle booking, sign-ups and payments. Fancy "&amp;IF(ISNUMBER(SEARCH(LEFT(F43,1),"AEIOU")),"an ","a ")&amp;F43&amp;" team game? "&amp;IF(AL43&lt;&gt;"",AL43,IF(Offer!$C$5&lt;&gt;"",Offer!$C$5,"[NAME]")),LEFT("Hi"&amp;IF(O43&lt;&gt;""," "&amp;O43,"")&amp;","&amp;" FC Urban runs after-work football for "&amp;IF(D43="Canary Wharf","Canary Wharf","City")&amp;" teams: "&amp;AC43&amp;" at "&amp;X43&amp;", "&amp;Y43&amp;" min from your office, "&amp;IF(ISNUMBER(AB43),TEXT(AB43,"ddd d mmm")&amp;", "&amp;TEXT(AB43,"hh:mm"),"weekday evenings")&amp;", "&amp;IF(AD43&lt;&gt;"","£"&amp;IF(AD43=INT(AD43),TEXT(AD43,"0"),TEXT(AD43,"0.00")),"[PRICE PER PLAYER]")&amp;" pp. We handle booking and payments. Up for a team game? "&amp;IF(AL43&lt;&gt;"",AL43,IF(Offer!$C$5&lt;&gt;"",Offer!$C$5,"[NAME]")),300))</f>
        <v/>
      </c>
      <c r="AI43" s="14">
        <f>LEN(AH43)</f>
        <v/>
      </c>
      <c r="AJ43" s="14">
        <f>"Thanks for connecting"&amp;IF(O43&lt;&gt;"",", "&amp;O43,"")&amp;". "&amp;IF(ISNUMBER(AB43),"The "&amp;AC43&amp;" slot at "&amp;X43&amp;" is "&amp;IF(ISNUMBER(AB43),TEXT(AB43,"ddd d mmm")&amp;", "&amp;TEXT(AB43,"hh:mm"),"weekday evenings"),"We can book "&amp;AC43&amp;" at "&amp;X43&amp;" on a weekday evening that suits you")&amp;" and it's "&amp;IF(AD43&lt;&gt;"","£"&amp;IF(AD43=INT(AD43),TEXT(AD43,"0"),TEXT(AD43,"0.00")),"[PRICE PER PLAYER]")&amp;" a player, all booked and paid through one link. If football isn't your thing, who at "&amp;F43&amp;" would be the right person to organise a team game?"&amp;IF(Offer!$C$7&lt;&gt;""," Spots are held until "&amp;TEXT(Offer!$C$7,"dddd d mmmm")&amp;".","")&amp;" "&amp;IF(Offer!$C$6&lt;&gt;"",Offer!$C$6,"[JOINING LINK]")</f>
        <v/>
      </c>
      <c r="AK43" s="14">
        <f>IF(OR(ISNUMBER(SEARCH("[",AG43)),ISNUMBER(SEARCH("[",AJ43))),"Fill placeholders",IF(ISNUMBER(AB43),"Ready to send","Ready · no fixed slot"))</f>
        <v/>
      </c>
      <c r="AN43" s="17" t="n"/>
    </row>
    <row r="44">
      <c r="A44" s="11" t="n">
        <v>42</v>
      </c>
      <c r="B44" s="11" t="n">
        <v>2</v>
      </c>
      <c r="C44" s="11" t="inlineStr">
        <is>
          <t>Law firm</t>
        </is>
      </c>
      <c r="D44" s="11" t="inlineStr">
        <is>
          <t>City of London</t>
        </is>
      </c>
      <c r="E44" s="11" t="inlineStr">
        <is>
          <t>Anthony Gold Solicitors LLP</t>
        </is>
      </c>
      <c r="F44" s="11" t="inlineStr">
        <is>
          <t>Anthony Gold Solicitors</t>
        </is>
      </c>
      <c r="G44" s="11" t="inlineStr">
        <is>
          <t>OC433560</t>
        </is>
      </c>
      <c r="H44" s="12" t="inlineStr">
        <is>
          <t>Open</t>
        </is>
      </c>
      <c r="I44" s="12" t="inlineStr">
        <is>
          <t>Search</t>
        </is>
      </c>
      <c r="J44" s="11" t="inlineStr">
        <is>
          <t>Full</t>
        </is>
      </c>
      <c r="K44" s="13" t="n">
        <v>44104</v>
      </c>
      <c r="L44" s="11" t="inlineStr">
        <is>
          <t>The Cottons Centre 5Th Floor, South West, Hays Lane</t>
        </is>
      </c>
      <c r="M44" s="11" t="inlineStr">
        <is>
          <t>SE1 2QG</t>
        </is>
      </c>
      <c r="N44" s="11" t="inlineStr">
        <is>
          <t>No</t>
        </is>
      </c>
      <c r="U44" s="11" t="inlineStr">
        <is>
          <t>Borough Academy</t>
        </is>
      </c>
      <c r="V44" s="11" t="n">
        <v>18</v>
      </c>
      <c r="W44" s="11" t="n"/>
      <c r="X44" s="11" t="inlineStr">
        <is>
          <t>Borough Academy</t>
        </is>
      </c>
      <c r="Y44" s="11" t="n">
        <v>18</v>
      </c>
      <c r="Z44" s="14">
        <f>IFERROR(INDEX(Venues!$E$2:$E$15,MATCH(X44,Venues!$A$2:$A$15,0)),"Not checked")</f>
        <v/>
      </c>
      <c r="AA44" s="14">
        <f>IFERROR(INDEX(Venues!$F$2:$F$15,MATCH(X44,Venues!$A$2:$A$15,0)),0)</f>
        <v/>
      </c>
      <c r="AB44" s="15">
        <f>IFERROR(INDEX(Venues!$M$2:$M$15,MATCH(X44,Venues!$A$2:$A$15,0)),"")</f>
        <v/>
      </c>
      <c r="AC44" s="14">
        <f>IFERROR(INDEX(Venues!$N$2:$N$15,MATCH(X44,Venues!$A$2:$A$15,0)),"5-a-side")</f>
        <v/>
      </c>
      <c r="AD44" s="16">
        <f>IF(Offer!$C$4="","",Offer!$C$4)</f>
        <v/>
      </c>
      <c r="AE44" s="14">
        <f>X44&amp;" ("&amp;Y44&amp;" min walk) · "&amp;IF(ISNUMBER(AB44),TEXT(AB44,"ddd d mmm, hh:mm"),"slot to confirm with venue")&amp;" · "&amp;AC44&amp;" · "&amp;IF(AD44&lt;&gt;"","£"&amp;TEXT(AD44,"0.00")&amp;" pp","price TBC")</f>
        <v/>
      </c>
      <c r="AF44" s="14">
        <f>"After-work football for "&amp;F44&amp;" · "&amp;X44&amp;", "&amp;Y44&amp;" min from your office"</f>
        <v/>
      </c>
      <c r="AG44" s="14">
        <f>"Hi"&amp;IF(O44&lt;&gt;""," "&amp;O44,"")&amp;","&amp;CHAR(10)&amp;CHAR(10)&amp;"I'm "&amp;IF(AL44&lt;&gt;"",AL44,IF(Offer!$C$5&lt;&gt;"",Offer!$C$5,"[NAME]"))&amp;" from FC Urban. We organise after-work football for teams in the City and Canary Wharf."&amp;CHAR(10)&amp;CHAR(10)&amp;"We have a "&amp;AC44&amp;" pitch at "&amp;X44&amp;", "&amp;IF(OR(Y44=8,Y44=11,Y44=18),"an ","a ")&amp;Y44&amp;"-minute walk from your "&amp;M44&amp;" office, "&amp;IF(ISNUMBER(AB44),"on "&amp;TEXT(AB44,"dddd d mmmm")&amp;" at "&amp;TEXT(AB44,"hh:mm"),"on a weekday evening that suits your team")&amp;". It's "&amp;IF(AD44&lt;&gt;"","£"&amp;IF(AD44=INT(AD44),TEXT(AD44,"0"),TEXT(AD44,"0.00")),"[PRICE PER PLAYER]")&amp;" a player and we handle the pitch booking, sign-ups and payments, so all it takes is one person sharing a link with the team."&amp;CHAR(10)&amp;CHAR(10)&amp;"It works well as a team social or "&amp;IF(ISNUMBER(SEARCH(LEFT(F44,1),"AEIOU")),"an ","a ")&amp;F44&amp;"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LINK]")&amp;CHAR(10)&amp;CHAR(10)&amp;"Best,"&amp;CHAR(10)&amp;IF(AL44&lt;&gt;"",AL44,IF(Offer!$C$5&lt;&gt;"",Offer!$C$5,"[NAME]"))&amp;CHAR(10)&amp;"FC Urban"</f>
        <v/>
      </c>
      <c r="AH44" s="14">
        <f>IF(LEN("Hi"&amp;IF(O44&lt;&gt;""," "&amp;O44,"")&amp;","&amp;" FC Urban runs after-work football for "&amp;IF(D44="Canary Wharf","Canary Wharf","City")&amp;" teams. We have a "&amp;AC44&amp;" pitch at "&amp;X44&amp;", "&amp;Y44&amp;" min from your office, "&amp;IF(ISNUMBER(AB44),TEXT(AB44,"ddd d mmm")&amp;", "&amp;TEXT(AB44,"hh:mm"),"weekday evenings")&amp;", "&amp;IF(AD44&lt;&gt;"","£"&amp;IF(AD44=INT(AD44),TEXT(AD44,"0"),TEXT(AD44,"0.00")),"[PRICE PER PLAYER]")&amp;" a player. We handle booking, sign-ups and payments. Fancy "&amp;IF(ISNUMBER(SEARCH(LEFT(F44,1),"AEIOU")),"an ","a ")&amp;F44&amp;" team game? "&amp;IF(AL44&lt;&gt;"",AL44,IF(Offer!$C$5&lt;&gt;"",Offer!$C$5,"[NAME]")))&lt;=300,"Hi"&amp;IF(O44&lt;&gt;""," "&amp;O44,"")&amp;","&amp;" FC Urban runs after-work football for "&amp;IF(D44="Canary Wharf","Canary Wharf","City")&amp;" teams. We have a "&amp;AC44&amp;" pitch at "&amp;X44&amp;", "&amp;Y44&amp;" min from your office, "&amp;IF(ISNUMBER(AB44),TEXT(AB44,"ddd d mmm")&amp;", "&amp;TEXT(AB44,"hh:mm"),"weekday evenings")&amp;", "&amp;IF(AD44&lt;&gt;"","£"&amp;IF(AD44=INT(AD44),TEXT(AD44,"0"),TEXT(AD44,"0.00")),"[PRICE PER PLAYER]")&amp;" a player. We handle booking, sign-ups and payments. Fancy "&amp;IF(ISNUMBER(SEARCH(LEFT(F44,1),"AEIOU")),"an ","a ")&amp;F44&amp;" team game? "&amp;IF(AL44&lt;&gt;"",AL44,IF(Offer!$C$5&lt;&gt;"",Offer!$C$5,"[NAME]")),LEFT("Hi"&amp;IF(O44&lt;&gt;""," "&amp;O44,"")&amp;","&amp;" FC Urban runs after-work football for "&amp;IF(D44="Canary Wharf","Canary Wharf","City")&amp;" teams: "&amp;AC44&amp;" at "&amp;X44&amp;", "&amp;Y44&amp;" min from your office, "&amp;IF(ISNUMBER(AB44),TEXT(AB44,"ddd d mmm")&amp;", "&amp;TEXT(AB44,"hh:mm"),"weekday evenings")&amp;", "&amp;IF(AD44&lt;&gt;"","£"&amp;IF(AD44=INT(AD44),TEXT(AD44,"0"),TEXT(AD44,"0.00")),"[PRICE PER PLAYER]")&amp;" pp. We handle booking and payments. Up for a team game? "&amp;IF(AL44&lt;&gt;"",AL44,IF(Offer!$C$5&lt;&gt;"",Offer!$C$5,"[NAME]")),300))</f>
        <v/>
      </c>
      <c r="AI44" s="14">
        <f>LEN(AH44)</f>
        <v/>
      </c>
      <c r="AJ44" s="14">
        <f>"Thanks for connecting"&amp;IF(O44&lt;&gt;"",", "&amp;O44,"")&amp;". "&amp;IF(ISNUMBER(AB44),"The "&amp;AC44&amp;" slot at "&amp;X44&amp;" is "&amp;IF(ISNUMBER(AB44),TEXT(AB44,"ddd d mmm")&amp;", "&amp;TEXT(AB44,"hh:mm"),"weekday evenings"),"We can book "&amp;AC44&amp;" at "&amp;X44&amp;" on a weekday evening that suits you")&amp;" and it's "&amp;IF(AD44&lt;&gt;"","£"&amp;IF(AD44=INT(AD44),TEXT(AD44,"0"),TEXT(AD44,"0.00")),"[PRICE PER PLAYER]")&amp;" a player, all booked and paid through one link. If football isn't your thing, who at "&amp;F44&amp;" would be the right person to organise a team game?"&amp;IF(Offer!$C$7&lt;&gt;""," Spots are held until "&amp;TEXT(Offer!$C$7,"dddd d mmmm")&amp;".","")&amp;" "&amp;IF(Offer!$C$6&lt;&gt;"",Offer!$C$6,"[JOINING LINK]")</f>
        <v/>
      </c>
      <c r="AK44" s="14">
        <f>IF(OR(ISNUMBER(SEARCH("[",AG44)),ISNUMBER(SEARCH("[",AJ44))),"Fill placeholders",IF(ISNUMBER(AB44),"Ready to send","Ready · no fixed slot"))</f>
        <v/>
      </c>
      <c r="AN44" s="17" t="n"/>
    </row>
    <row r="45">
      <c r="A45" s="11" t="n">
        <v>43</v>
      </c>
      <c r="B45" s="11" t="n">
        <v>2</v>
      </c>
      <c r="C45" s="11" t="inlineStr">
        <is>
          <t>Law firm</t>
        </is>
      </c>
      <c r="D45" s="11" t="inlineStr">
        <is>
          <t>City of London</t>
        </is>
      </c>
      <c r="E45" s="11" t="inlineStr">
        <is>
          <t>Shearwater Law Ltd.</t>
        </is>
      </c>
      <c r="F45" s="11" t="inlineStr">
        <is>
          <t>Shearwater Law</t>
        </is>
      </c>
      <c r="G45" s="11" t="inlineStr">
        <is>
          <t>08589434</t>
        </is>
      </c>
      <c r="H45" s="12" t="inlineStr">
        <is>
          <t>Open</t>
        </is>
      </c>
      <c r="I45" s="12" t="inlineStr">
        <is>
          <t>Search</t>
        </is>
      </c>
      <c r="J45" s="11" t="inlineStr">
        <is>
          <t>Full</t>
        </is>
      </c>
      <c r="K45" s="13" t="n">
        <v>41453</v>
      </c>
      <c r="L45" s="11" t="inlineStr">
        <is>
          <t>90 Fenchurch Street, London</t>
        </is>
      </c>
      <c r="M45" s="11" t="inlineStr">
        <is>
          <t>EC3M 4ST</t>
        </is>
      </c>
      <c r="N45" s="11" t="inlineStr">
        <is>
          <t>No</t>
        </is>
      </c>
      <c r="U45" s="11" t="inlineStr">
        <is>
          <t>Liverpool St - Attlee Centre</t>
        </is>
      </c>
      <c r="V45" s="11" t="n">
        <v>10</v>
      </c>
      <c r="W45" s="11" t="inlineStr">
        <is>
          <t>Shoreditch Powerleague (18.4)</t>
        </is>
      </c>
      <c r="X45" s="11" t="inlineStr">
        <is>
          <t>Shoreditch Powerleague</t>
        </is>
      </c>
      <c r="Y45" s="11" t="n">
        <v>18</v>
      </c>
      <c r="Z45" s="14">
        <f>IFERROR(INDEX(Venues!$E$2:$E$15,MATCH(X45,Venues!$A$2:$A$15,0)),"Not checked")</f>
        <v/>
      </c>
      <c r="AA45" s="14">
        <f>IFERROR(INDEX(Venues!$F$2:$F$15,MATCH(X45,Venues!$A$2:$A$15,0)),0)</f>
        <v/>
      </c>
      <c r="AB45" s="15">
        <f>IFERROR(INDEX(Venues!$M$2:$M$15,MATCH(X45,Venues!$A$2:$A$15,0)),"")</f>
        <v/>
      </c>
      <c r="AC45" s="14">
        <f>IFERROR(INDEX(Venues!$N$2:$N$15,MATCH(X45,Venues!$A$2:$A$15,0)),"5-a-side")</f>
        <v/>
      </c>
      <c r="AD45" s="16">
        <f>IF(Offer!$C$4="","",Offer!$C$4)</f>
        <v/>
      </c>
      <c r="AE45" s="14">
        <f>X45&amp;" ("&amp;Y45&amp;" min walk) · "&amp;IF(ISNUMBER(AB45),TEXT(AB45,"ddd d mmm, hh:mm"),"slot to confirm with venue")&amp;" · "&amp;AC45&amp;" · "&amp;IF(AD45&lt;&gt;"","£"&amp;TEXT(AD45,"0.00")&amp;" pp","price TBC")</f>
        <v/>
      </c>
      <c r="AF45" s="14">
        <f>"After-work football for "&amp;F45&amp;" · "&amp;X45&amp;", "&amp;Y45&amp;" min from your office"</f>
        <v/>
      </c>
      <c r="AG45" s="14">
        <f>"Hi"&amp;IF(O45&lt;&gt;""," "&amp;O45,"")&amp;","&amp;CHAR(10)&amp;CHAR(10)&amp;"I'm "&amp;IF(AL45&lt;&gt;"",AL45,IF(Offer!$C$5&lt;&gt;"",Offer!$C$5,"[NAME]"))&amp;" from FC Urban. We organise after-work football for teams in the City and Canary Wharf."&amp;CHAR(10)&amp;CHAR(10)&amp;"We have a "&amp;AC45&amp;" pitch at "&amp;X45&amp;", "&amp;IF(OR(Y45=8,Y45=11,Y45=18),"an ","a ")&amp;Y45&amp;"-minute walk from your "&amp;M45&amp;" office, "&amp;IF(ISNUMBER(AB45),"on "&amp;TEXT(AB45,"dddd d mmmm")&amp;" at "&amp;TEXT(AB45,"hh:mm"),"on a weekday evening that suits your team")&amp;". It's "&amp;IF(AD45&lt;&gt;"","£"&amp;IF(AD45=INT(AD45),TEXT(AD45,"0"),TEXT(AD45,"0.00")),"[PRICE PER PLAYER]")&amp;" a player and we handle the pitch booking, sign-ups and payments, so all it takes is one person sharing a link with the team."&amp;CHAR(10)&amp;CHAR(10)&amp;"It works well as a team social or "&amp;IF(ISNUMBER(SEARCH(LEFT(F45,1),"AEIOU")),"an ","a ")&amp;F45&amp;"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LINK]")&amp;CHAR(10)&amp;CHAR(10)&amp;"Best,"&amp;CHAR(10)&amp;IF(AL45&lt;&gt;"",AL45,IF(Offer!$C$5&lt;&gt;"",Offer!$C$5,"[NAME]"))&amp;CHAR(10)&amp;"FC Urban"</f>
        <v/>
      </c>
      <c r="AH45" s="14">
        <f>IF(LEN("Hi"&amp;IF(O45&lt;&gt;""," "&amp;O45,"")&amp;","&amp;" FC Urban runs after-work football for "&amp;IF(D45="Canary Wharf","Canary Wharf","City")&amp;" teams. We have a "&amp;AC45&amp;" pitch at "&amp;X45&amp;", "&amp;Y45&amp;" min from your office, "&amp;IF(ISNUMBER(AB45),TEXT(AB45,"ddd d mmm")&amp;", "&amp;TEXT(AB45,"hh:mm"),"weekday evenings")&amp;", "&amp;IF(AD45&lt;&gt;"","£"&amp;IF(AD45=INT(AD45),TEXT(AD45,"0"),TEXT(AD45,"0.00")),"[PRICE PER PLAYER]")&amp;" a player. We handle booking, sign-ups and payments. Fancy "&amp;IF(ISNUMBER(SEARCH(LEFT(F45,1),"AEIOU")),"an ","a ")&amp;F45&amp;" team game? "&amp;IF(AL45&lt;&gt;"",AL45,IF(Offer!$C$5&lt;&gt;"",Offer!$C$5,"[NAME]")))&lt;=300,"Hi"&amp;IF(O45&lt;&gt;""," "&amp;O45,"")&amp;","&amp;" FC Urban runs after-work football for "&amp;IF(D45="Canary Wharf","Canary Wharf","City")&amp;" teams. We have a "&amp;AC45&amp;" pitch at "&amp;X45&amp;", "&amp;Y45&amp;" min from your office, "&amp;IF(ISNUMBER(AB45),TEXT(AB45,"ddd d mmm")&amp;", "&amp;TEXT(AB45,"hh:mm"),"weekday evenings")&amp;", "&amp;IF(AD45&lt;&gt;"","£"&amp;IF(AD45=INT(AD45),TEXT(AD45,"0"),TEXT(AD45,"0.00")),"[PRICE PER PLAYER]")&amp;" a player. We handle booking, sign-ups and payments. Fancy "&amp;IF(ISNUMBER(SEARCH(LEFT(F45,1),"AEIOU")),"an ","a ")&amp;F45&amp;" team game? "&amp;IF(AL45&lt;&gt;"",AL45,IF(Offer!$C$5&lt;&gt;"",Offer!$C$5,"[NAME]")),LEFT("Hi"&amp;IF(O45&lt;&gt;""," "&amp;O45,"")&amp;","&amp;" FC Urban runs after-work football for "&amp;IF(D45="Canary Wharf","Canary Wharf","City")&amp;" teams: "&amp;AC45&amp;" at "&amp;X45&amp;", "&amp;Y45&amp;" min from your office, "&amp;IF(ISNUMBER(AB45),TEXT(AB45,"ddd d mmm")&amp;", "&amp;TEXT(AB45,"hh:mm"),"weekday evenings")&amp;", "&amp;IF(AD45&lt;&gt;"","£"&amp;IF(AD45=INT(AD45),TEXT(AD45,"0"),TEXT(AD45,"0.00")),"[PRICE PER PLAYER]")&amp;" pp. We handle booking and payments. Up for a team game? "&amp;IF(AL45&lt;&gt;"",AL45,IF(Offer!$C$5&lt;&gt;"",Offer!$C$5,"[NAME]")),300))</f>
        <v/>
      </c>
      <c r="AI45" s="14">
        <f>LEN(AH45)</f>
        <v/>
      </c>
      <c r="AJ45" s="14">
        <f>"Thanks for connecting"&amp;IF(O45&lt;&gt;"",", "&amp;O45,"")&amp;". "&amp;IF(ISNUMBER(AB45),"The "&amp;AC45&amp;" slot at "&amp;X45&amp;" is "&amp;IF(ISNUMBER(AB45),TEXT(AB45,"ddd d mmm")&amp;", "&amp;TEXT(AB45,"hh:mm"),"weekday evenings"),"We can book "&amp;AC45&amp;" at "&amp;X45&amp;" on a weekday evening that suits you")&amp;" and it's "&amp;IF(AD45&lt;&gt;"","£"&amp;IF(AD45=INT(AD45),TEXT(AD45,"0"),TEXT(AD45,"0.00")),"[PRICE PER PLAYER]")&amp;" a player, all booked and paid through one link. If football isn't your thing, who at "&amp;F45&amp;" would be the right person to organise a team game?"&amp;IF(Offer!$C$7&lt;&gt;""," Spots are held until "&amp;TEXT(Offer!$C$7,"dddd d mmmm")&amp;".","")&amp;" "&amp;IF(Offer!$C$6&lt;&gt;"",Offer!$C$6,"[JOINING LINK]")</f>
        <v/>
      </c>
      <c r="AK45" s="14">
        <f>IF(OR(ISNUMBER(SEARCH("[",AG45)),ISNUMBER(SEARCH("[",AJ45))),"Fill placeholders",IF(ISNUMBER(AB45),"Ready to send","Ready · no fixed slot"))</f>
        <v/>
      </c>
      <c r="AN45" s="17" t="n"/>
    </row>
    <row r="46">
      <c r="A46" s="11" t="n">
        <v>44</v>
      </c>
      <c r="B46" s="11" t="n">
        <v>2</v>
      </c>
      <c r="C46" s="11" t="inlineStr">
        <is>
          <t>Law firm</t>
        </is>
      </c>
      <c r="D46" s="11" t="inlineStr">
        <is>
          <t>City of London</t>
        </is>
      </c>
      <c r="E46" s="11" t="inlineStr">
        <is>
          <t>King &amp; Spalding International LLP</t>
        </is>
      </c>
      <c r="F46" s="11" t="inlineStr">
        <is>
          <t>King &amp; Spalding</t>
        </is>
      </c>
      <c r="G46" s="11" t="inlineStr">
        <is>
          <t>OC303151</t>
        </is>
      </c>
      <c r="H46" s="12" t="inlineStr">
        <is>
          <t>Open</t>
        </is>
      </c>
      <c r="I46" s="12" t="inlineStr">
        <is>
          <t>Search</t>
        </is>
      </c>
      <c r="J46" s="11" t="inlineStr">
        <is>
          <t>Full</t>
        </is>
      </c>
      <c r="K46" s="13" t="n">
        <v>37539</v>
      </c>
      <c r="L46" s="11" t="inlineStr">
        <is>
          <t>8 Bishopsgate, London</t>
        </is>
      </c>
      <c r="M46" s="11" t="inlineStr">
        <is>
          <t>EC2N 4BQ</t>
        </is>
      </c>
      <c r="N46" s="11" t="inlineStr">
        <is>
          <t>No</t>
        </is>
      </c>
      <c r="U46" s="11" t="inlineStr">
        <is>
          <t>Liverpool St - Attlee Centre</t>
        </is>
      </c>
      <c r="V46" s="11" t="n">
        <v>14</v>
      </c>
      <c r="W46" s="11" t="inlineStr">
        <is>
          <t>Shoreditch Powerleague (18.7)</t>
        </is>
      </c>
      <c r="X46" s="11" t="inlineStr">
        <is>
          <t>Shoreditch Powerleague</t>
        </is>
      </c>
      <c r="Y46" s="11" t="n">
        <v>19</v>
      </c>
      <c r="Z46" s="14">
        <f>IFERROR(INDEX(Venues!$E$2:$E$15,MATCH(X46,Venues!$A$2:$A$15,0)),"Not checked")</f>
        <v/>
      </c>
      <c r="AA46" s="14">
        <f>IFERROR(INDEX(Venues!$F$2:$F$15,MATCH(X46,Venues!$A$2:$A$15,0)),0)</f>
        <v/>
      </c>
      <c r="AB46" s="15">
        <f>IFERROR(INDEX(Venues!$M$2:$M$15,MATCH(X46,Venues!$A$2:$A$15,0)),"")</f>
        <v/>
      </c>
      <c r="AC46" s="14">
        <f>IFERROR(INDEX(Venues!$N$2:$N$15,MATCH(X46,Venues!$A$2:$A$15,0)),"5-a-side")</f>
        <v/>
      </c>
      <c r="AD46" s="16">
        <f>IF(Offer!$C$4="","",Offer!$C$4)</f>
        <v/>
      </c>
      <c r="AE46" s="14">
        <f>X46&amp;" ("&amp;Y46&amp;" min walk) · "&amp;IF(ISNUMBER(AB46),TEXT(AB46,"ddd d mmm, hh:mm"),"slot to confirm with venue")&amp;" · "&amp;AC46&amp;" · "&amp;IF(AD46&lt;&gt;"","£"&amp;TEXT(AD46,"0.00")&amp;" pp","price TBC")</f>
        <v/>
      </c>
      <c r="AF46" s="14">
        <f>"After-work football for "&amp;F46&amp;" · "&amp;X46&amp;", "&amp;Y46&amp;" min from your office"</f>
        <v/>
      </c>
      <c r="AG46" s="14">
        <f>"Hi"&amp;IF(O46&lt;&gt;""," "&amp;O46,"")&amp;","&amp;CHAR(10)&amp;CHAR(10)&amp;"I'm "&amp;IF(AL46&lt;&gt;"",AL46,IF(Offer!$C$5&lt;&gt;"",Offer!$C$5,"[NAME]"))&amp;" from FC Urban. We organise after-work football for teams in the City and Canary Wharf."&amp;CHAR(10)&amp;CHAR(10)&amp;"We have a "&amp;AC46&amp;" pitch at "&amp;X46&amp;", "&amp;IF(OR(Y46=8,Y46=11,Y46=18),"an ","a ")&amp;Y46&amp;"-minute walk from your "&amp;M46&amp;" office, "&amp;IF(ISNUMBER(AB46),"on "&amp;TEXT(AB46,"dddd d mmmm")&amp;" at "&amp;TEXT(AB46,"hh:mm"),"on a weekday evening that suits your team")&amp;". It's "&amp;IF(AD46&lt;&gt;"","£"&amp;IF(AD46=INT(AD46),TEXT(AD46,"0"),TEXT(AD46,"0.00")),"[PRICE PER PLAYER]")&amp;" a player and we handle the pitch booking, sign-ups and payments, so all it takes is one person sharing a link with the team."&amp;CHAR(10)&amp;CHAR(10)&amp;"It works well as a team social or "&amp;IF(ISNUMBER(SEARCH(LEFT(F46,1),"AEIOU")),"an ","a ")&amp;F46&amp;"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LINK]")&amp;CHAR(10)&amp;CHAR(10)&amp;"Best,"&amp;CHAR(10)&amp;IF(AL46&lt;&gt;"",AL46,IF(Offer!$C$5&lt;&gt;"",Offer!$C$5,"[NAME]"))&amp;CHAR(10)&amp;"FC Urban"</f>
        <v/>
      </c>
      <c r="AH46" s="14">
        <f>IF(LEN("Hi"&amp;IF(O46&lt;&gt;""," "&amp;O46,"")&amp;","&amp;" FC Urban runs after-work football for "&amp;IF(D46="Canary Wharf","Canary Wharf","City")&amp;" teams. We have a "&amp;AC46&amp;" pitch at "&amp;X46&amp;", "&amp;Y46&amp;" min from your office, "&amp;IF(ISNUMBER(AB46),TEXT(AB46,"ddd d mmm")&amp;", "&amp;TEXT(AB46,"hh:mm"),"weekday evenings")&amp;", "&amp;IF(AD46&lt;&gt;"","£"&amp;IF(AD46=INT(AD46),TEXT(AD46,"0"),TEXT(AD46,"0.00")),"[PRICE PER PLAYER]")&amp;" a player. We handle booking, sign-ups and payments. Fancy "&amp;IF(ISNUMBER(SEARCH(LEFT(F46,1),"AEIOU")),"an ","a ")&amp;F46&amp;" team game? "&amp;IF(AL46&lt;&gt;"",AL46,IF(Offer!$C$5&lt;&gt;"",Offer!$C$5,"[NAME]")))&lt;=300,"Hi"&amp;IF(O46&lt;&gt;""," "&amp;O46,"")&amp;","&amp;" FC Urban runs after-work football for "&amp;IF(D46="Canary Wharf","Canary Wharf","City")&amp;" teams. We have a "&amp;AC46&amp;" pitch at "&amp;X46&amp;", "&amp;Y46&amp;" min from your office, "&amp;IF(ISNUMBER(AB46),TEXT(AB46,"ddd d mmm")&amp;", "&amp;TEXT(AB46,"hh:mm"),"weekday evenings")&amp;", "&amp;IF(AD46&lt;&gt;"","£"&amp;IF(AD46=INT(AD46),TEXT(AD46,"0"),TEXT(AD46,"0.00")),"[PRICE PER PLAYER]")&amp;" a player. We handle booking, sign-ups and payments. Fancy "&amp;IF(ISNUMBER(SEARCH(LEFT(F46,1),"AEIOU")),"an ","a ")&amp;F46&amp;" team game? "&amp;IF(AL46&lt;&gt;"",AL46,IF(Offer!$C$5&lt;&gt;"",Offer!$C$5,"[NAME]")),LEFT("Hi"&amp;IF(O46&lt;&gt;""," "&amp;O46,"")&amp;","&amp;" FC Urban runs after-work football for "&amp;IF(D46="Canary Wharf","Canary Wharf","City")&amp;" teams: "&amp;AC46&amp;" at "&amp;X46&amp;", "&amp;Y46&amp;" min from your office, "&amp;IF(ISNUMBER(AB46),TEXT(AB46,"ddd d mmm")&amp;", "&amp;TEXT(AB46,"hh:mm"),"weekday evenings")&amp;", "&amp;IF(AD46&lt;&gt;"","£"&amp;IF(AD46=INT(AD46),TEXT(AD46,"0"),TEXT(AD46,"0.00")),"[PRICE PER PLAYER]")&amp;" pp. We handle booking and payments. Up for a team game? "&amp;IF(AL46&lt;&gt;"",AL46,IF(Offer!$C$5&lt;&gt;"",Offer!$C$5,"[NAME]")),300))</f>
        <v/>
      </c>
      <c r="AI46" s="14">
        <f>LEN(AH46)</f>
        <v/>
      </c>
      <c r="AJ46" s="14">
        <f>"Thanks for connecting"&amp;IF(O46&lt;&gt;"",", "&amp;O46,"")&amp;". "&amp;IF(ISNUMBER(AB46),"The "&amp;AC46&amp;" slot at "&amp;X46&amp;" is "&amp;IF(ISNUMBER(AB46),TEXT(AB46,"ddd d mmm")&amp;", "&amp;TEXT(AB46,"hh:mm"),"weekday evenings"),"We can book "&amp;AC46&amp;" at "&amp;X46&amp;" on a weekday evening that suits you")&amp;" and it's "&amp;IF(AD46&lt;&gt;"","£"&amp;IF(AD46=INT(AD46),TEXT(AD46,"0"),TEXT(AD46,"0.00")),"[PRICE PER PLAYER]")&amp;" a player, all booked and paid through one link. If football isn't your thing, who at "&amp;F46&amp;" would be the right person to organise a team game?"&amp;IF(Offer!$C$7&lt;&gt;""," Spots are held until "&amp;TEXT(Offer!$C$7,"dddd d mmmm")&amp;".","")&amp;" "&amp;IF(Offer!$C$6&lt;&gt;"",Offer!$C$6,"[JOINING LINK]")</f>
        <v/>
      </c>
      <c r="AK46" s="14">
        <f>IF(OR(ISNUMBER(SEARCH("[",AG46)),ISNUMBER(SEARCH("[",AJ46))),"Fill placeholders",IF(ISNUMBER(AB46),"Ready to send","Ready · no fixed slot"))</f>
        <v/>
      </c>
      <c r="AN46" s="17" t="n"/>
    </row>
    <row r="47">
      <c r="A47" s="11" t="n">
        <v>45</v>
      </c>
      <c r="B47" s="11" t="n">
        <v>2</v>
      </c>
      <c r="C47" s="11" t="inlineStr">
        <is>
          <t>Law firm</t>
        </is>
      </c>
      <c r="D47" s="11" t="inlineStr">
        <is>
          <t>City of London</t>
        </is>
      </c>
      <c r="E47" s="11" t="inlineStr">
        <is>
          <t>McDermott Will &amp; Schulte UK LLP</t>
        </is>
      </c>
      <c r="F47" s="11" t="inlineStr">
        <is>
          <t>McDermott Will &amp; Schulte</t>
        </is>
      </c>
      <c r="G47" s="11" t="inlineStr">
        <is>
          <t>OC311909</t>
        </is>
      </c>
      <c r="H47" s="12" t="inlineStr">
        <is>
          <t>Open</t>
        </is>
      </c>
      <c r="I47" s="12" t="inlineStr">
        <is>
          <t>Search</t>
        </is>
      </c>
      <c r="J47" s="11" t="inlineStr">
        <is>
          <t>Full</t>
        </is>
      </c>
      <c r="K47" s="13" t="n">
        <v>38413</v>
      </c>
      <c r="L47" s="11" t="inlineStr">
        <is>
          <t>22 Bishopsgate, London</t>
        </is>
      </c>
      <c r="M47" s="11" t="inlineStr">
        <is>
          <t>EC2N 4BQ</t>
        </is>
      </c>
      <c r="N47" s="11" t="inlineStr">
        <is>
          <t>No</t>
        </is>
      </c>
      <c r="U47" s="11" t="inlineStr">
        <is>
          <t>Liverpool St - Attlee Centre</t>
        </is>
      </c>
      <c r="V47" s="11" t="n">
        <v>14</v>
      </c>
      <c r="W47" s="11" t="inlineStr">
        <is>
          <t>Shoreditch Powerleague (18.7)</t>
        </is>
      </c>
      <c r="X47" s="11" t="inlineStr">
        <is>
          <t>Shoreditch Powerleague</t>
        </is>
      </c>
      <c r="Y47" s="11" t="n">
        <v>19</v>
      </c>
      <c r="Z47" s="14">
        <f>IFERROR(INDEX(Venues!$E$2:$E$15,MATCH(X47,Venues!$A$2:$A$15,0)),"Not checked")</f>
        <v/>
      </c>
      <c r="AA47" s="14">
        <f>IFERROR(INDEX(Venues!$F$2:$F$15,MATCH(X47,Venues!$A$2:$A$15,0)),0)</f>
        <v/>
      </c>
      <c r="AB47" s="15">
        <f>IFERROR(INDEX(Venues!$M$2:$M$15,MATCH(X47,Venues!$A$2:$A$15,0)),"")</f>
        <v/>
      </c>
      <c r="AC47" s="14">
        <f>IFERROR(INDEX(Venues!$N$2:$N$15,MATCH(X47,Venues!$A$2:$A$15,0)),"5-a-side")</f>
        <v/>
      </c>
      <c r="AD47" s="16">
        <f>IF(Offer!$C$4="","",Offer!$C$4)</f>
        <v/>
      </c>
      <c r="AE47" s="14">
        <f>X47&amp;" ("&amp;Y47&amp;" min walk) · "&amp;IF(ISNUMBER(AB47),TEXT(AB47,"ddd d mmm, hh:mm"),"slot to confirm with venue")&amp;" · "&amp;AC47&amp;" · "&amp;IF(AD47&lt;&gt;"","£"&amp;TEXT(AD47,"0.00")&amp;" pp","price TBC")</f>
        <v/>
      </c>
      <c r="AF47" s="14">
        <f>"After-work football for "&amp;F47&amp;" · "&amp;X47&amp;", "&amp;Y47&amp;" min from your office"</f>
        <v/>
      </c>
      <c r="AG47" s="14">
        <f>"Hi"&amp;IF(O47&lt;&gt;""," "&amp;O47,"")&amp;","&amp;CHAR(10)&amp;CHAR(10)&amp;"I'm "&amp;IF(AL47&lt;&gt;"",AL47,IF(Offer!$C$5&lt;&gt;"",Offer!$C$5,"[NAME]"))&amp;" from FC Urban. We organise after-work football for teams in the City and Canary Wharf."&amp;CHAR(10)&amp;CHAR(10)&amp;"We have a "&amp;AC47&amp;" pitch at "&amp;X47&amp;", "&amp;IF(OR(Y47=8,Y47=11,Y47=18),"an ","a ")&amp;Y47&amp;"-minute walk from your "&amp;M47&amp;" office, "&amp;IF(ISNUMBER(AB47),"on "&amp;TEXT(AB47,"dddd d mmmm")&amp;" at "&amp;TEXT(AB47,"hh:mm"),"on a weekday evening that suits your team")&amp;". It's "&amp;IF(AD47&lt;&gt;"","£"&amp;IF(AD47=INT(AD47),TEXT(AD47,"0"),TEXT(AD47,"0.00")),"[PRICE PER PLAYER]")&amp;" a player and we handle the pitch booking, sign-ups and payments, so all it takes is one person sharing a link with the team."&amp;CHAR(10)&amp;CHAR(10)&amp;"It works well as a team social or "&amp;IF(ISNUMBER(SEARCH(LEFT(F47,1),"AEIOU")),"an ","a ")&amp;F47&amp;"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LINK]")&amp;CHAR(10)&amp;CHAR(10)&amp;"Best,"&amp;CHAR(10)&amp;IF(AL47&lt;&gt;"",AL47,IF(Offer!$C$5&lt;&gt;"",Offer!$C$5,"[NAME]"))&amp;CHAR(10)&amp;"FC Urban"</f>
        <v/>
      </c>
      <c r="AH47" s="14">
        <f>IF(LEN("Hi"&amp;IF(O47&lt;&gt;""," "&amp;O47,"")&amp;","&amp;" FC Urban runs after-work football for "&amp;IF(D47="Canary Wharf","Canary Wharf","City")&amp;" teams. We have a "&amp;AC47&amp;" pitch at "&amp;X47&amp;", "&amp;Y47&amp;" min from your office, "&amp;IF(ISNUMBER(AB47),TEXT(AB47,"ddd d mmm")&amp;", "&amp;TEXT(AB47,"hh:mm"),"weekday evenings")&amp;", "&amp;IF(AD47&lt;&gt;"","£"&amp;IF(AD47=INT(AD47),TEXT(AD47,"0"),TEXT(AD47,"0.00")),"[PRICE PER PLAYER]")&amp;" a player. We handle booking, sign-ups and payments. Fancy "&amp;IF(ISNUMBER(SEARCH(LEFT(F47,1),"AEIOU")),"an ","a ")&amp;F47&amp;" team game? "&amp;IF(AL47&lt;&gt;"",AL47,IF(Offer!$C$5&lt;&gt;"",Offer!$C$5,"[NAME]")))&lt;=300,"Hi"&amp;IF(O47&lt;&gt;""," "&amp;O47,"")&amp;","&amp;" FC Urban runs after-work football for "&amp;IF(D47="Canary Wharf","Canary Wharf","City")&amp;" teams. We have a "&amp;AC47&amp;" pitch at "&amp;X47&amp;", "&amp;Y47&amp;" min from your office, "&amp;IF(ISNUMBER(AB47),TEXT(AB47,"ddd d mmm")&amp;", "&amp;TEXT(AB47,"hh:mm"),"weekday evenings")&amp;", "&amp;IF(AD47&lt;&gt;"","£"&amp;IF(AD47=INT(AD47),TEXT(AD47,"0"),TEXT(AD47,"0.00")),"[PRICE PER PLAYER]")&amp;" a player. We handle booking, sign-ups and payments. Fancy "&amp;IF(ISNUMBER(SEARCH(LEFT(F47,1),"AEIOU")),"an ","a ")&amp;F47&amp;" team game? "&amp;IF(AL47&lt;&gt;"",AL47,IF(Offer!$C$5&lt;&gt;"",Offer!$C$5,"[NAME]")),LEFT("Hi"&amp;IF(O47&lt;&gt;""," "&amp;O47,"")&amp;","&amp;" FC Urban runs after-work football for "&amp;IF(D47="Canary Wharf","Canary Wharf","City")&amp;" teams: "&amp;AC47&amp;" at "&amp;X47&amp;", "&amp;Y47&amp;" min from your office, "&amp;IF(ISNUMBER(AB47),TEXT(AB47,"ddd d mmm")&amp;", "&amp;TEXT(AB47,"hh:mm"),"weekday evenings")&amp;", "&amp;IF(AD47&lt;&gt;"","£"&amp;IF(AD47=INT(AD47),TEXT(AD47,"0"),TEXT(AD47,"0.00")),"[PRICE PER PLAYER]")&amp;" pp. We handle booking and payments. Up for a team game? "&amp;IF(AL47&lt;&gt;"",AL47,IF(Offer!$C$5&lt;&gt;"",Offer!$C$5,"[NAME]")),300))</f>
        <v/>
      </c>
      <c r="AI47" s="14">
        <f>LEN(AH47)</f>
        <v/>
      </c>
      <c r="AJ47" s="14">
        <f>"Thanks for connecting"&amp;IF(O47&lt;&gt;"",", "&amp;O47,"")&amp;". "&amp;IF(ISNUMBER(AB47),"The "&amp;AC47&amp;" slot at "&amp;X47&amp;" is "&amp;IF(ISNUMBER(AB47),TEXT(AB47,"ddd d mmm")&amp;", "&amp;TEXT(AB47,"hh:mm"),"weekday evenings"),"We can book "&amp;AC47&amp;" at "&amp;X47&amp;" on a weekday evening that suits you")&amp;" and it's "&amp;IF(AD47&lt;&gt;"","£"&amp;IF(AD47=INT(AD47),TEXT(AD47,"0"),TEXT(AD47,"0.00")),"[PRICE PER PLAYER]")&amp;" a player, all booked and paid through one link. If football isn't your thing, who at "&amp;F47&amp;" would be the right person to organise a team game?"&amp;IF(Offer!$C$7&lt;&gt;""," Spots are held until "&amp;TEXT(Offer!$C$7,"dddd d mmmm")&amp;".","")&amp;" "&amp;IF(Offer!$C$6&lt;&gt;"",Offer!$C$6,"[JOINING LINK]")</f>
        <v/>
      </c>
      <c r="AK47" s="14">
        <f>IF(OR(ISNUMBER(SEARCH("[",AG47)),ISNUMBER(SEARCH("[",AJ47))),"Fill placeholders",IF(ISNUMBER(AB47),"Ready to send","Ready · no fixed slot"))</f>
        <v/>
      </c>
      <c r="AN47" s="17" t="n"/>
    </row>
    <row r="48">
      <c r="A48" s="11" t="n">
        <v>46</v>
      </c>
      <c r="B48" s="11" t="n">
        <v>2</v>
      </c>
      <c r="C48" s="11" t="inlineStr">
        <is>
          <t>Law firm</t>
        </is>
      </c>
      <c r="D48" s="11" t="inlineStr">
        <is>
          <t>City of London</t>
        </is>
      </c>
      <c r="E48" s="11" t="inlineStr">
        <is>
          <t>Secretariat International UK Ltd</t>
        </is>
      </c>
      <c r="F48" s="11" t="inlineStr">
        <is>
          <t>Secretariat</t>
        </is>
      </c>
      <c r="G48" s="11" t="inlineStr">
        <is>
          <t>09692990</t>
        </is>
      </c>
      <c r="H48" s="12" t="inlineStr">
        <is>
          <t>Open</t>
        </is>
      </c>
      <c r="I48" s="12" t="inlineStr">
        <is>
          <t>Search</t>
        </is>
      </c>
      <c r="J48" s="11" t="inlineStr">
        <is>
          <t>Full</t>
        </is>
      </c>
      <c r="K48" s="13" t="n">
        <v>42205</v>
      </c>
      <c r="L48" s="11" t="inlineStr">
        <is>
          <t>22 Bishopsgate, 22Nd Floor, London</t>
        </is>
      </c>
      <c r="M48" s="11" t="inlineStr">
        <is>
          <t>EC2N 4BQ</t>
        </is>
      </c>
      <c r="N48" s="11" t="inlineStr">
        <is>
          <t>No</t>
        </is>
      </c>
      <c r="U48" s="11" t="inlineStr">
        <is>
          <t>Liverpool St - Attlee Centre</t>
        </is>
      </c>
      <c r="V48" s="11" t="n">
        <v>14</v>
      </c>
      <c r="W48" s="11" t="inlineStr">
        <is>
          <t>Shoreditch Powerleague (18.7)</t>
        </is>
      </c>
      <c r="X48" s="11" t="inlineStr">
        <is>
          <t>Shoreditch Powerleague</t>
        </is>
      </c>
      <c r="Y48" s="11" t="n">
        <v>19</v>
      </c>
      <c r="Z48" s="14">
        <f>IFERROR(INDEX(Venues!$E$2:$E$15,MATCH(X48,Venues!$A$2:$A$15,0)),"Not checked")</f>
        <v/>
      </c>
      <c r="AA48" s="14">
        <f>IFERROR(INDEX(Venues!$F$2:$F$15,MATCH(X48,Venues!$A$2:$A$15,0)),0)</f>
        <v/>
      </c>
      <c r="AB48" s="15">
        <f>IFERROR(INDEX(Venues!$M$2:$M$15,MATCH(X48,Venues!$A$2:$A$15,0)),"")</f>
        <v/>
      </c>
      <c r="AC48" s="14">
        <f>IFERROR(INDEX(Venues!$N$2:$N$15,MATCH(X48,Venues!$A$2:$A$15,0)),"5-a-side")</f>
        <v/>
      </c>
      <c r="AD48" s="16">
        <f>IF(Offer!$C$4="","",Offer!$C$4)</f>
        <v/>
      </c>
      <c r="AE48" s="14">
        <f>X48&amp;" ("&amp;Y48&amp;" min walk) · "&amp;IF(ISNUMBER(AB48),TEXT(AB48,"ddd d mmm, hh:mm"),"slot to confirm with venue")&amp;" · "&amp;AC48&amp;" · "&amp;IF(AD48&lt;&gt;"","£"&amp;TEXT(AD48,"0.00")&amp;" pp","price TBC")</f>
        <v/>
      </c>
      <c r="AF48" s="14">
        <f>"After-work football for "&amp;F48&amp;" · "&amp;X48&amp;", "&amp;Y48&amp;" min from your office"</f>
        <v/>
      </c>
      <c r="AG48" s="14">
        <f>"Hi"&amp;IF(O48&lt;&gt;""," "&amp;O48,"")&amp;","&amp;CHAR(10)&amp;CHAR(10)&amp;"I'm "&amp;IF(AL48&lt;&gt;"",AL48,IF(Offer!$C$5&lt;&gt;"",Offer!$C$5,"[NAME]"))&amp;" from FC Urban. We organise after-work football for teams in the City and Canary Wharf."&amp;CHAR(10)&amp;CHAR(10)&amp;"We have a "&amp;AC48&amp;" pitch at "&amp;X48&amp;", "&amp;IF(OR(Y48=8,Y48=11,Y48=18),"an ","a ")&amp;Y48&amp;"-minute walk from your "&amp;M48&amp;" office, "&amp;IF(ISNUMBER(AB48),"on "&amp;TEXT(AB48,"dddd d mmmm")&amp;" at "&amp;TEXT(AB48,"hh:mm"),"on a weekday evening that suits your team")&amp;". It's "&amp;IF(AD48&lt;&gt;"","£"&amp;IF(AD48=INT(AD48),TEXT(AD48,"0"),TEXT(AD48,"0.00")),"[PRICE PER PLAYER]")&amp;" a player and we handle the pitch booking, sign-ups and payments, so all it takes is one person sharing a link with the team."&amp;CHAR(10)&amp;CHAR(10)&amp;"It works well as a team social or "&amp;IF(ISNUMBER(SEARCH(LEFT(F48,1),"AEIOU")),"an ","a ")&amp;F48&amp;"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LINK]")&amp;CHAR(10)&amp;CHAR(10)&amp;"Best,"&amp;CHAR(10)&amp;IF(AL48&lt;&gt;"",AL48,IF(Offer!$C$5&lt;&gt;"",Offer!$C$5,"[NAME]"))&amp;CHAR(10)&amp;"FC Urban"</f>
        <v/>
      </c>
      <c r="AH48" s="14">
        <f>IF(LEN("Hi"&amp;IF(O48&lt;&gt;""," "&amp;O48,"")&amp;","&amp;" FC Urban runs after-work football for "&amp;IF(D48="Canary Wharf","Canary Wharf","City")&amp;" teams. We have a "&amp;AC48&amp;" pitch at "&amp;X48&amp;", "&amp;Y48&amp;" min from your office, "&amp;IF(ISNUMBER(AB48),TEXT(AB48,"ddd d mmm")&amp;", "&amp;TEXT(AB48,"hh:mm"),"weekday evenings")&amp;", "&amp;IF(AD48&lt;&gt;"","£"&amp;IF(AD48=INT(AD48),TEXT(AD48,"0"),TEXT(AD48,"0.00")),"[PRICE PER PLAYER]")&amp;" a player. We handle booking, sign-ups and payments. Fancy "&amp;IF(ISNUMBER(SEARCH(LEFT(F48,1),"AEIOU")),"an ","a ")&amp;F48&amp;" team game? "&amp;IF(AL48&lt;&gt;"",AL48,IF(Offer!$C$5&lt;&gt;"",Offer!$C$5,"[NAME]")))&lt;=300,"Hi"&amp;IF(O48&lt;&gt;""," "&amp;O48,"")&amp;","&amp;" FC Urban runs after-work football for "&amp;IF(D48="Canary Wharf","Canary Wharf","City")&amp;" teams. We have a "&amp;AC48&amp;" pitch at "&amp;X48&amp;", "&amp;Y48&amp;" min from your office, "&amp;IF(ISNUMBER(AB48),TEXT(AB48,"ddd d mmm")&amp;", "&amp;TEXT(AB48,"hh:mm"),"weekday evenings")&amp;", "&amp;IF(AD48&lt;&gt;"","£"&amp;IF(AD48=INT(AD48),TEXT(AD48,"0"),TEXT(AD48,"0.00")),"[PRICE PER PLAYER]")&amp;" a player. We handle booking, sign-ups and payments. Fancy "&amp;IF(ISNUMBER(SEARCH(LEFT(F48,1),"AEIOU")),"an ","a ")&amp;F48&amp;" team game? "&amp;IF(AL48&lt;&gt;"",AL48,IF(Offer!$C$5&lt;&gt;"",Offer!$C$5,"[NAME]")),LEFT("Hi"&amp;IF(O48&lt;&gt;""," "&amp;O48,"")&amp;","&amp;" FC Urban runs after-work football for "&amp;IF(D48="Canary Wharf","Canary Wharf","City")&amp;" teams: "&amp;AC48&amp;" at "&amp;X48&amp;", "&amp;Y48&amp;" min from your office, "&amp;IF(ISNUMBER(AB48),TEXT(AB48,"ddd d mmm")&amp;", "&amp;TEXT(AB48,"hh:mm"),"weekday evenings")&amp;", "&amp;IF(AD48&lt;&gt;"","£"&amp;IF(AD48=INT(AD48),TEXT(AD48,"0"),TEXT(AD48,"0.00")),"[PRICE PER PLAYER]")&amp;" pp. We handle booking and payments. Up for a team game? "&amp;IF(AL48&lt;&gt;"",AL48,IF(Offer!$C$5&lt;&gt;"",Offer!$C$5,"[NAME]")),300))</f>
        <v/>
      </c>
      <c r="AI48" s="14">
        <f>LEN(AH48)</f>
        <v/>
      </c>
      <c r="AJ48" s="14">
        <f>"Thanks for connecting"&amp;IF(O48&lt;&gt;"",", "&amp;O48,"")&amp;". "&amp;IF(ISNUMBER(AB48),"The "&amp;AC48&amp;" slot at "&amp;X48&amp;" is "&amp;IF(ISNUMBER(AB48),TEXT(AB48,"ddd d mmm")&amp;", "&amp;TEXT(AB48,"hh:mm"),"weekday evenings"),"We can book "&amp;AC48&amp;" at "&amp;X48&amp;" on a weekday evening that suits you")&amp;" and it's "&amp;IF(AD48&lt;&gt;"","£"&amp;IF(AD48=INT(AD48),TEXT(AD48,"0"),TEXT(AD48,"0.00")),"[PRICE PER PLAYER]")&amp;" a player, all booked and paid through one link. If football isn't your thing, who at "&amp;F48&amp;" would be the right person to organise a team game?"&amp;IF(Offer!$C$7&lt;&gt;""," Spots are held until "&amp;TEXT(Offer!$C$7,"dddd d mmmm")&amp;".","")&amp;" "&amp;IF(Offer!$C$6&lt;&gt;"",Offer!$C$6,"[JOINING LINK]")</f>
        <v/>
      </c>
      <c r="AK48" s="14">
        <f>IF(OR(ISNUMBER(SEARCH("[",AG48)),ISNUMBER(SEARCH("[",AJ48))),"Fill placeholders",IF(ISNUMBER(AB48),"Ready to send","Ready · no fixed slot"))</f>
        <v/>
      </c>
      <c r="AN48" s="17" t="n"/>
    </row>
    <row r="49">
      <c r="A49" s="11" t="n">
        <v>47</v>
      </c>
      <c r="B49" s="11" t="n">
        <v>2</v>
      </c>
      <c r="C49" s="11" t="inlineStr">
        <is>
          <t>Law firm</t>
        </is>
      </c>
      <c r="D49" s="11" t="inlineStr">
        <is>
          <t>City of London</t>
        </is>
      </c>
      <c r="E49" s="11" t="inlineStr">
        <is>
          <t>White &amp; Case LLP</t>
        </is>
      </c>
      <c r="F49" s="11" t="inlineStr">
        <is>
          <t>White &amp; Case</t>
        </is>
      </c>
      <c r="G49" s="11" t="inlineStr">
        <is>
          <t>OC324340</t>
        </is>
      </c>
      <c r="H49" s="12" t="inlineStr">
        <is>
          <t>Open</t>
        </is>
      </c>
      <c r="I49" s="12" t="inlineStr">
        <is>
          <t>Search</t>
        </is>
      </c>
      <c r="J49" s="11" t="inlineStr">
        <is>
          <t>Full</t>
        </is>
      </c>
      <c r="K49" s="13" t="n">
        <v>39052</v>
      </c>
      <c r="L49" s="11" t="inlineStr">
        <is>
          <t>5 Old Broad Street, London</t>
        </is>
      </c>
      <c r="M49" s="11" t="inlineStr">
        <is>
          <t>EC2N 1DW</t>
        </is>
      </c>
      <c r="N49" s="11" t="inlineStr">
        <is>
          <t>No</t>
        </is>
      </c>
      <c r="U49" s="11" t="inlineStr">
        <is>
          <t>Liverpool St - Attlee Centre</t>
        </is>
      </c>
      <c r="V49" s="11" t="n">
        <v>15</v>
      </c>
      <c r="W49" s="11" t="inlineStr">
        <is>
          <t>Shoreditch Powerleague (18.9)</t>
        </is>
      </c>
      <c r="X49" s="11" t="inlineStr">
        <is>
          <t>Shoreditch Powerleague</t>
        </is>
      </c>
      <c r="Y49" s="11" t="n">
        <v>19</v>
      </c>
      <c r="Z49" s="14">
        <f>IFERROR(INDEX(Venues!$E$2:$E$15,MATCH(X49,Venues!$A$2:$A$15,0)),"Not checked")</f>
        <v/>
      </c>
      <c r="AA49" s="14">
        <f>IFERROR(INDEX(Venues!$F$2:$F$15,MATCH(X49,Venues!$A$2:$A$15,0)),0)</f>
        <v/>
      </c>
      <c r="AB49" s="15">
        <f>IFERROR(INDEX(Venues!$M$2:$M$15,MATCH(X49,Venues!$A$2:$A$15,0)),"")</f>
        <v/>
      </c>
      <c r="AC49" s="14">
        <f>IFERROR(INDEX(Venues!$N$2:$N$15,MATCH(X49,Venues!$A$2:$A$15,0)),"5-a-side")</f>
        <v/>
      </c>
      <c r="AD49" s="16">
        <f>IF(Offer!$C$4="","",Offer!$C$4)</f>
        <v/>
      </c>
      <c r="AE49" s="14">
        <f>X49&amp;" ("&amp;Y49&amp;" min walk) · "&amp;IF(ISNUMBER(AB49),TEXT(AB49,"ddd d mmm, hh:mm"),"slot to confirm with venue")&amp;" · "&amp;AC49&amp;" · "&amp;IF(AD49&lt;&gt;"","£"&amp;TEXT(AD49,"0.00")&amp;" pp","price TBC")</f>
        <v/>
      </c>
      <c r="AF49" s="14">
        <f>"After-work football for "&amp;F49&amp;" · "&amp;X49&amp;", "&amp;Y49&amp;" min from your office"</f>
        <v/>
      </c>
      <c r="AG49" s="14">
        <f>"Hi"&amp;IF(O49&lt;&gt;""," "&amp;O49,"")&amp;","&amp;CHAR(10)&amp;CHAR(10)&amp;"I'm "&amp;IF(AL49&lt;&gt;"",AL49,IF(Offer!$C$5&lt;&gt;"",Offer!$C$5,"[NAME]"))&amp;" from FC Urban. We organise after-work football for teams in the City and Canary Wharf."&amp;CHAR(10)&amp;CHAR(10)&amp;"We have a "&amp;AC49&amp;" pitch at "&amp;X49&amp;", "&amp;IF(OR(Y49=8,Y49=11,Y49=18),"an ","a ")&amp;Y49&amp;"-minute walk from your "&amp;M49&amp;" office, "&amp;IF(ISNUMBER(AB49),"on "&amp;TEXT(AB49,"dddd d mmmm")&amp;" at "&amp;TEXT(AB49,"hh:mm"),"on a weekday evening that suits your team")&amp;". It's "&amp;IF(AD49&lt;&gt;"","£"&amp;IF(AD49=INT(AD49),TEXT(AD49,"0"),TEXT(AD49,"0.00")),"[PRICE PER PLAYER]")&amp;" a player and we handle the pitch booking, sign-ups and payments, so all it takes is one person sharing a link with the team."&amp;CHAR(10)&amp;CHAR(10)&amp;"It works well as a team social or "&amp;IF(ISNUMBER(SEARCH(LEFT(F49,1),"AEIOU")),"an ","a ")&amp;F49&amp;"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LINK]")&amp;CHAR(10)&amp;CHAR(10)&amp;"Best,"&amp;CHAR(10)&amp;IF(AL49&lt;&gt;"",AL49,IF(Offer!$C$5&lt;&gt;"",Offer!$C$5,"[NAME]"))&amp;CHAR(10)&amp;"FC Urban"</f>
        <v/>
      </c>
      <c r="AH49" s="14">
        <f>IF(LEN("Hi"&amp;IF(O49&lt;&gt;""," "&amp;O49,"")&amp;","&amp;" FC Urban runs after-work football for "&amp;IF(D49="Canary Wharf","Canary Wharf","City")&amp;" teams. We have a "&amp;AC49&amp;" pitch at "&amp;X49&amp;", "&amp;Y49&amp;" min from your office, "&amp;IF(ISNUMBER(AB49),TEXT(AB49,"ddd d mmm")&amp;", "&amp;TEXT(AB49,"hh:mm"),"weekday evenings")&amp;", "&amp;IF(AD49&lt;&gt;"","£"&amp;IF(AD49=INT(AD49),TEXT(AD49,"0"),TEXT(AD49,"0.00")),"[PRICE PER PLAYER]")&amp;" a player. We handle booking, sign-ups and payments. Fancy "&amp;IF(ISNUMBER(SEARCH(LEFT(F49,1),"AEIOU")),"an ","a ")&amp;F49&amp;" team game? "&amp;IF(AL49&lt;&gt;"",AL49,IF(Offer!$C$5&lt;&gt;"",Offer!$C$5,"[NAME]")))&lt;=300,"Hi"&amp;IF(O49&lt;&gt;""," "&amp;O49,"")&amp;","&amp;" FC Urban runs after-work football for "&amp;IF(D49="Canary Wharf","Canary Wharf","City")&amp;" teams. We have a "&amp;AC49&amp;" pitch at "&amp;X49&amp;", "&amp;Y49&amp;" min from your office, "&amp;IF(ISNUMBER(AB49),TEXT(AB49,"ddd d mmm")&amp;", "&amp;TEXT(AB49,"hh:mm"),"weekday evenings")&amp;", "&amp;IF(AD49&lt;&gt;"","£"&amp;IF(AD49=INT(AD49),TEXT(AD49,"0"),TEXT(AD49,"0.00")),"[PRICE PER PLAYER]")&amp;" a player. We handle booking, sign-ups and payments. Fancy "&amp;IF(ISNUMBER(SEARCH(LEFT(F49,1),"AEIOU")),"an ","a ")&amp;F49&amp;" team game? "&amp;IF(AL49&lt;&gt;"",AL49,IF(Offer!$C$5&lt;&gt;"",Offer!$C$5,"[NAME]")),LEFT("Hi"&amp;IF(O49&lt;&gt;""," "&amp;O49,"")&amp;","&amp;" FC Urban runs after-work football for "&amp;IF(D49="Canary Wharf","Canary Wharf","City")&amp;" teams: "&amp;AC49&amp;" at "&amp;X49&amp;", "&amp;Y49&amp;" min from your office, "&amp;IF(ISNUMBER(AB49),TEXT(AB49,"ddd d mmm")&amp;", "&amp;TEXT(AB49,"hh:mm"),"weekday evenings")&amp;", "&amp;IF(AD49&lt;&gt;"","£"&amp;IF(AD49=INT(AD49),TEXT(AD49,"0"),TEXT(AD49,"0.00")),"[PRICE PER PLAYER]")&amp;" pp. We handle booking and payments. Up for a team game? "&amp;IF(AL49&lt;&gt;"",AL49,IF(Offer!$C$5&lt;&gt;"",Offer!$C$5,"[NAME]")),300))</f>
        <v/>
      </c>
      <c r="AI49" s="14">
        <f>LEN(AH49)</f>
        <v/>
      </c>
      <c r="AJ49" s="14">
        <f>"Thanks for connecting"&amp;IF(O49&lt;&gt;"",", "&amp;O49,"")&amp;". "&amp;IF(ISNUMBER(AB49),"The "&amp;AC49&amp;" slot at "&amp;X49&amp;" is "&amp;IF(ISNUMBER(AB49),TEXT(AB49,"ddd d mmm")&amp;", "&amp;TEXT(AB49,"hh:mm"),"weekday evenings"),"We can book "&amp;AC49&amp;" at "&amp;X49&amp;" on a weekday evening that suits you")&amp;" and it's "&amp;IF(AD49&lt;&gt;"","£"&amp;IF(AD49=INT(AD49),TEXT(AD49,"0"),TEXT(AD49,"0.00")),"[PRICE PER PLAYER]")&amp;" a player, all booked and paid through one link. If football isn't your thing, who at "&amp;F49&amp;" would be the right person to organise a team game?"&amp;IF(Offer!$C$7&lt;&gt;""," Spots are held until "&amp;TEXT(Offer!$C$7,"dddd d mmmm")&amp;".","")&amp;" "&amp;IF(Offer!$C$6&lt;&gt;"",Offer!$C$6,"[JOINING LINK]")</f>
        <v/>
      </c>
      <c r="AK49" s="14">
        <f>IF(OR(ISNUMBER(SEARCH("[",AG49)),ISNUMBER(SEARCH("[",AJ49))),"Fill placeholders",IF(ISNUMBER(AB49),"Ready to send","Ready · no fixed slot"))</f>
        <v/>
      </c>
      <c r="AN49" s="17" t="n"/>
    </row>
    <row r="50">
      <c r="A50" s="11" t="n">
        <v>48</v>
      </c>
      <c r="B50" s="11" t="n">
        <v>2</v>
      </c>
      <c r="C50" s="11" t="inlineStr">
        <is>
          <t>Law firm</t>
        </is>
      </c>
      <c r="D50" s="11" t="inlineStr">
        <is>
          <t>City of London</t>
        </is>
      </c>
      <c r="E50" s="11" t="inlineStr">
        <is>
          <t>MFB Solicitors Limited</t>
        </is>
      </c>
      <c r="F50" s="11" t="inlineStr">
        <is>
          <t>MFB Solicitors</t>
        </is>
      </c>
      <c r="G50" s="11" t="inlineStr">
        <is>
          <t>15399140</t>
        </is>
      </c>
      <c r="H50" s="12" t="inlineStr">
        <is>
          <t>Open</t>
        </is>
      </c>
      <c r="I50" s="12" t="inlineStr">
        <is>
          <t>Search</t>
        </is>
      </c>
      <c r="J50" s="11" t="inlineStr">
        <is>
          <t>Medium</t>
        </is>
      </c>
      <c r="K50" s="13" t="n">
        <v>45300</v>
      </c>
      <c r="L50" s="11" t="inlineStr">
        <is>
          <t>Fishmongers' Chambers, 1 Fishmongers' Hall Wharf, London</t>
        </is>
      </c>
      <c r="M50" s="11" t="inlineStr">
        <is>
          <t>EC4R 3AE</t>
        </is>
      </c>
      <c r="N50" s="11" t="inlineStr">
        <is>
          <t>No</t>
        </is>
      </c>
      <c r="U50" s="11" t="inlineStr">
        <is>
          <t>Borough Academy</t>
        </is>
      </c>
      <c r="V50" s="11" t="n">
        <v>19</v>
      </c>
      <c r="W50" s="11" t="n"/>
      <c r="X50" s="11" t="inlineStr">
        <is>
          <t>Borough Academy</t>
        </is>
      </c>
      <c r="Y50" s="11" t="n">
        <v>19</v>
      </c>
      <c r="Z50" s="14">
        <f>IFERROR(INDEX(Venues!$E$2:$E$15,MATCH(X50,Venues!$A$2:$A$15,0)),"Not checked")</f>
        <v/>
      </c>
      <c r="AA50" s="14">
        <f>IFERROR(INDEX(Venues!$F$2:$F$15,MATCH(X50,Venues!$A$2:$A$15,0)),0)</f>
        <v/>
      </c>
      <c r="AB50" s="15">
        <f>IFERROR(INDEX(Venues!$M$2:$M$15,MATCH(X50,Venues!$A$2:$A$15,0)),"")</f>
        <v/>
      </c>
      <c r="AC50" s="14">
        <f>IFERROR(INDEX(Venues!$N$2:$N$15,MATCH(X50,Venues!$A$2:$A$15,0)),"5-a-side")</f>
        <v/>
      </c>
      <c r="AD50" s="16">
        <f>IF(Offer!$C$4="","",Offer!$C$4)</f>
        <v/>
      </c>
      <c r="AE50" s="14">
        <f>X50&amp;" ("&amp;Y50&amp;" min walk) · "&amp;IF(ISNUMBER(AB50),TEXT(AB50,"ddd d mmm, hh:mm"),"slot to confirm with venue")&amp;" · "&amp;AC50&amp;" · "&amp;IF(AD50&lt;&gt;"","£"&amp;TEXT(AD50,"0.00")&amp;" pp","price TBC")</f>
        <v/>
      </c>
      <c r="AF50" s="14">
        <f>"After-work football for "&amp;F50&amp;" · "&amp;X50&amp;", "&amp;Y50&amp;" min from your office"</f>
        <v/>
      </c>
      <c r="AG50" s="14">
        <f>"Hi"&amp;IF(O50&lt;&gt;""," "&amp;O50,"")&amp;","&amp;CHAR(10)&amp;CHAR(10)&amp;"I'm "&amp;IF(AL50&lt;&gt;"",AL50,IF(Offer!$C$5&lt;&gt;"",Offer!$C$5,"[NAME]"))&amp;" from FC Urban. We organise after-work football for teams in the City and Canary Wharf."&amp;CHAR(10)&amp;CHAR(10)&amp;"We have a "&amp;AC50&amp;" pitch at "&amp;X50&amp;", "&amp;IF(OR(Y50=8,Y50=11,Y50=18),"an ","a ")&amp;Y50&amp;"-minute walk from your "&amp;M50&amp;" office, "&amp;IF(ISNUMBER(AB50),"on "&amp;TEXT(AB50,"dddd d mmmm")&amp;" at "&amp;TEXT(AB50,"hh:mm"),"on a weekday evening that suits your team")&amp;". It's "&amp;IF(AD50&lt;&gt;"","£"&amp;IF(AD50=INT(AD50),TEXT(AD50,"0"),TEXT(AD50,"0.00")),"[PRICE PER PLAYER]")&amp;" a player and we handle the pitch booking, sign-ups and payments, so all it takes is one person sharing a link with the team."&amp;CHAR(10)&amp;CHAR(10)&amp;"It works well as a team social or "&amp;IF(ISNUMBER(SEARCH(LEFT(F50,1),"AEIOU")),"an ","a ")&amp;F50&amp;"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LINK]")&amp;CHAR(10)&amp;CHAR(10)&amp;"Best,"&amp;CHAR(10)&amp;IF(AL50&lt;&gt;"",AL50,IF(Offer!$C$5&lt;&gt;"",Offer!$C$5,"[NAME]"))&amp;CHAR(10)&amp;"FC Urban"</f>
        <v/>
      </c>
      <c r="AH50" s="14">
        <f>IF(LEN("Hi"&amp;IF(O50&lt;&gt;""," "&amp;O50,"")&amp;","&amp;" FC Urban runs after-work football for "&amp;IF(D50="Canary Wharf","Canary Wharf","City")&amp;" teams. We have a "&amp;AC50&amp;" pitch at "&amp;X50&amp;", "&amp;Y50&amp;" min from your office, "&amp;IF(ISNUMBER(AB50),TEXT(AB50,"ddd d mmm")&amp;", "&amp;TEXT(AB50,"hh:mm"),"weekday evenings")&amp;", "&amp;IF(AD50&lt;&gt;"","£"&amp;IF(AD50=INT(AD50),TEXT(AD50,"0"),TEXT(AD50,"0.00")),"[PRICE PER PLAYER]")&amp;" a player. We handle booking, sign-ups and payments. Fancy "&amp;IF(ISNUMBER(SEARCH(LEFT(F50,1),"AEIOU")),"an ","a ")&amp;F50&amp;" team game? "&amp;IF(AL50&lt;&gt;"",AL50,IF(Offer!$C$5&lt;&gt;"",Offer!$C$5,"[NAME]")))&lt;=300,"Hi"&amp;IF(O50&lt;&gt;""," "&amp;O50,"")&amp;","&amp;" FC Urban runs after-work football for "&amp;IF(D50="Canary Wharf","Canary Wharf","City")&amp;" teams. We have a "&amp;AC50&amp;" pitch at "&amp;X50&amp;", "&amp;Y50&amp;" min from your office, "&amp;IF(ISNUMBER(AB50),TEXT(AB50,"ddd d mmm")&amp;", "&amp;TEXT(AB50,"hh:mm"),"weekday evenings")&amp;", "&amp;IF(AD50&lt;&gt;"","£"&amp;IF(AD50=INT(AD50),TEXT(AD50,"0"),TEXT(AD50,"0.00")),"[PRICE PER PLAYER]")&amp;" a player. We handle booking, sign-ups and payments. Fancy "&amp;IF(ISNUMBER(SEARCH(LEFT(F50,1),"AEIOU")),"an ","a ")&amp;F50&amp;" team game? "&amp;IF(AL50&lt;&gt;"",AL50,IF(Offer!$C$5&lt;&gt;"",Offer!$C$5,"[NAME]")),LEFT("Hi"&amp;IF(O50&lt;&gt;""," "&amp;O50,"")&amp;","&amp;" FC Urban runs after-work football for "&amp;IF(D50="Canary Wharf","Canary Wharf","City")&amp;" teams: "&amp;AC50&amp;" at "&amp;X50&amp;", "&amp;Y50&amp;" min from your office, "&amp;IF(ISNUMBER(AB50),TEXT(AB50,"ddd d mmm")&amp;", "&amp;TEXT(AB50,"hh:mm"),"weekday evenings")&amp;", "&amp;IF(AD50&lt;&gt;"","£"&amp;IF(AD50=INT(AD50),TEXT(AD50,"0"),TEXT(AD50,"0.00")),"[PRICE PER PLAYER]")&amp;" pp. We handle booking and payments. Up for a team game? "&amp;IF(AL50&lt;&gt;"",AL50,IF(Offer!$C$5&lt;&gt;"",Offer!$C$5,"[NAME]")),300))</f>
        <v/>
      </c>
      <c r="AI50" s="14">
        <f>LEN(AH50)</f>
        <v/>
      </c>
      <c r="AJ50" s="14">
        <f>"Thanks for connecting"&amp;IF(O50&lt;&gt;"",", "&amp;O50,"")&amp;". "&amp;IF(ISNUMBER(AB50),"The "&amp;AC50&amp;" slot at "&amp;X50&amp;" is "&amp;IF(ISNUMBER(AB50),TEXT(AB50,"ddd d mmm")&amp;", "&amp;TEXT(AB50,"hh:mm"),"weekday evenings"),"We can book "&amp;AC50&amp;" at "&amp;X50&amp;" on a weekday evening that suits you")&amp;" and it's "&amp;IF(AD50&lt;&gt;"","£"&amp;IF(AD50=INT(AD50),TEXT(AD50,"0"),TEXT(AD50,"0.00")),"[PRICE PER PLAYER]")&amp;" a player, all booked and paid through one link. If football isn't your thing, who at "&amp;F50&amp;" would be the right person to organise a team game?"&amp;IF(Offer!$C$7&lt;&gt;""," Spots are held until "&amp;TEXT(Offer!$C$7,"dddd d mmmm")&amp;".","")&amp;" "&amp;IF(Offer!$C$6&lt;&gt;"",Offer!$C$6,"[JOINING LINK]")</f>
        <v/>
      </c>
      <c r="AK50" s="14">
        <f>IF(OR(ISNUMBER(SEARCH("[",AG50)),ISNUMBER(SEARCH("[",AJ50))),"Fill placeholders",IF(ISNUMBER(AB50),"Ready to send","Ready · no fixed slot"))</f>
        <v/>
      </c>
      <c r="AN50" s="17" t="n"/>
    </row>
    <row r="51">
      <c r="A51" s="11" t="n">
        <v>49</v>
      </c>
      <c r="B51" s="11" t="n">
        <v>2</v>
      </c>
      <c r="C51" s="11" t="inlineStr">
        <is>
          <t>Bank</t>
        </is>
      </c>
      <c r="D51" s="11" t="inlineStr">
        <is>
          <t>City of London</t>
        </is>
      </c>
      <c r="E51" s="11" t="inlineStr">
        <is>
          <t>Clearbank Limited</t>
        </is>
      </c>
      <c r="F51" s="11" t="inlineStr">
        <is>
          <t>Clearbank</t>
        </is>
      </c>
      <c r="G51" s="11" t="inlineStr">
        <is>
          <t>09736376</t>
        </is>
      </c>
      <c r="H51" s="12" t="inlineStr">
        <is>
          <t>Open</t>
        </is>
      </c>
      <c r="I51" s="12" t="inlineStr">
        <is>
          <t>Search</t>
        </is>
      </c>
      <c r="J51" s="11" t="inlineStr">
        <is>
          <t>Full</t>
        </is>
      </c>
      <c r="K51" s="13" t="n">
        <v>42233</v>
      </c>
      <c r="L51" s="11" t="inlineStr">
        <is>
          <t>Level 27, The Broadgate Tower, 20 Primrose Street, London</t>
        </is>
      </c>
      <c r="M51" s="11" t="inlineStr">
        <is>
          <t>EC2A 2EW</t>
        </is>
      </c>
      <c r="N51" s="11" t="inlineStr">
        <is>
          <t>Yes</t>
        </is>
      </c>
      <c r="U51" s="11" t="inlineStr">
        <is>
          <t>Shoreditch Powerleague</t>
        </is>
      </c>
      <c r="V51" s="11" t="n">
        <v>6</v>
      </c>
      <c r="W51" s="11" t="inlineStr">
        <is>
          <t>Liverpool St - Attlee Centre (9.9)</t>
        </is>
      </c>
      <c r="X51" s="11" t="inlineStr">
        <is>
          <t>Shoreditch Powerleague</t>
        </is>
      </c>
      <c r="Y51" s="11" t="n">
        <v>6</v>
      </c>
      <c r="Z51" s="14">
        <f>IFERROR(INDEX(Venues!$E$2:$E$15,MATCH(X51,Venues!$A$2:$A$15,0)),"Not checked")</f>
        <v/>
      </c>
      <c r="AA51" s="14">
        <f>IFERROR(INDEX(Venues!$F$2:$F$15,MATCH(X51,Venues!$A$2:$A$15,0)),0)</f>
        <v/>
      </c>
      <c r="AB51" s="15">
        <f>IFERROR(INDEX(Venues!$M$2:$M$15,MATCH(X51,Venues!$A$2:$A$15,0)),"")</f>
        <v/>
      </c>
      <c r="AC51" s="14">
        <f>IFERROR(INDEX(Venues!$N$2:$N$15,MATCH(X51,Venues!$A$2:$A$15,0)),"5-a-side")</f>
        <v/>
      </c>
      <c r="AD51" s="16">
        <f>IF(Offer!$C$4="","",Offer!$C$4)</f>
        <v/>
      </c>
      <c r="AE51" s="14">
        <f>X51&amp;" ("&amp;Y51&amp;" min walk) · "&amp;IF(ISNUMBER(AB51),TEXT(AB51,"ddd d mmm, hh:mm"),"slot to confirm with venue")&amp;" · "&amp;AC51&amp;" · "&amp;IF(AD51&lt;&gt;"","£"&amp;TEXT(AD51,"0.00")&amp;" pp","price TBC")</f>
        <v/>
      </c>
      <c r="AF51" s="14">
        <f>"After-work football for "&amp;F51&amp;" · "&amp;X51&amp;", "&amp;Y51&amp;" min from your office"</f>
        <v/>
      </c>
      <c r="AG51" s="14">
        <f>"Hi"&amp;IF(O51&lt;&gt;""," "&amp;O51,"")&amp;","&amp;CHAR(10)&amp;CHAR(10)&amp;"I'm "&amp;IF(AL51&lt;&gt;"",AL51,IF(Offer!$C$5&lt;&gt;"",Offer!$C$5,"[NAME]"))&amp;" from FC Urban. We organise after-work football for teams in the City and Canary Wharf."&amp;CHAR(10)&amp;CHAR(10)&amp;"We have a "&amp;AC51&amp;" pitch at "&amp;X51&amp;", "&amp;IF(OR(Y51=8,Y51=11,Y51=18),"an ","a ")&amp;Y51&amp;"-minute walk from your "&amp;M51&amp;" office, "&amp;IF(ISNUMBER(AB51),"on "&amp;TEXT(AB51,"dddd d mmmm")&amp;" at "&amp;TEXT(AB51,"hh:mm"),"on a weekday evening that suits your team")&amp;". It's "&amp;IF(AD51&lt;&gt;"","£"&amp;IF(AD51=INT(AD51),TEXT(AD51,"0"),TEXT(AD51,"0.00")),"[PRICE PER PLAYER]")&amp;" a player and we handle the pitch booking, sign-ups and payments, so all it takes is one person sharing a link with the team."&amp;CHAR(10)&amp;CHAR(10)&amp;"It works well as a team social or "&amp;IF(ISNUMBER(SEARCH(LEFT(F51,1),"AEIOU")),"an ","a ")&amp;F51&amp;"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LINK]")&amp;CHAR(10)&amp;CHAR(10)&amp;"Best,"&amp;CHAR(10)&amp;IF(AL51&lt;&gt;"",AL51,IF(Offer!$C$5&lt;&gt;"",Offer!$C$5,"[NAME]"))&amp;CHAR(10)&amp;"FC Urban"</f>
        <v/>
      </c>
      <c r="AH51" s="14">
        <f>IF(LEN("Hi"&amp;IF(O51&lt;&gt;""," "&amp;O51,"")&amp;","&amp;" FC Urban runs after-work football for "&amp;IF(D51="Canary Wharf","Canary Wharf","City")&amp;" teams. We have a "&amp;AC51&amp;" pitch at "&amp;X51&amp;", "&amp;Y51&amp;" min from your office, "&amp;IF(ISNUMBER(AB51),TEXT(AB51,"ddd d mmm")&amp;", "&amp;TEXT(AB51,"hh:mm"),"weekday evenings")&amp;", "&amp;IF(AD51&lt;&gt;"","£"&amp;IF(AD51=INT(AD51),TEXT(AD51,"0"),TEXT(AD51,"0.00")),"[PRICE PER PLAYER]")&amp;" a player. We handle booking, sign-ups and payments. Fancy "&amp;IF(ISNUMBER(SEARCH(LEFT(F51,1),"AEIOU")),"an ","a ")&amp;F51&amp;" team game? "&amp;IF(AL51&lt;&gt;"",AL51,IF(Offer!$C$5&lt;&gt;"",Offer!$C$5,"[NAME]")))&lt;=300,"Hi"&amp;IF(O51&lt;&gt;""," "&amp;O51,"")&amp;","&amp;" FC Urban runs after-work football for "&amp;IF(D51="Canary Wharf","Canary Wharf","City")&amp;" teams. We have a "&amp;AC51&amp;" pitch at "&amp;X51&amp;", "&amp;Y51&amp;" min from your office, "&amp;IF(ISNUMBER(AB51),TEXT(AB51,"ddd d mmm")&amp;", "&amp;TEXT(AB51,"hh:mm"),"weekday evenings")&amp;", "&amp;IF(AD51&lt;&gt;"","£"&amp;IF(AD51=INT(AD51),TEXT(AD51,"0"),TEXT(AD51,"0.00")),"[PRICE PER PLAYER]")&amp;" a player. We handle booking, sign-ups and payments. Fancy "&amp;IF(ISNUMBER(SEARCH(LEFT(F51,1),"AEIOU")),"an ","a ")&amp;F51&amp;" team game? "&amp;IF(AL51&lt;&gt;"",AL51,IF(Offer!$C$5&lt;&gt;"",Offer!$C$5,"[NAME]")),LEFT("Hi"&amp;IF(O51&lt;&gt;""," "&amp;O51,"")&amp;","&amp;" FC Urban runs after-work football for "&amp;IF(D51="Canary Wharf","Canary Wharf","City")&amp;" teams: "&amp;AC51&amp;" at "&amp;X51&amp;", "&amp;Y51&amp;" min from your office, "&amp;IF(ISNUMBER(AB51),TEXT(AB51,"ddd d mmm")&amp;", "&amp;TEXT(AB51,"hh:mm"),"weekday evenings")&amp;", "&amp;IF(AD51&lt;&gt;"","£"&amp;IF(AD51=INT(AD51),TEXT(AD51,"0"),TEXT(AD51,"0.00")),"[PRICE PER PLAYER]")&amp;" pp. We handle booking and payments. Up for a team game? "&amp;IF(AL51&lt;&gt;"",AL51,IF(Offer!$C$5&lt;&gt;"",Offer!$C$5,"[NAME]")),300))</f>
        <v/>
      </c>
      <c r="AI51" s="14">
        <f>LEN(AH51)</f>
        <v/>
      </c>
      <c r="AJ51" s="14">
        <f>"Thanks for connecting"&amp;IF(O51&lt;&gt;"",", "&amp;O51,"")&amp;". "&amp;IF(ISNUMBER(AB51),"The "&amp;AC51&amp;" slot at "&amp;X51&amp;" is "&amp;IF(ISNUMBER(AB51),TEXT(AB51,"ddd d mmm")&amp;", "&amp;TEXT(AB51,"hh:mm"),"weekday evenings"),"We can book "&amp;AC51&amp;" at "&amp;X51&amp;" on a weekday evening that suits you")&amp;" and it's "&amp;IF(AD51&lt;&gt;"","£"&amp;IF(AD51=INT(AD51),TEXT(AD51,"0"),TEXT(AD51,"0.00")),"[PRICE PER PLAYER]")&amp;" a player, all booked and paid through one link. If football isn't your thing, who at "&amp;F51&amp;" would be the right person to organise a team game?"&amp;IF(Offer!$C$7&lt;&gt;""," Spots are held until "&amp;TEXT(Offer!$C$7,"dddd d mmmm")&amp;".","")&amp;" "&amp;IF(Offer!$C$6&lt;&gt;"",Offer!$C$6,"[JOINING LINK]")</f>
        <v/>
      </c>
      <c r="AK51" s="14">
        <f>IF(OR(ISNUMBER(SEARCH("[",AG51)),ISNUMBER(SEARCH("[",AJ51))),"Fill placeholders",IF(ISNUMBER(AB51),"Ready to send","Ready · no fixed slot"))</f>
        <v/>
      </c>
      <c r="AN51" s="17" t="n"/>
    </row>
    <row r="52">
      <c r="A52" s="11" t="n">
        <v>50</v>
      </c>
      <c r="B52" s="11" t="n">
        <v>2</v>
      </c>
      <c r="C52" s="11" t="inlineStr">
        <is>
          <t>Bank</t>
        </is>
      </c>
      <c r="D52" s="11" t="inlineStr">
        <is>
          <t>City of London</t>
        </is>
      </c>
      <c r="E52" s="11" t="inlineStr">
        <is>
          <t>Monzo Bank Limited</t>
        </is>
      </c>
      <c r="F52" s="11" t="inlineStr">
        <is>
          <t>Monzo</t>
        </is>
      </c>
      <c r="G52" s="11" t="inlineStr">
        <is>
          <t>09446231</t>
        </is>
      </c>
      <c r="H52" s="12" t="inlineStr">
        <is>
          <t>Open</t>
        </is>
      </c>
      <c r="I52" s="12" t="inlineStr">
        <is>
          <t>Search</t>
        </is>
      </c>
      <c r="J52" s="11" t="inlineStr">
        <is>
          <t>Full</t>
        </is>
      </c>
      <c r="K52" s="13" t="n">
        <v>42053</v>
      </c>
      <c r="L52" s="11" t="inlineStr">
        <is>
          <t>Broadwalk House, 5 Appold Street, London</t>
        </is>
      </c>
      <c r="M52" s="11" t="inlineStr">
        <is>
          <t>EC2A 2AG</t>
        </is>
      </c>
      <c r="N52" s="11" t="inlineStr">
        <is>
          <t>No</t>
        </is>
      </c>
      <c r="U52" s="11" t="inlineStr">
        <is>
          <t>Shoreditch Powerleague</t>
        </is>
      </c>
      <c r="V52" s="11" t="n">
        <v>7</v>
      </c>
      <c r="W52" s="11" t="inlineStr">
        <is>
          <t>Liverpool St - Attlee Centre (10.9)</t>
        </is>
      </c>
      <c r="X52" s="11" t="inlineStr">
        <is>
          <t>Shoreditch Powerleague</t>
        </is>
      </c>
      <c r="Y52" s="11" t="n">
        <v>7</v>
      </c>
      <c r="Z52" s="14">
        <f>IFERROR(INDEX(Venues!$E$2:$E$15,MATCH(X52,Venues!$A$2:$A$15,0)),"Not checked")</f>
        <v/>
      </c>
      <c r="AA52" s="14">
        <f>IFERROR(INDEX(Venues!$F$2:$F$15,MATCH(X52,Venues!$A$2:$A$15,0)),0)</f>
        <v/>
      </c>
      <c r="AB52" s="15">
        <f>IFERROR(INDEX(Venues!$M$2:$M$15,MATCH(X52,Venues!$A$2:$A$15,0)),"")</f>
        <v/>
      </c>
      <c r="AC52" s="14">
        <f>IFERROR(INDEX(Venues!$N$2:$N$15,MATCH(X52,Venues!$A$2:$A$15,0)),"5-a-side")</f>
        <v/>
      </c>
      <c r="AD52" s="16">
        <f>IF(Offer!$C$4="","",Offer!$C$4)</f>
        <v/>
      </c>
      <c r="AE52" s="14">
        <f>X52&amp;" ("&amp;Y52&amp;" min walk) · "&amp;IF(ISNUMBER(AB52),TEXT(AB52,"ddd d mmm, hh:mm"),"slot to confirm with venue")&amp;" · "&amp;AC52&amp;" · "&amp;IF(AD52&lt;&gt;"","£"&amp;TEXT(AD52,"0.00")&amp;" pp","price TBC")</f>
        <v/>
      </c>
      <c r="AF52" s="14">
        <f>"After-work football for "&amp;F52&amp;" · "&amp;X52&amp;", "&amp;Y52&amp;" min from your office"</f>
        <v/>
      </c>
      <c r="AG52" s="14">
        <f>"Hi"&amp;IF(O52&lt;&gt;""," "&amp;O52,"")&amp;","&amp;CHAR(10)&amp;CHAR(10)&amp;"I'm "&amp;IF(AL52&lt;&gt;"",AL52,IF(Offer!$C$5&lt;&gt;"",Offer!$C$5,"[NAME]"))&amp;" from FC Urban. We organise after-work football for teams in the City and Canary Wharf."&amp;CHAR(10)&amp;CHAR(10)&amp;"We have a "&amp;AC52&amp;" pitch at "&amp;X52&amp;", "&amp;IF(OR(Y52=8,Y52=11,Y52=18),"an ","a ")&amp;Y52&amp;"-minute walk from your "&amp;M52&amp;" office, "&amp;IF(ISNUMBER(AB52),"on "&amp;TEXT(AB52,"dddd d mmmm")&amp;" at "&amp;TEXT(AB52,"hh:mm"),"on a weekday evening that suits your team")&amp;". It's "&amp;IF(AD52&lt;&gt;"","£"&amp;IF(AD52=INT(AD52),TEXT(AD52,"0"),TEXT(AD52,"0.00")),"[PRICE PER PLAYER]")&amp;" a player and we handle the pitch booking, sign-ups and payments, so all it takes is one person sharing a link with the team."&amp;CHAR(10)&amp;CHAR(10)&amp;"It works well as a team social or "&amp;IF(ISNUMBER(SEARCH(LEFT(F52,1),"AEIOU")),"an ","a ")&amp;F52&amp;"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LINK]")&amp;CHAR(10)&amp;CHAR(10)&amp;"Best,"&amp;CHAR(10)&amp;IF(AL52&lt;&gt;"",AL52,IF(Offer!$C$5&lt;&gt;"",Offer!$C$5,"[NAME]"))&amp;CHAR(10)&amp;"FC Urban"</f>
        <v/>
      </c>
      <c r="AH52" s="14">
        <f>IF(LEN("Hi"&amp;IF(O52&lt;&gt;""," "&amp;O52,"")&amp;","&amp;" FC Urban runs after-work football for "&amp;IF(D52="Canary Wharf","Canary Wharf","City")&amp;" teams. We have a "&amp;AC52&amp;" pitch at "&amp;X52&amp;", "&amp;Y52&amp;" min from your office, "&amp;IF(ISNUMBER(AB52),TEXT(AB52,"ddd d mmm")&amp;", "&amp;TEXT(AB52,"hh:mm"),"weekday evenings")&amp;", "&amp;IF(AD52&lt;&gt;"","£"&amp;IF(AD52=INT(AD52),TEXT(AD52,"0"),TEXT(AD52,"0.00")),"[PRICE PER PLAYER]")&amp;" a player. We handle booking, sign-ups and payments. Fancy "&amp;IF(ISNUMBER(SEARCH(LEFT(F52,1),"AEIOU")),"an ","a ")&amp;F52&amp;" team game? "&amp;IF(AL52&lt;&gt;"",AL52,IF(Offer!$C$5&lt;&gt;"",Offer!$C$5,"[NAME]")))&lt;=300,"Hi"&amp;IF(O52&lt;&gt;""," "&amp;O52,"")&amp;","&amp;" FC Urban runs after-work football for "&amp;IF(D52="Canary Wharf","Canary Wharf","City")&amp;" teams. We have a "&amp;AC52&amp;" pitch at "&amp;X52&amp;", "&amp;Y52&amp;" min from your office, "&amp;IF(ISNUMBER(AB52),TEXT(AB52,"ddd d mmm")&amp;", "&amp;TEXT(AB52,"hh:mm"),"weekday evenings")&amp;", "&amp;IF(AD52&lt;&gt;"","£"&amp;IF(AD52=INT(AD52),TEXT(AD52,"0"),TEXT(AD52,"0.00")),"[PRICE PER PLAYER]")&amp;" a player. We handle booking, sign-ups and payments. Fancy "&amp;IF(ISNUMBER(SEARCH(LEFT(F52,1),"AEIOU")),"an ","a ")&amp;F52&amp;" team game? "&amp;IF(AL52&lt;&gt;"",AL52,IF(Offer!$C$5&lt;&gt;"",Offer!$C$5,"[NAME]")),LEFT("Hi"&amp;IF(O52&lt;&gt;""," "&amp;O52,"")&amp;","&amp;" FC Urban runs after-work football for "&amp;IF(D52="Canary Wharf","Canary Wharf","City")&amp;" teams: "&amp;AC52&amp;" at "&amp;X52&amp;", "&amp;Y52&amp;" min from your office, "&amp;IF(ISNUMBER(AB52),TEXT(AB52,"ddd d mmm")&amp;", "&amp;TEXT(AB52,"hh:mm"),"weekday evenings")&amp;", "&amp;IF(AD52&lt;&gt;"","£"&amp;IF(AD52=INT(AD52),TEXT(AD52,"0"),TEXT(AD52,"0.00")),"[PRICE PER PLAYER]")&amp;" pp. We handle booking and payments. Up for a team game? "&amp;IF(AL52&lt;&gt;"",AL52,IF(Offer!$C$5&lt;&gt;"",Offer!$C$5,"[NAME]")),300))</f>
        <v/>
      </c>
      <c r="AI52" s="14">
        <f>LEN(AH52)</f>
        <v/>
      </c>
      <c r="AJ52" s="14">
        <f>"Thanks for connecting"&amp;IF(O52&lt;&gt;"",", "&amp;O52,"")&amp;". "&amp;IF(ISNUMBER(AB52),"The "&amp;AC52&amp;" slot at "&amp;X52&amp;" is "&amp;IF(ISNUMBER(AB52),TEXT(AB52,"ddd d mmm")&amp;", "&amp;TEXT(AB52,"hh:mm"),"weekday evenings"),"We can book "&amp;AC52&amp;" at "&amp;X52&amp;" on a weekday evening that suits you")&amp;" and it's "&amp;IF(AD52&lt;&gt;"","£"&amp;IF(AD52=INT(AD52),TEXT(AD52,"0"),TEXT(AD52,"0.00")),"[PRICE PER PLAYER]")&amp;" a player, all booked and paid through one link. If football isn't your thing, who at "&amp;F52&amp;" would be the right person to organise a team game?"&amp;IF(Offer!$C$7&lt;&gt;""," Spots are held until "&amp;TEXT(Offer!$C$7,"dddd d mmmm")&amp;".","")&amp;" "&amp;IF(Offer!$C$6&lt;&gt;"",Offer!$C$6,"[JOINING LINK]")</f>
        <v/>
      </c>
      <c r="AK52" s="14">
        <f>IF(OR(ISNUMBER(SEARCH("[",AG52)),ISNUMBER(SEARCH("[",AJ52))),"Fill placeholders",IF(ISNUMBER(AB52),"Ready to send","Ready · no fixed slot"))</f>
        <v/>
      </c>
      <c r="AN52" s="17" t="n"/>
    </row>
    <row r="53">
      <c r="A53" s="11" t="n">
        <v>51</v>
      </c>
      <c r="B53" s="11" t="n">
        <v>2</v>
      </c>
      <c r="C53" s="11" t="inlineStr">
        <is>
          <t>Bank</t>
        </is>
      </c>
      <c r="D53" s="11" t="inlineStr">
        <is>
          <t>City of London</t>
        </is>
      </c>
      <c r="E53" s="11" t="inlineStr">
        <is>
          <t>This Bank Limited</t>
        </is>
      </c>
      <c r="F53" s="11" t="inlineStr">
        <is>
          <t>This Bank</t>
        </is>
      </c>
      <c r="G53" s="11" t="inlineStr">
        <is>
          <t>11734380</t>
        </is>
      </c>
      <c r="H53" s="12" t="inlineStr">
        <is>
          <t>Open</t>
        </is>
      </c>
      <c r="I53" s="12" t="inlineStr">
        <is>
          <t>Search</t>
        </is>
      </c>
      <c r="J53" s="11" t="inlineStr">
        <is>
          <t>Full</t>
        </is>
      </c>
      <c r="K53" s="13" t="n">
        <v>43453</v>
      </c>
      <c r="L53" s="11" t="inlineStr">
        <is>
          <t>City Bridge House, 57 Southwark Street, London</t>
        </is>
      </c>
      <c r="M53" s="11" t="inlineStr">
        <is>
          <t>SE1 1RU</t>
        </is>
      </c>
      <c r="N53" s="11" t="inlineStr">
        <is>
          <t>No</t>
        </is>
      </c>
      <c r="U53" s="11" t="inlineStr">
        <is>
          <t>Borough Academy</t>
        </is>
      </c>
      <c r="V53" s="11" t="n">
        <v>8</v>
      </c>
      <c r="W53" s="11" t="n"/>
      <c r="X53" s="11" t="inlineStr">
        <is>
          <t>Borough Academy</t>
        </is>
      </c>
      <c r="Y53" s="11" t="n">
        <v>8</v>
      </c>
      <c r="Z53" s="14">
        <f>IFERROR(INDEX(Venues!$E$2:$E$15,MATCH(X53,Venues!$A$2:$A$15,0)),"Not checked")</f>
        <v/>
      </c>
      <c r="AA53" s="14">
        <f>IFERROR(INDEX(Venues!$F$2:$F$15,MATCH(X53,Venues!$A$2:$A$15,0)),0)</f>
        <v/>
      </c>
      <c r="AB53" s="15">
        <f>IFERROR(INDEX(Venues!$M$2:$M$15,MATCH(X53,Venues!$A$2:$A$15,0)),"")</f>
        <v/>
      </c>
      <c r="AC53" s="14">
        <f>IFERROR(INDEX(Venues!$N$2:$N$15,MATCH(X53,Venues!$A$2:$A$15,0)),"5-a-side")</f>
        <v/>
      </c>
      <c r="AD53" s="16">
        <f>IF(Offer!$C$4="","",Offer!$C$4)</f>
        <v/>
      </c>
      <c r="AE53" s="14">
        <f>X53&amp;" ("&amp;Y53&amp;" min walk) · "&amp;IF(ISNUMBER(AB53),TEXT(AB53,"ddd d mmm, hh:mm"),"slot to confirm with venue")&amp;" · "&amp;AC53&amp;" · "&amp;IF(AD53&lt;&gt;"","£"&amp;TEXT(AD53,"0.00")&amp;" pp","price TBC")</f>
        <v/>
      </c>
      <c r="AF53" s="14">
        <f>"After-work football for "&amp;F53&amp;" · "&amp;X53&amp;", "&amp;Y53&amp;" min from your office"</f>
        <v/>
      </c>
      <c r="AG53" s="14">
        <f>"Hi"&amp;IF(O53&lt;&gt;""," "&amp;O53,"")&amp;","&amp;CHAR(10)&amp;CHAR(10)&amp;"I'm "&amp;IF(AL53&lt;&gt;"",AL53,IF(Offer!$C$5&lt;&gt;"",Offer!$C$5,"[NAME]"))&amp;" from FC Urban. We organise after-work football for teams in the City and Canary Wharf."&amp;CHAR(10)&amp;CHAR(10)&amp;"We have a "&amp;AC53&amp;" pitch at "&amp;X53&amp;", "&amp;IF(OR(Y53=8,Y53=11,Y53=18),"an ","a ")&amp;Y53&amp;"-minute walk from your "&amp;M53&amp;" office, "&amp;IF(ISNUMBER(AB53),"on "&amp;TEXT(AB53,"dddd d mmmm")&amp;" at "&amp;TEXT(AB53,"hh:mm"),"on a weekday evening that suits your team")&amp;". It's "&amp;IF(AD53&lt;&gt;"","£"&amp;IF(AD53=INT(AD53),TEXT(AD53,"0"),TEXT(AD53,"0.00")),"[PRICE PER PLAYER]")&amp;" a player and we handle the pitch booking, sign-ups and payments, so all it takes is one person sharing a link with the team."&amp;CHAR(10)&amp;CHAR(10)&amp;"It works well as a team social or "&amp;IF(ISNUMBER(SEARCH(LEFT(F53,1),"AEIOU")),"an ","a ")&amp;F53&amp;"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LINK]")&amp;CHAR(10)&amp;CHAR(10)&amp;"Best,"&amp;CHAR(10)&amp;IF(AL53&lt;&gt;"",AL53,IF(Offer!$C$5&lt;&gt;"",Offer!$C$5,"[NAME]"))&amp;CHAR(10)&amp;"FC Urban"</f>
        <v/>
      </c>
      <c r="AH53" s="14">
        <f>IF(LEN("Hi"&amp;IF(O53&lt;&gt;""," "&amp;O53,"")&amp;","&amp;" FC Urban runs after-work football for "&amp;IF(D53="Canary Wharf","Canary Wharf","City")&amp;" teams. We have a "&amp;AC53&amp;" pitch at "&amp;X53&amp;", "&amp;Y53&amp;" min from your office, "&amp;IF(ISNUMBER(AB53),TEXT(AB53,"ddd d mmm")&amp;", "&amp;TEXT(AB53,"hh:mm"),"weekday evenings")&amp;", "&amp;IF(AD53&lt;&gt;"","£"&amp;IF(AD53=INT(AD53),TEXT(AD53,"0"),TEXT(AD53,"0.00")),"[PRICE PER PLAYER]")&amp;" a player. We handle booking, sign-ups and payments. Fancy "&amp;IF(ISNUMBER(SEARCH(LEFT(F53,1),"AEIOU")),"an ","a ")&amp;F53&amp;" team game? "&amp;IF(AL53&lt;&gt;"",AL53,IF(Offer!$C$5&lt;&gt;"",Offer!$C$5,"[NAME]")))&lt;=300,"Hi"&amp;IF(O53&lt;&gt;""," "&amp;O53,"")&amp;","&amp;" FC Urban runs after-work football for "&amp;IF(D53="Canary Wharf","Canary Wharf","City")&amp;" teams. We have a "&amp;AC53&amp;" pitch at "&amp;X53&amp;", "&amp;Y53&amp;" min from your office, "&amp;IF(ISNUMBER(AB53),TEXT(AB53,"ddd d mmm")&amp;", "&amp;TEXT(AB53,"hh:mm"),"weekday evenings")&amp;", "&amp;IF(AD53&lt;&gt;"","£"&amp;IF(AD53=INT(AD53),TEXT(AD53,"0"),TEXT(AD53,"0.00")),"[PRICE PER PLAYER]")&amp;" a player. We handle booking, sign-ups and payments. Fancy "&amp;IF(ISNUMBER(SEARCH(LEFT(F53,1),"AEIOU")),"an ","a ")&amp;F53&amp;" team game? "&amp;IF(AL53&lt;&gt;"",AL53,IF(Offer!$C$5&lt;&gt;"",Offer!$C$5,"[NAME]")),LEFT("Hi"&amp;IF(O53&lt;&gt;""," "&amp;O53,"")&amp;","&amp;" FC Urban runs after-work football for "&amp;IF(D53="Canary Wharf","Canary Wharf","City")&amp;" teams: "&amp;AC53&amp;" at "&amp;X53&amp;", "&amp;Y53&amp;" min from your office, "&amp;IF(ISNUMBER(AB53),TEXT(AB53,"ddd d mmm")&amp;", "&amp;TEXT(AB53,"hh:mm"),"weekday evenings")&amp;", "&amp;IF(AD53&lt;&gt;"","£"&amp;IF(AD53=INT(AD53),TEXT(AD53,"0"),TEXT(AD53,"0.00")),"[PRICE PER PLAYER]")&amp;" pp. We handle booking and payments. Up for a team game? "&amp;IF(AL53&lt;&gt;"",AL53,IF(Offer!$C$5&lt;&gt;"",Offer!$C$5,"[NAME]")),300))</f>
        <v/>
      </c>
      <c r="AI53" s="14">
        <f>LEN(AH53)</f>
        <v/>
      </c>
      <c r="AJ53" s="14">
        <f>"Thanks for connecting"&amp;IF(O53&lt;&gt;"",", "&amp;O53,"")&amp;". "&amp;IF(ISNUMBER(AB53),"The "&amp;AC53&amp;" slot at "&amp;X53&amp;" is "&amp;IF(ISNUMBER(AB53),TEXT(AB53,"ddd d mmm")&amp;", "&amp;TEXT(AB53,"hh:mm"),"weekday evenings"),"We can book "&amp;AC53&amp;" at "&amp;X53&amp;" on a weekday evening that suits you")&amp;" and it's "&amp;IF(AD53&lt;&gt;"","£"&amp;IF(AD53=INT(AD53),TEXT(AD53,"0"),TEXT(AD53,"0.00")),"[PRICE PER PLAYER]")&amp;" a player, all booked and paid through one link. If football isn't your thing, who at "&amp;F53&amp;" would be the right person to organise a team game?"&amp;IF(Offer!$C$7&lt;&gt;""," Spots are held until "&amp;TEXT(Offer!$C$7,"dddd d mmmm")&amp;".","")&amp;" "&amp;IF(Offer!$C$6&lt;&gt;"",Offer!$C$6,"[JOINING LINK]")</f>
        <v/>
      </c>
      <c r="AK53" s="14">
        <f>IF(OR(ISNUMBER(SEARCH("[",AG53)),ISNUMBER(SEARCH("[",AJ53))),"Fill placeholders",IF(ISNUMBER(AB53),"Ready to send","Ready · no fixed slot"))</f>
        <v/>
      </c>
      <c r="AN53" s="17" t="n"/>
    </row>
    <row r="54">
      <c r="A54" s="11" t="n">
        <v>52</v>
      </c>
      <c r="B54" s="11" t="n">
        <v>2</v>
      </c>
      <c r="C54" s="11" t="inlineStr">
        <is>
          <t>Bank</t>
        </is>
      </c>
      <c r="D54" s="11" t="inlineStr">
        <is>
          <t>Canary Wharf</t>
        </is>
      </c>
      <c r="E54" s="11" t="inlineStr">
        <is>
          <t>Citibank UK Limited</t>
        </is>
      </c>
      <c r="F54" s="11" t="inlineStr">
        <is>
          <t>Citi</t>
        </is>
      </c>
      <c r="G54" s="11" t="inlineStr">
        <is>
          <t>11283101</t>
        </is>
      </c>
      <c r="H54" s="12" t="inlineStr">
        <is>
          <t>Open</t>
        </is>
      </c>
      <c r="I54" s="12" t="inlineStr">
        <is>
          <t>Search</t>
        </is>
      </c>
      <c r="J54" s="11" t="inlineStr">
        <is>
          <t>Full</t>
        </is>
      </c>
      <c r="K54" s="13" t="n">
        <v>43188</v>
      </c>
      <c r="L54" s="11" t="inlineStr">
        <is>
          <t>Citigroup Centre Canada Square, Canary Wharf, London</t>
        </is>
      </c>
      <c r="M54" s="11" t="inlineStr">
        <is>
          <t>E14 5LB</t>
        </is>
      </c>
      <c r="N54" s="11" t="inlineStr">
        <is>
          <t>No</t>
        </is>
      </c>
      <c r="U54" s="11" t="inlineStr">
        <is>
          <t>Poplar</t>
        </is>
      </c>
      <c r="V54" s="11" t="n">
        <v>8</v>
      </c>
      <c r="W54" s="11" t="inlineStr">
        <is>
          <t>PlayFootball Canary Wharf - Westferry (E14 8HH) (18.1)</t>
        </is>
      </c>
      <c r="X54" s="11" t="inlineStr">
        <is>
          <t>Poplar</t>
        </is>
      </c>
      <c r="Y54" s="11" t="n">
        <v>8</v>
      </c>
      <c r="Z54" s="14">
        <f>IFERROR(INDEX(Venues!$E$2:$E$15,MATCH(X54,Venues!$A$2:$A$15,0)),"Not checked")</f>
        <v/>
      </c>
      <c r="AA54" s="14">
        <f>IFERROR(INDEX(Venues!$F$2:$F$15,MATCH(X54,Venues!$A$2:$A$15,0)),0)</f>
        <v/>
      </c>
      <c r="AB54" s="15">
        <f>IFERROR(INDEX(Venues!$M$2:$M$15,MATCH(X54,Venues!$A$2:$A$15,0)),"")</f>
        <v/>
      </c>
      <c r="AC54" s="14">
        <f>IFERROR(INDEX(Venues!$N$2:$N$15,MATCH(X54,Venues!$A$2:$A$15,0)),"5-a-side")</f>
        <v/>
      </c>
      <c r="AD54" s="16">
        <f>IF(Offer!$C$4="","",Offer!$C$4)</f>
        <v/>
      </c>
      <c r="AE54" s="14">
        <f>X54&amp;" ("&amp;Y54&amp;" min walk) · "&amp;IF(ISNUMBER(AB54),TEXT(AB54,"ddd d mmm, hh:mm"),"slot to confirm with venue")&amp;" · "&amp;AC54&amp;" · "&amp;IF(AD54&lt;&gt;"","£"&amp;TEXT(AD54,"0.00")&amp;" pp","price TBC")</f>
        <v/>
      </c>
      <c r="AF54" s="14">
        <f>"After-work football for "&amp;F54&amp;" · "&amp;X54&amp;", "&amp;Y54&amp;" min from your office"</f>
        <v/>
      </c>
      <c r="AG54" s="14">
        <f>"Hi"&amp;IF(O54&lt;&gt;""," "&amp;O54,"")&amp;","&amp;CHAR(10)&amp;CHAR(10)&amp;"I'm "&amp;IF(AL54&lt;&gt;"",AL54,IF(Offer!$C$5&lt;&gt;"",Offer!$C$5,"[NAME]"))&amp;" from FC Urban. We organise after-work football for teams in the City and Canary Wharf."&amp;CHAR(10)&amp;CHAR(10)&amp;"We have a "&amp;AC54&amp;" pitch at "&amp;X54&amp;", "&amp;IF(OR(Y54=8,Y54=11,Y54=18),"an ","a ")&amp;Y54&amp;"-minute walk from your "&amp;M54&amp;" office, "&amp;IF(ISNUMBER(AB54),"on "&amp;TEXT(AB54,"dddd d mmmm")&amp;" at "&amp;TEXT(AB54,"hh:mm"),"on a weekday evening that suits your team")&amp;". It's "&amp;IF(AD54&lt;&gt;"","£"&amp;IF(AD54=INT(AD54),TEXT(AD54,"0"),TEXT(AD54,"0.00")),"[PRICE PER PLAYER]")&amp;" a player and we handle the pitch booking, sign-ups and payments, so all it takes is one person sharing a link with the team."&amp;CHAR(10)&amp;CHAR(10)&amp;"It works well as a team social or "&amp;IF(ISNUMBER(SEARCH(LEFT(F54,1),"AEIOU")),"an ","a ")&amp;F54&amp;"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LINK]")&amp;CHAR(10)&amp;CHAR(10)&amp;"Best,"&amp;CHAR(10)&amp;IF(AL54&lt;&gt;"",AL54,IF(Offer!$C$5&lt;&gt;"",Offer!$C$5,"[NAME]"))&amp;CHAR(10)&amp;"FC Urban"</f>
        <v/>
      </c>
      <c r="AH54" s="14">
        <f>IF(LEN("Hi"&amp;IF(O54&lt;&gt;""," "&amp;O54,"")&amp;","&amp;" FC Urban runs after-work football for "&amp;IF(D54="Canary Wharf","Canary Wharf","City")&amp;" teams. We have a "&amp;AC54&amp;" pitch at "&amp;X54&amp;", "&amp;Y54&amp;" min from your office, "&amp;IF(ISNUMBER(AB54),TEXT(AB54,"ddd d mmm")&amp;", "&amp;TEXT(AB54,"hh:mm"),"weekday evenings")&amp;", "&amp;IF(AD54&lt;&gt;"","£"&amp;IF(AD54=INT(AD54),TEXT(AD54,"0"),TEXT(AD54,"0.00")),"[PRICE PER PLAYER]")&amp;" a player. We handle booking, sign-ups and payments. Fancy "&amp;IF(ISNUMBER(SEARCH(LEFT(F54,1),"AEIOU")),"an ","a ")&amp;F54&amp;" team game? "&amp;IF(AL54&lt;&gt;"",AL54,IF(Offer!$C$5&lt;&gt;"",Offer!$C$5,"[NAME]")))&lt;=300,"Hi"&amp;IF(O54&lt;&gt;""," "&amp;O54,"")&amp;","&amp;" FC Urban runs after-work football for "&amp;IF(D54="Canary Wharf","Canary Wharf","City")&amp;" teams. We have a "&amp;AC54&amp;" pitch at "&amp;X54&amp;", "&amp;Y54&amp;" min from your office, "&amp;IF(ISNUMBER(AB54),TEXT(AB54,"ddd d mmm")&amp;", "&amp;TEXT(AB54,"hh:mm"),"weekday evenings")&amp;", "&amp;IF(AD54&lt;&gt;"","£"&amp;IF(AD54=INT(AD54),TEXT(AD54,"0"),TEXT(AD54,"0.00")),"[PRICE PER PLAYER]")&amp;" a player. We handle booking, sign-ups and payments. Fancy "&amp;IF(ISNUMBER(SEARCH(LEFT(F54,1),"AEIOU")),"an ","a ")&amp;F54&amp;" team game? "&amp;IF(AL54&lt;&gt;"",AL54,IF(Offer!$C$5&lt;&gt;"",Offer!$C$5,"[NAME]")),LEFT("Hi"&amp;IF(O54&lt;&gt;""," "&amp;O54,"")&amp;","&amp;" FC Urban runs after-work football for "&amp;IF(D54="Canary Wharf","Canary Wharf","City")&amp;" teams: "&amp;AC54&amp;" at "&amp;X54&amp;", "&amp;Y54&amp;" min from your office, "&amp;IF(ISNUMBER(AB54),TEXT(AB54,"ddd d mmm")&amp;", "&amp;TEXT(AB54,"hh:mm"),"weekday evenings")&amp;", "&amp;IF(AD54&lt;&gt;"","£"&amp;IF(AD54=INT(AD54),TEXT(AD54,"0"),TEXT(AD54,"0.00")),"[PRICE PER PLAYER]")&amp;" pp. We handle booking and payments. Up for a team game? "&amp;IF(AL54&lt;&gt;"",AL54,IF(Offer!$C$5&lt;&gt;"",Offer!$C$5,"[NAME]")),300))</f>
        <v/>
      </c>
      <c r="AI54" s="14">
        <f>LEN(AH54)</f>
        <v/>
      </c>
      <c r="AJ54" s="14">
        <f>"Thanks for connecting"&amp;IF(O54&lt;&gt;"",", "&amp;O54,"")&amp;". "&amp;IF(ISNUMBER(AB54),"The "&amp;AC54&amp;" slot at "&amp;X54&amp;" is "&amp;IF(ISNUMBER(AB54),TEXT(AB54,"ddd d mmm")&amp;", "&amp;TEXT(AB54,"hh:mm"),"weekday evenings"),"We can book "&amp;AC54&amp;" at "&amp;X54&amp;" on a weekday evening that suits you")&amp;" and it's "&amp;IF(AD54&lt;&gt;"","£"&amp;IF(AD54=INT(AD54),TEXT(AD54,"0"),TEXT(AD54,"0.00")),"[PRICE PER PLAYER]")&amp;" a player, all booked and paid through one link. If football isn't your thing, who at "&amp;F54&amp;" would be the right person to organise a team game?"&amp;IF(Offer!$C$7&lt;&gt;""," Spots are held until "&amp;TEXT(Offer!$C$7,"dddd d mmmm")&amp;".","")&amp;" "&amp;IF(Offer!$C$6&lt;&gt;"",Offer!$C$6,"[JOINING LINK]")</f>
        <v/>
      </c>
      <c r="AK54" s="14">
        <f>IF(OR(ISNUMBER(SEARCH("[",AG54)),ISNUMBER(SEARCH("[",AJ54))),"Fill placeholders",IF(ISNUMBER(AB54),"Ready to send","Ready · no fixed slot"))</f>
        <v/>
      </c>
      <c r="AN54" s="17" t="n"/>
    </row>
    <row r="55">
      <c r="A55" s="11" t="n">
        <v>53</v>
      </c>
      <c r="B55" s="11" t="n">
        <v>2</v>
      </c>
      <c r="C55" s="11" t="inlineStr">
        <is>
          <t>Bank</t>
        </is>
      </c>
      <c r="D55" s="11" t="inlineStr">
        <is>
          <t>City of London</t>
        </is>
      </c>
      <c r="E55" s="11" t="inlineStr">
        <is>
          <t>Fire Financial Services Limited</t>
        </is>
      </c>
      <c r="F55" s="11" t="inlineStr">
        <is>
          <t>Fire Financial</t>
        </is>
      </c>
      <c r="G55" s="11" t="inlineStr">
        <is>
          <t>11549793</t>
        </is>
      </c>
      <c r="H55" s="12" t="inlineStr">
        <is>
          <t>Open</t>
        </is>
      </c>
      <c r="I55" s="12" t="inlineStr">
        <is>
          <t>Search</t>
        </is>
      </c>
      <c r="J55" s="11" t="inlineStr">
        <is>
          <t>Full</t>
        </is>
      </c>
      <c r="K55" s="13" t="n">
        <v>43346</v>
      </c>
      <c r="L55" s="11" t="inlineStr">
        <is>
          <t>The Rise 41, Luke Street, London</t>
        </is>
      </c>
      <c r="M55" s="11" t="inlineStr">
        <is>
          <t>EC2A 4DP</t>
        </is>
      </c>
      <c r="N55" s="11" t="inlineStr">
        <is>
          <t>Yes</t>
        </is>
      </c>
      <c r="U55" s="11" t="inlineStr">
        <is>
          <t>Shoreditch Powerleague</t>
        </is>
      </c>
      <c r="V55" s="11" t="n">
        <v>9</v>
      </c>
      <c r="W55" s="11" t="inlineStr">
        <is>
          <t>Liverpool St - Attlee Centre (16.3); Old St - Moreland Primary School (18.5)</t>
        </is>
      </c>
      <c r="X55" s="11" t="inlineStr">
        <is>
          <t>Shoreditch Powerleague</t>
        </is>
      </c>
      <c r="Y55" s="11" t="n">
        <v>9</v>
      </c>
      <c r="Z55" s="14">
        <f>IFERROR(INDEX(Venues!$E$2:$E$15,MATCH(X55,Venues!$A$2:$A$15,0)),"Not checked")</f>
        <v/>
      </c>
      <c r="AA55" s="14">
        <f>IFERROR(INDEX(Venues!$F$2:$F$15,MATCH(X55,Venues!$A$2:$A$15,0)),0)</f>
        <v/>
      </c>
      <c r="AB55" s="15">
        <f>IFERROR(INDEX(Venues!$M$2:$M$15,MATCH(X55,Venues!$A$2:$A$15,0)),"")</f>
        <v/>
      </c>
      <c r="AC55" s="14">
        <f>IFERROR(INDEX(Venues!$N$2:$N$15,MATCH(X55,Venues!$A$2:$A$15,0)),"5-a-side")</f>
        <v/>
      </c>
      <c r="AD55" s="16">
        <f>IF(Offer!$C$4="","",Offer!$C$4)</f>
        <v/>
      </c>
      <c r="AE55" s="14">
        <f>X55&amp;" ("&amp;Y55&amp;" min walk) · "&amp;IF(ISNUMBER(AB55),TEXT(AB55,"ddd d mmm, hh:mm"),"slot to confirm with venue")&amp;" · "&amp;AC55&amp;" · "&amp;IF(AD55&lt;&gt;"","£"&amp;TEXT(AD55,"0.00")&amp;" pp","price TBC")</f>
        <v/>
      </c>
      <c r="AF55" s="14">
        <f>"After-work football for "&amp;F55&amp;" · "&amp;X55&amp;", "&amp;Y55&amp;" min from your office"</f>
        <v/>
      </c>
      <c r="AG55" s="14">
        <f>"Hi"&amp;IF(O55&lt;&gt;""," "&amp;O55,"")&amp;","&amp;CHAR(10)&amp;CHAR(10)&amp;"I'm "&amp;IF(AL55&lt;&gt;"",AL55,IF(Offer!$C$5&lt;&gt;"",Offer!$C$5,"[NAME]"))&amp;" from FC Urban. We organise after-work football for teams in the City and Canary Wharf."&amp;CHAR(10)&amp;CHAR(10)&amp;"We have a "&amp;AC55&amp;" pitch at "&amp;X55&amp;", "&amp;IF(OR(Y55=8,Y55=11,Y55=18),"an ","a ")&amp;Y55&amp;"-minute walk from your "&amp;M55&amp;" office, "&amp;IF(ISNUMBER(AB55),"on "&amp;TEXT(AB55,"dddd d mmmm")&amp;" at "&amp;TEXT(AB55,"hh:mm"),"on a weekday evening that suits your team")&amp;". It's "&amp;IF(AD55&lt;&gt;"","£"&amp;IF(AD55=INT(AD55),TEXT(AD55,"0"),TEXT(AD55,"0.00")),"[PRICE PER PLAYER]")&amp;" a player and we handle the pitch booking, sign-ups and payments, so all it takes is one person sharing a link with the team."&amp;CHAR(10)&amp;CHAR(10)&amp;"It works well as a team social or "&amp;IF(ISNUMBER(SEARCH(LEFT(F55,1),"AEIOU")),"an ","a ")&amp;F55&amp;"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LINK]")&amp;CHAR(10)&amp;CHAR(10)&amp;"Best,"&amp;CHAR(10)&amp;IF(AL55&lt;&gt;"",AL55,IF(Offer!$C$5&lt;&gt;"",Offer!$C$5,"[NAME]"))&amp;CHAR(10)&amp;"FC Urban"</f>
        <v/>
      </c>
      <c r="AH55" s="14">
        <f>IF(LEN("Hi"&amp;IF(O55&lt;&gt;""," "&amp;O55,"")&amp;","&amp;" FC Urban runs after-work football for "&amp;IF(D55="Canary Wharf","Canary Wharf","City")&amp;" teams. We have a "&amp;AC55&amp;" pitch at "&amp;X55&amp;", "&amp;Y55&amp;" min from your office, "&amp;IF(ISNUMBER(AB55),TEXT(AB55,"ddd d mmm")&amp;", "&amp;TEXT(AB55,"hh:mm"),"weekday evenings")&amp;", "&amp;IF(AD55&lt;&gt;"","£"&amp;IF(AD55=INT(AD55),TEXT(AD55,"0"),TEXT(AD55,"0.00")),"[PRICE PER PLAYER]")&amp;" a player. We handle booking, sign-ups and payments. Fancy "&amp;IF(ISNUMBER(SEARCH(LEFT(F55,1),"AEIOU")),"an ","a ")&amp;F55&amp;" team game? "&amp;IF(AL55&lt;&gt;"",AL55,IF(Offer!$C$5&lt;&gt;"",Offer!$C$5,"[NAME]")))&lt;=300,"Hi"&amp;IF(O55&lt;&gt;""," "&amp;O55,"")&amp;","&amp;" FC Urban runs after-work football for "&amp;IF(D55="Canary Wharf","Canary Wharf","City")&amp;" teams. We have a "&amp;AC55&amp;" pitch at "&amp;X55&amp;", "&amp;Y55&amp;" min from your office, "&amp;IF(ISNUMBER(AB55),TEXT(AB55,"ddd d mmm")&amp;", "&amp;TEXT(AB55,"hh:mm"),"weekday evenings")&amp;", "&amp;IF(AD55&lt;&gt;"","£"&amp;IF(AD55=INT(AD55),TEXT(AD55,"0"),TEXT(AD55,"0.00")),"[PRICE PER PLAYER]")&amp;" a player. We handle booking, sign-ups and payments. Fancy "&amp;IF(ISNUMBER(SEARCH(LEFT(F55,1),"AEIOU")),"an ","a ")&amp;F55&amp;" team game? "&amp;IF(AL55&lt;&gt;"",AL55,IF(Offer!$C$5&lt;&gt;"",Offer!$C$5,"[NAME]")),LEFT("Hi"&amp;IF(O55&lt;&gt;""," "&amp;O55,"")&amp;","&amp;" FC Urban runs after-work football for "&amp;IF(D55="Canary Wharf","Canary Wharf","City")&amp;" teams: "&amp;AC55&amp;" at "&amp;X55&amp;", "&amp;Y55&amp;" min from your office, "&amp;IF(ISNUMBER(AB55),TEXT(AB55,"ddd d mmm")&amp;", "&amp;TEXT(AB55,"hh:mm"),"weekday evenings")&amp;", "&amp;IF(AD55&lt;&gt;"","£"&amp;IF(AD55=INT(AD55),TEXT(AD55,"0"),TEXT(AD55,"0.00")),"[PRICE PER PLAYER]")&amp;" pp. We handle booking and payments. Up for a team game? "&amp;IF(AL55&lt;&gt;"",AL55,IF(Offer!$C$5&lt;&gt;"",Offer!$C$5,"[NAME]")),300))</f>
        <v/>
      </c>
      <c r="AI55" s="14">
        <f>LEN(AH55)</f>
        <v/>
      </c>
      <c r="AJ55" s="14">
        <f>"Thanks for connecting"&amp;IF(O55&lt;&gt;"",", "&amp;O55,"")&amp;". "&amp;IF(ISNUMBER(AB55),"The "&amp;AC55&amp;" slot at "&amp;X55&amp;" is "&amp;IF(ISNUMBER(AB55),TEXT(AB55,"ddd d mmm")&amp;", "&amp;TEXT(AB55,"hh:mm"),"weekday evenings"),"We can book "&amp;AC55&amp;" at "&amp;X55&amp;" on a weekday evening that suits you")&amp;" and it's "&amp;IF(AD55&lt;&gt;"","£"&amp;IF(AD55=INT(AD55),TEXT(AD55,"0"),TEXT(AD55,"0.00")),"[PRICE PER PLAYER]")&amp;" a player, all booked and paid through one link. If football isn't your thing, who at "&amp;F55&amp;" would be the right person to organise a team game?"&amp;IF(Offer!$C$7&lt;&gt;""," Spots are held until "&amp;TEXT(Offer!$C$7,"dddd d mmmm")&amp;".","")&amp;" "&amp;IF(Offer!$C$6&lt;&gt;"",Offer!$C$6,"[JOINING LINK]")</f>
        <v/>
      </c>
      <c r="AK55" s="14">
        <f>IF(OR(ISNUMBER(SEARCH("[",AG55)),ISNUMBER(SEARCH("[",AJ55))),"Fill placeholders",IF(ISNUMBER(AB55),"Ready to send","Ready · no fixed slot"))</f>
        <v/>
      </c>
      <c r="AN55" s="17" t="n"/>
    </row>
    <row r="56">
      <c r="A56" s="11" t="n">
        <v>54</v>
      </c>
      <c r="B56" s="11" t="n">
        <v>2</v>
      </c>
      <c r="C56" s="11" t="inlineStr">
        <is>
          <t>Bank</t>
        </is>
      </c>
      <c r="D56" s="11" t="inlineStr">
        <is>
          <t>City of London</t>
        </is>
      </c>
      <c r="E56" s="11" t="inlineStr">
        <is>
          <t>Turkish Bank (UK) Limited</t>
        </is>
      </c>
      <c r="F56" s="11" t="inlineStr">
        <is>
          <t>Turkish Bank</t>
        </is>
      </c>
      <c r="G56" s="11" t="inlineStr">
        <is>
          <t>02643004</t>
        </is>
      </c>
      <c r="H56" s="12" t="inlineStr">
        <is>
          <t>Open</t>
        </is>
      </c>
      <c r="I56" s="12" t="inlineStr">
        <is>
          <t>Search</t>
        </is>
      </c>
      <c r="J56" s="11" t="inlineStr">
        <is>
          <t>Full</t>
        </is>
      </c>
      <c r="K56" s="13" t="n">
        <v>33485</v>
      </c>
      <c r="L56" s="11" t="inlineStr">
        <is>
          <t>84/86 Borough High Street, London</t>
        </is>
      </c>
      <c r="M56" s="11" t="inlineStr">
        <is>
          <t>SE1 1LN</t>
        </is>
      </c>
      <c r="N56" s="11" t="inlineStr">
        <is>
          <t>No</t>
        </is>
      </c>
      <c r="U56" s="11" t="inlineStr">
        <is>
          <t>Borough Academy</t>
        </is>
      </c>
      <c r="V56" s="11" t="n">
        <v>10</v>
      </c>
      <c r="W56" s="11" t="n"/>
      <c r="X56" s="11" t="inlineStr">
        <is>
          <t>Borough Academy</t>
        </is>
      </c>
      <c r="Y56" s="11" t="n">
        <v>10</v>
      </c>
      <c r="Z56" s="14">
        <f>IFERROR(INDEX(Venues!$E$2:$E$15,MATCH(X56,Venues!$A$2:$A$15,0)),"Not checked")</f>
        <v/>
      </c>
      <c r="AA56" s="14">
        <f>IFERROR(INDEX(Venues!$F$2:$F$15,MATCH(X56,Venues!$A$2:$A$15,0)),0)</f>
        <v/>
      </c>
      <c r="AB56" s="15">
        <f>IFERROR(INDEX(Venues!$M$2:$M$15,MATCH(X56,Venues!$A$2:$A$15,0)),"")</f>
        <v/>
      </c>
      <c r="AC56" s="14">
        <f>IFERROR(INDEX(Venues!$N$2:$N$15,MATCH(X56,Venues!$A$2:$A$15,0)),"5-a-side")</f>
        <v/>
      </c>
      <c r="AD56" s="16">
        <f>IF(Offer!$C$4="","",Offer!$C$4)</f>
        <v/>
      </c>
      <c r="AE56" s="14">
        <f>X56&amp;" ("&amp;Y56&amp;" min walk) · "&amp;IF(ISNUMBER(AB56),TEXT(AB56,"ddd d mmm, hh:mm"),"slot to confirm with venue")&amp;" · "&amp;AC56&amp;" · "&amp;IF(AD56&lt;&gt;"","£"&amp;TEXT(AD56,"0.00")&amp;" pp","price TBC")</f>
        <v/>
      </c>
      <c r="AF56" s="14">
        <f>"After-work football for "&amp;F56&amp;" · "&amp;X56&amp;", "&amp;Y56&amp;" min from your office"</f>
        <v/>
      </c>
      <c r="AG56" s="14">
        <f>"Hi"&amp;IF(O56&lt;&gt;""," "&amp;O56,"")&amp;","&amp;CHAR(10)&amp;CHAR(10)&amp;"I'm "&amp;IF(AL56&lt;&gt;"",AL56,IF(Offer!$C$5&lt;&gt;"",Offer!$C$5,"[NAME]"))&amp;" from FC Urban. We organise after-work football for teams in the City and Canary Wharf."&amp;CHAR(10)&amp;CHAR(10)&amp;"We have a "&amp;AC56&amp;" pitch at "&amp;X56&amp;", "&amp;IF(OR(Y56=8,Y56=11,Y56=18),"an ","a ")&amp;Y56&amp;"-minute walk from your "&amp;M56&amp;" office, "&amp;IF(ISNUMBER(AB56),"on "&amp;TEXT(AB56,"dddd d mmmm")&amp;" at "&amp;TEXT(AB56,"hh:mm"),"on a weekday evening that suits your team")&amp;". It's "&amp;IF(AD56&lt;&gt;"","£"&amp;IF(AD56=INT(AD56),TEXT(AD56,"0"),TEXT(AD56,"0.00")),"[PRICE PER PLAYER]")&amp;" a player and we handle the pitch booking, sign-ups and payments, so all it takes is one person sharing a link with the team."&amp;CHAR(10)&amp;CHAR(10)&amp;"It works well as a team social or "&amp;IF(ISNUMBER(SEARCH(LEFT(F56,1),"AEIOU")),"an ","a ")&amp;F56&amp;"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LINK]")&amp;CHAR(10)&amp;CHAR(10)&amp;"Best,"&amp;CHAR(10)&amp;IF(AL56&lt;&gt;"",AL56,IF(Offer!$C$5&lt;&gt;"",Offer!$C$5,"[NAME]"))&amp;CHAR(10)&amp;"FC Urban"</f>
        <v/>
      </c>
      <c r="AH56" s="14">
        <f>IF(LEN("Hi"&amp;IF(O56&lt;&gt;""," "&amp;O56,"")&amp;","&amp;" FC Urban runs after-work football for "&amp;IF(D56="Canary Wharf","Canary Wharf","City")&amp;" teams. We have a "&amp;AC56&amp;" pitch at "&amp;X56&amp;", "&amp;Y56&amp;" min from your office, "&amp;IF(ISNUMBER(AB56),TEXT(AB56,"ddd d mmm")&amp;", "&amp;TEXT(AB56,"hh:mm"),"weekday evenings")&amp;", "&amp;IF(AD56&lt;&gt;"","£"&amp;IF(AD56=INT(AD56),TEXT(AD56,"0"),TEXT(AD56,"0.00")),"[PRICE PER PLAYER]")&amp;" a player. We handle booking, sign-ups and payments. Fancy "&amp;IF(ISNUMBER(SEARCH(LEFT(F56,1),"AEIOU")),"an ","a ")&amp;F56&amp;" team game? "&amp;IF(AL56&lt;&gt;"",AL56,IF(Offer!$C$5&lt;&gt;"",Offer!$C$5,"[NAME]")))&lt;=300,"Hi"&amp;IF(O56&lt;&gt;""," "&amp;O56,"")&amp;","&amp;" FC Urban runs after-work football for "&amp;IF(D56="Canary Wharf","Canary Wharf","City")&amp;" teams. We have a "&amp;AC56&amp;" pitch at "&amp;X56&amp;", "&amp;Y56&amp;" min from your office, "&amp;IF(ISNUMBER(AB56),TEXT(AB56,"ddd d mmm")&amp;", "&amp;TEXT(AB56,"hh:mm"),"weekday evenings")&amp;", "&amp;IF(AD56&lt;&gt;"","£"&amp;IF(AD56=INT(AD56),TEXT(AD56,"0"),TEXT(AD56,"0.00")),"[PRICE PER PLAYER]")&amp;" a player. We handle booking, sign-ups and payments. Fancy "&amp;IF(ISNUMBER(SEARCH(LEFT(F56,1),"AEIOU")),"an ","a ")&amp;F56&amp;" team game? "&amp;IF(AL56&lt;&gt;"",AL56,IF(Offer!$C$5&lt;&gt;"",Offer!$C$5,"[NAME]")),LEFT("Hi"&amp;IF(O56&lt;&gt;""," "&amp;O56,"")&amp;","&amp;" FC Urban runs after-work football for "&amp;IF(D56="Canary Wharf","Canary Wharf","City")&amp;" teams: "&amp;AC56&amp;" at "&amp;X56&amp;", "&amp;Y56&amp;" min from your office, "&amp;IF(ISNUMBER(AB56),TEXT(AB56,"ddd d mmm")&amp;", "&amp;TEXT(AB56,"hh:mm"),"weekday evenings")&amp;", "&amp;IF(AD56&lt;&gt;"","£"&amp;IF(AD56=INT(AD56),TEXT(AD56,"0"),TEXT(AD56,"0.00")),"[PRICE PER PLAYER]")&amp;" pp. We handle booking and payments. Up for a team game? "&amp;IF(AL56&lt;&gt;"",AL56,IF(Offer!$C$5&lt;&gt;"",Offer!$C$5,"[NAME]")),300))</f>
        <v/>
      </c>
      <c r="AI56" s="14">
        <f>LEN(AH56)</f>
        <v/>
      </c>
      <c r="AJ56" s="14">
        <f>"Thanks for connecting"&amp;IF(O56&lt;&gt;"",", "&amp;O56,"")&amp;". "&amp;IF(ISNUMBER(AB56),"The "&amp;AC56&amp;" slot at "&amp;X56&amp;" is "&amp;IF(ISNUMBER(AB56),TEXT(AB56,"ddd d mmm")&amp;", "&amp;TEXT(AB56,"hh:mm"),"weekday evenings"),"We can book "&amp;AC56&amp;" at "&amp;X56&amp;" on a weekday evening that suits you")&amp;" and it's "&amp;IF(AD56&lt;&gt;"","£"&amp;IF(AD56=INT(AD56),TEXT(AD56,"0"),TEXT(AD56,"0.00")),"[PRICE PER PLAYER]")&amp;" a player, all booked and paid through one link. If football isn't your thing, who at "&amp;F56&amp;" would be the right person to organise a team game?"&amp;IF(Offer!$C$7&lt;&gt;""," Spots are held until "&amp;TEXT(Offer!$C$7,"dddd d mmmm")&amp;".","")&amp;" "&amp;IF(Offer!$C$6&lt;&gt;"",Offer!$C$6,"[JOINING LINK]")</f>
        <v/>
      </c>
      <c r="AK56" s="14">
        <f>IF(OR(ISNUMBER(SEARCH("[",AG56)),ISNUMBER(SEARCH("[",AJ56))),"Fill placeholders",IF(ISNUMBER(AB56),"Ready to send","Ready · no fixed slot"))</f>
        <v/>
      </c>
      <c r="AN56" s="17" t="n"/>
    </row>
    <row r="57">
      <c r="A57" s="11" t="n">
        <v>55</v>
      </c>
      <c r="B57" s="11" t="n">
        <v>2</v>
      </c>
      <c r="C57" s="11" t="inlineStr">
        <is>
          <t>Bank</t>
        </is>
      </c>
      <c r="D57" s="11" t="inlineStr">
        <is>
          <t>Canary Wharf</t>
        </is>
      </c>
      <c r="E57" s="11" t="inlineStr">
        <is>
          <t>Zopa Bank Limited</t>
        </is>
      </c>
      <c r="F57" s="11" t="inlineStr">
        <is>
          <t>Zopa Bank</t>
        </is>
      </c>
      <c r="G57" s="11" t="inlineStr">
        <is>
          <t>10627575</t>
        </is>
      </c>
      <c r="H57" s="12" t="inlineStr">
        <is>
          <t>Open</t>
        </is>
      </c>
      <c r="I57" s="12" t="inlineStr">
        <is>
          <t>Search</t>
        </is>
      </c>
      <c r="J57" s="11" t="inlineStr">
        <is>
          <t>Full</t>
        </is>
      </c>
      <c r="K57" s="13" t="n">
        <v>42786</v>
      </c>
      <c r="L57" s="11" t="inlineStr">
        <is>
          <t>Level 12 20 Water Street, Canary Wharf, London</t>
        </is>
      </c>
      <c r="M57" s="11" t="inlineStr">
        <is>
          <t>E14 5GX</t>
        </is>
      </c>
      <c r="N57" s="11" t="inlineStr">
        <is>
          <t>No</t>
        </is>
      </c>
      <c r="U57" s="11" t="inlineStr">
        <is>
          <t>Poplar</t>
        </is>
      </c>
      <c r="V57" s="11" t="n">
        <v>11</v>
      </c>
      <c r="W57" s="11" t="n"/>
      <c r="X57" s="11" t="inlineStr">
        <is>
          <t>Poplar</t>
        </is>
      </c>
      <c r="Y57" s="11" t="n">
        <v>11</v>
      </c>
      <c r="Z57" s="14">
        <f>IFERROR(INDEX(Venues!$E$2:$E$15,MATCH(X57,Venues!$A$2:$A$15,0)),"Not checked")</f>
        <v/>
      </c>
      <c r="AA57" s="14">
        <f>IFERROR(INDEX(Venues!$F$2:$F$15,MATCH(X57,Venues!$A$2:$A$15,0)),0)</f>
        <v/>
      </c>
      <c r="AB57" s="15">
        <f>IFERROR(INDEX(Venues!$M$2:$M$15,MATCH(X57,Venues!$A$2:$A$15,0)),"")</f>
        <v/>
      </c>
      <c r="AC57" s="14">
        <f>IFERROR(INDEX(Venues!$N$2:$N$15,MATCH(X57,Venues!$A$2:$A$15,0)),"5-a-side")</f>
        <v/>
      </c>
      <c r="AD57" s="16">
        <f>IF(Offer!$C$4="","",Offer!$C$4)</f>
        <v/>
      </c>
      <c r="AE57" s="14">
        <f>X57&amp;" ("&amp;Y57&amp;" min walk) · "&amp;IF(ISNUMBER(AB57),TEXT(AB57,"ddd d mmm, hh:mm"),"slot to confirm with venue")&amp;" · "&amp;AC57&amp;" · "&amp;IF(AD57&lt;&gt;"","£"&amp;TEXT(AD57,"0.00")&amp;" pp","price TBC")</f>
        <v/>
      </c>
      <c r="AF57" s="14">
        <f>"After-work football for "&amp;F57&amp;" · "&amp;X57&amp;", "&amp;Y57&amp;" min from your office"</f>
        <v/>
      </c>
      <c r="AG57" s="14">
        <f>"Hi"&amp;IF(O57&lt;&gt;""," "&amp;O57,"")&amp;","&amp;CHAR(10)&amp;CHAR(10)&amp;"I'm "&amp;IF(AL57&lt;&gt;"",AL57,IF(Offer!$C$5&lt;&gt;"",Offer!$C$5,"[NAME]"))&amp;" from FC Urban. We organise after-work football for teams in the City and Canary Wharf."&amp;CHAR(10)&amp;CHAR(10)&amp;"We have a "&amp;AC57&amp;" pitch at "&amp;X57&amp;", "&amp;IF(OR(Y57=8,Y57=11,Y57=18),"an ","a ")&amp;Y57&amp;"-minute walk from your "&amp;M57&amp;" office, "&amp;IF(ISNUMBER(AB57),"on "&amp;TEXT(AB57,"dddd d mmmm")&amp;" at "&amp;TEXT(AB57,"hh:mm"),"on a weekday evening that suits your team")&amp;". It's "&amp;IF(AD57&lt;&gt;"","£"&amp;IF(AD57=INT(AD57),TEXT(AD57,"0"),TEXT(AD57,"0.00")),"[PRICE PER PLAYER]")&amp;" a player and we handle the pitch booking, sign-ups and payments, so all it takes is one person sharing a link with the team."&amp;CHAR(10)&amp;CHAR(10)&amp;"It works well as a team social or "&amp;IF(ISNUMBER(SEARCH(LEFT(F57,1),"AEIOU")),"an ","a ")&amp;F57&amp;"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LINK]")&amp;CHAR(10)&amp;CHAR(10)&amp;"Best,"&amp;CHAR(10)&amp;IF(AL57&lt;&gt;"",AL57,IF(Offer!$C$5&lt;&gt;"",Offer!$C$5,"[NAME]"))&amp;CHAR(10)&amp;"FC Urban"</f>
        <v/>
      </c>
      <c r="AH57" s="14">
        <f>IF(LEN("Hi"&amp;IF(O57&lt;&gt;""," "&amp;O57,"")&amp;","&amp;" FC Urban runs after-work football for "&amp;IF(D57="Canary Wharf","Canary Wharf","City")&amp;" teams. We have a "&amp;AC57&amp;" pitch at "&amp;X57&amp;", "&amp;Y57&amp;" min from your office, "&amp;IF(ISNUMBER(AB57),TEXT(AB57,"ddd d mmm")&amp;", "&amp;TEXT(AB57,"hh:mm"),"weekday evenings")&amp;", "&amp;IF(AD57&lt;&gt;"","£"&amp;IF(AD57=INT(AD57),TEXT(AD57,"0"),TEXT(AD57,"0.00")),"[PRICE PER PLAYER]")&amp;" a player. We handle booking, sign-ups and payments. Fancy "&amp;IF(ISNUMBER(SEARCH(LEFT(F57,1),"AEIOU")),"an ","a ")&amp;F57&amp;" team game? "&amp;IF(AL57&lt;&gt;"",AL57,IF(Offer!$C$5&lt;&gt;"",Offer!$C$5,"[NAME]")))&lt;=300,"Hi"&amp;IF(O57&lt;&gt;""," "&amp;O57,"")&amp;","&amp;" FC Urban runs after-work football for "&amp;IF(D57="Canary Wharf","Canary Wharf","City")&amp;" teams. We have a "&amp;AC57&amp;" pitch at "&amp;X57&amp;", "&amp;Y57&amp;" min from your office, "&amp;IF(ISNUMBER(AB57),TEXT(AB57,"ddd d mmm")&amp;", "&amp;TEXT(AB57,"hh:mm"),"weekday evenings")&amp;", "&amp;IF(AD57&lt;&gt;"","£"&amp;IF(AD57=INT(AD57),TEXT(AD57,"0"),TEXT(AD57,"0.00")),"[PRICE PER PLAYER]")&amp;" a player. We handle booking, sign-ups and payments. Fancy "&amp;IF(ISNUMBER(SEARCH(LEFT(F57,1),"AEIOU")),"an ","a ")&amp;F57&amp;" team game? "&amp;IF(AL57&lt;&gt;"",AL57,IF(Offer!$C$5&lt;&gt;"",Offer!$C$5,"[NAME]")),LEFT("Hi"&amp;IF(O57&lt;&gt;""," "&amp;O57,"")&amp;","&amp;" FC Urban runs after-work football for "&amp;IF(D57="Canary Wharf","Canary Wharf","City")&amp;" teams: "&amp;AC57&amp;" at "&amp;X57&amp;", "&amp;Y57&amp;" min from your office, "&amp;IF(ISNUMBER(AB57),TEXT(AB57,"ddd d mmm")&amp;", "&amp;TEXT(AB57,"hh:mm"),"weekday evenings")&amp;", "&amp;IF(AD57&lt;&gt;"","£"&amp;IF(AD57=INT(AD57),TEXT(AD57,"0"),TEXT(AD57,"0.00")),"[PRICE PER PLAYER]")&amp;" pp. We handle booking and payments. Up for a team game? "&amp;IF(AL57&lt;&gt;"",AL57,IF(Offer!$C$5&lt;&gt;"",Offer!$C$5,"[NAME]")),300))</f>
        <v/>
      </c>
      <c r="AI57" s="14">
        <f>LEN(AH57)</f>
        <v/>
      </c>
      <c r="AJ57" s="14">
        <f>"Thanks for connecting"&amp;IF(O57&lt;&gt;"",", "&amp;O57,"")&amp;". "&amp;IF(ISNUMBER(AB57),"The "&amp;AC57&amp;" slot at "&amp;X57&amp;" is "&amp;IF(ISNUMBER(AB57),TEXT(AB57,"ddd d mmm")&amp;", "&amp;TEXT(AB57,"hh:mm"),"weekday evenings"),"We can book "&amp;AC57&amp;" at "&amp;X57&amp;" on a weekday evening that suits you")&amp;" and it's "&amp;IF(AD57&lt;&gt;"","£"&amp;IF(AD57=INT(AD57),TEXT(AD57,"0"),TEXT(AD57,"0.00")),"[PRICE PER PLAYER]")&amp;" a player, all booked and paid through one link. If football isn't your thing, who at "&amp;F57&amp;" would be the right person to organise a team game?"&amp;IF(Offer!$C$7&lt;&gt;""," Spots are held until "&amp;TEXT(Offer!$C$7,"dddd d mmmm")&amp;".","")&amp;" "&amp;IF(Offer!$C$6&lt;&gt;"",Offer!$C$6,"[JOINING LINK]")</f>
        <v/>
      </c>
      <c r="AK57" s="14">
        <f>IF(OR(ISNUMBER(SEARCH("[",AG57)),ISNUMBER(SEARCH("[",AJ57))),"Fill placeholders",IF(ISNUMBER(AB57),"Ready to send","Ready · no fixed slot"))</f>
        <v/>
      </c>
      <c r="AN57" s="17" t="n"/>
    </row>
    <row r="58">
      <c r="A58" s="11" t="n">
        <v>56</v>
      </c>
      <c r="B58" s="11" t="n">
        <v>2</v>
      </c>
      <c r="C58" s="11" t="inlineStr">
        <is>
          <t>Bank</t>
        </is>
      </c>
      <c r="D58" s="11" t="inlineStr">
        <is>
          <t>City of London</t>
        </is>
      </c>
      <c r="E58" s="11" t="inlineStr">
        <is>
          <t>UBS International IB Limited</t>
        </is>
      </c>
      <c r="F58" s="11" t="inlineStr">
        <is>
          <t>UBS</t>
        </is>
      </c>
      <c r="G58" s="11" t="inlineStr">
        <is>
          <t>01767389</t>
        </is>
      </c>
      <c r="H58" s="12" t="inlineStr">
        <is>
          <t>Open</t>
        </is>
      </c>
      <c r="I58" s="12" t="inlineStr">
        <is>
          <t>Search</t>
        </is>
      </c>
      <c r="J58" s="11" t="inlineStr">
        <is>
          <t>Full</t>
        </is>
      </c>
      <c r="K58" s="13" t="n">
        <v>30624</v>
      </c>
      <c r="L58" s="11" t="inlineStr">
        <is>
          <t>5 Broadgate, London</t>
        </is>
      </c>
      <c r="M58" s="11" t="inlineStr">
        <is>
          <t>EC2M 2QS</t>
        </is>
      </c>
      <c r="N58" s="11" t="inlineStr">
        <is>
          <t>No</t>
        </is>
      </c>
      <c r="U58" s="11" t="inlineStr">
        <is>
          <t>Liverpool St - Attlee Centre</t>
        </is>
      </c>
      <c r="V58" s="11" t="n">
        <v>12</v>
      </c>
      <c r="W58" s="11" t="inlineStr">
        <is>
          <t>Shoreditch Powerleague (11.6)</t>
        </is>
      </c>
      <c r="X58" s="11" t="inlineStr">
        <is>
          <t>Shoreditch Powerleague</t>
        </is>
      </c>
      <c r="Y58" s="11" t="n">
        <v>12</v>
      </c>
      <c r="Z58" s="14">
        <f>IFERROR(INDEX(Venues!$E$2:$E$15,MATCH(X58,Venues!$A$2:$A$15,0)),"Not checked")</f>
        <v/>
      </c>
      <c r="AA58" s="14">
        <f>IFERROR(INDEX(Venues!$F$2:$F$15,MATCH(X58,Venues!$A$2:$A$15,0)),0)</f>
        <v/>
      </c>
      <c r="AB58" s="15">
        <f>IFERROR(INDEX(Venues!$M$2:$M$15,MATCH(X58,Venues!$A$2:$A$15,0)),"")</f>
        <v/>
      </c>
      <c r="AC58" s="14">
        <f>IFERROR(INDEX(Venues!$N$2:$N$15,MATCH(X58,Venues!$A$2:$A$15,0)),"5-a-side")</f>
        <v/>
      </c>
      <c r="AD58" s="16">
        <f>IF(Offer!$C$4="","",Offer!$C$4)</f>
        <v/>
      </c>
      <c r="AE58" s="14">
        <f>X58&amp;" ("&amp;Y58&amp;" min walk) · "&amp;IF(ISNUMBER(AB58),TEXT(AB58,"ddd d mmm, hh:mm"),"slot to confirm with venue")&amp;" · "&amp;AC58&amp;" · "&amp;IF(AD58&lt;&gt;"","£"&amp;TEXT(AD58,"0.00")&amp;" pp","price TBC")</f>
        <v/>
      </c>
      <c r="AF58" s="14">
        <f>"After-work football for "&amp;F58&amp;" · "&amp;X58&amp;", "&amp;Y58&amp;" min from your office"</f>
        <v/>
      </c>
      <c r="AG58" s="14">
        <f>"Hi"&amp;IF(O58&lt;&gt;""," "&amp;O58,"")&amp;","&amp;CHAR(10)&amp;CHAR(10)&amp;"I'm "&amp;IF(AL58&lt;&gt;"",AL58,IF(Offer!$C$5&lt;&gt;"",Offer!$C$5,"[NAME]"))&amp;" from FC Urban. We organise after-work football for teams in the City and Canary Wharf."&amp;CHAR(10)&amp;CHAR(10)&amp;"We have a "&amp;AC58&amp;" pitch at "&amp;X58&amp;", "&amp;IF(OR(Y58=8,Y58=11,Y58=18),"an ","a ")&amp;Y58&amp;"-minute walk from your "&amp;M58&amp;" office, "&amp;IF(ISNUMBER(AB58),"on "&amp;TEXT(AB58,"dddd d mmmm")&amp;" at "&amp;TEXT(AB58,"hh:mm"),"on a weekday evening that suits your team")&amp;". It's "&amp;IF(AD58&lt;&gt;"","£"&amp;IF(AD58=INT(AD58),TEXT(AD58,"0"),TEXT(AD58,"0.00")),"[PRICE PER PLAYER]")&amp;" a player and we handle the pitch booking, sign-ups and payments, so all it takes is one person sharing a link with the team."&amp;CHAR(10)&amp;CHAR(10)&amp;"It works well as a team social or "&amp;IF(ISNUMBER(SEARCH(LEFT(F58,1),"AEIOU")),"an ","a ")&amp;F58&amp;"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LINK]")&amp;CHAR(10)&amp;CHAR(10)&amp;"Best,"&amp;CHAR(10)&amp;IF(AL58&lt;&gt;"",AL58,IF(Offer!$C$5&lt;&gt;"",Offer!$C$5,"[NAME]"))&amp;CHAR(10)&amp;"FC Urban"</f>
        <v/>
      </c>
      <c r="AH58" s="14">
        <f>IF(LEN("Hi"&amp;IF(O58&lt;&gt;""," "&amp;O58,"")&amp;","&amp;" FC Urban runs after-work football for "&amp;IF(D58="Canary Wharf","Canary Wharf","City")&amp;" teams. We have a "&amp;AC58&amp;" pitch at "&amp;X58&amp;", "&amp;Y58&amp;" min from your office, "&amp;IF(ISNUMBER(AB58),TEXT(AB58,"ddd d mmm")&amp;", "&amp;TEXT(AB58,"hh:mm"),"weekday evenings")&amp;", "&amp;IF(AD58&lt;&gt;"","£"&amp;IF(AD58=INT(AD58),TEXT(AD58,"0"),TEXT(AD58,"0.00")),"[PRICE PER PLAYER]")&amp;" a player. We handle booking, sign-ups and payments. Fancy "&amp;IF(ISNUMBER(SEARCH(LEFT(F58,1),"AEIOU")),"an ","a ")&amp;F58&amp;" team game? "&amp;IF(AL58&lt;&gt;"",AL58,IF(Offer!$C$5&lt;&gt;"",Offer!$C$5,"[NAME]")))&lt;=300,"Hi"&amp;IF(O58&lt;&gt;""," "&amp;O58,"")&amp;","&amp;" FC Urban runs after-work football for "&amp;IF(D58="Canary Wharf","Canary Wharf","City")&amp;" teams. We have a "&amp;AC58&amp;" pitch at "&amp;X58&amp;", "&amp;Y58&amp;" min from your office, "&amp;IF(ISNUMBER(AB58),TEXT(AB58,"ddd d mmm")&amp;", "&amp;TEXT(AB58,"hh:mm"),"weekday evenings")&amp;", "&amp;IF(AD58&lt;&gt;"","£"&amp;IF(AD58=INT(AD58),TEXT(AD58,"0"),TEXT(AD58,"0.00")),"[PRICE PER PLAYER]")&amp;" a player. We handle booking, sign-ups and payments. Fancy "&amp;IF(ISNUMBER(SEARCH(LEFT(F58,1),"AEIOU")),"an ","a ")&amp;F58&amp;" team game? "&amp;IF(AL58&lt;&gt;"",AL58,IF(Offer!$C$5&lt;&gt;"",Offer!$C$5,"[NAME]")),LEFT("Hi"&amp;IF(O58&lt;&gt;""," "&amp;O58,"")&amp;","&amp;" FC Urban runs after-work football for "&amp;IF(D58="Canary Wharf","Canary Wharf","City")&amp;" teams: "&amp;AC58&amp;" at "&amp;X58&amp;", "&amp;Y58&amp;" min from your office, "&amp;IF(ISNUMBER(AB58),TEXT(AB58,"ddd d mmm")&amp;", "&amp;TEXT(AB58,"hh:mm"),"weekday evenings")&amp;", "&amp;IF(AD58&lt;&gt;"","£"&amp;IF(AD58=INT(AD58),TEXT(AD58,"0"),TEXT(AD58,"0.00")),"[PRICE PER PLAYER]")&amp;" pp. We handle booking and payments. Up for a team game? "&amp;IF(AL58&lt;&gt;"",AL58,IF(Offer!$C$5&lt;&gt;"",Offer!$C$5,"[NAME]")),300))</f>
        <v/>
      </c>
      <c r="AI58" s="14">
        <f>LEN(AH58)</f>
        <v/>
      </c>
      <c r="AJ58" s="14">
        <f>"Thanks for connecting"&amp;IF(O58&lt;&gt;"",", "&amp;O58,"")&amp;". "&amp;IF(ISNUMBER(AB58),"The "&amp;AC58&amp;" slot at "&amp;X58&amp;" is "&amp;IF(ISNUMBER(AB58),TEXT(AB58,"ddd d mmm")&amp;", "&amp;TEXT(AB58,"hh:mm"),"weekday evenings"),"We can book "&amp;AC58&amp;" at "&amp;X58&amp;" on a weekday evening that suits you")&amp;" and it's "&amp;IF(AD58&lt;&gt;"","£"&amp;IF(AD58=INT(AD58),TEXT(AD58,"0"),TEXT(AD58,"0.00")),"[PRICE PER PLAYER]")&amp;" a player, all booked and paid through one link. If football isn't your thing, who at "&amp;F58&amp;" would be the right person to organise a team game?"&amp;IF(Offer!$C$7&lt;&gt;""," Spots are held until "&amp;TEXT(Offer!$C$7,"dddd d mmmm")&amp;".","")&amp;" "&amp;IF(Offer!$C$6&lt;&gt;"",Offer!$C$6,"[JOINING LINK]")</f>
        <v/>
      </c>
      <c r="AK58" s="14">
        <f>IF(OR(ISNUMBER(SEARCH("[",AG58)),ISNUMBER(SEARCH("[",AJ58))),"Fill placeholders",IF(ISNUMBER(AB58),"Ready to send","Ready · no fixed slot"))</f>
        <v/>
      </c>
      <c r="AN58" s="17" t="n"/>
    </row>
    <row r="59">
      <c r="A59" s="11" t="n">
        <v>57</v>
      </c>
      <c r="B59" s="11" t="n">
        <v>2</v>
      </c>
      <c r="C59" s="11" t="inlineStr">
        <is>
          <t>Bank</t>
        </is>
      </c>
      <c r="D59" s="11" t="inlineStr">
        <is>
          <t>City of London</t>
        </is>
      </c>
      <c r="E59" s="11" t="inlineStr">
        <is>
          <t>Recognise Bank Limited</t>
        </is>
      </c>
      <c r="F59" s="11" t="inlineStr">
        <is>
          <t>Recognise Bank</t>
        </is>
      </c>
      <c r="G59" s="11" t="inlineStr">
        <is>
          <t>10603119</t>
        </is>
      </c>
      <c r="H59" s="12" t="inlineStr">
        <is>
          <t>Open</t>
        </is>
      </c>
      <c r="I59" s="12" t="inlineStr">
        <is>
          <t>Search</t>
        </is>
      </c>
      <c r="J59" s="11" t="inlineStr">
        <is>
          <t>Full</t>
        </is>
      </c>
      <c r="K59" s="13" t="n">
        <v>42772</v>
      </c>
      <c r="L59" s="11" t="inlineStr">
        <is>
          <t>Floor 4, Henry Thomas House, 5-11, Worship Street, London</t>
        </is>
      </c>
      <c r="M59" s="11" t="inlineStr">
        <is>
          <t>EC2A 2BH</t>
        </is>
      </c>
      <c r="N59" s="11" t="inlineStr">
        <is>
          <t>Yes</t>
        </is>
      </c>
      <c r="U59" s="11" t="inlineStr">
        <is>
          <t>Shoreditch Powerleague</t>
        </is>
      </c>
      <c r="V59" s="11" t="n">
        <v>12</v>
      </c>
      <c r="W59" s="11" t="inlineStr">
        <is>
          <t>Liverpool St - Attlee Centre (17); Old St - Moreland Primary School (17.9)</t>
        </is>
      </c>
      <c r="X59" s="11" t="inlineStr">
        <is>
          <t>Shoreditch Powerleague</t>
        </is>
      </c>
      <c r="Y59" s="11" t="n">
        <v>12</v>
      </c>
      <c r="Z59" s="14">
        <f>IFERROR(INDEX(Venues!$E$2:$E$15,MATCH(X59,Venues!$A$2:$A$15,0)),"Not checked")</f>
        <v/>
      </c>
      <c r="AA59" s="14">
        <f>IFERROR(INDEX(Venues!$F$2:$F$15,MATCH(X59,Venues!$A$2:$A$15,0)),0)</f>
        <v/>
      </c>
      <c r="AB59" s="15">
        <f>IFERROR(INDEX(Venues!$M$2:$M$15,MATCH(X59,Venues!$A$2:$A$15,0)),"")</f>
        <v/>
      </c>
      <c r="AC59" s="14">
        <f>IFERROR(INDEX(Venues!$N$2:$N$15,MATCH(X59,Venues!$A$2:$A$15,0)),"5-a-side")</f>
        <v/>
      </c>
      <c r="AD59" s="16">
        <f>IF(Offer!$C$4="","",Offer!$C$4)</f>
        <v/>
      </c>
      <c r="AE59" s="14">
        <f>X59&amp;" ("&amp;Y59&amp;" min walk) · "&amp;IF(ISNUMBER(AB59),TEXT(AB59,"ddd d mmm, hh:mm"),"slot to confirm with venue")&amp;" · "&amp;AC59&amp;" · "&amp;IF(AD59&lt;&gt;"","£"&amp;TEXT(AD59,"0.00")&amp;" pp","price TBC")</f>
        <v/>
      </c>
      <c r="AF59" s="14">
        <f>"After-work football for "&amp;F59&amp;" · "&amp;X59&amp;", "&amp;Y59&amp;" min from your office"</f>
        <v/>
      </c>
      <c r="AG59" s="14">
        <f>"Hi"&amp;IF(O59&lt;&gt;""," "&amp;O59,"")&amp;","&amp;CHAR(10)&amp;CHAR(10)&amp;"I'm "&amp;IF(AL59&lt;&gt;"",AL59,IF(Offer!$C$5&lt;&gt;"",Offer!$C$5,"[NAME]"))&amp;" from FC Urban. We organise after-work football for teams in the City and Canary Wharf."&amp;CHAR(10)&amp;CHAR(10)&amp;"We have a "&amp;AC59&amp;" pitch at "&amp;X59&amp;", "&amp;IF(OR(Y59=8,Y59=11,Y59=18),"an ","a ")&amp;Y59&amp;"-minute walk from your "&amp;M59&amp;" office, "&amp;IF(ISNUMBER(AB59),"on "&amp;TEXT(AB59,"dddd d mmmm")&amp;" at "&amp;TEXT(AB59,"hh:mm"),"on a weekday evening that suits your team")&amp;". It's "&amp;IF(AD59&lt;&gt;"","£"&amp;IF(AD59=INT(AD59),TEXT(AD59,"0"),TEXT(AD59,"0.00")),"[PRICE PER PLAYER]")&amp;" a player and we handle the pitch booking, sign-ups and payments, so all it takes is one person sharing a link with the team."&amp;CHAR(10)&amp;CHAR(10)&amp;"It works well as a team social or "&amp;IF(ISNUMBER(SEARCH(LEFT(F59,1),"AEIOU")),"an ","a ")&amp;F59&amp;"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LINK]")&amp;CHAR(10)&amp;CHAR(10)&amp;"Best,"&amp;CHAR(10)&amp;IF(AL59&lt;&gt;"",AL59,IF(Offer!$C$5&lt;&gt;"",Offer!$C$5,"[NAME]"))&amp;CHAR(10)&amp;"FC Urban"</f>
        <v/>
      </c>
      <c r="AH59" s="14">
        <f>IF(LEN("Hi"&amp;IF(O59&lt;&gt;""," "&amp;O59,"")&amp;","&amp;" FC Urban runs after-work football for "&amp;IF(D59="Canary Wharf","Canary Wharf","City")&amp;" teams. We have a "&amp;AC59&amp;" pitch at "&amp;X59&amp;", "&amp;Y59&amp;" min from your office, "&amp;IF(ISNUMBER(AB59),TEXT(AB59,"ddd d mmm")&amp;", "&amp;TEXT(AB59,"hh:mm"),"weekday evenings")&amp;", "&amp;IF(AD59&lt;&gt;"","£"&amp;IF(AD59=INT(AD59),TEXT(AD59,"0"),TEXT(AD59,"0.00")),"[PRICE PER PLAYER]")&amp;" a player. We handle booking, sign-ups and payments. Fancy "&amp;IF(ISNUMBER(SEARCH(LEFT(F59,1),"AEIOU")),"an ","a ")&amp;F59&amp;" team game? "&amp;IF(AL59&lt;&gt;"",AL59,IF(Offer!$C$5&lt;&gt;"",Offer!$C$5,"[NAME]")))&lt;=300,"Hi"&amp;IF(O59&lt;&gt;""," "&amp;O59,"")&amp;","&amp;" FC Urban runs after-work football for "&amp;IF(D59="Canary Wharf","Canary Wharf","City")&amp;" teams. We have a "&amp;AC59&amp;" pitch at "&amp;X59&amp;", "&amp;Y59&amp;" min from your office, "&amp;IF(ISNUMBER(AB59),TEXT(AB59,"ddd d mmm")&amp;", "&amp;TEXT(AB59,"hh:mm"),"weekday evenings")&amp;", "&amp;IF(AD59&lt;&gt;"","£"&amp;IF(AD59=INT(AD59),TEXT(AD59,"0"),TEXT(AD59,"0.00")),"[PRICE PER PLAYER]")&amp;" a player. We handle booking, sign-ups and payments. Fancy "&amp;IF(ISNUMBER(SEARCH(LEFT(F59,1),"AEIOU")),"an ","a ")&amp;F59&amp;" team game? "&amp;IF(AL59&lt;&gt;"",AL59,IF(Offer!$C$5&lt;&gt;"",Offer!$C$5,"[NAME]")),LEFT("Hi"&amp;IF(O59&lt;&gt;""," "&amp;O59,"")&amp;","&amp;" FC Urban runs after-work football for "&amp;IF(D59="Canary Wharf","Canary Wharf","City")&amp;" teams: "&amp;AC59&amp;" at "&amp;X59&amp;", "&amp;Y59&amp;" min from your office, "&amp;IF(ISNUMBER(AB59),TEXT(AB59,"ddd d mmm")&amp;", "&amp;TEXT(AB59,"hh:mm"),"weekday evenings")&amp;", "&amp;IF(AD59&lt;&gt;"","£"&amp;IF(AD59=INT(AD59),TEXT(AD59,"0"),TEXT(AD59,"0.00")),"[PRICE PER PLAYER]")&amp;" pp. We handle booking and payments. Up for a team game? "&amp;IF(AL59&lt;&gt;"",AL59,IF(Offer!$C$5&lt;&gt;"",Offer!$C$5,"[NAME]")),300))</f>
        <v/>
      </c>
      <c r="AI59" s="14">
        <f>LEN(AH59)</f>
        <v/>
      </c>
      <c r="AJ59" s="14">
        <f>"Thanks for connecting"&amp;IF(O59&lt;&gt;"",", "&amp;O59,"")&amp;". "&amp;IF(ISNUMBER(AB59),"The "&amp;AC59&amp;" slot at "&amp;X59&amp;" is "&amp;IF(ISNUMBER(AB59),TEXT(AB59,"ddd d mmm")&amp;", "&amp;TEXT(AB59,"hh:mm"),"weekday evenings"),"We can book "&amp;AC59&amp;" at "&amp;X59&amp;" on a weekday evening that suits you")&amp;" and it's "&amp;IF(AD59&lt;&gt;"","£"&amp;IF(AD59=INT(AD59),TEXT(AD59,"0"),TEXT(AD59,"0.00")),"[PRICE PER PLAYER]")&amp;" a player, all booked and paid through one link. If football isn't your thing, who at "&amp;F59&amp;" would be the right person to organise a team game?"&amp;IF(Offer!$C$7&lt;&gt;""," Spots are held until "&amp;TEXT(Offer!$C$7,"dddd d mmmm")&amp;".","")&amp;" "&amp;IF(Offer!$C$6&lt;&gt;"",Offer!$C$6,"[JOINING LINK]")</f>
        <v/>
      </c>
      <c r="AK59" s="14">
        <f>IF(OR(ISNUMBER(SEARCH("[",AG59)),ISNUMBER(SEARCH("[",AJ59))),"Fill placeholders",IF(ISNUMBER(AB59),"Ready to send","Ready · no fixed slot"))</f>
        <v/>
      </c>
      <c r="AN59" s="17" t="n"/>
    </row>
    <row r="60">
      <c r="A60" s="11" t="n">
        <v>58</v>
      </c>
      <c r="B60" s="11" t="n">
        <v>2</v>
      </c>
      <c r="C60" s="11" t="inlineStr">
        <is>
          <t>Bank</t>
        </is>
      </c>
      <c r="D60" s="11" t="inlineStr">
        <is>
          <t>City of London</t>
        </is>
      </c>
      <c r="E60" s="11" t="inlineStr">
        <is>
          <t>SMBC Bank International PLC</t>
        </is>
      </c>
      <c r="F60" s="11" t="inlineStr">
        <is>
          <t>SMBC</t>
        </is>
      </c>
      <c r="G60" s="11" t="inlineStr">
        <is>
          <t>04684034</t>
        </is>
      </c>
      <c r="H60" s="12" t="inlineStr">
        <is>
          <t>Open</t>
        </is>
      </c>
      <c r="I60" s="12" t="inlineStr">
        <is>
          <t>Search</t>
        </is>
      </c>
      <c r="J60" s="11" t="inlineStr">
        <is>
          <t>Full</t>
        </is>
      </c>
      <c r="K60" s="13" t="n">
        <v>37683</v>
      </c>
      <c r="L60" s="11" t="inlineStr">
        <is>
          <t>100 Liverpool Street, London</t>
        </is>
      </c>
      <c r="M60" s="11" t="inlineStr">
        <is>
          <t>EC2M 2AT</t>
        </is>
      </c>
      <c r="N60" s="11" t="inlineStr">
        <is>
          <t>No</t>
        </is>
      </c>
      <c r="U60" s="11" t="inlineStr">
        <is>
          <t>Liverpool St - Attlee Centre</t>
        </is>
      </c>
      <c r="V60" s="11" t="n">
        <v>12</v>
      </c>
      <c r="W60" s="11" t="inlineStr">
        <is>
          <t>Shoreditch Powerleague (13.1)</t>
        </is>
      </c>
      <c r="X60" s="11" t="inlineStr">
        <is>
          <t>Shoreditch Powerleague</t>
        </is>
      </c>
      <c r="Y60" s="11" t="n">
        <v>13</v>
      </c>
      <c r="Z60" s="14">
        <f>IFERROR(INDEX(Venues!$E$2:$E$15,MATCH(X60,Venues!$A$2:$A$15,0)),"Not checked")</f>
        <v/>
      </c>
      <c r="AA60" s="14">
        <f>IFERROR(INDEX(Venues!$F$2:$F$15,MATCH(X60,Venues!$A$2:$A$15,0)),0)</f>
        <v/>
      </c>
      <c r="AB60" s="15">
        <f>IFERROR(INDEX(Venues!$M$2:$M$15,MATCH(X60,Venues!$A$2:$A$15,0)),"")</f>
        <v/>
      </c>
      <c r="AC60" s="14">
        <f>IFERROR(INDEX(Venues!$N$2:$N$15,MATCH(X60,Venues!$A$2:$A$15,0)),"5-a-side")</f>
        <v/>
      </c>
      <c r="AD60" s="16">
        <f>IF(Offer!$C$4="","",Offer!$C$4)</f>
        <v/>
      </c>
      <c r="AE60" s="14">
        <f>X60&amp;" ("&amp;Y60&amp;" min walk) · "&amp;IF(ISNUMBER(AB60),TEXT(AB60,"ddd d mmm, hh:mm"),"slot to confirm with venue")&amp;" · "&amp;AC60&amp;" · "&amp;IF(AD60&lt;&gt;"","£"&amp;TEXT(AD60,"0.00")&amp;" pp","price TBC")</f>
        <v/>
      </c>
      <c r="AF60" s="14">
        <f>"After-work football for "&amp;F60&amp;" · "&amp;X60&amp;", "&amp;Y60&amp;" min from your office"</f>
        <v/>
      </c>
      <c r="AG60" s="14">
        <f>"Hi"&amp;IF(O60&lt;&gt;""," "&amp;O60,"")&amp;","&amp;CHAR(10)&amp;CHAR(10)&amp;"I'm "&amp;IF(AL60&lt;&gt;"",AL60,IF(Offer!$C$5&lt;&gt;"",Offer!$C$5,"[NAME]"))&amp;" from FC Urban. We organise after-work football for teams in the City and Canary Wharf."&amp;CHAR(10)&amp;CHAR(10)&amp;"We have a "&amp;AC60&amp;" pitch at "&amp;X60&amp;", "&amp;IF(OR(Y60=8,Y60=11,Y60=18),"an ","a ")&amp;Y60&amp;"-minute walk from your "&amp;M60&amp;" office, "&amp;IF(ISNUMBER(AB60),"on "&amp;TEXT(AB60,"dddd d mmmm")&amp;" at "&amp;TEXT(AB60,"hh:mm"),"on a weekday evening that suits your team")&amp;". It's "&amp;IF(AD60&lt;&gt;"","£"&amp;IF(AD60=INT(AD60),TEXT(AD60,"0"),TEXT(AD60,"0.00")),"[PRICE PER PLAYER]")&amp;" a player and we handle the pitch booking, sign-ups and payments, so all it takes is one person sharing a link with the team."&amp;CHAR(10)&amp;CHAR(10)&amp;"It works well as a team social or "&amp;IF(ISNUMBER(SEARCH(LEFT(F60,1),"AEIOU")),"an ","a ")&amp;F60&amp;"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LINK]")&amp;CHAR(10)&amp;CHAR(10)&amp;"Best,"&amp;CHAR(10)&amp;IF(AL60&lt;&gt;"",AL60,IF(Offer!$C$5&lt;&gt;"",Offer!$C$5,"[NAME]"))&amp;CHAR(10)&amp;"FC Urban"</f>
        <v/>
      </c>
      <c r="AH60" s="14">
        <f>IF(LEN("Hi"&amp;IF(O60&lt;&gt;""," "&amp;O60,"")&amp;","&amp;" FC Urban runs after-work football for "&amp;IF(D60="Canary Wharf","Canary Wharf","City")&amp;" teams. We have a "&amp;AC60&amp;" pitch at "&amp;X60&amp;", "&amp;Y60&amp;" min from your office, "&amp;IF(ISNUMBER(AB60),TEXT(AB60,"ddd d mmm")&amp;", "&amp;TEXT(AB60,"hh:mm"),"weekday evenings")&amp;", "&amp;IF(AD60&lt;&gt;"","£"&amp;IF(AD60=INT(AD60),TEXT(AD60,"0"),TEXT(AD60,"0.00")),"[PRICE PER PLAYER]")&amp;" a player. We handle booking, sign-ups and payments. Fancy "&amp;IF(ISNUMBER(SEARCH(LEFT(F60,1),"AEIOU")),"an ","a ")&amp;F60&amp;" team game? "&amp;IF(AL60&lt;&gt;"",AL60,IF(Offer!$C$5&lt;&gt;"",Offer!$C$5,"[NAME]")))&lt;=300,"Hi"&amp;IF(O60&lt;&gt;""," "&amp;O60,"")&amp;","&amp;" FC Urban runs after-work football for "&amp;IF(D60="Canary Wharf","Canary Wharf","City")&amp;" teams. We have a "&amp;AC60&amp;" pitch at "&amp;X60&amp;", "&amp;Y60&amp;" min from your office, "&amp;IF(ISNUMBER(AB60),TEXT(AB60,"ddd d mmm")&amp;", "&amp;TEXT(AB60,"hh:mm"),"weekday evenings")&amp;", "&amp;IF(AD60&lt;&gt;"","£"&amp;IF(AD60=INT(AD60),TEXT(AD60,"0"),TEXT(AD60,"0.00")),"[PRICE PER PLAYER]")&amp;" a player. We handle booking, sign-ups and payments. Fancy "&amp;IF(ISNUMBER(SEARCH(LEFT(F60,1),"AEIOU")),"an ","a ")&amp;F60&amp;" team game? "&amp;IF(AL60&lt;&gt;"",AL60,IF(Offer!$C$5&lt;&gt;"",Offer!$C$5,"[NAME]")),LEFT("Hi"&amp;IF(O60&lt;&gt;""," "&amp;O60,"")&amp;","&amp;" FC Urban runs after-work football for "&amp;IF(D60="Canary Wharf","Canary Wharf","City")&amp;" teams: "&amp;AC60&amp;" at "&amp;X60&amp;", "&amp;Y60&amp;" min from your office, "&amp;IF(ISNUMBER(AB60),TEXT(AB60,"ddd d mmm")&amp;", "&amp;TEXT(AB60,"hh:mm"),"weekday evenings")&amp;", "&amp;IF(AD60&lt;&gt;"","£"&amp;IF(AD60=INT(AD60),TEXT(AD60,"0"),TEXT(AD60,"0.00")),"[PRICE PER PLAYER]")&amp;" pp. We handle booking and payments. Up for a team game? "&amp;IF(AL60&lt;&gt;"",AL60,IF(Offer!$C$5&lt;&gt;"",Offer!$C$5,"[NAME]")),300))</f>
        <v/>
      </c>
      <c r="AI60" s="14">
        <f>LEN(AH60)</f>
        <v/>
      </c>
      <c r="AJ60" s="14">
        <f>"Thanks for connecting"&amp;IF(O60&lt;&gt;"",", "&amp;O60,"")&amp;". "&amp;IF(ISNUMBER(AB60),"The "&amp;AC60&amp;" slot at "&amp;X60&amp;" is "&amp;IF(ISNUMBER(AB60),TEXT(AB60,"ddd d mmm")&amp;", "&amp;TEXT(AB60,"hh:mm"),"weekday evenings"),"We can book "&amp;AC60&amp;" at "&amp;X60&amp;" on a weekday evening that suits you")&amp;" and it's "&amp;IF(AD60&lt;&gt;"","£"&amp;IF(AD60=INT(AD60),TEXT(AD60,"0"),TEXT(AD60,"0.00")),"[PRICE PER PLAYER]")&amp;" a player, all booked and paid through one link. If football isn't your thing, who at "&amp;F60&amp;" would be the right person to organise a team game?"&amp;IF(Offer!$C$7&lt;&gt;""," Spots are held until "&amp;TEXT(Offer!$C$7,"dddd d mmmm")&amp;".","")&amp;" "&amp;IF(Offer!$C$6&lt;&gt;"",Offer!$C$6,"[JOINING LINK]")</f>
        <v/>
      </c>
      <c r="AK60" s="14">
        <f>IF(OR(ISNUMBER(SEARCH("[",AG60)),ISNUMBER(SEARCH("[",AJ60))),"Fill placeholders",IF(ISNUMBER(AB60),"Ready to send","Ready · no fixed slot"))</f>
        <v/>
      </c>
      <c r="AN60" s="17" t="n"/>
    </row>
    <row r="61">
      <c r="A61" s="11" t="n">
        <v>59</v>
      </c>
      <c r="B61" s="11" t="n">
        <v>2</v>
      </c>
      <c r="C61" s="11" t="inlineStr">
        <is>
          <t>Bank</t>
        </is>
      </c>
      <c r="D61" s="11" t="inlineStr">
        <is>
          <t>City of London</t>
        </is>
      </c>
      <c r="E61" s="11" t="inlineStr">
        <is>
          <t>ICICI Bank UK PLC</t>
        </is>
      </c>
      <c r="F61" s="11" t="inlineStr">
        <is>
          <t>ICICI Bank</t>
        </is>
      </c>
      <c r="G61" s="11" t="inlineStr">
        <is>
          <t>04663024</t>
        </is>
      </c>
      <c r="H61" s="12" t="inlineStr">
        <is>
          <t>Open</t>
        </is>
      </c>
      <c r="I61" s="12" t="inlineStr">
        <is>
          <t>Search</t>
        </is>
      </c>
      <c r="J61" s="11" t="inlineStr">
        <is>
          <t>Full</t>
        </is>
      </c>
      <c r="K61" s="13" t="n">
        <v>37663</v>
      </c>
      <c r="L61" s="11" t="inlineStr">
        <is>
          <t>One, Thomas More Square, London</t>
        </is>
      </c>
      <c r="M61" s="11" t="inlineStr">
        <is>
          <t>E1W 1YN</t>
        </is>
      </c>
      <c r="N61" s="11" t="inlineStr">
        <is>
          <t>No</t>
        </is>
      </c>
      <c r="U61" s="11" t="inlineStr">
        <is>
          <t>Whitechapel</t>
        </is>
      </c>
      <c r="V61" s="11" t="n">
        <v>14</v>
      </c>
      <c r="W61" s="11" t="inlineStr">
        <is>
          <t>Bermondsey Riverside (17.6); Liverpool St - Attlee Centre (17.6)</t>
        </is>
      </c>
      <c r="X61" s="11" t="inlineStr">
        <is>
          <t>Whitechapel</t>
        </is>
      </c>
      <c r="Y61" s="11" t="n">
        <v>14</v>
      </c>
      <c r="Z61" s="14">
        <f>IFERROR(INDEX(Venues!$E$2:$E$15,MATCH(X61,Venues!$A$2:$A$15,0)),"Not checked")</f>
        <v/>
      </c>
      <c r="AA61" s="14">
        <f>IFERROR(INDEX(Venues!$F$2:$F$15,MATCH(X61,Venues!$A$2:$A$15,0)),0)</f>
        <v/>
      </c>
      <c r="AB61" s="15">
        <f>IFERROR(INDEX(Venues!$M$2:$M$15,MATCH(X61,Venues!$A$2:$A$15,0)),"")</f>
        <v/>
      </c>
      <c r="AC61" s="14">
        <f>IFERROR(INDEX(Venues!$N$2:$N$15,MATCH(X61,Venues!$A$2:$A$15,0)),"5-a-side")</f>
        <v/>
      </c>
      <c r="AD61" s="16">
        <f>IF(Offer!$C$4="","",Offer!$C$4)</f>
        <v/>
      </c>
      <c r="AE61" s="14">
        <f>X61&amp;" ("&amp;Y61&amp;" min walk) · "&amp;IF(ISNUMBER(AB61),TEXT(AB61,"ddd d mmm, hh:mm"),"slot to confirm with venue")&amp;" · "&amp;AC61&amp;" · "&amp;IF(AD61&lt;&gt;"","£"&amp;TEXT(AD61,"0.00")&amp;" pp","price TBC")</f>
        <v/>
      </c>
      <c r="AF61" s="14">
        <f>"After-work football for "&amp;F61&amp;" · "&amp;X61&amp;", "&amp;Y61&amp;" min from your office"</f>
        <v/>
      </c>
      <c r="AG61" s="14">
        <f>"Hi"&amp;IF(O61&lt;&gt;""," "&amp;O61,"")&amp;","&amp;CHAR(10)&amp;CHAR(10)&amp;"I'm "&amp;IF(AL61&lt;&gt;"",AL61,IF(Offer!$C$5&lt;&gt;"",Offer!$C$5,"[NAME]"))&amp;" from FC Urban. We organise after-work football for teams in the City and Canary Wharf."&amp;CHAR(10)&amp;CHAR(10)&amp;"We have a "&amp;AC61&amp;" pitch at "&amp;X61&amp;", "&amp;IF(OR(Y61=8,Y61=11,Y61=18),"an ","a ")&amp;Y61&amp;"-minute walk from your "&amp;M61&amp;" office, "&amp;IF(ISNUMBER(AB61),"on "&amp;TEXT(AB61,"dddd d mmmm")&amp;" at "&amp;TEXT(AB61,"hh:mm"),"on a weekday evening that suits your team")&amp;". It's "&amp;IF(AD61&lt;&gt;"","£"&amp;IF(AD61=INT(AD61),TEXT(AD61,"0"),TEXT(AD61,"0.00")),"[PRICE PER PLAYER]")&amp;" a player and we handle the pitch booking, sign-ups and payments, so all it takes is one person sharing a link with the team."&amp;CHAR(10)&amp;CHAR(10)&amp;"It works well as a team social or "&amp;IF(ISNUMBER(SEARCH(LEFT(F61,1),"AEIOU")),"an ","a ")&amp;F61&amp;"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LINK]")&amp;CHAR(10)&amp;CHAR(10)&amp;"Best,"&amp;CHAR(10)&amp;IF(AL61&lt;&gt;"",AL61,IF(Offer!$C$5&lt;&gt;"",Offer!$C$5,"[NAME]"))&amp;CHAR(10)&amp;"FC Urban"</f>
        <v/>
      </c>
      <c r="AH61" s="14">
        <f>IF(LEN("Hi"&amp;IF(O61&lt;&gt;""," "&amp;O61,"")&amp;","&amp;" FC Urban runs after-work football for "&amp;IF(D61="Canary Wharf","Canary Wharf","City")&amp;" teams. We have a "&amp;AC61&amp;" pitch at "&amp;X61&amp;", "&amp;Y61&amp;" min from your office, "&amp;IF(ISNUMBER(AB61),TEXT(AB61,"ddd d mmm")&amp;", "&amp;TEXT(AB61,"hh:mm"),"weekday evenings")&amp;", "&amp;IF(AD61&lt;&gt;"","£"&amp;IF(AD61=INT(AD61),TEXT(AD61,"0"),TEXT(AD61,"0.00")),"[PRICE PER PLAYER]")&amp;" a player. We handle booking, sign-ups and payments. Fancy "&amp;IF(ISNUMBER(SEARCH(LEFT(F61,1),"AEIOU")),"an ","a ")&amp;F61&amp;" team game? "&amp;IF(AL61&lt;&gt;"",AL61,IF(Offer!$C$5&lt;&gt;"",Offer!$C$5,"[NAME]")))&lt;=300,"Hi"&amp;IF(O61&lt;&gt;""," "&amp;O61,"")&amp;","&amp;" FC Urban runs after-work football for "&amp;IF(D61="Canary Wharf","Canary Wharf","City")&amp;" teams. We have a "&amp;AC61&amp;" pitch at "&amp;X61&amp;", "&amp;Y61&amp;" min from your office, "&amp;IF(ISNUMBER(AB61),TEXT(AB61,"ddd d mmm")&amp;", "&amp;TEXT(AB61,"hh:mm"),"weekday evenings")&amp;", "&amp;IF(AD61&lt;&gt;"","£"&amp;IF(AD61=INT(AD61),TEXT(AD61,"0"),TEXT(AD61,"0.00")),"[PRICE PER PLAYER]")&amp;" a player. We handle booking, sign-ups and payments. Fancy "&amp;IF(ISNUMBER(SEARCH(LEFT(F61,1),"AEIOU")),"an ","a ")&amp;F61&amp;" team game? "&amp;IF(AL61&lt;&gt;"",AL61,IF(Offer!$C$5&lt;&gt;"",Offer!$C$5,"[NAME]")),LEFT("Hi"&amp;IF(O61&lt;&gt;""," "&amp;O61,"")&amp;","&amp;" FC Urban runs after-work football for "&amp;IF(D61="Canary Wharf","Canary Wharf","City")&amp;" teams: "&amp;AC61&amp;" at "&amp;X61&amp;", "&amp;Y61&amp;" min from your office, "&amp;IF(ISNUMBER(AB61),TEXT(AB61,"ddd d mmm")&amp;", "&amp;TEXT(AB61,"hh:mm"),"weekday evenings")&amp;", "&amp;IF(AD61&lt;&gt;"","£"&amp;IF(AD61=INT(AD61),TEXT(AD61,"0"),TEXT(AD61,"0.00")),"[PRICE PER PLAYER]")&amp;" pp. We handle booking and payments. Up for a team game? "&amp;IF(AL61&lt;&gt;"",AL61,IF(Offer!$C$5&lt;&gt;"",Offer!$C$5,"[NAME]")),300))</f>
        <v/>
      </c>
      <c r="AI61" s="14">
        <f>LEN(AH61)</f>
        <v/>
      </c>
      <c r="AJ61" s="14">
        <f>"Thanks for connecting"&amp;IF(O61&lt;&gt;"",", "&amp;O61,"")&amp;". "&amp;IF(ISNUMBER(AB61),"The "&amp;AC61&amp;" slot at "&amp;X61&amp;" is "&amp;IF(ISNUMBER(AB61),TEXT(AB61,"ddd d mmm")&amp;", "&amp;TEXT(AB61,"hh:mm"),"weekday evenings"),"We can book "&amp;AC61&amp;" at "&amp;X61&amp;" on a weekday evening that suits you")&amp;" and it's "&amp;IF(AD61&lt;&gt;"","£"&amp;IF(AD61=INT(AD61),TEXT(AD61,"0"),TEXT(AD61,"0.00")),"[PRICE PER PLAYER]")&amp;" a player, all booked and paid through one link. If football isn't your thing, who at "&amp;F61&amp;" would be the right person to organise a team game?"&amp;IF(Offer!$C$7&lt;&gt;""," Spots are held until "&amp;TEXT(Offer!$C$7,"dddd d mmmm")&amp;".","")&amp;" "&amp;IF(Offer!$C$6&lt;&gt;"",Offer!$C$6,"[JOINING LINK]")</f>
        <v/>
      </c>
      <c r="AK61" s="14">
        <f>IF(OR(ISNUMBER(SEARCH("[",AG61)),ISNUMBER(SEARCH("[",AJ61))),"Fill placeholders",IF(ISNUMBER(AB61),"Ready to send","Ready · no fixed slot"))</f>
        <v/>
      </c>
      <c r="AN61" s="17" t="n"/>
    </row>
    <row r="62">
      <c r="A62" s="11" t="n">
        <v>60</v>
      </c>
      <c r="B62" s="11" t="n">
        <v>2</v>
      </c>
      <c r="C62" s="11" t="inlineStr">
        <is>
          <t>Bank</t>
        </is>
      </c>
      <c r="D62" s="11" t="inlineStr">
        <is>
          <t>Canary Wharf</t>
        </is>
      </c>
      <c r="E62" s="11" t="inlineStr">
        <is>
          <t>Havin Bank Ltd</t>
        </is>
      </c>
      <c r="F62" s="11" t="inlineStr">
        <is>
          <t>Havin Bank</t>
        </is>
      </c>
      <c r="G62" s="11" t="inlineStr">
        <is>
          <t>01074897</t>
        </is>
      </c>
      <c r="H62" s="12" t="inlineStr">
        <is>
          <t>Open</t>
        </is>
      </c>
      <c r="I62" s="12" t="inlineStr">
        <is>
          <t>Search</t>
        </is>
      </c>
      <c r="J62" s="11" t="inlineStr">
        <is>
          <t>Full</t>
        </is>
      </c>
      <c r="K62" s="13" t="n">
        <v>26575</v>
      </c>
      <c r="L62" s="11" t="inlineStr">
        <is>
          <t>Sqb Building 4Th Floor, 77 Marsh Wall, London</t>
        </is>
      </c>
      <c r="M62" s="11" t="inlineStr">
        <is>
          <t>E14 9SH</t>
        </is>
      </c>
      <c r="N62" s="11" t="inlineStr">
        <is>
          <t>No</t>
        </is>
      </c>
      <c r="U62" s="11" t="inlineStr">
        <is>
          <t>Poplar</t>
        </is>
      </c>
      <c r="V62" s="11" t="n">
        <v>14</v>
      </c>
      <c r="W62" s="11" t="n"/>
      <c r="X62" s="11" t="inlineStr">
        <is>
          <t>Poplar</t>
        </is>
      </c>
      <c r="Y62" s="11" t="n">
        <v>14</v>
      </c>
      <c r="Z62" s="14">
        <f>IFERROR(INDEX(Venues!$E$2:$E$15,MATCH(X62,Venues!$A$2:$A$15,0)),"Not checked")</f>
        <v/>
      </c>
      <c r="AA62" s="14">
        <f>IFERROR(INDEX(Venues!$F$2:$F$15,MATCH(X62,Venues!$A$2:$A$15,0)),0)</f>
        <v/>
      </c>
      <c r="AB62" s="15">
        <f>IFERROR(INDEX(Venues!$M$2:$M$15,MATCH(X62,Venues!$A$2:$A$15,0)),"")</f>
        <v/>
      </c>
      <c r="AC62" s="14">
        <f>IFERROR(INDEX(Venues!$N$2:$N$15,MATCH(X62,Venues!$A$2:$A$15,0)),"5-a-side")</f>
        <v/>
      </c>
      <c r="AD62" s="16">
        <f>IF(Offer!$C$4="","",Offer!$C$4)</f>
        <v/>
      </c>
      <c r="AE62" s="14">
        <f>X62&amp;" ("&amp;Y62&amp;" min walk) · "&amp;IF(ISNUMBER(AB62),TEXT(AB62,"ddd d mmm, hh:mm"),"slot to confirm with venue")&amp;" · "&amp;AC62&amp;" · "&amp;IF(AD62&lt;&gt;"","£"&amp;TEXT(AD62,"0.00")&amp;" pp","price TBC")</f>
        <v/>
      </c>
      <c r="AF62" s="14">
        <f>"After-work football for "&amp;F62&amp;" · "&amp;X62&amp;", "&amp;Y62&amp;" min from your office"</f>
        <v/>
      </c>
      <c r="AG62" s="14">
        <f>"Hi"&amp;IF(O62&lt;&gt;""," "&amp;O62,"")&amp;","&amp;CHAR(10)&amp;CHAR(10)&amp;"I'm "&amp;IF(AL62&lt;&gt;"",AL62,IF(Offer!$C$5&lt;&gt;"",Offer!$C$5,"[NAME]"))&amp;" from FC Urban. We organise after-work football for teams in the City and Canary Wharf."&amp;CHAR(10)&amp;CHAR(10)&amp;"We have a "&amp;AC62&amp;" pitch at "&amp;X62&amp;", "&amp;IF(OR(Y62=8,Y62=11,Y62=18),"an ","a ")&amp;Y62&amp;"-minute walk from your "&amp;M62&amp;" office, "&amp;IF(ISNUMBER(AB62),"on "&amp;TEXT(AB62,"dddd d mmmm")&amp;" at "&amp;TEXT(AB62,"hh:mm"),"on a weekday evening that suits your team")&amp;". It's "&amp;IF(AD62&lt;&gt;"","£"&amp;IF(AD62=INT(AD62),TEXT(AD62,"0"),TEXT(AD62,"0.00")),"[PRICE PER PLAYER]")&amp;" a player and we handle the pitch booking, sign-ups and payments, so all it takes is one person sharing a link with the team."&amp;CHAR(10)&amp;CHAR(10)&amp;"It works well as a team social or "&amp;IF(ISNUMBER(SEARCH(LEFT(F62,1),"AEIOU")),"an ","a ")&amp;F62&amp;"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LINK]")&amp;CHAR(10)&amp;CHAR(10)&amp;"Best,"&amp;CHAR(10)&amp;IF(AL62&lt;&gt;"",AL62,IF(Offer!$C$5&lt;&gt;"",Offer!$C$5,"[NAME]"))&amp;CHAR(10)&amp;"FC Urban"</f>
        <v/>
      </c>
      <c r="AH62" s="14">
        <f>IF(LEN("Hi"&amp;IF(O62&lt;&gt;""," "&amp;O62,"")&amp;","&amp;" FC Urban runs after-work football for "&amp;IF(D62="Canary Wharf","Canary Wharf","City")&amp;" teams. We have a "&amp;AC62&amp;" pitch at "&amp;X62&amp;", "&amp;Y62&amp;" min from your office, "&amp;IF(ISNUMBER(AB62),TEXT(AB62,"ddd d mmm")&amp;", "&amp;TEXT(AB62,"hh:mm"),"weekday evenings")&amp;", "&amp;IF(AD62&lt;&gt;"","£"&amp;IF(AD62=INT(AD62),TEXT(AD62,"0"),TEXT(AD62,"0.00")),"[PRICE PER PLAYER]")&amp;" a player. We handle booking, sign-ups and payments. Fancy "&amp;IF(ISNUMBER(SEARCH(LEFT(F62,1),"AEIOU")),"an ","a ")&amp;F62&amp;" team game? "&amp;IF(AL62&lt;&gt;"",AL62,IF(Offer!$C$5&lt;&gt;"",Offer!$C$5,"[NAME]")))&lt;=300,"Hi"&amp;IF(O62&lt;&gt;""," "&amp;O62,"")&amp;","&amp;" FC Urban runs after-work football for "&amp;IF(D62="Canary Wharf","Canary Wharf","City")&amp;" teams. We have a "&amp;AC62&amp;" pitch at "&amp;X62&amp;", "&amp;Y62&amp;" min from your office, "&amp;IF(ISNUMBER(AB62),TEXT(AB62,"ddd d mmm")&amp;", "&amp;TEXT(AB62,"hh:mm"),"weekday evenings")&amp;", "&amp;IF(AD62&lt;&gt;"","£"&amp;IF(AD62=INT(AD62),TEXT(AD62,"0"),TEXT(AD62,"0.00")),"[PRICE PER PLAYER]")&amp;" a player. We handle booking, sign-ups and payments. Fancy "&amp;IF(ISNUMBER(SEARCH(LEFT(F62,1),"AEIOU")),"an ","a ")&amp;F62&amp;" team game? "&amp;IF(AL62&lt;&gt;"",AL62,IF(Offer!$C$5&lt;&gt;"",Offer!$C$5,"[NAME]")),LEFT("Hi"&amp;IF(O62&lt;&gt;""," "&amp;O62,"")&amp;","&amp;" FC Urban runs after-work football for "&amp;IF(D62="Canary Wharf","Canary Wharf","City")&amp;" teams: "&amp;AC62&amp;" at "&amp;X62&amp;", "&amp;Y62&amp;" min from your office, "&amp;IF(ISNUMBER(AB62),TEXT(AB62,"ddd d mmm")&amp;", "&amp;TEXT(AB62,"hh:mm"),"weekday evenings")&amp;", "&amp;IF(AD62&lt;&gt;"","£"&amp;IF(AD62=INT(AD62),TEXT(AD62,"0"),TEXT(AD62,"0.00")),"[PRICE PER PLAYER]")&amp;" pp. We handle booking and payments. Up for a team game? "&amp;IF(AL62&lt;&gt;"",AL62,IF(Offer!$C$5&lt;&gt;"",Offer!$C$5,"[NAME]")),300))</f>
        <v/>
      </c>
      <c r="AI62" s="14">
        <f>LEN(AH62)</f>
        <v/>
      </c>
      <c r="AJ62" s="14">
        <f>"Thanks for connecting"&amp;IF(O62&lt;&gt;"",", "&amp;O62,"")&amp;". "&amp;IF(ISNUMBER(AB62),"The "&amp;AC62&amp;" slot at "&amp;X62&amp;" is "&amp;IF(ISNUMBER(AB62),TEXT(AB62,"ddd d mmm")&amp;", "&amp;TEXT(AB62,"hh:mm"),"weekday evenings"),"We can book "&amp;AC62&amp;" at "&amp;X62&amp;" on a weekday evening that suits you")&amp;" and it's "&amp;IF(AD62&lt;&gt;"","£"&amp;IF(AD62=INT(AD62),TEXT(AD62,"0"),TEXT(AD62,"0.00")),"[PRICE PER PLAYER]")&amp;" a player, all booked and paid through one link. If football isn't your thing, who at "&amp;F62&amp;" would be the right person to organise a team game?"&amp;IF(Offer!$C$7&lt;&gt;""," Spots are held until "&amp;TEXT(Offer!$C$7,"dddd d mmmm")&amp;".","")&amp;" "&amp;IF(Offer!$C$6&lt;&gt;"",Offer!$C$6,"[JOINING LINK]")</f>
        <v/>
      </c>
      <c r="AK62" s="14">
        <f>IF(OR(ISNUMBER(SEARCH("[",AG62)),ISNUMBER(SEARCH("[",AJ62))),"Fill placeholders",IF(ISNUMBER(AB62),"Ready to send","Ready · no fixed slot"))</f>
        <v/>
      </c>
      <c r="AN62" s="17" t="n"/>
    </row>
    <row r="63">
      <c r="A63" s="11" t="n">
        <v>61</v>
      </c>
      <c r="B63" s="11" t="n">
        <v>2</v>
      </c>
      <c r="C63" s="11" t="inlineStr">
        <is>
          <t>Bank</t>
        </is>
      </c>
      <c r="D63" s="11" t="inlineStr">
        <is>
          <t>City of London</t>
        </is>
      </c>
      <c r="E63" s="11" t="inlineStr">
        <is>
          <t>Afin Bank Limited</t>
        </is>
      </c>
      <c r="F63" s="11" t="inlineStr">
        <is>
          <t>Afin Bank</t>
        </is>
      </c>
      <c r="G63" s="11" t="inlineStr">
        <is>
          <t>13090556</t>
        </is>
      </c>
      <c r="H63" s="12" t="inlineStr">
        <is>
          <t>Open</t>
        </is>
      </c>
      <c r="I63" s="12" t="inlineStr">
        <is>
          <t>Search</t>
        </is>
      </c>
      <c r="J63" s="11" t="inlineStr">
        <is>
          <t>Full</t>
        </is>
      </c>
      <c r="K63" s="13" t="n">
        <v>44183</v>
      </c>
      <c r="L63" s="11" t="inlineStr">
        <is>
          <t>Lower Ground Floor, 10 Chiswell Street, London</t>
        </is>
      </c>
      <c r="M63" s="11" t="inlineStr">
        <is>
          <t>EC1Y 4UQ</t>
        </is>
      </c>
      <c r="N63" s="11" t="inlineStr">
        <is>
          <t>Yes</t>
        </is>
      </c>
      <c r="U63" s="11" t="inlineStr">
        <is>
          <t>Shoreditch Powerleague</t>
        </is>
      </c>
      <c r="V63" s="11" t="n">
        <v>15</v>
      </c>
      <c r="W63" s="11" t="inlineStr">
        <is>
          <t>Liverpool St - Attlee Centre (18.1); Old St - Moreland Primary School (18.4)</t>
        </is>
      </c>
      <c r="X63" s="11" t="inlineStr">
        <is>
          <t>Shoreditch Powerleague</t>
        </is>
      </c>
      <c r="Y63" s="11" t="n">
        <v>15</v>
      </c>
      <c r="Z63" s="14">
        <f>IFERROR(INDEX(Venues!$E$2:$E$15,MATCH(X63,Venues!$A$2:$A$15,0)),"Not checked")</f>
        <v/>
      </c>
      <c r="AA63" s="14">
        <f>IFERROR(INDEX(Venues!$F$2:$F$15,MATCH(X63,Venues!$A$2:$A$15,0)),0)</f>
        <v/>
      </c>
      <c r="AB63" s="15">
        <f>IFERROR(INDEX(Venues!$M$2:$M$15,MATCH(X63,Venues!$A$2:$A$15,0)),"")</f>
        <v/>
      </c>
      <c r="AC63" s="14">
        <f>IFERROR(INDEX(Venues!$N$2:$N$15,MATCH(X63,Venues!$A$2:$A$15,0)),"5-a-side")</f>
        <v/>
      </c>
      <c r="AD63" s="16">
        <f>IF(Offer!$C$4="","",Offer!$C$4)</f>
        <v/>
      </c>
      <c r="AE63" s="14">
        <f>X63&amp;" ("&amp;Y63&amp;" min walk) · "&amp;IF(ISNUMBER(AB63),TEXT(AB63,"ddd d mmm, hh:mm"),"slot to confirm with venue")&amp;" · "&amp;AC63&amp;" · "&amp;IF(AD63&lt;&gt;"","£"&amp;TEXT(AD63,"0.00")&amp;" pp","price TBC")</f>
        <v/>
      </c>
      <c r="AF63" s="14">
        <f>"After-work football for "&amp;F63&amp;" · "&amp;X63&amp;", "&amp;Y63&amp;" min from your office"</f>
        <v/>
      </c>
      <c r="AG63" s="14">
        <f>"Hi"&amp;IF(O63&lt;&gt;""," "&amp;O63,"")&amp;","&amp;CHAR(10)&amp;CHAR(10)&amp;"I'm "&amp;IF(AL63&lt;&gt;"",AL63,IF(Offer!$C$5&lt;&gt;"",Offer!$C$5,"[NAME]"))&amp;" from FC Urban. We organise after-work football for teams in the City and Canary Wharf."&amp;CHAR(10)&amp;CHAR(10)&amp;"We have a "&amp;AC63&amp;" pitch at "&amp;X63&amp;", "&amp;IF(OR(Y63=8,Y63=11,Y63=18),"an ","a ")&amp;Y63&amp;"-minute walk from your "&amp;M63&amp;" office, "&amp;IF(ISNUMBER(AB63),"on "&amp;TEXT(AB63,"dddd d mmmm")&amp;" at "&amp;TEXT(AB63,"hh:mm"),"on a weekday evening that suits your team")&amp;". It's "&amp;IF(AD63&lt;&gt;"","£"&amp;IF(AD63=INT(AD63),TEXT(AD63,"0"),TEXT(AD63,"0.00")),"[PRICE PER PLAYER]")&amp;" a player and we handle the pitch booking, sign-ups and payments, so all it takes is one person sharing a link with the team."&amp;CHAR(10)&amp;CHAR(10)&amp;"It works well as a team social or "&amp;IF(ISNUMBER(SEARCH(LEFT(F63,1),"AEIOU")),"an ","a ")&amp;F63&amp;"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LINK]")&amp;CHAR(10)&amp;CHAR(10)&amp;"Best,"&amp;CHAR(10)&amp;IF(AL63&lt;&gt;"",AL63,IF(Offer!$C$5&lt;&gt;"",Offer!$C$5,"[NAME]"))&amp;CHAR(10)&amp;"FC Urban"</f>
        <v/>
      </c>
      <c r="AH63" s="14">
        <f>IF(LEN("Hi"&amp;IF(O63&lt;&gt;""," "&amp;O63,"")&amp;","&amp;" FC Urban runs after-work football for "&amp;IF(D63="Canary Wharf","Canary Wharf","City")&amp;" teams. We have a "&amp;AC63&amp;" pitch at "&amp;X63&amp;", "&amp;Y63&amp;" min from your office, "&amp;IF(ISNUMBER(AB63),TEXT(AB63,"ddd d mmm")&amp;", "&amp;TEXT(AB63,"hh:mm"),"weekday evenings")&amp;", "&amp;IF(AD63&lt;&gt;"","£"&amp;IF(AD63=INT(AD63),TEXT(AD63,"0"),TEXT(AD63,"0.00")),"[PRICE PER PLAYER]")&amp;" a player. We handle booking, sign-ups and payments. Fancy "&amp;IF(ISNUMBER(SEARCH(LEFT(F63,1),"AEIOU")),"an ","a ")&amp;F63&amp;" team game? "&amp;IF(AL63&lt;&gt;"",AL63,IF(Offer!$C$5&lt;&gt;"",Offer!$C$5,"[NAME]")))&lt;=300,"Hi"&amp;IF(O63&lt;&gt;""," "&amp;O63,"")&amp;","&amp;" FC Urban runs after-work football for "&amp;IF(D63="Canary Wharf","Canary Wharf","City")&amp;" teams. We have a "&amp;AC63&amp;" pitch at "&amp;X63&amp;", "&amp;Y63&amp;" min from your office, "&amp;IF(ISNUMBER(AB63),TEXT(AB63,"ddd d mmm")&amp;", "&amp;TEXT(AB63,"hh:mm"),"weekday evenings")&amp;", "&amp;IF(AD63&lt;&gt;"","£"&amp;IF(AD63=INT(AD63),TEXT(AD63,"0"),TEXT(AD63,"0.00")),"[PRICE PER PLAYER]")&amp;" a player. We handle booking, sign-ups and payments. Fancy "&amp;IF(ISNUMBER(SEARCH(LEFT(F63,1),"AEIOU")),"an ","a ")&amp;F63&amp;" team game? "&amp;IF(AL63&lt;&gt;"",AL63,IF(Offer!$C$5&lt;&gt;"",Offer!$C$5,"[NAME]")),LEFT("Hi"&amp;IF(O63&lt;&gt;""," "&amp;O63,"")&amp;","&amp;" FC Urban runs after-work football for "&amp;IF(D63="Canary Wharf","Canary Wharf","City")&amp;" teams: "&amp;AC63&amp;" at "&amp;X63&amp;", "&amp;Y63&amp;" min from your office, "&amp;IF(ISNUMBER(AB63),TEXT(AB63,"ddd d mmm")&amp;", "&amp;TEXT(AB63,"hh:mm"),"weekday evenings")&amp;", "&amp;IF(AD63&lt;&gt;"","£"&amp;IF(AD63=INT(AD63),TEXT(AD63,"0"),TEXT(AD63,"0.00")),"[PRICE PER PLAYER]")&amp;" pp. We handle booking and payments. Up for a team game? "&amp;IF(AL63&lt;&gt;"",AL63,IF(Offer!$C$5&lt;&gt;"",Offer!$C$5,"[NAME]")),300))</f>
        <v/>
      </c>
      <c r="AI63" s="14">
        <f>LEN(AH63)</f>
        <v/>
      </c>
      <c r="AJ63" s="14">
        <f>"Thanks for connecting"&amp;IF(O63&lt;&gt;"",", "&amp;O63,"")&amp;". "&amp;IF(ISNUMBER(AB63),"The "&amp;AC63&amp;" slot at "&amp;X63&amp;" is "&amp;IF(ISNUMBER(AB63),TEXT(AB63,"ddd d mmm")&amp;", "&amp;TEXT(AB63,"hh:mm"),"weekday evenings"),"We can book "&amp;AC63&amp;" at "&amp;X63&amp;" on a weekday evening that suits you")&amp;" and it's "&amp;IF(AD63&lt;&gt;"","£"&amp;IF(AD63=INT(AD63),TEXT(AD63,"0"),TEXT(AD63,"0.00")),"[PRICE PER PLAYER]")&amp;" a player, all booked and paid through one link. If football isn't your thing, who at "&amp;F63&amp;" would be the right person to organise a team game?"&amp;IF(Offer!$C$7&lt;&gt;""," Spots are held until "&amp;TEXT(Offer!$C$7,"dddd d mmmm")&amp;".","")&amp;" "&amp;IF(Offer!$C$6&lt;&gt;"",Offer!$C$6,"[JOINING LINK]")</f>
        <v/>
      </c>
      <c r="AK63" s="14">
        <f>IF(OR(ISNUMBER(SEARCH("[",AG63)),ISNUMBER(SEARCH("[",AJ63))),"Fill placeholders",IF(ISNUMBER(AB63),"Ready to send","Ready · no fixed slot"))</f>
        <v/>
      </c>
      <c r="AN63" s="17" t="n"/>
    </row>
    <row r="64">
      <c r="A64" s="11" t="n">
        <v>62</v>
      </c>
      <c r="B64" s="11" t="n">
        <v>2</v>
      </c>
      <c r="C64" s="11" t="inlineStr">
        <is>
          <t>Bank</t>
        </is>
      </c>
      <c r="D64" s="11" t="inlineStr">
        <is>
          <t>City of London</t>
        </is>
      </c>
      <c r="E64" s="11" t="inlineStr">
        <is>
          <t>RBC Europe Limited</t>
        </is>
      </c>
      <c r="F64" s="11" t="inlineStr">
        <is>
          <t>RBC</t>
        </is>
      </c>
      <c r="G64" s="11" t="inlineStr">
        <is>
          <t>00995939</t>
        </is>
      </c>
      <c r="H64" s="12" t="inlineStr">
        <is>
          <t>Open</t>
        </is>
      </c>
      <c r="I64" s="12" t="inlineStr">
        <is>
          <t>Search</t>
        </is>
      </c>
      <c r="J64" s="11" t="inlineStr">
        <is>
          <t>Full</t>
        </is>
      </c>
      <c r="K64" s="13" t="n">
        <v>25904</v>
      </c>
      <c r="L64" s="11" t="inlineStr">
        <is>
          <t>100 Bishopsgate, London</t>
        </is>
      </c>
      <c r="M64" s="11" t="inlineStr">
        <is>
          <t>EC2N 4AA</t>
        </is>
      </c>
      <c r="N64" s="11" t="inlineStr">
        <is>
          <t>No</t>
        </is>
      </c>
      <c r="U64" s="11" t="inlineStr">
        <is>
          <t>Liverpool St - Attlee Centre</t>
        </is>
      </c>
      <c r="V64" s="11" t="n">
        <v>10</v>
      </c>
      <c r="W64" s="11" t="inlineStr">
        <is>
          <t>Shoreditch Powerleague (15.2)</t>
        </is>
      </c>
      <c r="X64" s="11" t="inlineStr">
        <is>
          <t>Shoreditch Powerleague</t>
        </is>
      </c>
      <c r="Y64" s="11" t="n">
        <v>15</v>
      </c>
      <c r="Z64" s="14">
        <f>IFERROR(INDEX(Venues!$E$2:$E$15,MATCH(X64,Venues!$A$2:$A$15,0)),"Not checked")</f>
        <v/>
      </c>
      <c r="AA64" s="14">
        <f>IFERROR(INDEX(Venues!$F$2:$F$15,MATCH(X64,Venues!$A$2:$A$15,0)),0)</f>
        <v/>
      </c>
      <c r="AB64" s="15">
        <f>IFERROR(INDEX(Venues!$M$2:$M$15,MATCH(X64,Venues!$A$2:$A$15,0)),"")</f>
        <v/>
      </c>
      <c r="AC64" s="14">
        <f>IFERROR(INDEX(Venues!$N$2:$N$15,MATCH(X64,Venues!$A$2:$A$15,0)),"5-a-side")</f>
        <v/>
      </c>
      <c r="AD64" s="16">
        <f>IF(Offer!$C$4="","",Offer!$C$4)</f>
        <v/>
      </c>
      <c r="AE64" s="14">
        <f>X64&amp;" ("&amp;Y64&amp;" min walk) · "&amp;IF(ISNUMBER(AB64),TEXT(AB64,"ddd d mmm, hh:mm"),"slot to confirm with venue")&amp;" · "&amp;AC64&amp;" · "&amp;IF(AD64&lt;&gt;"","£"&amp;TEXT(AD64,"0.00")&amp;" pp","price TBC")</f>
        <v/>
      </c>
      <c r="AF64" s="14">
        <f>"After-work football for "&amp;F64&amp;" · "&amp;X64&amp;", "&amp;Y64&amp;" min from your office"</f>
        <v/>
      </c>
      <c r="AG64" s="14">
        <f>"Hi"&amp;IF(O64&lt;&gt;""," "&amp;O64,"")&amp;","&amp;CHAR(10)&amp;CHAR(10)&amp;"I'm "&amp;IF(AL64&lt;&gt;"",AL64,IF(Offer!$C$5&lt;&gt;"",Offer!$C$5,"[NAME]"))&amp;" from FC Urban. We organise after-work football for teams in the City and Canary Wharf."&amp;CHAR(10)&amp;CHAR(10)&amp;"We have a "&amp;AC64&amp;" pitch at "&amp;X64&amp;", "&amp;IF(OR(Y64=8,Y64=11,Y64=18),"an ","a ")&amp;Y64&amp;"-minute walk from your "&amp;M64&amp;" office, "&amp;IF(ISNUMBER(AB64),"on "&amp;TEXT(AB64,"dddd d mmmm")&amp;" at "&amp;TEXT(AB64,"hh:mm"),"on a weekday evening that suits your team")&amp;". It's "&amp;IF(AD64&lt;&gt;"","£"&amp;IF(AD64=INT(AD64),TEXT(AD64,"0"),TEXT(AD64,"0.00")),"[PRICE PER PLAYER]")&amp;" a player and we handle the pitch booking, sign-ups and payments, so all it takes is one person sharing a link with the team."&amp;CHAR(10)&amp;CHAR(10)&amp;"It works well as a team social or "&amp;IF(ISNUMBER(SEARCH(LEFT(F64,1),"AEIOU")),"an ","a ")&amp;F64&amp;"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LINK]")&amp;CHAR(10)&amp;CHAR(10)&amp;"Best,"&amp;CHAR(10)&amp;IF(AL64&lt;&gt;"",AL64,IF(Offer!$C$5&lt;&gt;"",Offer!$C$5,"[NAME]"))&amp;CHAR(10)&amp;"FC Urban"</f>
        <v/>
      </c>
      <c r="AH64" s="14">
        <f>IF(LEN("Hi"&amp;IF(O64&lt;&gt;""," "&amp;O64,"")&amp;","&amp;" FC Urban runs after-work football for "&amp;IF(D64="Canary Wharf","Canary Wharf","City")&amp;" teams. We have a "&amp;AC64&amp;" pitch at "&amp;X64&amp;", "&amp;Y64&amp;" min from your office, "&amp;IF(ISNUMBER(AB64),TEXT(AB64,"ddd d mmm")&amp;", "&amp;TEXT(AB64,"hh:mm"),"weekday evenings")&amp;", "&amp;IF(AD64&lt;&gt;"","£"&amp;IF(AD64=INT(AD64),TEXT(AD64,"0"),TEXT(AD64,"0.00")),"[PRICE PER PLAYER]")&amp;" a player. We handle booking, sign-ups and payments. Fancy "&amp;IF(ISNUMBER(SEARCH(LEFT(F64,1),"AEIOU")),"an ","a ")&amp;F64&amp;" team game? "&amp;IF(AL64&lt;&gt;"",AL64,IF(Offer!$C$5&lt;&gt;"",Offer!$C$5,"[NAME]")))&lt;=300,"Hi"&amp;IF(O64&lt;&gt;""," "&amp;O64,"")&amp;","&amp;" FC Urban runs after-work football for "&amp;IF(D64="Canary Wharf","Canary Wharf","City")&amp;" teams. We have a "&amp;AC64&amp;" pitch at "&amp;X64&amp;", "&amp;Y64&amp;" min from your office, "&amp;IF(ISNUMBER(AB64),TEXT(AB64,"ddd d mmm")&amp;", "&amp;TEXT(AB64,"hh:mm"),"weekday evenings")&amp;", "&amp;IF(AD64&lt;&gt;"","£"&amp;IF(AD64=INT(AD64),TEXT(AD64,"0"),TEXT(AD64,"0.00")),"[PRICE PER PLAYER]")&amp;" a player. We handle booking, sign-ups and payments. Fancy "&amp;IF(ISNUMBER(SEARCH(LEFT(F64,1),"AEIOU")),"an ","a ")&amp;F64&amp;" team game? "&amp;IF(AL64&lt;&gt;"",AL64,IF(Offer!$C$5&lt;&gt;"",Offer!$C$5,"[NAME]")),LEFT("Hi"&amp;IF(O64&lt;&gt;""," "&amp;O64,"")&amp;","&amp;" FC Urban runs after-work football for "&amp;IF(D64="Canary Wharf","Canary Wharf","City")&amp;" teams: "&amp;AC64&amp;" at "&amp;X64&amp;", "&amp;Y64&amp;" min from your office, "&amp;IF(ISNUMBER(AB64),TEXT(AB64,"ddd d mmm")&amp;", "&amp;TEXT(AB64,"hh:mm"),"weekday evenings")&amp;", "&amp;IF(AD64&lt;&gt;"","£"&amp;IF(AD64=INT(AD64),TEXT(AD64,"0"),TEXT(AD64,"0.00")),"[PRICE PER PLAYER]")&amp;" pp. We handle booking and payments. Up for a team game? "&amp;IF(AL64&lt;&gt;"",AL64,IF(Offer!$C$5&lt;&gt;"",Offer!$C$5,"[NAME]")),300))</f>
        <v/>
      </c>
      <c r="AI64" s="14">
        <f>LEN(AH64)</f>
        <v/>
      </c>
      <c r="AJ64" s="14">
        <f>"Thanks for connecting"&amp;IF(O64&lt;&gt;"",", "&amp;O64,"")&amp;". "&amp;IF(ISNUMBER(AB64),"The "&amp;AC64&amp;" slot at "&amp;X64&amp;" is "&amp;IF(ISNUMBER(AB64),TEXT(AB64,"ddd d mmm")&amp;", "&amp;TEXT(AB64,"hh:mm"),"weekday evenings"),"We can book "&amp;AC64&amp;" at "&amp;X64&amp;" on a weekday evening that suits you")&amp;" and it's "&amp;IF(AD64&lt;&gt;"","£"&amp;IF(AD64=INT(AD64),TEXT(AD64,"0"),TEXT(AD64,"0.00")),"[PRICE PER PLAYER]")&amp;" a player, all booked and paid through one link. If football isn't your thing, who at "&amp;F64&amp;" would be the right person to organise a team game?"&amp;IF(Offer!$C$7&lt;&gt;""," Spots are held until "&amp;TEXT(Offer!$C$7,"dddd d mmmm")&amp;".","")&amp;" "&amp;IF(Offer!$C$6&lt;&gt;"",Offer!$C$6,"[JOINING LINK]")</f>
        <v/>
      </c>
      <c r="AK64" s="14">
        <f>IF(OR(ISNUMBER(SEARCH("[",AG64)),ISNUMBER(SEARCH("[",AJ64))),"Fill placeholders",IF(ISNUMBER(AB64),"Ready to send","Ready · no fixed slot"))</f>
        <v/>
      </c>
      <c r="AN64" s="17" t="n"/>
    </row>
    <row r="65">
      <c r="A65" s="11" t="n">
        <v>63</v>
      </c>
      <c r="B65" s="11" t="n">
        <v>2</v>
      </c>
      <c r="C65" s="11" t="inlineStr">
        <is>
          <t>Bank</t>
        </is>
      </c>
      <c r="D65" s="11" t="inlineStr">
        <is>
          <t>City of London</t>
        </is>
      </c>
      <c r="E65" s="11" t="inlineStr">
        <is>
          <t>Firstbank UK Limited</t>
        </is>
      </c>
      <c r="F65" s="11" t="inlineStr">
        <is>
          <t>Firstbank</t>
        </is>
      </c>
      <c r="G65" s="11" t="inlineStr">
        <is>
          <t>04459383</t>
        </is>
      </c>
      <c r="H65" s="12" t="inlineStr">
        <is>
          <t>Open</t>
        </is>
      </c>
      <c r="I65" s="12" t="inlineStr">
        <is>
          <t>Search</t>
        </is>
      </c>
      <c r="J65" s="11" t="inlineStr">
        <is>
          <t>Full</t>
        </is>
      </c>
      <c r="K65" s="13" t="n">
        <v>37419</v>
      </c>
      <c r="L65" s="11" t="inlineStr">
        <is>
          <t>28 Finsbury Circus, London</t>
        </is>
      </c>
      <c r="M65" s="11" t="inlineStr">
        <is>
          <t>EC2M 7DT</t>
        </is>
      </c>
      <c r="N65" s="11" t="inlineStr">
        <is>
          <t>Yes</t>
        </is>
      </c>
      <c r="U65" s="11" t="inlineStr">
        <is>
          <t>Liverpool St - Attlee Centre</t>
        </is>
      </c>
      <c r="V65" s="11" t="n">
        <v>16</v>
      </c>
      <c r="W65" s="11" t="inlineStr">
        <is>
          <t>Shoreditch Powerleague (16.7)</t>
        </is>
      </c>
      <c r="X65" s="11" t="inlineStr">
        <is>
          <t>Shoreditch Powerleague</t>
        </is>
      </c>
      <c r="Y65" s="11" t="n">
        <v>17</v>
      </c>
      <c r="Z65" s="14">
        <f>IFERROR(INDEX(Venues!$E$2:$E$15,MATCH(X65,Venues!$A$2:$A$15,0)),"Not checked")</f>
        <v/>
      </c>
      <c r="AA65" s="14">
        <f>IFERROR(INDEX(Venues!$F$2:$F$15,MATCH(X65,Venues!$A$2:$A$15,0)),0)</f>
        <v/>
      </c>
      <c r="AB65" s="15">
        <f>IFERROR(INDEX(Venues!$M$2:$M$15,MATCH(X65,Venues!$A$2:$A$15,0)),"")</f>
        <v/>
      </c>
      <c r="AC65" s="14">
        <f>IFERROR(INDEX(Venues!$N$2:$N$15,MATCH(X65,Venues!$A$2:$A$15,0)),"5-a-side")</f>
        <v/>
      </c>
      <c r="AD65" s="16">
        <f>IF(Offer!$C$4="","",Offer!$C$4)</f>
        <v/>
      </c>
      <c r="AE65" s="14">
        <f>X65&amp;" ("&amp;Y65&amp;" min walk) · "&amp;IF(ISNUMBER(AB65),TEXT(AB65,"ddd d mmm, hh:mm"),"slot to confirm with venue")&amp;" · "&amp;AC65&amp;" · "&amp;IF(AD65&lt;&gt;"","£"&amp;TEXT(AD65,"0.00")&amp;" pp","price TBC")</f>
        <v/>
      </c>
      <c r="AF65" s="14">
        <f>"After-work football for "&amp;F65&amp;" · "&amp;X65&amp;", "&amp;Y65&amp;" min from your office"</f>
        <v/>
      </c>
      <c r="AG65" s="14">
        <f>"Hi"&amp;IF(O65&lt;&gt;""," "&amp;O65,"")&amp;","&amp;CHAR(10)&amp;CHAR(10)&amp;"I'm "&amp;IF(AL65&lt;&gt;"",AL65,IF(Offer!$C$5&lt;&gt;"",Offer!$C$5,"[NAME]"))&amp;" from FC Urban. We organise after-work football for teams in the City and Canary Wharf."&amp;CHAR(10)&amp;CHAR(10)&amp;"We have a "&amp;AC65&amp;" pitch at "&amp;X65&amp;", "&amp;IF(OR(Y65=8,Y65=11,Y65=18),"an ","a ")&amp;Y65&amp;"-minute walk from your "&amp;M65&amp;" office, "&amp;IF(ISNUMBER(AB65),"on "&amp;TEXT(AB65,"dddd d mmmm")&amp;" at "&amp;TEXT(AB65,"hh:mm"),"on a weekday evening that suits your team")&amp;". It's "&amp;IF(AD65&lt;&gt;"","£"&amp;IF(AD65=INT(AD65),TEXT(AD65,"0"),TEXT(AD65,"0.00")),"[PRICE PER PLAYER]")&amp;" a player and we handle the pitch booking, sign-ups and payments, so all it takes is one person sharing a link with the team."&amp;CHAR(10)&amp;CHAR(10)&amp;"It works well as a team social or "&amp;IF(ISNUMBER(SEARCH(LEFT(F65,1),"AEIOU")),"an ","a ")&amp;F65&amp;"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LINK]")&amp;CHAR(10)&amp;CHAR(10)&amp;"Best,"&amp;CHAR(10)&amp;IF(AL65&lt;&gt;"",AL65,IF(Offer!$C$5&lt;&gt;"",Offer!$C$5,"[NAME]"))&amp;CHAR(10)&amp;"FC Urban"</f>
        <v/>
      </c>
      <c r="AH65" s="14">
        <f>IF(LEN("Hi"&amp;IF(O65&lt;&gt;""," "&amp;O65,"")&amp;","&amp;" FC Urban runs after-work football for "&amp;IF(D65="Canary Wharf","Canary Wharf","City")&amp;" teams. We have a "&amp;AC65&amp;" pitch at "&amp;X65&amp;", "&amp;Y65&amp;" min from your office, "&amp;IF(ISNUMBER(AB65),TEXT(AB65,"ddd d mmm")&amp;", "&amp;TEXT(AB65,"hh:mm"),"weekday evenings")&amp;", "&amp;IF(AD65&lt;&gt;"","£"&amp;IF(AD65=INT(AD65),TEXT(AD65,"0"),TEXT(AD65,"0.00")),"[PRICE PER PLAYER]")&amp;" a player. We handle booking, sign-ups and payments. Fancy "&amp;IF(ISNUMBER(SEARCH(LEFT(F65,1),"AEIOU")),"an ","a ")&amp;F65&amp;" team game? "&amp;IF(AL65&lt;&gt;"",AL65,IF(Offer!$C$5&lt;&gt;"",Offer!$C$5,"[NAME]")))&lt;=300,"Hi"&amp;IF(O65&lt;&gt;""," "&amp;O65,"")&amp;","&amp;" FC Urban runs after-work football for "&amp;IF(D65="Canary Wharf","Canary Wharf","City")&amp;" teams. We have a "&amp;AC65&amp;" pitch at "&amp;X65&amp;", "&amp;Y65&amp;" min from your office, "&amp;IF(ISNUMBER(AB65),TEXT(AB65,"ddd d mmm")&amp;", "&amp;TEXT(AB65,"hh:mm"),"weekday evenings")&amp;", "&amp;IF(AD65&lt;&gt;"","£"&amp;IF(AD65=INT(AD65),TEXT(AD65,"0"),TEXT(AD65,"0.00")),"[PRICE PER PLAYER]")&amp;" a player. We handle booking, sign-ups and payments. Fancy "&amp;IF(ISNUMBER(SEARCH(LEFT(F65,1),"AEIOU")),"an ","a ")&amp;F65&amp;" team game? "&amp;IF(AL65&lt;&gt;"",AL65,IF(Offer!$C$5&lt;&gt;"",Offer!$C$5,"[NAME]")),LEFT("Hi"&amp;IF(O65&lt;&gt;""," "&amp;O65,"")&amp;","&amp;" FC Urban runs after-work football for "&amp;IF(D65="Canary Wharf","Canary Wharf","City")&amp;" teams: "&amp;AC65&amp;" at "&amp;X65&amp;", "&amp;Y65&amp;" min from your office, "&amp;IF(ISNUMBER(AB65),TEXT(AB65,"ddd d mmm")&amp;", "&amp;TEXT(AB65,"hh:mm"),"weekday evenings")&amp;", "&amp;IF(AD65&lt;&gt;"","£"&amp;IF(AD65=INT(AD65),TEXT(AD65,"0"),TEXT(AD65,"0.00")),"[PRICE PER PLAYER]")&amp;" pp. We handle booking and payments. Up for a team game? "&amp;IF(AL65&lt;&gt;"",AL65,IF(Offer!$C$5&lt;&gt;"",Offer!$C$5,"[NAME]")),300))</f>
        <v/>
      </c>
      <c r="AI65" s="14">
        <f>LEN(AH65)</f>
        <v/>
      </c>
      <c r="AJ65" s="14">
        <f>"Thanks for connecting"&amp;IF(O65&lt;&gt;"",", "&amp;O65,"")&amp;". "&amp;IF(ISNUMBER(AB65),"The "&amp;AC65&amp;" slot at "&amp;X65&amp;" is "&amp;IF(ISNUMBER(AB65),TEXT(AB65,"ddd d mmm")&amp;", "&amp;TEXT(AB65,"hh:mm"),"weekday evenings"),"We can book "&amp;AC65&amp;" at "&amp;X65&amp;" on a weekday evening that suits you")&amp;" and it's "&amp;IF(AD65&lt;&gt;"","£"&amp;IF(AD65=INT(AD65),TEXT(AD65,"0"),TEXT(AD65,"0.00")),"[PRICE PER PLAYER]")&amp;" a player, all booked and paid through one link. If football isn't your thing, who at "&amp;F65&amp;" would be the right person to organise a team game?"&amp;IF(Offer!$C$7&lt;&gt;""," Spots are held until "&amp;TEXT(Offer!$C$7,"dddd d mmmm")&amp;".","")&amp;" "&amp;IF(Offer!$C$6&lt;&gt;"",Offer!$C$6,"[JOINING LINK]")</f>
        <v/>
      </c>
      <c r="AK65" s="14">
        <f>IF(OR(ISNUMBER(SEARCH("[",AG65)),ISNUMBER(SEARCH("[",AJ65))),"Fill placeholders",IF(ISNUMBER(AB65),"Ready to send","Ready · no fixed slot"))</f>
        <v/>
      </c>
      <c r="AN65" s="17" t="n"/>
    </row>
    <row r="66">
      <c r="A66" s="11" t="n">
        <v>64</v>
      </c>
      <c r="B66" s="11" t="n">
        <v>2</v>
      </c>
      <c r="C66" s="11" t="inlineStr">
        <is>
          <t>Bank</t>
        </is>
      </c>
      <c r="D66" s="11" t="inlineStr">
        <is>
          <t>City of London</t>
        </is>
      </c>
      <c r="E66" s="11" t="inlineStr">
        <is>
          <t>LHV Bank Limited</t>
        </is>
      </c>
      <c r="F66" s="11" t="inlineStr">
        <is>
          <t>LHV Bank</t>
        </is>
      </c>
      <c r="G66" s="11" t="inlineStr">
        <is>
          <t>13180211</t>
        </is>
      </c>
      <c r="H66" s="12" t="inlineStr">
        <is>
          <t>Open</t>
        </is>
      </c>
      <c r="I66" s="12" t="inlineStr">
        <is>
          <t>Search</t>
        </is>
      </c>
      <c r="J66" s="11" t="inlineStr">
        <is>
          <t>Full</t>
        </is>
      </c>
      <c r="K66" s="13" t="n">
        <v>44231</v>
      </c>
      <c r="L66" s="11" t="inlineStr">
        <is>
          <t>One Angel Court, 1 Angel Court, London</t>
        </is>
      </c>
      <c r="M66" s="11" t="inlineStr">
        <is>
          <t>EC2R 7HJ</t>
        </is>
      </c>
      <c r="N66" s="11" t="inlineStr">
        <is>
          <t>Yes</t>
        </is>
      </c>
      <c r="U66" s="11" t="inlineStr">
        <is>
          <t>Liverpool St - Attlee Centre</t>
        </is>
      </c>
      <c r="V66" s="11" t="n">
        <v>17</v>
      </c>
      <c r="W66" s="11" t="n"/>
      <c r="X66" s="11" t="inlineStr">
        <is>
          <t>Liverpool St - Attlee Centre</t>
        </is>
      </c>
      <c r="Y66" s="11" t="n">
        <v>17</v>
      </c>
      <c r="Z66" s="14">
        <f>IFERROR(INDEX(Venues!$E$2:$E$15,MATCH(X66,Venues!$A$2:$A$15,0)),"Not checked")</f>
        <v/>
      </c>
      <c r="AA66" s="14">
        <f>IFERROR(INDEX(Venues!$F$2:$F$15,MATCH(X66,Venues!$A$2:$A$15,0)),0)</f>
        <v/>
      </c>
      <c r="AB66" s="15">
        <f>IFERROR(INDEX(Venues!$M$2:$M$15,MATCH(X66,Venues!$A$2:$A$15,0)),"")</f>
        <v/>
      </c>
      <c r="AC66" s="14">
        <f>IFERROR(INDEX(Venues!$N$2:$N$15,MATCH(X66,Venues!$A$2:$A$15,0)),"5-a-side")</f>
        <v/>
      </c>
      <c r="AD66" s="16">
        <f>IF(Offer!$C$4="","",Offer!$C$4)</f>
        <v/>
      </c>
      <c r="AE66" s="14">
        <f>X66&amp;" ("&amp;Y66&amp;" min walk) · "&amp;IF(ISNUMBER(AB66),TEXT(AB66,"ddd d mmm, hh:mm"),"slot to confirm with venue")&amp;" · "&amp;AC66&amp;" · "&amp;IF(AD66&lt;&gt;"","£"&amp;TEXT(AD66,"0.00")&amp;" pp","price TBC")</f>
        <v/>
      </c>
      <c r="AF66" s="14">
        <f>"After-work football for "&amp;F66&amp;" · "&amp;X66&amp;", "&amp;Y66&amp;" min from your office"</f>
        <v/>
      </c>
      <c r="AG66" s="14">
        <f>"Hi"&amp;IF(O66&lt;&gt;""," "&amp;O66,"")&amp;","&amp;CHAR(10)&amp;CHAR(10)&amp;"I'm "&amp;IF(AL66&lt;&gt;"",AL66,IF(Offer!$C$5&lt;&gt;"",Offer!$C$5,"[NAME]"))&amp;" from FC Urban. We organise after-work football for teams in the City and Canary Wharf."&amp;CHAR(10)&amp;CHAR(10)&amp;"We have a "&amp;AC66&amp;" pitch at "&amp;X66&amp;", "&amp;IF(OR(Y66=8,Y66=11,Y66=18),"an ","a ")&amp;Y66&amp;"-minute walk from your "&amp;M66&amp;" office, "&amp;IF(ISNUMBER(AB66),"on "&amp;TEXT(AB66,"dddd d mmmm")&amp;" at "&amp;TEXT(AB66,"hh:mm"),"on a weekday evening that suits your team")&amp;". It's "&amp;IF(AD66&lt;&gt;"","£"&amp;IF(AD66=INT(AD66),TEXT(AD66,"0"),TEXT(AD66,"0.00")),"[PRICE PER PLAYER]")&amp;" a player and we handle the pitch booking, sign-ups and payments, so all it takes is one person sharing a link with the team."&amp;CHAR(10)&amp;CHAR(10)&amp;"It works well as a team social or "&amp;IF(ISNUMBER(SEARCH(LEFT(F66,1),"AEIOU")),"an ","a ")&amp;F66&amp;"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LINK]")&amp;CHAR(10)&amp;CHAR(10)&amp;"Best,"&amp;CHAR(10)&amp;IF(AL66&lt;&gt;"",AL66,IF(Offer!$C$5&lt;&gt;"",Offer!$C$5,"[NAME]"))&amp;CHAR(10)&amp;"FC Urban"</f>
        <v/>
      </c>
      <c r="AH66" s="14">
        <f>IF(LEN("Hi"&amp;IF(O66&lt;&gt;""," "&amp;O66,"")&amp;","&amp;" FC Urban runs after-work football for "&amp;IF(D66="Canary Wharf","Canary Wharf","City")&amp;" teams. We have a "&amp;AC66&amp;" pitch at "&amp;X66&amp;", "&amp;Y66&amp;" min from your office, "&amp;IF(ISNUMBER(AB66),TEXT(AB66,"ddd d mmm")&amp;", "&amp;TEXT(AB66,"hh:mm"),"weekday evenings")&amp;", "&amp;IF(AD66&lt;&gt;"","£"&amp;IF(AD66=INT(AD66),TEXT(AD66,"0"),TEXT(AD66,"0.00")),"[PRICE PER PLAYER]")&amp;" a player. We handle booking, sign-ups and payments. Fancy "&amp;IF(ISNUMBER(SEARCH(LEFT(F66,1),"AEIOU")),"an ","a ")&amp;F66&amp;" team game? "&amp;IF(AL66&lt;&gt;"",AL66,IF(Offer!$C$5&lt;&gt;"",Offer!$C$5,"[NAME]")))&lt;=300,"Hi"&amp;IF(O66&lt;&gt;""," "&amp;O66,"")&amp;","&amp;" FC Urban runs after-work football for "&amp;IF(D66="Canary Wharf","Canary Wharf","City")&amp;" teams. We have a "&amp;AC66&amp;" pitch at "&amp;X66&amp;", "&amp;Y66&amp;" min from your office, "&amp;IF(ISNUMBER(AB66),TEXT(AB66,"ddd d mmm")&amp;", "&amp;TEXT(AB66,"hh:mm"),"weekday evenings")&amp;", "&amp;IF(AD66&lt;&gt;"","£"&amp;IF(AD66=INT(AD66),TEXT(AD66,"0"),TEXT(AD66,"0.00")),"[PRICE PER PLAYER]")&amp;" a player. We handle booking, sign-ups and payments. Fancy "&amp;IF(ISNUMBER(SEARCH(LEFT(F66,1),"AEIOU")),"an ","a ")&amp;F66&amp;" team game? "&amp;IF(AL66&lt;&gt;"",AL66,IF(Offer!$C$5&lt;&gt;"",Offer!$C$5,"[NAME]")),LEFT("Hi"&amp;IF(O66&lt;&gt;""," "&amp;O66,"")&amp;","&amp;" FC Urban runs after-work football for "&amp;IF(D66="Canary Wharf","Canary Wharf","City")&amp;" teams: "&amp;AC66&amp;" at "&amp;X66&amp;", "&amp;Y66&amp;" min from your office, "&amp;IF(ISNUMBER(AB66),TEXT(AB66,"ddd d mmm")&amp;", "&amp;TEXT(AB66,"hh:mm"),"weekday evenings")&amp;", "&amp;IF(AD66&lt;&gt;"","£"&amp;IF(AD66=INT(AD66),TEXT(AD66,"0"),TEXT(AD66,"0.00")),"[PRICE PER PLAYER]")&amp;" pp. We handle booking and payments. Up for a team game? "&amp;IF(AL66&lt;&gt;"",AL66,IF(Offer!$C$5&lt;&gt;"",Offer!$C$5,"[NAME]")),300))</f>
        <v/>
      </c>
      <c r="AI66" s="14">
        <f>LEN(AH66)</f>
        <v/>
      </c>
      <c r="AJ66" s="14">
        <f>"Thanks for connecting"&amp;IF(O66&lt;&gt;"",", "&amp;O66,"")&amp;". "&amp;IF(ISNUMBER(AB66),"The "&amp;AC66&amp;" slot at "&amp;X66&amp;" is "&amp;IF(ISNUMBER(AB66),TEXT(AB66,"ddd d mmm")&amp;", "&amp;TEXT(AB66,"hh:mm"),"weekday evenings"),"We can book "&amp;AC66&amp;" at "&amp;X66&amp;" on a weekday evening that suits you")&amp;" and it's "&amp;IF(AD66&lt;&gt;"","£"&amp;IF(AD66=INT(AD66),TEXT(AD66,"0"),TEXT(AD66,"0.00")),"[PRICE PER PLAYER]")&amp;" a player, all booked and paid through one link. If football isn't your thing, who at "&amp;F66&amp;" would be the right person to organise a team game?"&amp;IF(Offer!$C$7&lt;&gt;""," Spots are held until "&amp;TEXT(Offer!$C$7,"dddd d mmmm")&amp;".","")&amp;" "&amp;IF(Offer!$C$6&lt;&gt;"",Offer!$C$6,"[JOINING LINK]")</f>
        <v/>
      </c>
      <c r="AK66" s="14">
        <f>IF(OR(ISNUMBER(SEARCH("[",AG66)),ISNUMBER(SEARCH("[",AJ66))),"Fill placeholders",IF(ISNUMBER(AB66),"Ready to send","Ready · no fixed slot"))</f>
        <v/>
      </c>
      <c r="AN66" s="17" t="n"/>
    </row>
    <row r="67">
      <c r="A67" s="11" t="n">
        <v>65</v>
      </c>
      <c r="B67" s="11" t="n">
        <v>2</v>
      </c>
      <c r="C67" s="11" t="inlineStr">
        <is>
          <t>Bank</t>
        </is>
      </c>
      <c r="D67" s="11" t="inlineStr">
        <is>
          <t>City of London</t>
        </is>
      </c>
      <c r="E67" s="11" t="inlineStr">
        <is>
          <t>DB UK Bank Limited</t>
        </is>
      </c>
      <c r="F67" s="11" t="inlineStr">
        <is>
          <t>Deutsche Bank</t>
        </is>
      </c>
      <c r="G67" s="11" t="inlineStr">
        <is>
          <t>00315841</t>
        </is>
      </c>
      <c r="H67" s="12" t="inlineStr">
        <is>
          <t>Open</t>
        </is>
      </c>
      <c r="I67" s="12" t="inlineStr">
        <is>
          <t>Search</t>
        </is>
      </c>
      <c r="J67" s="11" t="inlineStr">
        <is>
          <t>Full</t>
        </is>
      </c>
      <c r="K67" s="13" t="n">
        <v>13331</v>
      </c>
      <c r="L67" s="11" t="inlineStr">
        <is>
          <t>21 Moorfields, London</t>
        </is>
      </c>
      <c r="M67" s="11" t="inlineStr">
        <is>
          <t>EC2Y 9DB</t>
        </is>
      </c>
      <c r="N67" s="11" t="inlineStr">
        <is>
          <t>No</t>
        </is>
      </c>
      <c r="U67" s="11" t="inlineStr">
        <is>
          <t>Shoreditch Powerleague</t>
        </is>
      </c>
      <c r="V67" s="11" t="n">
        <v>18</v>
      </c>
      <c r="W67" s="11" t="inlineStr">
        <is>
          <t>Liverpool St - Attlee Centre (18.3)</t>
        </is>
      </c>
      <c r="X67" s="11" t="inlineStr">
        <is>
          <t>Shoreditch Powerleague</t>
        </is>
      </c>
      <c r="Y67" s="11" t="n">
        <v>18</v>
      </c>
      <c r="Z67" s="14">
        <f>IFERROR(INDEX(Venues!$E$2:$E$15,MATCH(X67,Venues!$A$2:$A$15,0)),"Not checked")</f>
        <v/>
      </c>
      <c r="AA67" s="14">
        <f>IFERROR(INDEX(Venues!$F$2:$F$15,MATCH(X67,Venues!$A$2:$A$15,0)),0)</f>
        <v/>
      </c>
      <c r="AB67" s="15">
        <f>IFERROR(INDEX(Venues!$M$2:$M$15,MATCH(X67,Venues!$A$2:$A$15,0)),"")</f>
        <v/>
      </c>
      <c r="AC67" s="14">
        <f>IFERROR(INDEX(Venues!$N$2:$N$15,MATCH(X67,Venues!$A$2:$A$15,0)),"5-a-side")</f>
        <v/>
      </c>
      <c r="AD67" s="16">
        <f>IF(Offer!$C$4="","",Offer!$C$4)</f>
        <v/>
      </c>
      <c r="AE67" s="14">
        <f>X67&amp;" ("&amp;Y67&amp;" min walk) · "&amp;IF(ISNUMBER(AB67),TEXT(AB67,"ddd d mmm, hh:mm"),"slot to confirm with venue")&amp;" · "&amp;AC67&amp;" · "&amp;IF(AD67&lt;&gt;"","£"&amp;TEXT(AD67,"0.00")&amp;" pp","price TBC")</f>
        <v/>
      </c>
      <c r="AF67" s="14">
        <f>"After-work football for "&amp;F67&amp;" · "&amp;X67&amp;", "&amp;Y67&amp;" min from your office"</f>
        <v/>
      </c>
      <c r="AG67" s="14">
        <f>"Hi"&amp;IF(O67&lt;&gt;""," "&amp;O67,"")&amp;","&amp;CHAR(10)&amp;CHAR(10)&amp;"I'm "&amp;IF(AL67&lt;&gt;"",AL67,IF(Offer!$C$5&lt;&gt;"",Offer!$C$5,"[NAME]"))&amp;" from FC Urban. We organise after-work football for teams in the City and Canary Wharf."&amp;CHAR(10)&amp;CHAR(10)&amp;"We have a "&amp;AC67&amp;" pitch at "&amp;X67&amp;", "&amp;IF(OR(Y67=8,Y67=11,Y67=18),"an ","a ")&amp;Y67&amp;"-minute walk from your "&amp;M67&amp;" office, "&amp;IF(ISNUMBER(AB67),"on "&amp;TEXT(AB67,"dddd d mmmm")&amp;" at "&amp;TEXT(AB67,"hh:mm"),"on a weekday evening that suits your team")&amp;". It's "&amp;IF(AD67&lt;&gt;"","£"&amp;IF(AD67=INT(AD67),TEXT(AD67,"0"),TEXT(AD67,"0.00")),"[PRICE PER PLAYER]")&amp;" a player and we handle the pitch booking, sign-ups and payments, so all it takes is one person sharing a link with the team."&amp;CHAR(10)&amp;CHAR(10)&amp;"It works well as a team social or "&amp;IF(ISNUMBER(SEARCH(LEFT(F67,1),"AEIOU")),"an ","a ")&amp;F67&amp;"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LINK]")&amp;CHAR(10)&amp;CHAR(10)&amp;"Best,"&amp;CHAR(10)&amp;IF(AL67&lt;&gt;"",AL67,IF(Offer!$C$5&lt;&gt;"",Offer!$C$5,"[NAME]"))&amp;CHAR(10)&amp;"FC Urban"</f>
        <v/>
      </c>
      <c r="AH67" s="14">
        <f>IF(LEN("Hi"&amp;IF(O67&lt;&gt;""," "&amp;O67,"")&amp;","&amp;" FC Urban runs after-work football for "&amp;IF(D67="Canary Wharf","Canary Wharf","City")&amp;" teams. We have a "&amp;AC67&amp;" pitch at "&amp;X67&amp;", "&amp;Y67&amp;" min from your office, "&amp;IF(ISNUMBER(AB67),TEXT(AB67,"ddd d mmm")&amp;", "&amp;TEXT(AB67,"hh:mm"),"weekday evenings")&amp;", "&amp;IF(AD67&lt;&gt;"","£"&amp;IF(AD67=INT(AD67),TEXT(AD67,"0"),TEXT(AD67,"0.00")),"[PRICE PER PLAYER]")&amp;" a player. We handle booking, sign-ups and payments. Fancy "&amp;IF(ISNUMBER(SEARCH(LEFT(F67,1),"AEIOU")),"an ","a ")&amp;F67&amp;" team game? "&amp;IF(AL67&lt;&gt;"",AL67,IF(Offer!$C$5&lt;&gt;"",Offer!$C$5,"[NAME]")))&lt;=300,"Hi"&amp;IF(O67&lt;&gt;""," "&amp;O67,"")&amp;","&amp;" FC Urban runs after-work football for "&amp;IF(D67="Canary Wharf","Canary Wharf","City")&amp;" teams. We have a "&amp;AC67&amp;" pitch at "&amp;X67&amp;", "&amp;Y67&amp;" min from your office, "&amp;IF(ISNUMBER(AB67),TEXT(AB67,"ddd d mmm")&amp;", "&amp;TEXT(AB67,"hh:mm"),"weekday evenings")&amp;", "&amp;IF(AD67&lt;&gt;"","£"&amp;IF(AD67=INT(AD67),TEXT(AD67,"0"),TEXT(AD67,"0.00")),"[PRICE PER PLAYER]")&amp;" a player. We handle booking, sign-ups and payments. Fancy "&amp;IF(ISNUMBER(SEARCH(LEFT(F67,1),"AEIOU")),"an ","a ")&amp;F67&amp;" team game? "&amp;IF(AL67&lt;&gt;"",AL67,IF(Offer!$C$5&lt;&gt;"",Offer!$C$5,"[NAME]")),LEFT("Hi"&amp;IF(O67&lt;&gt;""," "&amp;O67,"")&amp;","&amp;" FC Urban runs after-work football for "&amp;IF(D67="Canary Wharf","Canary Wharf","City")&amp;" teams: "&amp;AC67&amp;" at "&amp;X67&amp;", "&amp;Y67&amp;" min from your office, "&amp;IF(ISNUMBER(AB67),TEXT(AB67,"ddd d mmm")&amp;", "&amp;TEXT(AB67,"hh:mm"),"weekday evenings")&amp;", "&amp;IF(AD67&lt;&gt;"","£"&amp;IF(AD67=INT(AD67),TEXT(AD67,"0"),TEXT(AD67,"0.00")),"[PRICE PER PLAYER]")&amp;" pp. We handle booking and payments. Up for a team game? "&amp;IF(AL67&lt;&gt;"",AL67,IF(Offer!$C$5&lt;&gt;"",Offer!$C$5,"[NAME]")),300))</f>
        <v/>
      </c>
      <c r="AI67" s="14">
        <f>LEN(AH67)</f>
        <v/>
      </c>
      <c r="AJ67" s="14">
        <f>"Thanks for connecting"&amp;IF(O67&lt;&gt;"",", "&amp;O67,"")&amp;". "&amp;IF(ISNUMBER(AB67),"The "&amp;AC67&amp;" slot at "&amp;X67&amp;" is "&amp;IF(ISNUMBER(AB67),TEXT(AB67,"ddd d mmm")&amp;", "&amp;TEXT(AB67,"hh:mm"),"weekday evenings"),"We can book "&amp;AC67&amp;" at "&amp;X67&amp;" on a weekday evening that suits you")&amp;" and it's "&amp;IF(AD67&lt;&gt;"","£"&amp;IF(AD67=INT(AD67),TEXT(AD67,"0"),TEXT(AD67,"0.00")),"[PRICE PER PLAYER]")&amp;" a player, all booked and paid through one link. If football isn't your thing, who at "&amp;F67&amp;" would be the right person to organise a team game?"&amp;IF(Offer!$C$7&lt;&gt;""," Spots are held until "&amp;TEXT(Offer!$C$7,"dddd d mmmm")&amp;".","")&amp;" "&amp;IF(Offer!$C$6&lt;&gt;"",Offer!$C$6,"[JOINING LINK]")</f>
        <v/>
      </c>
      <c r="AK67" s="14">
        <f>IF(OR(ISNUMBER(SEARCH("[",AG67)),ISNUMBER(SEARCH("[",AJ67))),"Fill placeholders",IF(ISNUMBER(AB67),"Ready to send","Ready · no fixed slot"))</f>
        <v/>
      </c>
      <c r="AN67" s="17" t="n"/>
    </row>
    <row r="68">
      <c r="A68" s="11" t="n">
        <v>66</v>
      </c>
      <c r="B68" s="11" t="n">
        <v>2</v>
      </c>
      <c r="C68" s="11" t="inlineStr">
        <is>
          <t>Bank</t>
        </is>
      </c>
      <c r="D68" s="11" t="inlineStr">
        <is>
          <t>City of London</t>
        </is>
      </c>
      <c r="E68" s="11" t="inlineStr">
        <is>
          <t>Zenith Bank (UK) Limited</t>
        </is>
      </c>
      <c r="F68" s="11" t="inlineStr">
        <is>
          <t>Zenith Bank</t>
        </is>
      </c>
      <c r="G68" s="11" t="inlineStr">
        <is>
          <t>05713749</t>
        </is>
      </c>
      <c r="H68" s="12" t="inlineStr">
        <is>
          <t>Open</t>
        </is>
      </c>
      <c r="I68" s="12" t="inlineStr">
        <is>
          <t>Search</t>
        </is>
      </c>
      <c r="J68" s="11" t="inlineStr">
        <is>
          <t>Full</t>
        </is>
      </c>
      <c r="K68" s="13" t="n">
        <v>38765</v>
      </c>
      <c r="L68" s="11" t="inlineStr">
        <is>
          <t>39 Cornhill, London</t>
        </is>
      </c>
      <c r="M68" s="11" t="inlineStr">
        <is>
          <t>EC3V 3ND</t>
        </is>
      </c>
      <c r="N68" s="11" t="inlineStr">
        <is>
          <t>Yes</t>
        </is>
      </c>
      <c r="U68" s="11" t="inlineStr">
        <is>
          <t>Liverpool St - Attlee Centre</t>
        </is>
      </c>
      <c r="V68" s="11" t="n">
        <v>18</v>
      </c>
      <c r="W68" s="11" t="n"/>
      <c r="X68" s="11" t="inlineStr">
        <is>
          <t>Liverpool St - Attlee Centre</t>
        </is>
      </c>
      <c r="Y68" s="11" t="n">
        <v>18</v>
      </c>
      <c r="Z68" s="14">
        <f>IFERROR(INDEX(Venues!$E$2:$E$15,MATCH(X68,Venues!$A$2:$A$15,0)),"Not checked")</f>
        <v/>
      </c>
      <c r="AA68" s="14">
        <f>IFERROR(INDEX(Venues!$F$2:$F$15,MATCH(X68,Venues!$A$2:$A$15,0)),0)</f>
        <v/>
      </c>
      <c r="AB68" s="15">
        <f>IFERROR(INDEX(Venues!$M$2:$M$15,MATCH(X68,Venues!$A$2:$A$15,0)),"")</f>
        <v/>
      </c>
      <c r="AC68" s="14">
        <f>IFERROR(INDEX(Venues!$N$2:$N$15,MATCH(X68,Venues!$A$2:$A$15,0)),"5-a-side")</f>
        <v/>
      </c>
      <c r="AD68" s="16">
        <f>IF(Offer!$C$4="","",Offer!$C$4)</f>
        <v/>
      </c>
      <c r="AE68" s="14">
        <f>X68&amp;" ("&amp;Y68&amp;" min walk) · "&amp;IF(ISNUMBER(AB68),TEXT(AB68,"ddd d mmm, hh:mm"),"slot to confirm with venue")&amp;" · "&amp;AC68&amp;" · "&amp;IF(AD68&lt;&gt;"","£"&amp;TEXT(AD68,"0.00")&amp;" pp","price TBC")</f>
        <v/>
      </c>
      <c r="AF68" s="14">
        <f>"After-work football for "&amp;F68&amp;" · "&amp;X68&amp;", "&amp;Y68&amp;" min from your office"</f>
        <v/>
      </c>
      <c r="AG68" s="14">
        <f>"Hi"&amp;IF(O68&lt;&gt;""," "&amp;O68,"")&amp;","&amp;CHAR(10)&amp;CHAR(10)&amp;"I'm "&amp;IF(AL68&lt;&gt;"",AL68,IF(Offer!$C$5&lt;&gt;"",Offer!$C$5,"[NAME]"))&amp;" from FC Urban. We organise after-work football for teams in the City and Canary Wharf."&amp;CHAR(10)&amp;CHAR(10)&amp;"We have a "&amp;AC68&amp;" pitch at "&amp;X68&amp;", "&amp;IF(OR(Y68=8,Y68=11,Y68=18),"an ","a ")&amp;Y68&amp;"-minute walk from your "&amp;M68&amp;" office, "&amp;IF(ISNUMBER(AB68),"on "&amp;TEXT(AB68,"dddd d mmmm")&amp;" at "&amp;TEXT(AB68,"hh:mm"),"on a weekday evening that suits your team")&amp;". It's "&amp;IF(AD68&lt;&gt;"","£"&amp;IF(AD68=INT(AD68),TEXT(AD68,"0"),TEXT(AD68,"0.00")),"[PRICE PER PLAYER]")&amp;" a player and we handle the pitch booking, sign-ups and payments, so all it takes is one person sharing a link with the team."&amp;CHAR(10)&amp;CHAR(10)&amp;"It works well as a team social or "&amp;IF(ISNUMBER(SEARCH(LEFT(F68,1),"AEIOU")),"an ","a ")&amp;F68&amp;"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LINK]")&amp;CHAR(10)&amp;CHAR(10)&amp;"Best,"&amp;CHAR(10)&amp;IF(AL68&lt;&gt;"",AL68,IF(Offer!$C$5&lt;&gt;"",Offer!$C$5,"[NAME]"))&amp;CHAR(10)&amp;"FC Urban"</f>
        <v/>
      </c>
      <c r="AH68" s="14">
        <f>IF(LEN("Hi"&amp;IF(O68&lt;&gt;""," "&amp;O68,"")&amp;","&amp;" FC Urban runs after-work football for "&amp;IF(D68="Canary Wharf","Canary Wharf","City")&amp;" teams. We have a "&amp;AC68&amp;" pitch at "&amp;X68&amp;", "&amp;Y68&amp;" min from your office, "&amp;IF(ISNUMBER(AB68),TEXT(AB68,"ddd d mmm")&amp;", "&amp;TEXT(AB68,"hh:mm"),"weekday evenings")&amp;", "&amp;IF(AD68&lt;&gt;"","£"&amp;IF(AD68=INT(AD68),TEXT(AD68,"0"),TEXT(AD68,"0.00")),"[PRICE PER PLAYER]")&amp;" a player. We handle booking, sign-ups and payments. Fancy "&amp;IF(ISNUMBER(SEARCH(LEFT(F68,1),"AEIOU")),"an ","a ")&amp;F68&amp;" team game? "&amp;IF(AL68&lt;&gt;"",AL68,IF(Offer!$C$5&lt;&gt;"",Offer!$C$5,"[NAME]")))&lt;=300,"Hi"&amp;IF(O68&lt;&gt;""," "&amp;O68,"")&amp;","&amp;" FC Urban runs after-work football for "&amp;IF(D68="Canary Wharf","Canary Wharf","City")&amp;" teams. We have a "&amp;AC68&amp;" pitch at "&amp;X68&amp;", "&amp;Y68&amp;" min from your office, "&amp;IF(ISNUMBER(AB68),TEXT(AB68,"ddd d mmm")&amp;", "&amp;TEXT(AB68,"hh:mm"),"weekday evenings")&amp;", "&amp;IF(AD68&lt;&gt;"","£"&amp;IF(AD68=INT(AD68),TEXT(AD68,"0"),TEXT(AD68,"0.00")),"[PRICE PER PLAYER]")&amp;" a player. We handle booking, sign-ups and payments. Fancy "&amp;IF(ISNUMBER(SEARCH(LEFT(F68,1),"AEIOU")),"an ","a ")&amp;F68&amp;" team game? "&amp;IF(AL68&lt;&gt;"",AL68,IF(Offer!$C$5&lt;&gt;"",Offer!$C$5,"[NAME]")),LEFT("Hi"&amp;IF(O68&lt;&gt;""," "&amp;O68,"")&amp;","&amp;" FC Urban runs after-work football for "&amp;IF(D68="Canary Wharf","Canary Wharf","City")&amp;" teams: "&amp;AC68&amp;" at "&amp;X68&amp;", "&amp;Y68&amp;" min from your office, "&amp;IF(ISNUMBER(AB68),TEXT(AB68,"ddd d mmm")&amp;", "&amp;TEXT(AB68,"hh:mm"),"weekday evenings")&amp;", "&amp;IF(AD68&lt;&gt;"","£"&amp;IF(AD68=INT(AD68),TEXT(AD68,"0"),TEXT(AD68,"0.00")),"[PRICE PER PLAYER]")&amp;" pp. We handle booking and payments. Up for a team game? "&amp;IF(AL68&lt;&gt;"",AL68,IF(Offer!$C$5&lt;&gt;"",Offer!$C$5,"[NAME]")),300))</f>
        <v/>
      </c>
      <c r="AI68" s="14">
        <f>LEN(AH68)</f>
        <v/>
      </c>
      <c r="AJ68" s="14">
        <f>"Thanks for connecting"&amp;IF(O68&lt;&gt;"",", "&amp;O68,"")&amp;". "&amp;IF(ISNUMBER(AB68),"The "&amp;AC68&amp;" slot at "&amp;X68&amp;" is "&amp;IF(ISNUMBER(AB68),TEXT(AB68,"ddd d mmm")&amp;", "&amp;TEXT(AB68,"hh:mm"),"weekday evenings"),"We can book "&amp;AC68&amp;" at "&amp;X68&amp;" on a weekday evening that suits you")&amp;" and it's "&amp;IF(AD68&lt;&gt;"","£"&amp;IF(AD68=INT(AD68),TEXT(AD68,"0"),TEXT(AD68,"0.00")),"[PRICE PER PLAYER]")&amp;" a player, all booked and paid through one link. If football isn't your thing, who at "&amp;F68&amp;" would be the right person to organise a team game?"&amp;IF(Offer!$C$7&lt;&gt;""," Spots are held until "&amp;TEXT(Offer!$C$7,"dddd d mmmm")&amp;".","")&amp;" "&amp;IF(Offer!$C$6&lt;&gt;"",Offer!$C$6,"[JOINING LINK]")</f>
        <v/>
      </c>
      <c r="AK68" s="14">
        <f>IF(OR(ISNUMBER(SEARCH("[",AG68)),ISNUMBER(SEARCH("[",AJ68))),"Fill placeholders",IF(ISNUMBER(AB68),"Ready to send","Ready · no fixed slot"))</f>
        <v/>
      </c>
      <c r="AN68" s="17" t="n"/>
    </row>
    <row r="69">
      <c r="A69" s="11" t="n">
        <v>67</v>
      </c>
      <c r="B69" s="11" t="n">
        <v>2</v>
      </c>
      <c r="C69" s="11" t="inlineStr">
        <is>
          <t>Bank</t>
        </is>
      </c>
      <c r="D69" s="11" t="inlineStr">
        <is>
          <t>City of London</t>
        </is>
      </c>
      <c r="E69" s="11" t="inlineStr">
        <is>
          <t>Fidbank UK Limited</t>
        </is>
      </c>
      <c r="F69" s="11" t="inlineStr">
        <is>
          <t>Fidbank</t>
        </is>
      </c>
      <c r="G69" s="11" t="inlineStr">
        <is>
          <t>04661188</t>
        </is>
      </c>
      <c r="H69" s="12" t="inlineStr">
        <is>
          <t>Open</t>
        </is>
      </c>
      <c r="I69" s="12" t="inlineStr">
        <is>
          <t>Search</t>
        </is>
      </c>
      <c r="J69" s="11" t="inlineStr">
        <is>
          <t>Full</t>
        </is>
      </c>
      <c r="K69" s="13" t="n">
        <v>37662</v>
      </c>
      <c r="L69" s="11" t="inlineStr">
        <is>
          <t>1 Kings Arms Yard, London</t>
        </is>
      </c>
      <c r="M69" s="11" t="inlineStr">
        <is>
          <t>EC2R 7AF</t>
        </is>
      </c>
      <c r="N69" s="11" t="inlineStr">
        <is>
          <t>Yes</t>
        </is>
      </c>
      <c r="U69" s="11" t="inlineStr">
        <is>
          <t>Liverpool St - Attlee Centre</t>
        </is>
      </c>
      <c r="V69" s="11" t="n">
        <v>19</v>
      </c>
      <c r="W69" s="11" t="n"/>
      <c r="X69" s="11" t="inlineStr">
        <is>
          <t>Liverpool St - Attlee Centre</t>
        </is>
      </c>
      <c r="Y69" s="11" t="n">
        <v>19</v>
      </c>
      <c r="Z69" s="14">
        <f>IFERROR(INDEX(Venues!$E$2:$E$15,MATCH(X69,Venues!$A$2:$A$15,0)),"Not checked")</f>
        <v/>
      </c>
      <c r="AA69" s="14">
        <f>IFERROR(INDEX(Venues!$F$2:$F$15,MATCH(X69,Venues!$A$2:$A$15,0)),0)</f>
        <v/>
      </c>
      <c r="AB69" s="15">
        <f>IFERROR(INDEX(Venues!$M$2:$M$15,MATCH(X69,Venues!$A$2:$A$15,0)),"")</f>
        <v/>
      </c>
      <c r="AC69" s="14">
        <f>IFERROR(INDEX(Venues!$N$2:$N$15,MATCH(X69,Venues!$A$2:$A$15,0)),"5-a-side")</f>
        <v/>
      </c>
      <c r="AD69" s="16">
        <f>IF(Offer!$C$4="","",Offer!$C$4)</f>
        <v/>
      </c>
      <c r="AE69" s="14">
        <f>X69&amp;" ("&amp;Y69&amp;" min walk) · "&amp;IF(ISNUMBER(AB69),TEXT(AB69,"ddd d mmm, hh:mm"),"slot to confirm with venue")&amp;" · "&amp;AC69&amp;" · "&amp;IF(AD69&lt;&gt;"","£"&amp;TEXT(AD69,"0.00")&amp;" pp","price TBC")</f>
        <v/>
      </c>
      <c r="AF69" s="14">
        <f>"After-work football for "&amp;F69&amp;" · "&amp;X69&amp;", "&amp;Y69&amp;" min from your office"</f>
        <v/>
      </c>
      <c r="AG69" s="14">
        <f>"Hi"&amp;IF(O69&lt;&gt;""," "&amp;O69,"")&amp;","&amp;CHAR(10)&amp;CHAR(10)&amp;"I'm "&amp;IF(AL69&lt;&gt;"",AL69,IF(Offer!$C$5&lt;&gt;"",Offer!$C$5,"[NAME]"))&amp;" from FC Urban. We organise after-work football for teams in the City and Canary Wharf."&amp;CHAR(10)&amp;CHAR(10)&amp;"We have a "&amp;AC69&amp;" pitch at "&amp;X69&amp;", "&amp;IF(OR(Y69=8,Y69=11,Y69=18),"an ","a ")&amp;Y69&amp;"-minute walk from your "&amp;M69&amp;" office, "&amp;IF(ISNUMBER(AB69),"on "&amp;TEXT(AB69,"dddd d mmmm")&amp;" at "&amp;TEXT(AB69,"hh:mm"),"on a weekday evening that suits your team")&amp;". It's "&amp;IF(AD69&lt;&gt;"","£"&amp;IF(AD69=INT(AD69),TEXT(AD69,"0"),TEXT(AD69,"0.00")),"[PRICE PER PLAYER]")&amp;" a player and we handle the pitch booking, sign-ups and payments, so all it takes is one person sharing a link with the team."&amp;CHAR(10)&amp;CHAR(10)&amp;"It works well as a team social or "&amp;IF(ISNUMBER(SEARCH(LEFT(F69,1),"AEIOU")),"an ","a ")&amp;F69&amp;"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LINK]")&amp;CHAR(10)&amp;CHAR(10)&amp;"Best,"&amp;CHAR(10)&amp;IF(AL69&lt;&gt;"",AL69,IF(Offer!$C$5&lt;&gt;"",Offer!$C$5,"[NAME]"))&amp;CHAR(10)&amp;"FC Urban"</f>
        <v/>
      </c>
      <c r="AH69" s="14">
        <f>IF(LEN("Hi"&amp;IF(O69&lt;&gt;""," "&amp;O69,"")&amp;","&amp;" FC Urban runs after-work football for "&amp;IF(D69="Canary Wharf","Canary Wharf","City")&amp;" teams. We have a "&amp;AC69&amp;" pitch at "&amp;X69&amp;", "&amp;Y69&amp;" min from your office, "&amp;IF(ISNUMBER(AB69),TEXT(AB69,"ddd d mmm")&amp;", "&amp;TEXT(AB69,"hh:mm"),"weekday evenings")&amp;", "&amp;IF(AD69&lt;&gt;"","£"&amp;IF(AD69=INT(AD69),TEXT(AD69,"0"),TEXT(AD69,"0.00")),"[PRICE PER PLAYER]")&amp;" a player. We handle booking, sign-ups and payments. Fancy "&amp;IF(ISNUMBER(SEARCH(LEFT(F69,1),"AEIOU")),"an ","a ")&amp;F69&amp;" team game? "&amp;IF(AL69&lt;&gt;"",AL69,IF(Offer!$C$5&lt;&gt;"",Offer!$C$5,"[NAME]")))&lt;=300,"Hi"&amp;IF(O69&lt;&gt;""," "&amp;O69,"")&amp;","&amp;" FC Urban runs after-work football for "&amp;IF(D69="Canary Wharf","Canary Wharf","City")&amp;" teams. We have a "&amp;AC69&amp;" pitch at "&amp;X69&amp;", "&amp;Y69&amp;" min from your office, "&amp;IF(ISNUMBER(AB69),TEXT(AB69,"ddd d mmm")&amp;", "&amp;TEXT(AB69,"hh:mm"),"weekday evenings")&amp;", "&amp;IF(AD69&lt;&gt;"","£"&amp;IF(AD69=INT(AD69),TEXT(AD69,"0"),TEXT(AD69,"0.00")),"[PRICE PER PLAYER]")&amp;" a player. We handle booking, sign-ups and payments. Fancy "&amp;IF(ISNUMBER(SEARCH(LEFT(F69,1),"AEIOU")),"an ","a ")&amp;F69&amp;" team game? "&amp;IF(AL69&lt;&gt;"",AL69,IF(Offer!$C$5&lt;&gt;"",Offer!$C$5,"[NAME]")),LEFT("Hi"&amp;IF(O69&lt;&gt;""," "&amp;O69,"")&amp;","&amp;" FC Urban runs after-work football for "&amp;IF(D69="Canary Wharf","Canary Wharf","City")&amp;" teams: "&amp;AC69&amp;" at "&amp;X69&amp;", "&amp;Y69&amp;" min from your office, "&amp;IF(ISNUMBER(AB69),TEXT(AB69,"ddd d mmm")&amp;", "&amp;TEXT(AB69,"hh:mm"),"weekday evenings")&amp;", "&amp;IF(AD69&lt;&gt;"","£"&amp;IF(AD69=INT(AD69),TEXT(AD69,"0"),TEXT(AD69,"0.00")),"[PRICE PER PLAYER]")&amp;" pp. We handle booking and payments. Up for a team game? "&amp;IF(AL69&lt;&gt;"",AL69,IF(Offer!$C$5&lt;&gt;"",Offer!$C$5,"[NAME]")),300))</f>
        <v/>
      </c>
      <c r="AI69" s="14">
        <f>LEN(AH69)</f>
        <v/>
      </c>
      <c r="AJ69" s="14">
        <f>"Thanks for connecting"&amp;IF(O69&lt;&gt;"",", "&amp;O69,"")&amp;". "&amp;IF(ISNUMBER(AB69),"The "&amp;AC69&amp;" slot at "&amp;X69&amp;" is "&amp;IF(ISNUMBER(AB69),TEXT(AB69,"ddd d mmm")&amp;", "&amp;TEXT(AB69,"hh:mm"),"weekday evenings"),"We can book "&amp;AC69&amp;" at "&amp;X69&amp;" on a weekday evening that suits you")&amp;" and it's "&amp;IF(AD69&lt;&gt;"","£"&amp;IF(AD69=INT(AD69),TEXT(AD69,"0"),TEXT(AD69,"0.00")),"[PRICE PER PLAYER]")&amp;" a player, all booked and paid through one link. If football isn't your thing, who at "&amp;F69&amp;" would be the right person to organise a team game?"&amp;IF(Offer!$C$7&lt;&gt;""," Spots are held until "&amp;TEXT(Offer!$C$7,"dddd d mmmm")&amp;".","")&amp;" "&amp;IF(Offer!$C$6&lt;&gt;"",Offer!$C$6,"[JOINING LINK]")</f>
        <v/>
      </c>
      <c r="AK69" s="14">
        <f>IF(OR(ISNUMBER(SEARCH("[",AG69)),ISNUMBER(SEARCH("[",AJ69))),"Fill placeholders",IF(ISNUMBER(AB69),"Ready to send","Ready · no fixed slot"))</f>
        <v/>
      </c>
      <c r="AN69" s="17" t="n"/>
    </row>
    <row r="70">
      <c r="A70" s="11" t="n">
        <v>68</v>
      </c>
      <c r="B70" s="11" t="n">
        <v>2</v>
      </c>
      <c r="C70" s="11" t="inlineStr">
        <is>
          <t>Bank</t>
        </is>
      </c>
      <c r="D70" s="11" t="inlineStr">
        <is>
          <t>City of London</t>
        </is>
      </c>
      <c r="E70" s="11" t="inlineStr">
        <is>
          <t>Nomura Bank International PLC.</t>
        </is>
      </c>
      <c r="F70" s="11" t="inlineStr">
        <is>
          <t>Nomura</t>
        </is>
      </c>
      <c r="G70" s="11" t="inlineStr">
        <is>
          <t>01981122</t>
        </is>
      </c>
      <c r="H70" s="12" t="inlineStr">
        <is>
          <t>Open</t>
        </is>
      </c>
      <c r="I70" s="12" t="inlineStr">
        <is>
          <t>Search</t>
        </is>
      </c>
      <c r="J70" s="11" t="inlineStr">
        <is>
          <t>Full</t>
        </is>
      </c>
      <c r="K70" s="13" t="n">
        <v>31434</v>
      </c>
      <c r="L70" s="11" t="inlineStr">
        <is>
          <t>1 Angel Lane, London</t>
        </is>
      </c>
      <c r="M70" s="11" t="inlineStr">
        <is>
          <t>EC4R 3AB</t>
        </is>
      </c>
      <c r="N70" s="11" t="inlineStr">
        <is>
          <t>No</t>
        </is>
      </c>
      <c r="U70" s="11" t="inlineStr">
        <is>
          <t>Borough Academy</t>
        </is>
      </c>
      <c r="V70" s="11" t="n">
        <v>19</v>
      </c>
      <c r="W70" s="11" t="n"/>
      <c r="X70" s="11" t="inlineStr">
        <is>
          <t>Borough Academy</t>
        </is>
      </c>
      <c r="Y70" s="11" t="n">
        <v>19</v>
      </c>
      <c r="Z70" s="14">
        <f>IFERROR(INDEX(Venues!$E$2:$E$15,MATCH(X70,Venues!$A$2:$A$15,0)),"Not checked")</f>
        <v/>
      </c>
      <c r="AA70" s="14">
        <f>IFERROR(INDEX(Venues!$F$2:$F$15,MATCH(X70,Venues!$A$2:$A$15,0)),0)</f>
        <v/>
      </c>
      <c r="AB70" s="15">
        <f>IFERROR(INDEX(Venues!$M$2:$M$15,MATCH(X70,Venues!$A$2:$A$15,0)),"")</f>
        <v/>
      </c>
      <c r="AC70" s="14">
        <f>IFERROR(INDEX(Venues!$N$2:$N$15,MATCH(X70,Venues!$A$2:$A$15,0)),"5-a-side")</f>
        <v/>
      </c>
      <c r="AD70" s="16">
        <f>IF(Offer!$C$4="","",Offer!$C$4)</f>
        <v/>
      </c>
      <c r="AE70" s="14">
        <f>X70&amp;" ("&amp;Y70&amp;" min walk) · "&amp;IF(ISNUMBER(AB70),TEXT(AB70,"ddd d mmm, hh:mm"),"slot to confirm with venue")&amp;" · "&amp;AC70&amp;" · "&amp;IF(AD70&lt;&gt;"","£"&amp;TEXT(AD70,"0.00")&amp;" pp","price TBC")</f>
        <v/>
      </c>
      <c r="AF70" s="14">
        <f>"After-work football for "&amp;F70&amp;" · "&amp;X70&amp;", "&amp;Y70&amp;" min from your office"</f>
        <v/>
      </c>
      <c r="AG70" s="14">
        <f>"Hi"&amp;IF(O70&lt;&gt;""," "&amp;O70,"")&amp;","&amp;CHAR(10)&amp;CHAR(10)&amp;"I'm "&amp;IF(AL70&lt;&gt;"",AL70,IF(Offer!$C$5&lt;&gt;"",Offer!$C$5,"[NAME]"))&amp;" from FC Urban. We organise after-work football for teams in the City and Canary Wharf."&amp;CHAR(10)&amp;CHAR(10)&amp;"We have a "&amp;AC70&amp;" pitch at "&amp;X70&amp;", "&amp;IF(OR(Y70=8,Y70=11,Y70=18),"an ","a ")&amp;Y70&amp;"-minute walk from your "&amp;M70&amp;" office, "&amp;IF(ISNUMBER(AB70),"on "&amp;TEXT(AB70,"dddd d mmmm")&amp;" at "&amp;TEXT(AB70,"hh:mm"),"on a weekday evening that suits your team")&amp;". It's "&amp;IF(AD70&lt;&gt;"","£"&amp;IF(AD70=INT(AD70),TEXT(AD70,"0"),TEXT(AD70,"0.00")),"[PRICE PER PLAYER]")&amp;" a player and we handle the pitch booking, sign-ups and payments, so all it takes is one person sharing a link with the team."&amp;CHAR(10)&amp;CHAR(10)&amp;"It works well as a team social or "&amp;IF(ISNUMBER(SEARCH(LEFT(F70,1),"AEIOU")),"an ","a ")&amp;F70&amp;"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LINK]")&amp;CHAR(10)&amp;CHAR(10)&amp;"Best,"&amp;CHAR(10)&amp;IF(AL70&lt;&gt;"",AL70,IF(Offer!$C$5&lt;&gt;"",Offer!$C$5,"[NAME]"))&amp;CHAR(10)&amp;"FC Urban"</f>
        <v/>
      </c>
      <c r="AH70" s="14">
        <f>IF(LEN("Hi"&amp;IF(O70&lt;&gt;""," "&amp;O70,"")&amp;","&amp;" FC Urban runs after-work football for "&amp;IF(D70="Canary Wharf","Canary Wharf","City")&amp;" teams. We have a "&amp;AC70&amp;" pitch at "&amp;X70&amp;", "&amp;Y70&amp;" min from your office, "&amp;IF(ISNUMBER(AB70),TEXT(AB70,"ddd d mmm")&amp;", "&amp;TEXT(AB70,"hh:mm"),"weekday evenings")&amp;", "&amp;IF(AD70&lt;&gt;"","£"&amp;IF(AD70=INT(AD70),TEXT(AD70,"0"),TEXT(AD70,"0.00")),"[PRICE PER PLAYER]")&amp;" a player. We handle booking, sign-ups and payments. Fancy "&amp;IF(ISNUMBER(SEARCH(LEFT(F70,1),"AEIOU")),"an ","a ")&amp;F70&amp;" team game? "&amp;IF(AL70&lt;&gt;"",AL70,IF(Offer!$C$5&lt;&gt;"",Offer!$C$5,"[NAME]")))&lt;=300,"Hi"&amp;IF(O70&lt;&gt;""," "&amp;O70,"")&amp;","&amp;" FC Urban runs after-work football for "&amp;IF(D70="Canary Wharf","Canary Wharf","City")&amp;" teams. We have a "&amp;AC70&amp;" pitch at "&amp;X70&amp;", "&amp;Y70&amp;" min from your office, "&amp;IF(ISNUMBER(AB70),TEXT(AB70,"ddd d mmm")&amp;", "&amp;TEXT(AB70,"hh:mm"),"weekday evenings")&amp;", "&amp;IF(AD70&lt;&gt;"","£"&amp;IF(AD70=INT(AD70),TEXT(AD70,"0"),TEXT(AD70,"0.00")),"[PRICE PER PLAYER]")&amp;" a player. We handle booking, sign-ups and payments. Fancy "&amp;IF(ISNUMBER(SEARCH(LEFT(F70,1),"AEIOU")),"an ","a ")&amp;F70&amp;" team game? "&amp;IF(AL70&lt;&gt;"",AL70,IF(Offer!$C$5&lt;&gt;"",Offer!$C$5,"[NAME]")),LEFT("Hi"&amp;IF(O70&lt;&gt;""," "&amp;O70,"")&amp;","&amp;" FC Urban runs after-work football for "&amp;IF(D70="Canary Wharf","Canary Wharf","City")&amp;" teams: "&amp;AC70&amp;" at "&amp;X70&amp;", "&amp;Y70&amp;" min from your office, "&amp;IF(ISNUMBER(AB70),TEXT(AB70,"ddd d mmm")&amp;", "&amp;TEXT(AB70,"hh:mm"),"weekday evenings")&amp;", "&amp;IF(AD70&lt;&gt;"","£"&amp;IF(AD70=INT(AD70),TEXT(AD70,"0"),TEXT(AD70,"0.00")),"[PRICE PER PLAYER]")&amp;" pp. We handle booking and payments. Up for a team game? "&amp;IF(AL70&lt;&gt;"",AL70,IF(Offer!$C$5&lt;&gt;"",Offer!$C$5,"[NAME]")),300))</f>
        <v/>
      </c>
      <c r="AI70" s="14">
        <f>LEN(AH70)</f>
        <v/>
      </c>
      <c r="AJ70" s="14">
        <f>"Thanks for connecting"&amp;IF(O70&lt;&gt;"",", "&amp;O70,"")&amp;". "&amp;IF(ISNUMBER(AB70),"The "&amp;AC70&amp;" slot at "&amp;X70&amp;" is "&amp;IF(ISNUMBER(AB70),TEXT(AB70,"ddd d mmm")&amp;", "&amp;TEXT(AB70,"hh:mm"),"weekday evenings"),"We can book "&amp;AC70&amp;" at "&amp;X70&amp;" on a weekday evening that suits you")&amp;" and it's "&amp;IF(AD70&lt;&gt;"","£"&amp;IF(AD70=INT(AD70),TEXT(AD70,"0"),TEXT(AD70,"0.00")),"[PRICE PER PLAYER]")&amp;" a player, all booked and paid through one link. If football isn't your thing, who at "&amp;F70&amp;" would be the right person to organise a team game?"&amp;IF(Offer!$C$7&lt;&gt;""," Spots are held until "&amp;TEXT(Offer!$C$7,"dddd d mmmm")&amp;".","")&amp;" "&amp;IF(Offer!$C$6&lt;&gt;"",Offer!$C$6,"[JOINING LINK]")</f>
        <v/>
      </c>
      <c r="AK70" s="14">
        <f>IF(OR(ISNUMBER(SEARCH("[",AG70)),ISNUMBER(SEARCH("[",AJ70))),"Fill placeholders",IF(ISNUMBER(AB70),"Ready to send","Ready · no fixed slot"))</f>
        <v/>
      </c>
      <c r="AN70" s="17" t="n"/>
    </row>
    <row r="71">
      <c r="A71" s="11" t="n">
        <v>69</v>
      </c>
      <c r="B71" s="11" t="n">
        <v>2</v>
      </c>
      <c r="C71" s="11" t="inlineStr">
        <is>
          <t>Bank</t>
        </is>
      </c>
      <c r="D71" s="11" t="inlineStr">
        <is>
          <t>City of London</t>
        </is>
      </c>
      <c r="E71" s="11" t="inlineStr">
        <is>
          <t>FCMB Bank (UK) Limited</t>
        </is>
      </c>
      <c r="F71" s="11" t="inlineStr">
        <is>
          <t>FCMB Bank</t>
        </is>
      </c>
      <c r="G71" s="11" t="inlineStr">
        <is>
          <t>06621225</t>
        </is>
      </c>
      <c r="H71" s="12" t="inlineStr">
        <is>
          <t>Open</t>
        </is>
      </c>
      <c r="I71" s="12" t="inlineStr">
        <is>
          <t>Search</t>
        </is>
      </c>
      <c r="J71" s="11" t="inlineStr">
        <is>
          <t>Full</t>
        </is>
      </c>
      <c r="K71" s="13" t="n">
        <v>39615</v>
      </c>
      <c r="L71" s="11" t="inlineStr">
        <is>
          <t>Dawson House, 5 Jewry Street, London</t>
        </is>
      </c>
      <c r="M71" s="11" t="inlineStr">
        <is>
          <t>EC3N 2EX</t>
        </is>
      </c>
      <c r="N71" s="11" t="inlineStr">
        <is>
          <t>No</t>
        </is>
      </c>
      <c r="U71" s="11" t="inlineStr">
        <is>
          <t>Liverpool St - Attlee Centre</t>
        </is>
      </c>
      <c r="V71" s="11" t="n">
        <v>10</v>
      </c>
      <c r="W71" s="11" t="inlineStr">
        <is>
          <t>Whitechapel (18.7); Shoreditch Powerleague (18.8)</t>
        </is>
      </c>
      <c r="X71" s="11" t="inlineStr">
        <is>
          <t>Shoreditch Powerleague</t>
        </is>
      </c>
      <c r="Y71" s="11" t="n">
        <v>19</v>
      </c>
      <c r="Z71" s="14">
        <f>IFERROR(INDEX(Venues!$E$2:$E$15,MATCH(X71,Venues!$A$2:$A$15,0)),"Not checked")</f>
        <v/>
      </c>
      <c r="AA71" s="14">
        <f>IFERROR(INDEX(Venues!$F$2:$F$15,MATCH(X71,Venues!$A$2:$A$15,0)),0)</f>
        <v/>
      </c>
      <c r="AB71" s="15">
        <f>IFERROR(INDEX(Venues!$M$2:$M$15,MATCH(X71,Venues!$A$2:$A$15,0)),"")</f>
        <v/>
      </c>
      <c r="AC71" s="14">
        <f>IFERROR(INDEX(Venues!$N$2:$N$15,MATCH(X71,Venues!$A$2:$A$15,0)),"5-a-side")</f>
        <v/>
      </c>
      <c r="AD71" s="16">
        <f>IF(Offer!$C$4="","",Offer!$C$4)</f>
        <v/>
      </c>
      <c r="AE71" s="14">
        <f>X71&amp;" ("&amp;Y71&amp;" min walk) · "&amp;IF(ISNUMBER(AB71),TEXT(AB71,"ddd d mmm, hh:mm"),"slot to confirm with venue")&amp;" · "&amp;AC71&amp;" · "&amp;IF(AD71&lt;&gt;"","£"&amp;TEXT(AD71,"0.00")&amp;" pp","price TBC")</f>
        <v/>
      </c>
      <c r="AF71" s="14">
        <f>"After-work football for "&amp;F71&amp;" · "&amp;X71&amp;", "&amp;Y71&amp;" min from your office"</f>
        <v/>
      </c>
      <c r="AG71" s="14">
        <f>"Hi"&amp;IF(O71&lt;&gt;""," "&amp;O71,"")&amp;","&amp;CHAR(10)&amp;CHAR(10)&amp;"I'm "&amp;IF(AL71&lt;&gt;"",AL71,IF(Offer!$C$5&lt;&gt;"",Offer!$C$5,"[NAME]"))&amp;" from FC Urban. We organise after-work football for teams in the City and Canary Wharf."&amp;CHAR(10)&amp;CHAR(10)&amp;"We have a "&amp;AC71&amp;" pitch at "&amp;X71&amp;", "&amp;IF(OR(Y71=8,Y71=11,Y71=18),"an ","a ")&amp;Y71&amp;"-minute walk from your "&amp;M71&amp;" office, "&amp;IF(ISNUMBER(AB71),"on "&amp;TEXT(AB71,"dddd d mmmm")&amp;" at "&amp;TEXT(AB71,"hh:mm"),"on a weekday evening that suits your team")&amp;". It's "&amp;IF(AD71&lt;&gt;"","£"&amp;IF(AD71=INT(AD71),TEXT(AD71,"0"),TEXT(AD71,"0.00")),"[PRICE PER PLAYER]")&amp;" a player and we handle the pitch booking, sign-ups and payments, so all it takes is one person sharing a link with the team."&amp;CHAR(10)&amp;CHAR(10)&amp;"It works well as a team social or "&amp;IF(ISNUMBER(SEARCH(LEFT(F71,1),"AEIOU")),"an ","a ")&amp;F71&amp;"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LINK]")&amp;CHAR(10)&amp;CHAR(10)&amp;"Best,"&amp;CHAR(10)&amp;IF(AL71&lt;&gt;"",AL71,IF(Offer!$C$5&lt;&gt;"",Offer!$C$5,"[NAME]"))&amp;CHAR(10)&amp;"FC Urban"</f>
        <v/>
      </c>
      <c r="AH71" s="14">
        <f>IF(LEN("Hi"&amp;IF(O71&lt;&gt;""," "&amp;O71,"")&amp;","&amp;" FC Urban runs after-work football for "&amp;IF(D71="Canary Wharf","Canary Wharf","City")&amp;" teams. We have a "&amp;AC71&amp;" pitch at "&amp;X71&amp;", "&amp;Y71&amp;" min from your office, "&amp;IF(ISNUMBER(AB71),TEXT(AB71,"ddd d mmm")&amp;", "&amp;TEXT(AB71,"hh:mm"),"weekday evenings")&amp;", "&amp;IF(AD71&lt;&gt;"","£"&amp;IF(AD71=INT(AD71),TEXT(AD71,"0"),TEXT(AD71,"0.00")),"[PRICE PER PLAYER]")&amp;" a player. We handle booking, sign-ups and payments. Fancy "&amp;IF(ISNUMBER(SEARCH(LEFT(F71,1),"AEIOU")),"an ","a ")&amp;F71&amp;" team game? "&amp;IF(AL71&lt;&gt;"",AL71,IF(Offer!$C$5&lt;&gt;"",Offer!$C$5,"[NAME]")))&lt;=300,"Hi"&amp;IF(O71&lt;&gt;""," "&amp;O71,"")&amp;","&amp;" FC Urban runs after-work football for "&amp;IF(D71="Canary Wharf","Canary Wharf","City")&amp;" teams. We have a "&amp;AC71&amp;" pitch at "&amp;X71&amp;", "&amp;Y71&amp;" min from your office, "&amp;IF(ISNUMBER(AB71),TEXT(AB71,"ddd d mmm")&amp;", "&amp;TEXT(AB71,"hh:mm"),"weekday evenings")&amp;", "&amp;IF(AD71&lt;&gt;"","£"&amp;IF(AD71=INT(AD71),TEXT(AD71,"0"),TEXT(AD71,"0.00")),"[PRICE PER PLAYER]")&amp;" a player. We handle booking, sign-ups and payments. Fancy "&amp;IF(ISNUMBER(SEARCH(LEFT(F71,1),"AEIOU")),"an ","a ")&amp;F71&amp;" team game? "&amp;IF(AL71&lt;&gt;"",AL71,IF(Offer!$C$5&lt;&gt;"",Offer!$C$5,"[NAME]")),LEFT("Hi"&amp;IF(O71&lt;&gt;""," "&amp;O71,"")&amp;","&amp;" FC Urban runs after-work football for "&amp;IF(D71="Canary Wharf","Canary Wharf","City")&amp;" teams: "&amp;AC71&amp;" at "&amp;X71&amp;", "&amp;Y71&amp;" min from your office, "&amp;IF(ISNUMBER(AB71),TEXT(AB71,"ddd d mmm")&amp;", "&amp;TEXT(AB71,"hh:mm"),"weekday evenings")&amp;", "&amp;IF(AD71&lt;&gt;"","£"&amp;IF(AD71=INT(AD71),TEXT(AD71,"0"),TEXT(AD71,"0.00")),"[PRICE PER PLAYER]")&amp;" pp. We handle booking and payments. Up for a team game? "&amp;IF(AL71&lt;&gt;"",AL71,IF(Offer!$C$5&lt;&gt;"",Offer!$C$5,"[NAME]")),300))</f>
        <v/>
      </c>
      <c r="AI71" s="14">
        <f>LEN(AH71)</f>
        <v/>
      </c>
      <c r="AJ71" s="14">
        <f>"Thanks for connecting"&amp;IF(O71&lt;&gt;"",", "&amp;O71,"")&amp;". "&amp;IF(ISNUMBER(AB71),"The "&amp;AC71&amp;" slot at "&amp;X71&amp;" is "&amp;IF(ISNUMBER(AB71),TEXT(AB71,"ddd d mmm")&amp;", "&amp;TEXT(AB71,"hh:mm"),"weekday evenings"),"We can book "&amp;AC71&amp;" at "&amp;X71&amp;" on a weekday evening that suits you")&amp;" and it's "&amp;IF(AD71&lt;&gt;"","£"&amp;IF(AD71=INT(AD71),TEXT(AD71,"0"),TEXT(AD71,"0.00")),"[PRICE PER PLAYER]")&amp;" a player, all booked and paid through one link. If football isn't your thing, who at "&amp;F71&amp;" would be the right person to organise a team game?"&amp;IF(Offer!$C$7&lt;&gt;""," Spots are held until "&amp;TEXT(Offer!$C$7,"dddd d mmmm")&amp;".","")&amp;" "&amp;IF(Offer!$C$6&lt;&gt;"",Offer!$C$6,"[JOINING LINK]")</f>
        <v/>
      </c>
      <c r="AK71" s="14">
        <f>IF(OR(ISNUMBER(SEARCH("[",AG71)),ISNUMBER(SEARCH("[",AJ71))),"Fill placeholders",IF(ISNUMBER(AB71),"Ready to send","Ready · no fixed slot"))</f>
        <v/>
      </c>
      <c r="AN71" s="17" t="n"/>
    </row>
    <row r="72">
      <c r="A72" s="11" t="n">
        <v>70</v>
      </c>
      <c r="B72" s="11" t="n">
        <v>2</v>
      </c>
      <c r="C72" s="11" t="inlineStr">
        <is>
          <t>Public / state-owned bank</t>
        </is>
      </c>
      <c r="D72" s="11" t="inlineStr">
        <is>
          <t>City of London</t>
        </is>
      </c>
      <c r="E72" s="11" t="inlineStr">
        <is>
          <t>The Private Infrastructure Development Group Limited</t>
        </is>
      </c>
      <c r="F72" s="11" t="inlineStr">
        <is>
          <t>PIDG</t>
        </is>
      </c>
      <c r="G72" s="11" t="inlineStr">
        <is>
          <t>11265124</t>
        </is>
      </c>
      <c r="H72" s="12" t="inlineStr">
        <is>
          <t>Open</t>
        </is>
      </c>
      <c r="I72" s="12" t="inlineStr">
        <is>
          <t>Search</t>
        </is>
      </c>
      <c r="J72" s="11" t="inlineStr">
        <is>
          <t>Full</t>
        </is>
      </c>
      <c r="K72" s="13" t="n">
        <v>43179</v>
      </c>
      <c r="L72" s="11" t="inlineStr">
        <is>
          <t>6 Bevis Marks, London</t>
        </is>
      </c>
      <c r="M72" s="11" t="inlineStr">
        <is>
          <t>EC3A 7BA</t>
        </is>
      </c>
      <c r="N72" s="11" t="inlineStr">
        <is>
          <t>No</t>
        </is>
      </c>
      <c r="U72" s="11" t="inlineStr">
        <is>
          <t>Liverpool St - Attlee Centre</t>
        </is>
      </c>
      <c r="V72" s="11" t="n">
        <v>9</v>
      </c>
      <c r="W72" s="11" t="inlineStr">
        <is>
          <t>Shoreditch Powerleague (15.6)</t>
        </is>
      </c>
      <c r="X72" s="11" t="inlineStr">
        <is>
          <t>Shoreditch Powerleague</t>
        </is>
      </c>
      <c r="Y72" s="11" t="n">
        <v>16</v>
      </c>
      <c r="Z72" s="14">
        <f>IFERROR(INDEX(Venues!$E$2:$E$15,MATCH(X72,Venues!$A$2:$A$15,0)),"Not checked")</f>
        <v/>
      </c>
      <c r="AA72" s="14">
        <f>IFERROR(INDEX(Venues!$F$2:$F$15,MATCH(X72,Venues!$A$2:$A$15,0)),0)</f>
        <v/>
      </c>
      <c r="AB72" s="15">
        <f>IFERROR(INDEX(Venues!$M$2:$M$15,MATCH(X72,Venues!$A$2:$A$15,0)),"")</f>
        <v/>
      </c>
      <c r="AC72" s="14">
        <f>IFERROR(INDEX(Venues!$N$2:$N$15,MATCH(X72,Venues!$A$2:$A$15,0)),"5-a-side")</f>
        <v/>
      </c>
      <c r="AD72" s="16">
        <f>IF(Offer!$C$4="","",Offer!$C$4)</f>
        <v/>
      </c>
      <c r="AE72" s="14">
        <f>X72&amp;" ("&amp;Y72&amp;" min walk) · "&amp;IF(ISNUMBER(AB72),TEXT(AB72,"ddd d mmm, hh:mm"),"slot to confirm with venue")&amp;" · "&amp;AC72&amp;" · "&amp;IF(AD72&lt;&gt;"","£"&amp;TEXT(AD72,"0.00")&amp;" pp","price TBC")</f>
        <v/>
      </c>
      <c r="AF72" s="14">
        <f>"After-work football for "&amp;F72&amp;" · "&amp;X72&amp;", "&amp;Y72&amp;" min from your office"</f>
        <v/>
      </c>
      <c r="AG72" s="14">
        <f>"Hi"&amp;IF(O72&lt;&gt;""," "&amp;O72,"")&amp;","&amp;CHAR(10)&amp;CHAR(10)&amp;"I'm "&amp;IF(AL72&lt;&gt;"",AL72,IF(Offer!$C$5&lt;&gt;"",Offer!$C$5,"[NAME]"))&amp;" from FC Urban. We organise after-work football for teams in the City and Canary Wharf."&amp;CHAR(10)&amp;CHAR(10)&amp;"We have a "&amp;AC72&amp;" pitch at "&amp;X72&amp;", "&amp;IF(OR(Y72=8,Y72=11,Y72=18),"an ","a ")&amp;Y72&amp;"-minute walk from your "&amp;M72&amp;" office, "&amp;IF(ISNUMBER(AB72),"on "&amp;TEXT(AB72,"dddd d mmmm")&amp;" at "&amp;TEXT(AB72,"hh:mm"),"on a weekday evening that suits your team")&amp;". It's "&amp;IF(AD72&lt;&gt;"","£"&amp;IF(AD72=INT(AD72),TEXT(AD72,"0"),TEXT(AD72,"0.00")),"[PRICE PER PLAYER]")&amp;" a player and we handle the pitch booking, sign-ups and payments, so all it takes is one person sharing a link with the team."&amp;CHAR(10)&amp;CHAR(10)&amp;"It works well as a team social or "&amp;IF(ISNUMBER(SEARCH(LEFT(F72,1),"AEIOU")),"an ","a ")&amp;F72&amp;"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LINK]")&amp;CHAR(10)&amp;CHAR(10)&amp;"Best,"&amp;CHAR(10)&amp;IF(AL72&lt;&gt;"",AL72,IF(Offer!$C$5&lt;&gt;"",Offer!$C$5,"[NAME]"))&amp;CHAR(10)&amp;"FC Urban"</f>
        <v/>
      </c>
      <c r="AH72" s="14">
        <f>IF(LEN("Hi"&amp;IF(O72&lt;&gt;""," "&amp;O72,"")&amp;","&amp;" FC Urban runs after-work football for "&amp;IF(D72="Canary Wharf","Canary Wharf","City")&amp;" teams. We have a "&amp;AC72&amp;" pitch at "&amp;X72&amp;", "&amp;Y72&amp;" min from your office, "&amp;IF(ISNUMBER(AB72),TEXT(AB72,"ddd d mmm")&amp;", "&amp;TEXT(AB72,"hh:mm"),"weekday evenings")&amp;", "&amp;IF(AD72&lt;&gt;"","£"&amp;IF(AD72=INT(AD72),TEXT(AD72,"0"),TEXT(AD72,"0.00")),"[PRICE PER PLAYER]")&amp;" a player. We handle booking, sign-ups and payments. Fancy "&amp;IF(ISNUMBER(SEARCH(LEFT(F72,1),"AEIOU")),"an ","a ")&amp;F72&amp;" team game? "&amp;IF(AL72&lt;&gt;"",AL72,IF(Offer!$C$5&lt;&gt;"",Offer!$C$5,"[NAME]")))&lt;=300,"Hi"&amp;IF(O72&lt;&gt;""," "&amp;O72,"")&amp;","&amp;" FC Urban runs after-work football for "&amp;IF(D72="Canary Wharf","Canary Wharf","City")&amp;" teams. We have a "&amp;AC72&amp;" pitch at "&amp;X72&amp;", "&amp;Y72&amp;" min from your office, "&amp;IF(ISNUMBER(AB72),TEXT(AB72,"ddd d mmm")&amp;", "&amp;TEXT(AB72,"hh:mm"),"weekday evenings")&amp;", "&amp;IF(AD72&lt;&gt;"","£"&amp;IF(AD72=INT(AD72),TEXT(AD72,"0"),TEXT(AD72,"0.00")),"[PRICE PER PLAYER]")&amp;" a player. We handle booking, sign-ups and payments. Fancy "&amp;IF(ISNUMBER(SEARCH(LEFT(F72,1),"AEIOU")),"an ","a ")&amp;F72&amp;" team game? "&amp;IF(AL72&lt;&gt;"",AL72,IF(Offer!$C$5&lt;&gt;"",Offer!$C$5,"[NAME]")),LEFT("Hi"&amp;IF(O72&lt;&gt;""," "&amp;O72,"")&amp;","&amp;" FC Urban runs after-work football for "&amp;IF(D72="Canary Wharf","Canary Wharf","City")&amp;" teams: "&amp;AC72&amp;" at "&amp;X72&amp;", "&amp;Y72&amp;" min from your office, "&amp;IF(ISNUMBER(AB72),TEXT(AB72,"ddd d mmm")&amp;", "&amp;TEXT(AB72,"hh:mm"),"weekday evenings")&amp;", "&amp;IF(AD72&lt;&gt;"","£"&amp;IF(AD72=INT(AD72),TEXT(AD72,"0"),TEXT(AD72,"0.00")),"[PRICE PER PLAYER]")&amp;" pp. We handle booking and payments. Up for a team game? "&amp;IF(AL72&lt;&gt;"",AL72,IF(Offer!$C$5&lt;&gt;"",Offer!$C$5,"[NAME]")),300))</f>
        <v/>
      </c>
      <c r="AI72" s="14">
        <f>LEN(AH72)</f>
        <v/>
      </c>
      <c r="AJ72" s="14">
        <f>"Thanks for connecting"&amp;IF(O72&lt;&gt;"",", "&amp;O72,"")&amp;". "&amp;IF(ISNUMBER(AB72),"The "&amp;AC72&amp;" slot at "&amp;X72&amp;" is "&amp;IF(ISNUMBER(AB72),TEXT(AB72,"ddd d mmm")&amp;", "&amp;TEXT(AB72,"hh:mm"),"weekday evenings"),"We can book "&amp;AC72&amp;" at "&amp;X72&amp;" on a weekday evening that suits you")&amp;" and it's "&amp;IF(AD72&lt;&gt;"","£"&amp;IF(AD72=INT(AD72),TEXT(AD72,"0"),TEXT(AD72,"0.00")),"[PRICE PER PLAYER]")&amp;" a player, all booked and paid through one link. If football isn't your thing, who at "&amp;F72&amp;" would be the right person to organise a team game?"&amp;IF(Offer!$C$7&lt;&gt;""," Spots are held until "&amp;TEXT(Offer!$C$7,"dddd d mmmm")&amp;".","")&amp;" "&amp;IF(Offer!$C$6&lt;&gt;"",Offer!$C$6,"[JOINING LINK]")</f>
        <v/>
      </c>
      <c r="AK72" s="14">
        <f>IF(OR(ISNUMBER(SEARCH("[",AG72)),ISNUMBER(SEARCH("[",AJ72))),"Fill placeholders",IF(ISNUMBER(AB72),"Ready to send","Ready · no fixed slot"))</f>
        <v/>
      </c>
      <c r="AN72" s="17" t="n"/>
    </row>
    <row r="73">
      <c r="A73" s="11" t="n">
        <v>71</v>
      </c>
      <c r="B73" s="11" t="n">
        <v>2</v>
      </c>
      <c r="C73" s="11" t="inlineStr">
        <is>
          <t>Public / state-owned bank</t>
        </is>
      </c>
      <c r="D73" s="11" t="inlineStr">
        <is>
          <t>City of London</t>
        </is>
      </c>
      <c r="E73" s="11" t="inlineStr">
        <is>
          <t>KEXIM Bank (UK) Limited</t>
        </is>
      </c>
      <c r="F73" s="11" t="inlineStr">
        <is>
          <t>KEXIM Bank</t>
        </is>
      </c>
      <c r="G73" s="11" t="inlineStr">
        <is>
          <t>02693038</t>
        </is>
      </c>
      <c r="H73" s="12" t="inlineStr">
        <is>
          <t>Open</t>
        </is>
      </c>
      <c r="I73" s="12" t="inlineStr">
        <is>
          <t>Search</t>
        </is>
      </c>
      <c r="J73" s="11" t="inlineStr">
        <is>
          <t>Full</t>
        </is>
      </c>
      <c r="K73" s="13" t="n">
        <v>33666</v>
      </c>
      <c r="L73" s="11" t="inlineStr">
        <is>
          <t>3Rd Floor Moorgate Hall, 155 Moorgate, London</t>
        </is>
      </c>
      <c r="M73" s="11" t="inlineStr">
        <is>
          <t>EC2M 6XB</t>
        </is>
      </c>
      <c r="N73" s="11" t="inlineStr">
        <is>
          <t>Yes</t>
        </is>
      </c>
      <c r="U73" s="11" t="inlineStr">
        <is>
          <t>Shoreditch Powerleague</t>
        </is>
      </c>
      <c r="V73" s="11" t="n">
        <v>16</v>
      </c>
      <c r="W73" s="11" t="inlineStr">
        <is>
          <t>Liverpool St - Attlee Centre (17.1)</t>
        </is>
      </c>
      <c r="X73" s="11" t="inlineStr">
        <is>
          <t>Shoreditch Powerleague</t>
        </is>
      </c>
      <c r="Y73" s="11" t="n">
        <v>16</v>
      </c>
      <c r="Z73" s="14">
        <f>IFERROR(INDEX(Venues!$E$2:$E$15,MATCH(X73,Venues!$A$2:$A$15,0)),"Not checked")</f>
        <v/>
      </c>
      <c r="AA73" s="14">
        <f>IFERROR(INDEX(Venues!$F$2:$F$15,MATCH(X73,Venues!$A$2:$A$15,0)),0)</f>
        <v/>
      </c>
      <c r="AB73" s="15">
        <f>IFERROR(INDEX(Venues!$M$2:$M$15,MATCH(X73,Venues!$A$2:$A$15,0)),"")</f>
        <v/>
      </c>
      <c r="AC73" s="14">
        <f>IFERROR(INDEX(Venues!$N$2:$N$15,MATCH(X73,Venues!$A$2:$A$15,0)),"5-a-side")</f>
        <v/>
      </c>
      <c r="AD73" s="16">
        <f>IF(Offer!$C$4="","",Offer!$C$4)</f>
        <v/>
      </c>
      <c r="AE73" s="14">
        <f>X73&amp;" ("&amp;Y73&amp;" min walk) · "&amp;IF(ISNUMBER(AB73),TEXT(AB73,"ddd d mmm, hh:mm"),"slot to confirm with venue")&amp;" · "&amp;AC73&amp;" · "&amp;IF(AD73&lt;&gt;"","£"&amp;TEXT(AD73,"0.00")&amp;" pp","price TBC")</f>
        <v/>
      </c>
      <c r="AF73" s="14">
        <f>"After-work football for "&amp;F73&amp;" · "&amp;X73&amp;", "&amp;Y73&amp;" min from your office"</f>
        <v/>
      </c>
      <c r="AG73" s="14">
        <f>"Hi"&amp;IF(O73&lt;&gt;""," "&amp;O73,"")&amp;","&amp;CHAR(10)&amp;CHAR(10)&amp;"I'm "&amp;IF(AL73&lt;&gt;"",AL73,IF(Offer!$C$5&lt;&gt;"",Offer!$C$5,"[NAME]"))&amp;" from FC Urban. We organise after-work football for teams in the City and Canary Wharf."&amp;CHAR(10)&amp;CHAR(10)&amp;"We have a "&amp;AC73&amp;" pitch at "&amp;X73&amp;", "&amp;IF(OR(Y73=8,Y73=11,Y73=18),"an ","a ")&amp;Y73&amp;"-minute walk from your "&amp;M73&amp;" office, "&amp;IF(ISNUMBER(AB73),"on "&amp;TEXT(AB73,"dddd d mmmm")&amp;" at "&amp;TEXT(AB73,"hh:mm"),"on a weekday evening that suits your team")&amp;". It's "&amp;IF(AD73&lt;&gt;"","£"&amp;IF(AD73=INT(AD73),TEXT(AD73,"0"),TEXT(AD73,"0.00")),"[PRICE PER PLAYER]")&amp;" a player and we handle the pitch booking, sign-ups and payments, so all it takes is one person sharing a link with the team."&amp;CHAR(10)&amp;CHAR(10)&amp;"It works well as a team social or "&amp;IF(ISNUMBER(SEARCH(LEFT(F73,1),"AEIOU")),"an ","a ")&amp;F73&amp;"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LINK]")&amp;CHAR(10)&amp;CHAR(10)&amp;"Best,"&amp;CHAR(10)&amp;IF(AL73&lt;&gt;"",AL73,IF(Offer!$C$5&lt;&gt;"",Offer!$C$5,"[NAME]"))&amp;CHAR(10)&amp;"FC Urban"</f>
        <v/>
      </c>
      <c r="AH73" s="14">
        <f>IF(LEN("Hi"&amp;IF(O73&lt;&gt;""," "&amp;O73,"")&amp;","&amp;" FC Urban runs after-work football for "&amp;IF(D73="Canary Wharf","Canary Wharf","City")&amp;" teams. We have a "&amp;AC73&amp;" pitch at "&amp;X73&amp;", "&amp;Y73&amp;" min from your office, "&amp;IF(ISNUMBER(AB73),TEXT(AB73,"ddd d mmm")&amp;", "&amp;TEXT(AB73,"hh:mm"),"weekday evenings")&amp;", "&amp;IF(AD73&lt;&gt;"","£"&amp;IF(AD73=INT(AD73),TEXT(AD73,"0"),TEXT(AD73,"0.00")),"[PRICE PER PLAYER]")&amp;" a player. We handle booking, sign-ups and payments. Fancy "&amp;IF(ISNUMBER(SEARCH(LEFT(F73,1),"AEIOU")),"an ","a ")&amp;F73&amp;" team game? "&amp;IF(AL73&lt;&gt;"",AL73,IF(Offer!$C$5&lt;&gt;"",Offer!$C$5,"[NAME]")))&lt;=300,"Hi"&amp;IF(O73&lt;&gt;""," "&amp;O73,"")&amp;","&amp;" FC Urban runs after-work football for "&amp;IF(D73="Canary Wharf","Canary Wharf","City")&amp;" teams. We have a "&amp;AC73&amp;" pitch at "&amp;X73&amp;", "&amp;Y73&amp;" min from your office, "&amp;IF(ISNUMBER(AB73),TEXT(AB73,"ddd d mmm")&amp;", "&amp;TEXT(AB73,"hh:mm"),"weekday evenings")&amp;", "&amp;IF(AD73&lt;&gt;"","£"&amp;IF(AD73=INT(AD73),TEXT(AD73,"0"),TEXT(AD73,"0.00")),"[PRICE PER PLAYER]")&amp;" a player. We handle booking, sign-ups and payments. Fancy "&amp;IF(ISNUMBER(SEARCH(LEFT(F73,1),"AEIOU")),"an ","a ")&amp;F73&amp;" team game? "&amp;IF(AL73&lt;&gt;"",AL73,IF(Offer!$C$5&lt;&gt;"",Offer!$C$5,"[NAME]")),LEFT("Hi"&amp;IF(O73&lt;&gt;""," "&amp;O73,"")&amp;","&amp;" FC Urban runs after-work football for "&amp;IF(D73="Canary Wharf","Canary Wharf","City")&amp;" teams: "&amp;AC73&amp;" at "&amp;X73&amp;", "&amp;Y73&amp;" min from your office, "&amp;IF(ISNUMBER(AB73),TEXT(AB73,"ddd d mmm")&amp;", "&amp;TEXT(AB73,"hh:mm"),"weekday evenings")&amp;", "&amp;IF(AD73&lt;&gt;"","£"&amp;IF(AD73=INT(AD73),TEXT(AD73,"0"),TEXT(AD73,"0.00")),"[PRICE PER PLAYER]")&amp;" pp. We handle booking and payments. Up for a team game? "&amp;IF(AL73&lt;&gt;"",AL73,IF(Offer!$C$5&lt;&gt;"",Offer!$C$5,"[NAME]")),300))</f>
        <v/>
      </c>
      <c r="AI73" s="14">
        <f>LEN(AH73)</f>
        <v/>
      </c>
      <c r="AJ73" s="14">
        <f>"Thanks for connecting"&amp;IF(O73&lt;&gt;"",", "&amp;O73,"")&amp;". "&amp;IF(ISNUMBER(AB73),"The "&amp;AC73&amp;" slot at "&amp;X73&amp;" is "&amp;IF(ISNUMBER(AB73),TEXT(AB73,"ddd d mmm")&amp;", "&amp;TEXT(AB73,"hh:mm"),"weekday evenings"),"We can book "&amp;AC73&amp;" at "&amp;X73&amp;" on a weekday evening that suits you")&amp;" and it's "&amp;IF(AD73&lt;&gt;"","£"&amp;IF(AD73=INT(AD73),TEXT(AD73,"0"),TEXT(AD73,"0.00")),"[PRICE PER PLAYER]")&amp;" a player, all booked and paid through one link. If football isn't your thing, who at "&amp;F73&amp;" would be the right person to organise a team game?"&amp;IF(Offer!$C$7&lt;&gt;""," Spots are held until "&amp;TEXT(Offer!$C$7,"dddd d mmmm")&amp;".","")&amp;" "&amp;IF(Offer!$C$6&lt;&gt;"",Offer!$C$6,"[JOINING LINK]")</f>
        <v/>
      </c>
      <c r="AK73" s="14">
        <f>IF(OR(ISNUMBER(SEARCH("[",AG73)),ISNUMBER(SEARCH("[",AJ73))),"Fill placeholders",IF(ISNUMBER(AB73),"Ready to send","Ready · no fixed slot"))</f>
        <v/>
      </c>
      <c r="AN73" s="17" t="n"/>
    </row>
    <row r="74">
      <c r="A74" s="11" t="n">
        <v>72</v>
      </c>
      <c r="B74" s="11" t="n">
        <v>2</v>
      </c>
      <c r="C74" s="11" t="inlineStr">
        <is>
          <t>Private bank</t>
        </is>
      </c>
      <c r="D74" s="11" t="inlineStr">
        <is>
          <t>City of London</t>
        </is>
      </c>
      <c r="E74" s="11" t="inlineStr">
        <is>
          <t>Habib Bank Zurich PLC</t>
        </is>
      </c>
      <c r="F74" s="11" t="inlineStr">
        <is>
          <t>Habib Bank Zurich</t>
        </is>
      </c>
      <c r="G74" s="11" t="inlineStr">
        <is>
          <t>08864609</t>
        </is>
      </c>
      <c r="H74" s="12" t="inlineStr">
        <is>
          <t>Open</t>
        </is>
      </c>
      <c r="I74" s="12" t="inlineStr">
        <is>
          <t>Search</t>
        </is>
      </c>
      <c r="J74" s="11" t="inlineStr">
        <is>
          <t>Full</t>
        </is>
      </c>
      <c r="K74" s="13" t="n">
        <v>41667</v>
      </c>
      <c r="L74" s="11" t="inlineStr">
        <is>
          <t>Habib House, 42 Moorgate, London</t>
        </is>
      </c>
      <c r="M74" s="11" t="inlineStr">
        <is>
          <t>EC2R 6JJ</t>
        </is>
      </c>
      <c r="N74" s="11" t="inlineStr">
        <is>
          <t>Yes</t>
        </is>
      </c>
      <c r="U74" s="11" t="inlineStr">
        <is>
          <t>Liverpool St - Attlee Centre</t>
        </is>
      </c>
      <c r="V74" s="11" t="n">
        <v>18</v>
      </c>
      <c r="W74" s="11" t="inlineStr">
        <is>
          <t>Shoreditch Powerleague (19)</t>
        </is>
      </c>
      <c r="X74" s="11" t="inlineStr">
        <is>
          <t>Shoreditch Powerleague</t>
        </is>
      </c>
      <c r="Y74" s="11" t="n">
        <v>19</v>
      </c>
      <c r="Z74" s="14">
        <f>IFERROR(INDEX(Venues!$E$2:$E$15,MATCH(X74,Venues!$A$2:$A$15,0)),"Not checked")</f>
        <v/>
      </c>
      <c r="AA74" s="14">
        <f>IFERROR(INDEX(Venues!$F$2:$F$15,MATCH(X74,Venues!$A$2:$A$15,0)),0)</f>
        <v/>
      </c>
      <c r="AB74" s="15">
        <f>IFERROR(INDEX(Venues!$M$2:$M$15,MATCH(X74,Venues!$A$2:$A$15,0)),"")</f>
        <v/>
      </c>
      <c r="AC74" s="14">
        <f>IFERROR(INDEX(Venues!$N$2:$N$15,MATCH(X74,Venues!$A$2:$A$15,0)),"5-a-side")</f>
        <v/>
      </c>
      <c r="AD74" s="16">
        <f>IF(Offer!$C$4="","",Offer!$C$4)</f>
        <v/>
      </c>
      <c r="AE74" s="14">
        <f>X74&amp;" ("&amp;Y74&amp;" min walk) · "&amp;IF(ISNUMBER(AB74),TEXT(AB74,"ddd d mmm, hh:mm"),"slot to confirm with venue")&amp;" · "&amp;AC74&amp;" · "&amp;IF(AD74&lt;&gt;"","£"&amp;TEXT(AD74,"0.00")&amp;" pp","price TBC")</f>
        <v/>
      </c>
      <c r="AF74" s="14">
        <f>"After-work football for "&amp;F74&amp;" · "&amp;X74&amp;", "&amp;Y74&amp;" min from your office"</f>
        <v/>
      </c>
      <c r="AG74" s="14">
        <f>"Hi"&amp;IF(O74&lt;&gt;""," "&amp;O74,"")&amp;","&amp;CHAR(10)&amp;CHAR(10)&amp;"I'm "&amp;IF(AL74&lt;&gt;"",AL74,IF(Offer!$C$5&lt;&gt;"",Offer!$C$5,"[NAME]"))&amp;" from FC Urban. We organise after-work football for teams in the City and Canary Wharf."&amp;CHAR(10)&amp;CHAR(10)&amp;"We have a "&amp;AC74&amp;" pitch at "&amp;X74&amp;", "&amp;IF(OR(Y74=8,Y74=11,Y74=18),"an ","a ")&amp;Y74&amp;"-minute walk from your "&amp;M74&amp;" office, "&amp;IF(ISNUMBER(AB74),"on "&amp;TEXT(AB74,"dddd d mmmm")&amp;" at "&amp;TEXT(AB74,"hh:mm"),"on a weekday evening that suits your team")&amp;". It's "&amp;IF(AD74&lt;&gt;"","£"&amp;IF(AD74=INT(AD74),TEXT(AD74,"0"),TEXT(AD74,"0.00")),"[PRICE PER PLAYER]")&amp;" a player and we handle the pitch booking, sign-ups and payments, so all it takes is one person sharing a link with the team."&amp;CHAR(10)&amp;CHAR(10)&amp;"It works well as a team social or "&amp;IF(ISNUMBER(SEARCH(LEFT(F74,1),"AEIOU")),"an ","a ")&amp;F74&amp;"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LINK]")&amp;CHAR(10)&amp;CHAR(10)&amp;"Best,"&amp;CHAR(10)&amp;IF(AL74&lt;&gt;"",AL74,IF(Offer!$C$5&lt;&gt;"",Offer!$C$5,"[NAME]"))&amp;CHAR(10)&amp;"FC Urban"</f>
        <v/>
      </c>
      <c r="AH74" s="14">
        <f>IF(LEN("Hi"&amp;IF(O74&lt;&gt;""," "&amp;O74,"")&amp;","&amp;" FC Urban runs after-work football for "&amp;IF(D74="Canary Wharf","Canary Wharf","City")&amp;" teams. We have a "&amp;AC74&amp;" pitch at "&amp;X74&amp;", "&amp;Y74&amp;" min from your office, "&amp;IF(ISNUMBER(AB74),TEXT(AB74,"ddd d mmm")&amp;", "&amp;TEXT(AB74,"hh:mm"),"weekday evenings")&amp;", "&amp;IF(AD74&lt;&gt;"","£"&amp;IF(AD74=INT(AD74),TEXT(AD74,"0"),TEXT(AD74,"0.00")),"[PRICE PER PLAYER]")&amp;" a player. We handle booking, sign-ups and payments. Fancy "&amp;IF(ISNUMBER(SEARCH(LEFT(F74,1),"AEIOU")),"an ","a ")&amp;F74&amp;" team game? "&amp;IF(AL74&lt;&gt;"",AL74,IF(Offer!$C$5&lt;&gt;"",Offer!$C$5,"[NAME]")))&lt;=300,"Hi"&amp;IF(O74&lt;&gt;""," "&amp;O74,"")&amp;","&amp;" FC Urban runs after-work football for "&amp;IF(D74="Canary Wharf","Canary Wharf","City")&amp;" teams. We have a "&amp;AC74&amp;" pitch at "&amp;X74&amp;", "&amp;Y74&amp;" min from your office, "&amp;IF(ISNUMBER(AB74),TEXT(AB74,"ddd d mmm")&amp;", "&amp;TEXT(AB74,"hh:mm"),"weekday evenings")&amp;", "&amp;IF(AD74&lt;&gt;"","£"&amp;IF(AD74=INT(AD74),TEXT(AD74,"0"),TEXT(AD74,"0.00")),"[PRICE PER PLAYER]")&amp;" a player. We handle booking, sign-ups and payments. Fancy "&amp;IF(ISNUMBER(SEARCH(LEFT(F74,1),"AEIOU")),"an ","a ")&amp;F74&amp;" team game? "&amp;IF(AL74&lt;&gt;"",AL74,IF(Offer!$C$5&lt;&gt;"",Offer!$C$5,"[NAME]")),LEFT("Hi"&amp;IF(O74&lt;&gt;""," "&amp;O74,"")&amp;","&amp;" FC Urban runs after-work football for "&amp;IF(D74="Canary Wharf","Canary Wharf","City")&amp;" teams: "&amp;AC74&amp;" at "&amp;X74&amp;", "&amp;Y74&amp;" min from your office, "&amp;IF(ISNUMBER(AB74),TEXT(AB74,"ddd d mmm")&amp;", "&amp;TEXT(AB74,"hh:mm"),"weekday evenings")&amp;", "&amp;IF(AD74&lt;&gt;"","£"&amp;IF(AD74=INT(AD74),TEXT(AD74,"0"),TEXT(AD74,"0.00")),"[PRICE PER PLAYER]")&amp;" pp. We handle booking and payments. Up for a team game? "&amp;IF(AL74&lt;&gt;"",AL74,IF(Offer!$C$5&lt;&gt;"",Offer!$C$5,"[NAME]")),300))</f>
        <v/>
      </c>
      <c r="AI74" s="14">
        <f>LEN(AH74)</f>
        <v/>
      </c>
      <c r="AJ74" s="14">
        <f>"Thanks for connecting"&amp;IF(O74&lt;&gt;"",", "&amp;O74,"")&amp;". "&amp;IF(ISNUMBER(AB74),"The "&amp;AC74&amp;" slot at "&amp;X74&amp;" is "&amp;IF(ISNUMBER(AB74),TEXT(AB74,"ddd d mmm")&amp;", "&amp;TEXT(AB74,"hh:mm"),"weekday evenings"),"We can book "&amp;AC74&amp;" at "&amp;X74&amp;" on a weekday evening that suits you")&amp;" and it's "&amp;IF(AD74&lt;&gt;"","£"&amp;IF(AD74=INT(AD74),TEXT(AD74,"0"),TEXT(AD74,"0.00")),"[PRICE PER PLAYER]")&amp;" a player, all booked and paid through one link. If football isn't your thing, who at "&amp;F74&amp;" would be the right person to organise a team game?"&amp;IF(Offer!$C$7&lt;&gt;""," Spots are held until "&amp;TEXT(Offer!$C$7,"dddd d mmmm")&amp;".","")&amp;" "&amp;IF(Offer!$C$6&lt;&gt;"",Offer!$C$6,"[JOINING LINK]")</f>
        <v/>
      </c>
      <c r="AK74" s="14">
        <f>IF(OR(ISNUMBER(SEARCH("[",AG74)),ISNUMBER(SEARCH("[",AJ74))),"Fill placeholders",IF(ISNUMBER(AB74),"Ready to send","Ready · no fixed slot"))</f>
        <v/>
      </c>
      <c r="AN74" s="17" t="n"/>
    </row>
    <row r="75">
      <c r="A75" s="11" t="n">
        <v>73</v>
      </c>
      <c r="B75" s="11" t="n">
        <v>2</v>
      </c>
      <c r="C75" s="11" t="inlineStr">
        <is>
          <t>Fund administrator</t>
        </is>
      </c>
      <c r="D75" s="11" t="inlineStr">
        <is>
          <t>City of London</t>
        </is>
      </c>
      <c r="E75" s="11" t="inlineStr">
        <is>
          <t>Langham Hall UK LLP</t>
        </is>
      </c>
      <c r="F75" s="11" t="inlineStr">
        <is>
          <t>Langham Hall</t>
        </is>
      </c>
      <c r="G75" s="11" t="inlineStr">
        <is>
          <t>OC319723</t>
        </is>
      </c>
      <c r="H75" s="12" t="inlineStr">
        <is>
          <t>Open</t>
        </is>
      </c>
      <c r="I75" s="12" t="inlineStr">
        <is>
          <t>Search</t>
        </is>
      </c>
      <c r="J75" s="11" t="inlineStr">
        <is>
          <t>Full</t>
        </is>
      </c>
      <c r="K75" s="13" t="n">
        <v>38852</v>
      </c>
      <c r="L75" s="11" t="inlineStr">
        <is>
          <t>3Rd Floor, Broadwalk House, 5 Appold Street, Broadgate, London</t>
        </is>
      </c>
      <c r="M75" s="11" t="inlineStr">
        <is>
          <t>EC2A 2DA</t>
        </is>
      </c>
      <c r="N75" s="11" t="inlineStr">
        <is>
          <t>Yes</t>
        </is>
      </c>
      <c r="U75" s="11" t="inlineStr">
        <is>
          <t>Shoreditch Powerleague</t>
        </is>
      </c>
      <c r="V75" s="11" t="n">
        <v>7</v>
      </c>
      <c r="W75" s="11" t="inlineStr">
        <is>
          <t>Liverpool St - Attlee Centre (10.9)</t>
        </is>
      </c>
      <c r="X75" s="11" t="inlineStr">
        <is>
          <t>Shoreditch Powerleague</t>
        </is>
      </c>
      <c r="Y75" s="11" t="n">
        <v>7</v>
      </c>
      <c r="Z75" s="14">
        <f>IFERROR(INDEX(Venues!$E$2:$E$15,MATCH(X75,Venues!$A$2:$A$15,0)),"Not checked")</f>
        <v/>
      </c>
      <c r="AA75" s="14">
        <f>IFERROR(INDEX(Venues!$F$2:$F$15,MATCH(X75,Venues!$A$2:$A$15,0)),0)</f>
        <v/>
      </c>
      <c r="AB75" s="15">
        <f>IFERROR(INDEX(Venues!$M$2:$M$15,MATCH(X75,Venues!$A$2:$A$15,0)),"")</f>
        <v/>
      </c>
      <c r="AC75" s="14">
        <f>IFERROR(INDEX(Venues!$N$2:$N$15,MATCH(X75,Venues!$A$2:$A$15,0)),"5-a-side")</f>
        <v/>
      </c>
      <c r="AD75" s="16">
        <f>IF(Offer!$C$4="","",Offer!$C$4)</f>
        <v/>
      </c>
      <c r="AE75" s="14">
        <f>X75&amp;" ("&amp;Y75&amp;" min walk) · "&amp;IF(ISNUMBER(AB75),TEXT(AB75,"ddd d mmm, hh:mm"),"slot to confirm with venue")&amp;" · "&amp;AC75&amp;" · "&amp;IF(AD75&lt;&gt;"","£"&amp;TEXT(AD75,"0.00")&amp;" pp","price TBC")</f>
        <v/>
      </c>
      <c r="AF75" s="14">
        <f>"After-work football for "&amp;F75&amp;" · "&amp;X75&amp;", "&amp;Y75&amp;" min from your office"</f>
        <v/>
      </c>
      <c r="AG75" s="14">
        <f>"Hi"&amp;IF(O75&lt;&gt;""," "&amp;O75,"")&amp;","&amp;CHAR(10)&amp;CHAR(10)&amp;"I'm "&amp;IF(AL75&lt;&gt;"",AL75,IF(Offer!$C$5&lt;&gt;"",Offer!$C$5,"[NAME]"))&amp;" from FC Urban. We organise after-work football for teams in the City and Canary Wharf."&amp;CHAR(10)&amp;CHAR(10)&amp;"We have a "&amp;AC75&amp;" pitch at "&amp;X75&amp;", "&amp;IF(OR(Y75=8,Y75=11,Y75=18),"an ","a ")&amp;Y75&amp;"-minute walk from your "&amp;M75&amp;" office, "&amp;IF(ISNUMBER(AB75),"on "&amp;TEXT(AB75,"dddd d mmmm")&amp;" at "&amp;TEXT(AB75,"hh:mm"),"on a weekday evening that suits your team")&amp;". It's "&amp;IF(AD75&lt;&gt;"","£"&amp;IF(AD75=INT(AD75),TEXT(AD75,"0"),TEXT(AD75,"0.00")),"[PRICE PER PLAYER]")&amp;" a player and we handle the pitch booking, sign-ups and payments, so all it takes is one person sharing a link with the team."&amp;CHAR(10)&amp;CHAR(10)&amp;"It works well as a team social or "&amp;IF(ISNUMBER(SEARCH(LEFT(F75,1),"AEIOU")),"an ","a ")&amp;F75&amp;"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LINK]")&amp;CHAR(10)&amp;CHAR(10)&amp;"Best,"&amp;CHAR(10)&amp;IF(AL75&lt;&gt;"",AL75,IF(Offer!$C$5&lt;&gt;"",Offer!$C$5,"[NAME]"))&amp;CHAR(10)&amp;"FC Urban"</f>
        <v/>
      </c>
      <c r="AH75" s="14">
        <f>IF(LEN("Hi"&amp;IF(O75&lt;&gt;""," "&amp;O75,"")&amp;","&amp;" FC Urban runs after-work football for "&amp;IF(D75="Canary Wharf","Canary Wharf","City")&amp;" teams. We have a "&amp;AC75&amp;" pitch at "&amp;X75&amp;", "&amp;Y75&amp;" min from your office, "&amp;IF(ISNUMBER(AB75),TEXT(AB75,"ddd d mmm")&amp;", "&amp;TEXT(AB75,"hh:mm"),"weekday evenings")&amp;", "&amp;IF(AD75&lt;&gt;"","£"&amp;IF(AD75=INT(AD75),TEXT(AD75,"0"),TEXT(AD75,"0.00")),"[PRICE PER PLAYER]")&amp;" a player. We handle booking, sign-ups and payments. Fancy "&amp;IF(ISNUMBER(SEARCH(LEFT(F75,1),"AEIOU")),"an ","a ")&amp;F75&amp;" team game? "&amp;IF(AL75&lt;&gt;"",AL75,IF(Offer!$C$5&lt;&gt;"",Offer!$C$5,"[NAME]")))&lt;=300,"Hi"&amp;IF(O75&lt;&gt;""," "&amp;O75,"")&amp;","&amp;" FC Urban runs after-work football for "&amp;IF(D75="Canary Wharf","Canary Wharf","City")&amp;" teams. We have a "&amp;AC75&amp;" pitch at "&amp;X75&amp;", "&amp;Y75&amp;" min from your office, "&amp;IF(ISNUMBER(AB75),TEXT(AB75,"ddd d mmm")&amp;", "&amp;TEXT(AB75,"hh:mm"),"weekday evenings")&amp;", "&amp;IF(AD75&lt;&gt;"","£"&amp;IF(AD75=INT(AD75),TEXT(AD75,"0"),TEXT(AD75,"0.00")),"[PRICE PER PLAYER]")&amp;" a player. We handle booking, sign-ups and payments. Fancy "&amp;IF(ISNUMBER(SEARCH(LEFT(F75,1),"AEIOU")),"an ","a ")&amp;F75&amp;" team game? "&amp;IF(AL75&lt;&gt;"",AL75,IF(Offer!$C$5&lt;&gt;"",Offer!$C$5,"[NAME]")),LEFT("Hi"&amp;IF(O75&lt;&gt;""," "&amp;O75,"")&amp;","&amp;" FC Urban runs after-work football for "&amp;IF(D75="Canary Wharf","Canary Wharf","City")&amp;" teams: "&amp;AC75&amp;" at "&amp;X75&amp;", "&amp;Y75&amp;" min from your office, "&amp;IF(ISNUMBER(AB75),TEXT(AB75,"ddd d mmm")&amp;", "&amp;TEXT(AB75,"hh:mm"),"weekday evenings")&amp;", "&amp;IF(AD75&lt;&gt;"","£"&amp;IF(AD75=INT(AD75),TEXT(AD75,"0"),TEXT(AD75,"0.00")),"[PRICE PER PLAYER]")&amp;" pp. We handle booking and payments. Up for a team game? "&amp;IF(AL75&lt;&gt;"",AL75,IF(Offer!$C$5&lt;&gt;"",Offer!$C$5,"[NAME]")),300))</f>
        <v/>
      </c>
      <c r="AI75" s="14">
        <f>LEN(AH75)</f>
        <v/>
      </c>
      <c r="AJ75" s="14">
        <f>"Thanks for connecting"&amp;IF(O75&lt;&gt;"",", "&amp;O75,"")&amp;". "&amp;IF(ISNUMBER(AB75),"The "&amp;AC75&amp;" slot at "&amp;X75&amp;" is "&amp;IF(ISNUMBER(AB75),TEXT(AB75,"ddd d mmm")&amp;", "&amp;TEXT(AB75,"hh:mm"),"weekday evenings"),"We can book "&amp;AC75&amp;" at "&amp;X75&amp;" on a weekday evening that suits you")&amp;" and it's "&amp;IF(AD75&lt;&gt;"","£"&amp;IF(AD75=INT(AD75),TEXT(AD75,"0"),TEXT(AD75,"0.00")),"[PRICE PER PLAYER]")&amp;" a player, all booked and paid through one link. If football isn't your thing, who at "&amp;F75&amp;" would be the right person to organise a team game?"&amp;IF(Offer!$C$7&lt;&gt;""," Spots are held until "&amp;TEXT(Offer!$C$7,"dddd d mmmm")&amp;".","")&amp;" "&amp;IF(Offer!$C$6&lt;&gt;"",Offer!$C$6,"[JOINING LINK]")</f>
        <v/>
      </c>
      <c r="AK75" s="14">
        <f>IF(OR(ISNUMBER(SEARCH("[",AG75)),ISNUMBER(SEARCH("[",AJ75))),"Fill placeholders",IF(ISNUMBER(AB75),"Ready to send","Ready · no fixed slot"))</f>
        <v/>
      </c>
      <c r="AN75" s="17" t="n"/>
    </row>
    <row r="76">
      <c r="A76" s="11" t="n">
        <v>74</v>
      </c>
      <c r="B76" s="11" t="n">
        <v>2</v>
      </c>
      <c r="C76" s="11" t="inlineStr">
        <is>
          <t>Fund administrator</t>
        </is>
      </c>
      <c r="D76" s="11" t="inlineStr">
        <is>
          <t>Canary Wharf</t>
        </is>
      </c>
      <c r="E76" s="11" t="inlineStr">
        <is>
          <t>State Street Unit Trust Management Limited</t>
        </is>
      </c>
      <c r="F76" s="11" t="inlineStr">
        <is>
          <t>State Street</t>
        </is>
      </c>
      <c r="G76" s="11" t="inlineStr">
        <is>
          <t>02669933</t>
        </is>
      </c>
      <c r="H76" s="12" t="inlineStr">
        <is>
          <t>Open</t>
        </is>
      </c>
      <c r="I76" s="12" t="inlineStr">
        <is>
          <t>Search</t>
        </is>
      </c>
      <c r="J76" s="11" t="inlineStr">
        <is>
          <t>Full</t>
        </is>
      </c>
      <c r="K76" s="13" t="n">
        <v>33582</v>
      </c>
      <c r="L76" s="11" t="inlineStr">
        <is>
          <t>20 Churchill Place, Canary Wharf, London</t>
        </is>
      </c>
      <c r="M76" s="11" t="inlineStr">
        <is>
          <t>E14 5HJ</t>
        </is>
      </c>
      <c r="N76" s="11" t="inlineStr">
        <is>
          <t>No</t>
        </is>
      </c>
      <c r="U76" s="11" t="inlineStr">
        <is>
          <t>Poplar</t>
        </is>
      </c>
      <c r="V76" s="11" t="n">
        <v>9</v>
      </c>
      <c r="W76" s="11" t="inlineStr">
        <is>
          <t>Fives Dockland Centre (E14 9GW) (18.7)</t>
        </is>
      </c>
      <c r="X76" s="11" t="inlineStr">
        <is>
          <t>Poplar</t>
        </is>
      </c>
      <c r="Y76" s="11" t="n">
        <v>9</v>
      </c>
      <c r="Z76" s="14">
        <f>IFERROR(INDEX(Venues!$E$2:$E$15,MATCH(X76,Venues!$A$2:$A$15,0)),"Not checked")</f>
        <v/>
      </c>
      <c r="AA76" s="14">
        <f>IFERROR(INDEX(Venues!$F$2:$F$15,MATCH(X76,Venues!$A$2:$A$15,0)),0)</f>
        <v/>
      </c>
      <c r="AB76" s="15">
        <f>IFERROR(INDEX(Venues!$M$2:$M$15,MATCH(X76,Venues!$A$2:$A$15,0)),"")</f>
        <v/>
      </c>
      <c r="AC76" s="14">
        <f>IFERROR(INDEX(Venues!$N$2:$N$15,MATCH(X76,Venues!$A$2:$A$15,0)),"5-a-side")</f>
        <v/>
      </c>
      <c r="AD76" s="16">
        <f>IF(Offer!$C$4="","",Offer!$C$4)</f>
        <v/>
      </c>
      <c r="AE76" s="14">
        <f>X76&amp;" ("&amp;Y76&amp;" min walk) · "&amp;IF(ISNUMBER(AB76),TEXT(AB76,"ddd d mmm, hh:mm"),"slot to confirm with venue")&amp;" · "&amp;AC76&amp;" · "&amp;IF(AD76&lt;&gt;"","£"&amp;TEXT(AD76,"0.00")&amp;" pp","price TBC")</f>
        <v/>
      </c>
      <c r="AF76" s="14">
        <f>"After-work football for "&amp;F76&amp;" · "&amp;X76&amp;", "&amp;Y76&amp;" min from your office"</f>
        <v/>
      </c>
      <c r="AG76" s="14">
        <f>"Hi"&amp;IF(O76&lt;&gt;""," "&amp;O76,"")&amp;","&amp;CHAR(10)&amp;CHAR(10)&amp;"I'm "&amp;IF(AL76&lt;&gt;"",AL76,IF(Offer!$C$5&lt;&gt;"",Offer!$C$5,"[NAME]"))&amp;" from FC Urban. We organise after-work football for teams in the City and Canary Wharf."&amp;CHAR(10)&amp;CHAR(10)&amp;"We have a "&amp;AC76&amp;" pitch at "&amp;X76&amp;", "&amp;IF(OR(Y76=8,Y76=11,Y76=18),"an ","a ")&amp;Y76&amp;"-minute walk from your "&amp;M76&amp;" office, "&amp;IF(ISNUMBER(AB76),"on "&amp;TEXT(AB76,"dddd d mmmm")&amp;" at "&amp;TEXT(AB76,"hh:mm"),"on a weekday evening that suits your team")&amp;". It's "&amp;IF(AD76&lt;&gt;"","£"&amp;IF(AD76=INT(AD76),TEXT(AD76,"0"),TEXT(AD76,"0.00")),"[PRICE PER PLAYER]")&amp;" a player and we handle the pitch booking, sign-ups and payments, so all it takes is one person sharing a link with the team."&amp;CHAR(10)&amp;CHAR(10)&amp;"It works well as a team social or "&amp;IF(ISNUMBER(SEARCH(LEFT(F76,1),"AEIOU")),"an ","a ")&amp;F76&amp;"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LINK]")&amp;CHAR(10)&amp;CHAR(10)&amp;"Best,"&amp;CHAR(10)&amp;IF(AL76&lt;&gt;"",AL76,IF(Offer!$C$5&lt;&gt;"",Offer!$C$5,"[NAME]"))&amp;CHAR(10)&amp;"FC Urban"</f>
        <v/>
      </c>
      <c r="AH76" s="14">
        <f>IF(LEN("Hi"&amp;IF(O76&lt;&gt;""," "&amp;O76,"")&amp;","&amp;" FC Urban runs after-work football for "&amp;IF(D76="Canary Wharf","Canary Wharf","City")&amp;" teams. We have a "&amp;AC76&amp;" pitch at "&amp;X76&amp;", "&amp;Y76&amp;" min from your office, "&amp;IF(ISNUMBER(AB76),TEXT(AB76,"ddd d mmm")&amp;", "&amp;TEXT(AB76,"hh:mm"),"weekday evenings")&amp;", "&amp;IF(AD76&lt;&gt;"","£"&amp;IF(AD76=INT(AD76),TEXT(AD76,"0"),TEXT(AD76,"0.00")),"[PRICE PER PLAYER]")&amp;" a player. We handle booking, sign-ups and payments. Fancy "&amp;IF(ISNUMBER(SEARCH(LEFT(F76,1),"AEIOU")),"an ","a ")&amp;F76&amp;" team game? "&amp;IF(AL76&lt;&gt;"",AL76,IF(Offer!$C$5&lt;&gt;"",Offer!$C$5,"[NAME]")))&lt;=300,"Hi"&amp;IF(O76&lt;&gt;""," "&amp;O76,"")&amp;","&amp;" FC Urban runs after-work football for "&amp;IF(D76="Canary Wharf","Canary Wharf","City")&amp;" teams. We have a "&amp;AC76&amp;" pitch at "&amp;X76&amp;", "&amp;Y76&amp;" min from your office, "&amp;IF(ISNUMBER(AB76),TEXT(AB76,"ddd d mmm")&amp;", "&amp;TEXT(AB76,"hh:mm"),"weekday evenings")&amp;", "&amp;IF(AD76&lt;&gt;"","£"&amp;IF(AD76=INT(AD76),TEXT(AD76,"0"),TEXT(AD76,"0.00")),"[PRICE PER PLAYER]")&amp;" a player. We handle booking, sign-ups and payments. Fancy "&amp;IF(ISNUMBER(SEARCH(LEFT(F76,1),"AEIOU")),"an ","a ")&amp;F76&amp;" team game? "&amp;IF(AL76&lt;&gt;"",AL76,IF(Offer!$C$5&lt;&gt;"",Offer!$C$5,"[NAME]")),LEFT("Hi"&amp;IF(O76&lt;&gt;""," "&amp;O76,"")&amp;","&amp;" FC Urban runs after-work football for "&amp;IF(D76="Canary Wharf","Canary Wharf","City")&amp;" teams: "&amp;AC76&amp;" at "&amp;X76&amp;", "&amp;Y76&amp;" min from your office, "&amp;IF(ISNUMBER(AB76),TEXT(AB76,"ddd d mmm")&amp;", "&amp;TEXT(AB76,"hh:mm"),"weekday evenings")&amp;", "&amp;IF(AD76&lt;&gt;"","£"&amp;IF(AD76=INT(AD76),TEXT(AD76,"0"),TEXT(AD76,"0.00")),"[PRICE PER PLAYER]")&amp;" pp. We handle booking and payments. Up for a team game? "&amp;IF(AL76&lt;&gt;"",AL76,IF(Offer!$C$5&lt;&gt;"",Offer!$C$5,"[NAME]")),300))</f>
        <v/>
      </c>
      <c r="AI76" s="14">
        <f>LEN(AH76)</f>
        <v/>
      </c>
      <c r="AJ76" s="14">
        <f>"Thanks for connecting"&amp;IF(O76&lt;&gt;"",", "&amp;O76,"")&amp;". "&amp;IF(ISNUMBER(AB76),"The "&amp;AC76&amp;" slot at "&amp;X76&amp;" is "&amp;IF(ISNUMBER(AB76),TEXT(AB76,"ddd d mmm")&amp;", "&amp;TEXT(AB76,"hh:mm"),"weekday evenings"),"We can book "&amp;AC76&amp;" at "&amp;X76&amp;" on a weekday evening that suits you")&amp;" and it's "&amp;IF(AD76&lt;&gt;"","£"&amp;IF(AD76=INT(AD76),TEXT(AD76,"0"),TEXT(AD76,"0.00")),"[PRICE PER PLAYER]")&amp;" a player, all booked and paid through one link. If football isn't your thing, who at "&amp;F76&amp;" would be the right person to organise a team game?"&amp;IF(Offer!$C$7&lt;&gt;""," Spots are held until "&amp;TEXT(Offer!$C$7,"dddd d mmmm")&amp;".","")&amp;" "&amp;IF(Offer!$C$6&lt;&gt;"",Offer!$C$6,"[JOINING LINK]")</f>
        <v/>
      </c>
      <c r="AK76" s="14">
        <f>IF(OR(ISNUMBER(SEARCH("[",AG76)),ISNUMBER(SEARCH("[",AJ76))),"Fill placeholders",IF(ISNUMBER(AB76),"Ready to send","Ready · no fixed slot"))</f>
        <v/>
      </c>
      <c r="AN76" s="17" t="n"/>
    </row>
    <row r="77">
      <c r="A77" s="11" t="n">
        <v>75</v>
      </c>
      <c r="B77" s="11" t="n">
        <v>2</v>
      </c>
      <c r="C77" s="11" t="inlineStr">
        <is>
          <t>Fund administrator</t>
        </is>
      </c>
      <c r="D77" s="11" t="inlineStr">
        <is>
          <t>Canary Wharf</t>
        </is>
      </c>
      <c r="E77" s="11" t="inlineStr">
        <is>
          <t>Clearstream London Limited</t>
        </is>
      </c>
      <c r="F77" s="11" t="inlineStr">
        <is>
          <t>Clearstream</t>
        </is>
      </c>
      <c r="G77" s="11" t="inlineStr">
        <is>
          <t>11741614</t>
        </is>
      </c>
      <c r="H77" s="12" t="inlineStr">
        <is>
          <t>Open</t>
        </is>
      </c>
      <c r="I77" s="12" t="inlineStr">
        <is>
          <t>Search</t>
        </is>
      </c>
      <c r="J77" s="11" t="inlineStr">
        <is>
          <t>Full</t>
        </is>
      </c>
      <c r="K77" s="13" t="n">
        <v>43461</v>
      </c>
      <c r="L77" s="11" t="inlineStr">
        <is>
          <t>11 Westferry Circus, Canary Wharf, London</t>
        </is>
      </c>
      <c r="M77" s="11" t="inlineStr">
        <is>
          <t>E14 4HE</t>
        </is>
      </c>
      <c r="N77" s="11" t="inlineStr">
        <is>
          <t>No</t>
        </is>
      </c>
      <c r="U77" s="11" t="inlineStr">
        <is>
          <t>PlayFootball Canary Wharf - Westferry (E14 8HH)</t>
        </is>
      </c>
      <c r="V77" s="11" t="n">
        <v>11</v>
      </c>
      <c r="W77" s="11" t="inlineStr">
        <is>
          <t>Poplar (10.8); Docklands - Surrey Quays (16.3)</t>
        </is>
      </c>
      <c r="X77" s="11" t="inlineStr">
        <is>
          <t>PlayFootball Canary Wharf - Westferry (E14 8HH)</t>
        </is>
      </c>
      <c r="Y77" s="11" t="n">
        <v>11</v>
      </c>
      <c r="Z77" s="14">
        <f>IFERROR(INDEX(Venues!$E$2:$E$15,MATCH(X77,Venues!$A$2:$A$15,0)),"Not checked")</f>
        <v/>
      </c>
      <c r="AA77" s="14">
        <f>IFERROR(INDEX(Venues!$F$2:$F$15,MATCH(X77,Venues!$A$2:$A$15,0)),0)</f>
        <v/>
      </c>
      <c r="AB77" s="15">
        <f>IFERROR(INDEX(Venues!$M$2:$M$15,MATCH(X77,Venues!$A$2:$A$15,0)),"")</f>
        <v/>
      </c>
      <c r="AC77" s="14">
        <f>IFERROR(INDEX(Venues!$N$2:$N$15,MATCH(X77,Venues!$A$2:$A$15,0)),"5-a-side")</f>
        <v/>
      </c>
      <c r="AD77" s="16">
        <f>IF(Offer!$C$4="","",Offer!$C$4)</f>
        <v/>
      </c>
      <c r="AE77" s="14">
        <f>X77&amp;" ("&amp;Y77&amp;" min walk) · "&amp;IF(ISNUMBER(AB77),TEXT(AB77,"ddd d mmm, hh:mm"),"slot to confirm with venue")&amp;" · "&amp;AC77&amp;" · "&amp;IF(AD77&lt;&gt;"","£"&amp;TEXT(AD77,"0.00")&amp;" pp","price TBC")</f>
        <v/>
      </c>
      <c r="AF77" s="14">
        <f>"After-work football for "&amp;F77&amp;" · "&amp;X77&amp;", "&amp;Y77&amp;" min from your office"</f>
        <v/>
      </c>
      <c r="AG77" s="14">
        <f>"Hi"&amp;IF(O77&lt;&gt;""," "&amp;O77,"")&amp;","&amp;CHAR(10)&amp;CHAR(10)&amp;"I'm "&amp;IF(AL77&lt;&gt;"",AL77,IF(Offer!$C$5&lt;&gt;"",Offer!$C$5,"[NAME]"))&amp;" from FC Urban. We organise after-work football for teams in the City and Canary Wharf."&amp;CHAR(10)&amp;CHAR(10)&amp;"We have a "&amp;AC77&amp;" pitch at "&amp;X77&amp;", "&amp;IF(OR(Y77=8,Y77=11,Y77=18),"an ","a ")&amp;Y77&amp;"-minute walk from your "&amp;M77&amp;" office, "&amp;IF(ISNUMBER(AB77),"on "&amp;TEXT(AB77,"dddd d mmmm")&amp;" at "&amp;TEXT(AB77,"hh:mm"),"on a weekday evening that suits your team")&amp;". It's "&amp;IF(AD77&lt;&gt;"","£"&amp;IF(AD77=INT(AD77),TEXT(AD77,"0"),TEXT(AD77,"0.00")),"[PRICE PER PLAYER]")&amp;" a player and we handle the pitch booking, sign-ups and payments, so all it takes is one person sharing a link with the team."&amp;CHAR(10)&amp;CHAR(10)&amp;"It works well as a team social or "&amp;IF(ISNUMBER(SEARCH(LEFT(F77,1),"AEIOU")),"an ","a ")&amp;F77&amp;"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LINK]")&amp;CHAR(10)&amp;CHAR(10)&amp;"Best,"&amp;CHAR(10)&amp;IF(AL77&lt;&gt;"",AL77,IF(Offer!$C$5&lt;&gt;"",Offer!$C$5,"[NAME]"))&amp;CHAR(10)&amp;"FC Urban"</f>
        <v/>
      </c>
      <c r="AH77" s="14">
        <f>IF(LEN("Hi"&amp;IF(O77&lt;&gt;""," "&amp;O77,"")&amp;","&amp;" FC Urban runs after-work football for "&amp;IF(D77="Canary Wharf","Canary Wharf","City")&amp;" teams. We have a "&amp;AC77&amp;" pitch at "&amp;X77&amp;", "&amp;Y77&amp;" min from your office, "&amp;IF(ISNUMBER(AB77),TEXT(AB77,"ddd d mmm")&amp;", "&amp;TEXT(AB77,"hh:mm"),"weekday evenings")&amp;", "&amp;IF(AD77&lt;&gt;"","£"&amp;IF(AD77=INT(AD77),TEXT(AD77,"0"),TEXT(AD77,"0.00")),"[PRICE PER PLAYER]")&amp;" a player. We handle booking, sign-ups and payments. Fancy "&amp;IF(ISNUMBER(SEARCH(LEFT(F77,1),"AEIOU")),"an ","a ")&amp;F77&amp;" team game? "&amp;IF(AL77&lt;&gt;"",AL77,IF(Offer!$C$5&lt;&gt;"",Offer!$C$5,"[NAME]")))&lt;=300,"Hi"&amp;IF(O77&lt;&gt;""," "&amp;O77,"")&amp;","&amp;" FC Urban runs after-work football for "&amp;IF(D77="Canary Wharf","Canary Wharf","City")&amp;" teams. We have a "&amp;AC77&amp;" pitch at "&amp;X77&amp;", "&amp;Y77&amp;" min from your office, "&amp;IF(ISNUMBER(AB77),TEXT(AB77,"ddd d mmm")&amp;", "&amp;TEXT(AB77,"hh:mm"),"weekday evenings")&amp;", "&amp;IF(AD77&lt;&gt;"","£"&amp;IF(AD77=INT(AD77),TEXT(AD77,"0"),TEXT(AD77,"0.00")),"[PRICE PER PLAYER]")&amp;" a player. We handle booking, sign-ups and payments. Fancy "&amp;IF(ISNUMBER(SEARCH(LEFT(F77,1),"AEIOU")),"an ","a ")&amp;F77&amp;" team game? "&amp;IF(AL77&lt;&gt;"",AL77,IF(Offer!$C$5&lt;&gt;"",Offer!$C$5,"[NAME]")),LEFT("Hi"&amp;IF(O77&lt;&gt;""," "&amp;O77,"")&amp;","&amp;" FC Urban runs after-work football for "&amp;IF(D77="Canary Wharf","Canary Wharf","City")&amp;" teams: "&amp;AC77&amp;" at "&amp;X77&amp;", "&amp;Y77&amp;" min from your office, "&amp;IF(ISNUMBER(AB77),TEXT(AB77,"ddd d mmm")&amp;", "&amp;TEXT(AB77,"hh:mm"),"weekday evenings")&amp;", "&amp;IF(AD77&lt;&gt;"","£"&amp;IF(AD77=INT(AD77),TEXT(AD77,"0"),TEXT(AD77,"0.00")),"[PRICE PER PLAYER]")&amp;" pp. We handle booking and payments. Up for a team game? "&amp;IF(AL77&lt;&gt;"",AL77,IF(Offer!$C$5&lt;&gt;"",Offer!$C$5,"[NAME]")),300))</f>
        <v/>
      </c>
      <c r="AI77" s="14">
        <f>LEN(AH77)</f>
        <v/>
      </c>
      <c r="AJ77" s="14">
        <f>"Thanks for connecting"&amp;IF(O77&lt;&gt;"",", "&amp;O77,"")&amp;". "&amp;IF(ISNUMBER(AB77),"The "&amp;AC77&amp;" slot at "&amp;X77&amp;" is "&amp;IF(ISNUMBER(AB77),TEXT(AB77,"ddd d mmm")&amp;", "&amp;TEXT(AB77,"hh:mm"),"weekday evenings"),"We can book "&amp;AC77&amp;" at "&amp;X77&amp;" on a weekday evening that suits you")&amp;" and it's "&amp;IF(AD77&lt;&gt;"","£"&amp;IF(AD77=INT(AD77),TEXT(AD77,"0"),TEXT(AD77,"0.00")),"[PRICE PER PLAYER]")&amp;" a player, all booked and paid through one link. If football isn't your thing, who at "&amp;F77&amp;" would be the right person to organise a team game?"&amp;IF(Offer!$C$7&lt;&gt;""," Spots are held until "&amp;TEXT(Offer!$C$7,"dddd d mmmm")&amp;".","")&amp;" "&amp;IF(Offer!$C$6&lt;&gt;"",Offer!$C$6,"[JOINING LINK]")</f>
        <v/>
      </c>
      <c r="AK77" s="14">
        <f>IF(OR(ISNUMBER(SEARCH("[",AG77)),ISNUMBER(SEARCH("[",AJ77))),"Fill placeholders",IF(ISNUMBER(AB77),"Ready to send","Ready · no fixed slot"))</f>
        <v/>
      </c>
      <c r="AN77" s="17" t="n"/>
    </row>
    <row r="78">
      <c r="A78" s="11" t="n">
        <v>76</v>
      </c>
      <c r="B78" s="11" t="n">
        <v>2</v>
      </c>
      <c r="C78" s="11" t="inlineStr">
        <is>
          <t>Fund administrator</t>
        </is>
      </c>
      <c r="D78" s="11" t="inlineStr">
        <is>
          <t>City of London</t>
        </is>
      </c>
      <c r="E78" s="11" t="inlineStr">
        <is>
          <t>FNZ Securities Limited</t>
        </is>
      </c>
      <c r="F78" s="11" t="inlineStr">
        <is>
          <t>FNZ</t>
        </is>
      </c>
      <c r="G78" s="11" t="inlineStr">
        <is>
          <t>09486463</t>
        </is>
      </c>
      <c r="H78" s="12" t="inlineStr">
        <is>
          <t>Open</t>
        </is>
      </c>
      <c r="I78" s="12" t="inlineStr">
        <is>
          <t>Search</t>
        </is>
      </c>
      <c r="J78" s="11" t="inlineStr">
        <is>
          <t>Full</t>
        </is>
      </c>
      <c r="K78" s="13" t="n">
        <v>42075</v>
      </c>
      <c r="L78" s="11" t="inlineStr">
        <is>
          <t>10Th Floor, 135 Bishopsgate, London</t>
        </is>
      </c>
      <c r="M78" s="11" t="inlineStr">
        <is>
          <t>EC2M 3TP</t>
        </is>
      </c>
      <c r="N78" s="11" t="inlineStr">
        <is>
          <t>No</t>
        </is>
      </c>
      <c r="U78" s="11" t="inlineStr">
        <is>
          <t>Liverpool St - Attlee Centre</t>
        </is>
      </c>
      <c r="V78" s="11" t="n">
        <v>8</v>
      </c>
      <c r="W78" s="11" t="inlineStr">
        <is>
          <t>Shoreditch Powerleague (10.7)</t>
        </is>
      </c>
      <c r="X78" s="11" t="inlineStr">
        <is>
          <t>Shoreditch Powerleague</t>
        </is>
      </c>
      <c r="Y78" s="11" t="n">
        <v>11</v>
      </c>
      <c r="Z78" s="14">
        <f>IFERROR(INDEX(Venues!$E$2:$E$15,MATCH(X78,Venues!$A$2:$A$15,0)),"Not checked")</f>
        <v/>
      </c>
      <c r="AA78" s="14">
        <f>IFERROR(INDEX(Venues!$F$2:$F$15,MATCH(X78,Venues!$A$2:$A$15,0)),0)</f>
        <v/>
      </c>
      <c r="AB78" s="15">
        <f>IFERROR(INDEX(Venues!$M$2:$M$15,MATCH(X78,Venues!$A$2:$A$15,0)),"")</f>
        <v/>
      </c>
      <c r="AC78" s="14">
        <f>IFERROR(INDEX(Venues!$N$2:$N$15,MATCH(X78,Venues!$A$2:$A$15,0)),"5-a-side")</f>
        <v/>
      </c>
      <c r="AD78" s="16">
        <f>IF(Offer!$C$4="","",Offer!$C$4)</f>
        <v/>
      </c>
      <c r="AE78" s="14">
        <f>X78&amp;" ("&amp;Y78&amp;" min walk) · "&amp;IF(ISNUMBER(AB78),TEXT(AB78,"ddd d mmm, hh:mm"),"slot to confirm with venue")&amp;" · "&amp;AC78&amp;" · "&amp;IF(AD78&lt;&gt;"","£"&amp;TEXT(AD78,"0.00")&amp;" pp","price TBC")</f>
        <v/>
      </c>
      <c r="AF78" s="14">
        <f>"After-work football for "&amp;F78&amp;" · "&amp;X78&amp;", "&amp;Y78&amp;" min from your office"</f>
        <v/>
      </c>
      <c r="AG78" s="14">
        <f>"Hi"&amp;IF(O78&lt;&gt;""," "&amp;O78,"")&amp;","&amp;CHAR(10)&amp;CHAR(10)&amp;"I'm "&amp;IF(AL78&lt;&gt;"",AL78,IF(Offer!$C$5&lt;&gt;"",Offer!$C$5,"[NAME]"))&amp;" from FC Urban. We organise after-work football for teams in the City and Canary Wharf."&amp;CHAR(10)&amp;CHAR(10)&amp;"We have a "&amp;AC78&amp;" pitch at "&amp;X78&amp;", "&amp;IF(OR(Y78=8,Y78=11,Y78=18),"an ","a ")&amp;Y78&amp;"-minute walk from your "&amp;M78&amp;" office, "&amp;IF(ISNUMBER(AB78),"on "&amp;TEXT(AB78,"dddd d mmmm")&amp;" at "&amp;TEXT(AB78,"hh:mm"),"on a weekday evening that suits your team")&amp;". It's "&amp;IF(AD78&lt;&gt;"","£"&amp;IF(AD78=INT(AD78),TEXT(AD78,"0"),TEXT(AD78,"0.00")),"[PRICE PER PLAYER]")&amp;" a player and we handle the pitch booking, sign-ups and payments, so all it takes is one person sharing a link with the team."&amp;CHAR(10)&amp;CHAR(10)&amp;"It works well as a team social or "&amp;IF(ISNUMBER(SEARCH(LEFT(F78,1),"AEIOU")),"an ","a ")&amp;F78&amp;"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LINK]")&amp;CHAR(10)&amp;CHAR(10)&amp;"Best,"&amp;CHAR(10)&amp;IF(AL78&lt;&gt;"",AL78,IF(Offer!$C$5&lt;&gt;"",Offer!$C$5,"[NAME]"))&amp;CHAR(10)&amp;"FC Urban"</f>
        <v/>
      </c>
      <c r="AH78" s="14">
        <f>IF(LEN("Hi"&amp;IF(O78&lt;&gt;""," "&amp;O78,"")&amp;","&amp;" FC Urban runs after-work football for "&amp;IF(D78="Canary Wharf","Canary Wharf","City")&amp;" teams. We have a "&amp;AC78&amp;" pitch at "&amp;X78&amp;", "&amp;Y78&amp;" min from your office, "&amp;IF(ISNUMBER(AB78),TEXT(AB78,"ddd d mmm")&amp;", "&amp;TEXT(AB78,"hh:mm"),"weekday evenings")&amp;", "&amp;IF(AD78&lt;&gt;"","£"&amp;IF(AD78=INT(AD78),TEXT(AD78,"0"),TEXT(AD78,"0.00")),"[PRICE PER PLAYER]")&amp;" a player. We handle booking, sign-ups and payments. Fancy "&amp;IF(ISNUMBER(SEARCH(LEFT(F78,1),"AEIOU")),"an ","a ")&amp;F78&amp;" team game? "&amp;IF(AL78&lt;&gt;"",AL78,IF(Offer!$C$5&lt;&gt;"",Offer!$C$5,"[NAME]")))&lt;=300,"Hi"&amp;IF(O78&lt;&gt;""," "&amp;O78,"")&amp;","&amp;" FC Urban runs after-work football for "&amp;IF(D78="Canary Wharf","Canary Wharf","City")&amp;" teams. We have a "&amp;AC78&amp;" pitch at "&amp;X78&amp;", "&amp;Y78&amp;" min from your office, "&amp;IF(ISNUMBER(AB78),TEXT(AB78,"ddd d mmm")&amp;", "&amp;TEXT(AB78,"hh:mm"),"weekday evenings")&amp;", "&amp;IF(AD78&lt;&gt;"","£"&amp;IF(AD78=INT(AD78),TEXT(AD78,"0"),TEXT(AD78,"0.00")),"[PRICE PER PLAYER]")&amp;" a player. We handle booking, sign-ups and payments. Fancy "&amp;IF(ISNUMBER(SEARCH(LEFT(F78,1),"AEIOU")),"an ","a ")&amp;F78&amp;" team game? "&amp;IF(AL78&lt;&gt;"",AL78,IF(Offer!$C$5&lt;&gt;"",Offer!$C$5,"[NAME]")),LEFT("Hi"&amp;IF(O78&lt;&gt;""," "&amp;O78,"")&amp;","&amp;" FC Urban runs after-work football for "&amp;IF(D78="Canary Wharf","Canary Wharf","City")&amp;" teams: "&amp;AC78&amp;" at "&amp;X78&amp;", "&amp;Y78&amp;" min from your office, "&amp;IF(ISNUMBER(AB78),TEXT(AB78,"ddd d mmm")&amp;", "&amp;TEXT(AB78,"hh:mm"),"weekday evenings")&amp;", "&amp;IF(AD78&lt;&gt;"","£"&amp;IF(AD78=INT(AD78),TEXT(AD78,"0"),TEXT(AD78,"0.00")),"[PRICE PER PLAYER]")&amp;" pp. We handle booking and payments. Up for a team game? "&amp;IF(AL78&lt;&gt;"",AL78,IF(Offer!$C$5&lt;&gt;"",Offer!$C$5,"[NAME]")),300))</f>
        <v/>
      </c>
      <c r="AI78" s="14">
        <f>LEN(AH78)</f>
        <v/>
      </c>
      <c r="AJ78" s="14">
        <f>"Thanks for connecting"&amp;IF(O78&lt;&gt;"",", "&amp;O78,"")&amp;". "&amp;IF(ISNUMBER(AB78),"The "&amp;AC78&amp;" slot at "&amp;X78&amp;" is "&amp;IF(ISNUMBER(AB78),TEXT(AB78,"ddd d mmm")&amp;", "&amp;TEXT(AB78,"hh:mm"),"weekday evenings"),"We can book "&amp;AC78&amp;" at "&amp;X78&amp;" on a weekday evening that suits you")&amp;" and it's "&amp;IF(AD78&lt;&gt;"","£"&amp;IF(AD78=INT(AD78),TEXT(AD78,"0"),TEXT(AD78,"0.00")),"[PRICE PER PLAYER]")&amp;" a player, all booked and paid through one link. If football isn't your thing, who at "&amp;F78&amp;" would be the right person to organise a team game?"&amp;IF(Offer!$C$7&lt;&gt;""," Spots are held until "&amp;TEXT(Offer!$C$7,"dddd d mmmm")&amp;".","")&amp;" "&amp;IF(Offer!$C$6&lt;&gt;"",Offer!$C$6,"[JOINING LINK]")</f>
        <v/>
      </c>
      <c r="AK78" s="14">
        <f>IF(OR(ISNUMBER(SEARCH("[",AG78)),ISNUMBER(SEARCH("[",AJ78))),"Fill placeholders",IF(ISNUMBER(AB78),"Ready to send","Ready · no fixed slot"))</f>
        <v/>
      </c>
      <c r="AN78" s="17" t="n"/>
    </row>
    <row r="79">
      <c r="A79" s="11" t="n">
        <v>77</v>
      </c>
      <c r="B79" s="11" t="n">
        <v>2</v>
      </c>
      <c r="C79" s="11" t="inlineStr">
        <is>
          <t>Fund administrator</t>
        </is>
      </c>
      <c r="D79" s="11" t="inlineStr">
        <is>
          <t>Canary Wharf</t>
        </is>
      </c>
      <c r="E79" s="11" t="inlineStr">
        <is>
          <t>Northern Trust Securities LLP</t>
        </is>
      </c>
      <c r="F79" s="11" t="inlineStr">
        <is>
          <t>Northern Trust</t>
        </is>
      </c>
      <c r="G79" s="11" t="inlineStr">
        <is>
          <t>OC324323</t>
        </is>
      </c>
      <c r="H79" s="12" t="inlineStr">
        <is>
          <t>Open</t>
        </is>
      </c>
      <c r="I79" s="12" t="inlineStr">
        <is>
          <t>Search</t>
        </is>
      </c>
      <c r="J79" s="11" t="inlineStr">
        <is>
          <t>Full</t>
        </is>
      </c>
      <c r="K79" s="13" t="n">
        <v>39051</v>
      </c>
      <c r="L79" s="11" t="inlineStr">
        <is>
          <t>50 Bank Street, London</t>
        </is>
      </c>
      <c r="M79" s="11" t="inlineStr">
        <is>
          <t>E14 5NT</t>
        </is>
      </c>
      <c r="N79" s="11" t="inlineStr">
        <is>
          <t>No</t>
        </is>
      </c>
      <c r="U79" s="11" t="inlineStr">
        <is>
          <t>Poplar</t>
        </is>
      </c>
      <c r="V79" s="11" t="n">
        <v>11</v>
      </c>
      <c r="W79" s="11" t="n"/>
      <c r="X79" s="11" t="inlineStr">
        <is>
          <t>Poplar</t>
        </is>
      </c>
      <c r="Y79" s="11" t="n">
        <v>11</v>
      </c>
      <c r="Z79" s="14">
        <f>IFERROR(INDEX(Venues!$E$2:$E$15,MATCH(X79,Venues!$A$2:$A$15,0)),"Not checked")</f>
        <v/>
      </c>
      <c r="AA79" s="14">
        <f>IFERROR(INDEX(Venues!$F$2:$F$15,MATCH(X79,Venues!$A$2:$A$15,0)),0)</f>
        <v/>
      </c>
      <c r="AB79" s="15">
        <f>IFERROR(INDEX(Venues!$M$2:$M$15,MATCH(X79,Venues!$A$2:$A$15,0)),"")</f>
        <v/>
      </c>
      <c r="AC79" s="14">
        <f>IFERROR(INDEX(Venues!$N$2:$N$15,MATCH(X79,Venues!$A$2:$A$15,0)),"5-a-side")</f>
        <v/>
      </c>
      <c r="AD79" s="16">
        <f>IF(Offer!$C$4="","",Offer!$C$4)</f>
        <v/>
      </c>
      <c r="AE79" s="14">
        <f>X79&amp;" ("&amp;Y79&amp;" min walk) · "&amp;IF(ISNUMBER(AB79),TEXT(AB79,"ddd d mmm, hh:mm"),"slot to confirm with venue")&amp;" · "&amp;AC79&amp;" · "&amp;IF(AD79&lt;&gt;"","£"&amp;TEXT(AD79,"0.00")&amp;" pp","price TBC")</f>
        <v/>
      </c>
      <c r="AF79" s="14">
        <f>"After-work football for "&amp;F79&amp;" · "&amp;X79&amp;", "&amp;Y79&amp;" min from your office"</f>
        <v/>
      </c>
      <c r="AG79" s="14">
        <f>"Hi"&amp;IF(O79&lt;&gt;""," "&amp;O79,"")&amp;","&amp;CHAR(10)&amp;CHAR(10)&amp;"I'm "&amp;IF(AL79&lt;&gt;"",AL79,IF(Offer!$C$5&lt;&gt;"",Offer!$C$5,"[NAME]"))&amp;" from FC Urban. We organise after-work football for teams in the City and Canary Wharf."&amp;CHAR(10)&amp;CHAR(10)&amp;"We have a "&amp;AC79&amp;" pitch at "&amp;X79&amp;", "&amp;IF(OR(Y79=8,Y79=11,Y79=18),"an ","a ")&amp;Y79&amp;"-minute walk from your "&amp;M79&amp;" office, "&amp;IF(ISNUMBER(AB79),"on "&amp;TEXT(AB79,"dddd d mmmm")&amp;" at "&amp;TEXT(AB79,"hh:mm"),"on a weekday evening that suits your team")&amp;". It's "&amp;IF(AD79&lt;&gt;"","£"&amp;IF(AD79=INT(AD79),TEXT(AD79,"0"),TEXT(AD79,"0.00")),"[PRICE PER PLAYER]")&amp;" a player and we handle the pitch booking, sign-ups and payments, so all it takes is one person sharing a link with the team."&amp;CHAR(10)&amp;CHAR(10)&amp;"It works well as a team social or "&amp;IF(ISNUMBER(SEARCH(LEFT(F79,1),"AEIOU")),"an ","a ")&amp;F79&amp;"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LINK]")&amp;CHAR(10)&amp;CHAR(10)&amp;"Best,"&amp;CHAR(10)&amp;IF(AL79&lt;&gt;"",AL79,IF(Offer!$C$5&lt;&gt;"",Offer!$C$5,"[NAME]"))&amp;CHAR(10)&amp;"FC Urban"</f>
        <v/>
      </c>
      <c r="AH79" s="14">
        <f>IF(LEN("Hi"&amp;IF(O79&lt;&gt;""," "&amp;O79,"")&amp;","&amp;" FC Urban runs after-work football for "&amp;IF(D79="Canary Wharf","Canary Wharf","City")&amp;" teams. We have a "&amp;AC79&amp;" pitch at "&amp;X79&amp;", "&amp;Y79&amp;" min from your office, "&amp;IF(ISNUMBER(AB79),TEXT(AB79,"ddd d mmm")&amp;", "&amp;TEXT(AB79,"hh:mm"),"weekday evenings")&amp;", "&amp;IF(AD79&lt;&gt;"","£"&amp;IF(AD79=INT(AD79),TEXT(AD79,"0"),TEXT(AD79,"0.00")),"[PRICE PER PLAYER]")&amp;" a player. We handle booking, sign-ups and payments. Fancy "&amp;IF(ISNUMBER(SEARCH(LEFT(F79,1),"AEIOU")),"an ","a ")&amp;F79&amp;" team game? "&amp;IF(AL79&lt;&gt;"",AL79,IF(Offer!$C$5&lt;&gt;"",Offer!$C$5,"[NAME]")))&lt;=300,"Hi"&amp;IF(O79&lt;&gt;""," "&amp;O79,"")&amp;","&amp;" FC Urban runs after-work football for "&amp;IF(D79="Canary Wharf","Canary Wharf","City")&amp;" teams. We have a "&amp;AC79&amp;" pitch at "&amp;X79&amp;", "&amp;Y79&amp;" min from your office, "&amp;IF(ISNUMBER(AB79),TEXT(AB79,"ddd d mmm")&amp;", "&amp;TEXT(AB79,"hh:mm"),"weekday evenings")&amp;", "&amp;IF(AD79&lt;&gt;"","£"&amp;IF(AD79=INT(AD79),TEXT(AD79,"0"),TEXT(AD79,"0.00")),"[PRICE PER PLAYER]")&amp;" a player. We handle booking, sign-ups and payments. Fancy "&amp;IF(ISNUMBER(SEARCH(LEFT(F79,1),"AEIOU")),"an ","a ")&amp;F79&amp;" team game? "&amp;IF(AL79&lt;&gt;"",AL79,IF(Offer!$C$5&lt;&gt;"",Offer!$C$5,"[NAME]")),LEFT("Hi"&amp;IF(O79&lt;&gt;""," "&amp;O79,"")&amp;","&amp;" FC Urban runs after-work football for "&amp;IF(D79="Canary Wharf","Canary Wharf","City")&amp;" teams: "&amp;AC79&amp;" at "&amp;X79&amp;", "&amp;Y79&amp;" min from your office, "&amp;IF(ISNUMBER(AB79),TEXT(AB79,"ddd d mmm")&amp;", "&amp;TEXT(AB79,"hh:mm"),"weekday evenings")&amp;", "&amp;IF(AD79&lt;&gt;"","£"&amp;IF(AD79=INT(AD79),TEXT(AD79,"0"),TEXT(AD79,"0.00")),"[PRICE PER PLAYER]")&amp;" pp. We handle booking and payments. Up for a team game? "&amp;IF(AL79&lt;&gt;"",AL79,IF(Offer!$C$5&lt;&gt;"",Offer!$C$5,"[NAME]")),300))</f>
        <v/>
      </c>
      <c r="AI79" s="14">
        <f>LEN(AH79)</f>
        <v/>
      </c>
      <c r="AJ79" s="14">
        <f>"Thanks for connecting"&amp;IF(O79&lt;&gt;"",", "&amp;O79,"")&amp;". "&amp;IF(ISNUMBER(AB79),"The "&amp;AC79&amp;" slot at "&amp;X79&amp;" is "&amp;IF(ISNUMBER(AB79),TEXT(AB79,"ddd d mmm")&amp;", "&amp;TEXT(AB79,"hh:mm"),"weekday evenings"),"We can book "&amp;AC79&amp;" at "&amp;X79&amp;" on a weekday evening that suits you")&amp;" and it's "&amp;IF(AD79&lt;&gt;"","£"&amp;IF(AD79=INT(AD79),TEXT(AD79,"0"),TEXT(AD79,"0.00")),"[PRICE PER PLAYER]")&amp;" a player, all booked and paid through one link. If football isn't your thing, who at "&amp;F79&amp;" would be the right person to organise a team game?"&amp;IF(Offer!$C$7&lt;&gt;""," Spots are held until "&amp;TEXT(Offer!$C$7,"dddd d mmmm")&amp;".","")&amp;" "&amp;IF(Offer!$C$6&lt;&gt;"",Offer!$C$6,"[JOINING LINK]")</f>
        <v/>
      </c>
      <c r="AK79" s="14">
        <f>IF(OR(ISNUMBER(SEARCH("[",AG79)),ISNUMBER(SEARCH("[",AJ79))),"Fill placeholders",IF(ISNUMBER(AB79),"Ready to send","Ready · no fixed slot"))</f>
        <v/>
      </c>
      <c r="AN79" s="17" t="n"/>
    </row>
    <row r="80">
      <c r="A80" s="11" t="n">
        <v>78</v>
      </c>
      <c r="B80" s="11" t="n">
        <v>2</v>
      </c>
      <c r="C80" s="11" t="inlineStr">
        <is>
          <t>Fund administrator</t>
        </is>
      </c>
      <c r="D80" s="11" t="inlineStr">
        <is>
          <t>City of London</t>
        </is>
      </c>
      <c r="E80" s="11" t="inlineStr">
        <is>
          <t>JTC Gas UK LLP</t>
        </is>
      </c>
      <c r="F80" s="11" t="inlineStr">
        <is>
          <t>JTC</t>
        </is>
      </c>
      <c r="G80" s="11" t="inlineStr">
        <is>
          <t>OC355369</t>
        </is>
      </c>
      <c r="H80" s="12" t="inlineStr">
        <is>
          <t>Open</t>
        </is>
      </c>
      <c r="I80" s="12" t="inlineStr">
        <is>
          <t>Search</t>
        </is>
      </c>
      <c r="J80" s="11" t="inlineStr">
        <is>
          <t>Full</t>
        </is>
      </c>
      <c r="K80" s="13" t="n">
        <v>40331</v>
      </c>
      <c r="L80" s="11" t="inlineStr">
        <is>
          <t>The Scalpel, 18Th Floor, 52 Lime Street, London</t>
        </is>
      </c>
      <c r="M80" s="11" t="inlineStr">
        <is>
          <t>EC3M 7AF</t>
        </is>
      </c>
      <c r="N80" s="11" t="inlineStr">
        <is>
          <t>No</t>
        </is>
      </c>
      <c r="U80" s="11" t="inlineStr">
        <is>
          <t>Liverpool St - Attlee Centre</t>
        </is>
      </c>
      <c r="V80" s="11" t="n">
        <v>13</v>
      </c>
      <c r="W80" s="11" t="n"/>
      <c r="X80" s="11" t="inlineStr">
        <is>
          <t>Liverpool St - Attlee Centre</t>
        </is>
      </c>
      <c r="Y80" s="11" t="n">
        <v>13</v>
      </c>
      <c r="Z80" s="14">
        <f>IFERROR(INDEX(Venues!$E$2:$E$15,MATCH(X80,Venues!$A$2:$A$15,0)),"Not checked")</f>
        <v/>
      </c>
      <c r="AA80" s="14">
        <f>IFERROR(INDEX(Venues!$F$2:$F$15,MATCH(X80,Venues!$A$2:$A$15,0)),0)</f>
        <v/>
      </c>
      <c r="AB80" s="15">
        <f>IFERROR(INDEX(Venues!$M$2:$M$15,MATCH(X80,Venues!$A$2:$A$15,0)),"")</f>
        <v/>
      </c>
      <c r="AC80" s="14">
        <f>IFERROR(INDEX(Venues!$N$2:$N$15,MATCH(X80,Venues!$A$2:$A$15,0)),"5-a-side")</f>
        <v/>
      </c>
      <c r="AD80" s="16">
        <f>IF(Offer!$C$4="","",Offer!$C$4)</f>
        <v/>
      </c>
      <c r="AE80" s="14">
        <f>X80&amp;" ("&amp;Y80&amp;" min walk) · "&amp;IF(ISNUMBER(AB80),TEXT(AB80,"ddd d mmm, hh:mm"),"slot to confirm with venue")&amp;" · "&amp;AC80&amp;" · "&amp;IF(AD80&lt;&gt;"","£"&amp;TEXT(AD80,"0.00")&amp;" pp","price TBC")</f>
        <v/>
      </c>
      <c r="AF80" s="14">
        <f>"After-work football for "&amp;F80&amp;" · "&amp;X80&amp;", "&amp;Y80&amp;" min from your office"</f>
        <v/>
      </c>
      <c r="AG80" s="14">
        <f>"Hi"&amp;IF(O80&lt;&gt;""," "&amp;O80,"")&amp;","&amp;CHAR(10)&amp;CHAR(10)&amp;"I'm "&amp;IF(AL80&lt;&gt;"",AL80,IF(Offer!$C$5&lt;&gt;"",Offer!$C$5,"[NAME]"))&amp;" from FC Urban. We organise after-work football for teams in the City and Canary Wharf."&amp;CHAR(10)&amp;CHAR(10)&amp;"We have a "&amp;AC80&amp;" pitch at "&amp;X80&amp;", "&amp;IF(OR(Y80=8,Y80=11,Y80=18),"an ","a ")&amp;Y80&amp;"-minute walk from your "&amp;M80&amp;" office, "&amp;IF(ISNUMBER(AB80),"on "&amp;TEXT(AB80,"dddd d mmmm")&amp;" at "&amp;TEXT(AB80,"hh:mm"),"on a weekday evening that suits your team")&amp;". It's "&amp;IF(AD80&lt;&gt;"","£"&amp;IF(AD80=INT(AD80),TEXT(AD80,"0"),TEXT(AD80,"0.00")),"[PRICE PER PLAYER]")&amp;" a player and we handle the pitch booking, sign-ups and payments, so all it takes is one person sharing a link with the team."&amp;CHAR(10)&amp;CHAR(10)&amp;"It works well as a team social or "&amp;IF(ISNUMBER(SEARCH(LEFT(F80,1),"AEIOU")),"an ","a ")&amp;F80&amp;"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LINK]")&amp;CHAR(10)&amp;CHAR(10)&amp;"Best,"&amp;CHAR(10)&amp;IF(AL80&lt;&gt;"",AL80,IF(Offer!$C$5&lt;&gt;"",Offer!$C$5,"[NAME]"))&amp;CHAR(10)&amp;"FC Urban"</f>
        <v/>
      </c>
      <c r="AH80" s="14">
        <f>IF(LEN("Hi"&amp;IF(O80&lt;&gt;""," "&amp;O80,"")&amp;","&amp;" FC Urban runs after-work football for "&amp;IF(D80="Canary Wharf","Canary Wharf","City")&amp;" teams. We have a "&amp;AC80&amp;" pitch at "&amp;X80&amp;", "&amp;Y80&amp;" min from your office, "&amp;IF(ISNUMBER(AB80),TEXT(AB80,"ddd d mmm")&amp;", "&amp;TEXT(AB80,"hh:mm"),"weekday evenings")&amp;", "&amp;IF(AD80&lt;&gt;"","£"&amp;IF(AD80=INT(AD80),TEXT(AD80,"0"),TEXT(AD80,"0.00")),"[PRICE PER PLAYER]")&amp;" a player. We handle booking, sign-ups and payments. Fancy "&amp;IF(ISNUMBER(SEARCH(LEFT(F80,1),"AEIOU")),"an ","a ")&amp;F80&amp;" team game? "&amp;IF(AL80&lt;&gt;"",AL80,IF(Offer!$C$5&lt;&gt;"",Offer!$C$5,"[NAME]")))&lt;=300,"Hi"&amp;IF(O80&lt;&gt;""," "&amp;O80,"")&amp;","&amp;" FC Urban runs after-work football for "&amp;IF(D80="Canary Wharf","Canary Wharf","City")&amp;" teams. We have a "&amp;AC80&amp;" pitch at "&amp;X80&amp;", "&amp;Y80&amp;" min from your office, "&amp;IF(ISNUMBER(AB80),TEXT(AB80,"ddd d mmm")&amp;", "&amp;TEXT(AB80,"hh:mm"),"weekday evenings")&amp;", "&amp;IF(AD80&lt;&gt;"","£"&amp;IF(AD80=INT(AD80),TEXT(AD80,"0"),TEXT(AD80,"0.00")),"[PRICE PER PLAYER]")&amp;" a player. We handle booking, sign-ups and payments. Fancy "&amp;IF(ISNUMBER(SEARCH(LEFT(F80,1),"AEIOU")),"an ","a ")&amp;F80&amp;" team game? "&amp;IF(AL80&lt;&gt;"",AL80,IF(Offer!$C$5&lt;&gt;"",Offer!$C$5,"[NAME]")),LEFT("Hi"&amp;IF(O80&lt;&gt;""," "&amp;O80,"")&amp;","&amp;" FC Urban runs after-work football for "&amp;IF(D80="Canary Wharf","Canary Wharf","City")&amp;" teams: "&amp;AC80&amp;" at "&amp;X80&amp;", "&amp;Y80&amp;" min from your office, "&amp;IF(ISNUMBER(AB80),TEXT(AB80,"ddd d mmm")&amp;", "&amp;TEXT(AB80,"hh:mm"),"weekday evenings")&amp;", "&amp;IF(AD80&lt;&gt;"","£"&amp;IF(AD80=INT(AD80),TEXT(AD80,"0"),TEXT(AD80,"0.00")),"[PRICE PER PLAYER]")&amp;" pp. We handle booking and payments. Up for a team game? "&amp;IF(AL80&lt;&gt;"",AL80,IF(Offer!$C$5&lt;&gt;"",Offer!$C$5,"[NAME]")),300))</f>
        <v/>
      </c>
      <c r="AI80" s="14">
        <f>LEN(AH80)</f>
        <v/>
      </c>
      <c r="AJ80" s="14">
        <f>"Thanks for connecting"&amp;IF(O80&lt;&gt;"",", "&amp;O80,"")&amp;". "&amp;IF(ISNUMBER(AB80),"The "&amp;AC80&amp;" slot at "&amp;X80&amp;" is "&amp;IF(ISNUMBER(AB80),TEXT(AB80,"ddd d mmm")&amp;", "&amp;TEXT(AB80,"hh:mm"),"weekday evenings"),"We can book "&amp;AC80&amp;" at "&amp;X80&amp;" on a weekday evening that suits you")&amp;" and it's "&amp;IF(AD80&lt;&gt;"","£"&amp;IF(AD80=INT(AD80),TEXT(AD80,"0"),TEXT(AD80,"0.00")),"[PRICE PER PLAYER]")&amp;" a player, all booked and paid through one link. If football isn't your thing, who at "&amp;F80&amp;" would be the right person to organise a team game?"&amp;IF(Offer!$C$7&lt;&gt;""," Spots are held until "&amp;TEXT(Offer!$C$7,"dddd d mmmm")&amp;".","")&amp;" "&amp;IF(Offer!$C$6&lt;&gt;"",Offer!$C$6,"[JOINING LINK]")</f>
        <v/>
      </c>
      <c r="AK80" s="14">
        <f>IF(OR(ISNUMBER(SEARCH("[",AG80)),ISNUMBER(SEARCH("[",AJ80))),"Fill placeholders",IF(ISNUMBER(AB80),"Ready to send","Ready · no fixed slot"))</f>
        <v/>
      </c>
      <c r="AN80" s="17" t="n"/>
    </row>
    <row r="81">
      <c r="A81" s="11" t="n">
        <v>79</v>
      </c>
      <c r="B81" s="11" t="n">
        <v>2</v>
      </c>
      <c r="C81" s="11" t="inlineStr">
        <is>
          <t>Fund administrator</t>
        </is>
      </c>
      <c r="D81" s="11" t="inlineStr">
        <is>
          <t>City of London</t>
        </is>
      </c>
      <c r="E81" s="11" t="inlineStr">
        <is>
          <t>Morningstar Wealth Administration Limited</t>
        </is>
      </c>
      <c r="F81" s="11" t="inlineStr">
        <is>
          <t>Morningstar Wealth</t>
        </is>
      </c>
      <c r="G81" s="11" t="inlineStr">
        <is>
          <t>06016828</t>
        </is>
      </c>
      <c r="H81" s="12" t="inlineStr">
        <is>
          <t>Open</t>
        </is>
      </c>
      <c r="I81" s="12" t="inlineStr">
        <is>
          <t>Search</t>
        </is>
      </c>
      <c r="J81" s="11" t="inlineStr">
        <is>
          <t>Full</t>
        </is>
      </c>
      <c r="K81" s="13" t="n">
        <v>39055</v>
      </c>
      <c r="L81" s="11" t="inlineStr">
        <is>
          <t>1 Oliver'S Yard, 55-71 City Road, London</t>
        </is>
      </c>
      <c r="M81" s="11" t="inlineStr">
        <is>
          <t>EC1Y 1HQ</t>
        </is>
      </c>
      <c r="N81" s="11" t="inlineStr">
        <is>
          <t>No</t>
        </is>
      </c>
      <c r="U81" s="11" t="inlineStr">
        <is>
          <t>Shoreditch Powerleague</t>
        </is>
      </c>
      <c r="V81" s="11" t="n">
        <v>13</v>
      </c>
      <c r="W81" s="11" t="inlineStr">
        <is>
          <t>Old St - Moreland Primary School (15); Shoreditch Rooftop (18.9)</t>
        </is>
      </c>
      <c r="X81" s="11" t="inlineStr">
        <is>
          <t>Shoreditch Powerleague</t>
        </is>
      </c>
      <c r="Y81" s="11" t="n">
        <v>13</v>
      </c>
      <c r="Z81" s="14">
        <f>IFERROR(INDEX(Venues!$E$2:$E$15,MATCH(X81,Venues!$A$2:$A$15,0)),"Not checked")</f>
        <v/>
      </c>
      <c r="AA81" s="14">
        <f>IFERROR(INDEX(Venues!$F$2:$F$15,MATCH(X81,Venues!$A$2:$A$15,0)),0)</f>
        <v/>
      </c>
      <c r="AB81" s="15">
        <f>IFERROR(INDEX(Venues!$M$2:$M$15,MATCH(X81,Venues!$A$2:$A$15,0)),"")</f>
        <v/>
      </c>
      <c r="AC81" s="14">
        <f>IFERROR(INDEX(Venues!$N$2:$N$15,MATCH(X81,Venues!$A$2:$A$15,0)),"5-a-side")</f>
        <v/>
      </c>
      <c r="AD81" s="16">
        <f>IF(Offer!$C$4="","",Offer!$C$4)</f>
        <v/>
      </c>
      <c r="AE81" s="14">
        <f>X81&amp;" ("&amp;Y81&amp;" min walk) · "&amp;IF(ISNUMBER(AB81),TEXT(AB81,"ddd d mmm, hh:mm"),"slot to confirm with venue")&amp;" · "&amp;AC81&amp;" · "&amp;IF(AD81&lt;&gt;"","£"&amp;TEXT(AD81,"0.00")&amp;" pp","price TBC")</f>
        <v/>
      </c>
      <c r="AF81" s="14">
        <f>"After-work football for "&amp;F81&amp;" · "&amp;X81&amp;", "&amp;Y81&amp;" min from your office"</f>
        <v/>
      </c>
      <c r="AG81" s="14">
        <f>"Hi"&amp;IF(O81&lt;&gt;""," "&amp;O81,"")&amp;","&amp;CHAR(10)&amp;CHAR(10)&amp;"I'm "&amp;IF(AL81&lt;&gt;"",AL81,IF(Offer!$C$5&lt;&gt;"",Offer!$C$5,"[NAME]"))&amp;" from FC Urban. We organise after-work football for teams in the City and Canary Wharf."&amp;CHAR(10)&amp;CHAR(10)&amp;"We have a "&amp;AC81&amp;" pitch at "&amp;X81&amp;", "&amp;IF(OR(Y81=8,Y81=11,Y81=18),"an ","a ")&amp;Y81&amp;"-minute walk from your "&amp;M81&amp;" office, "&amp;IF(ISNUMBER(AB81),"on "&amp;TEXT(AB81,"dddd d mmmm")&amp;" at "&amp;TEXT(AB81,"hh:mm"),"on a weekday evening that suits your team")&amp;". It's "&amp;IF(AD81&lt;&gt;"","£"&amp;IF(AD81=INT(AD81),TEXT(AD81,"0"),TEXT(AD81,"0.00")),"[PRICE PER PLAYER]")&amp;" a player and we handle the pitch booking, sign-ups and payments, so all it takes is one person sharing a link with the team."&amp;CHAR(10)&amp;CHAR(10)&amp;"It works well as a team social or "&amp;IF(ISNUMBER(SEARCH(LEFT(F81,1),"AEIOU")),"an ","a ")&amp;F81&amp;"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LINK]")&amp;CHAR(10)&amp;CHAR(10)&amp;"Best,"&amp;CHAR(10)&amp;IF(AL81&lt;&gt;"",AL81,IF(Offer!$C$5&lt;&gt;"",Offer!$C$5,"[NAME]"))&amp;CHAR(10)&amp;"FC Urban"</f>
        <v/>
      </c>
      <c r="AH81" s="14">
        <f>IF(LEN("Hi"&amp;IF(O81&lt;&gt;""," "&amp;O81,"")&amp;","&amp;" FC Urban runs after-work football for "&amp;IF(D81="Canary Wharf","Canary Wharf","City")&amp;" teams. We have a "&amp;AC81&amp;" pitch at "&amp;X81&amp;", "&amp;Y81&amp;" min from your office, "&amp;IF(ISNUMBER(AB81),TEXT(AB81,"ddd d mmm")&amp;", "&amp;TEXT(AB81,"hh:mm"),"weekday evenings")&amp;", "&amp;IF(AD81&lt;&gt;"","£"&amp;IF(AD81=INT(AD81),TEXT(AD81,"0"),TEXT(AD81,"0.00")),"[PRICE PER PLAYER]")&amp;" a player. We handle booking, sign-ups and payments. Fancy "&amp;IF(ISNUMBER(SEARCH(LEFT(F81,1),"AEIOU")),"an ","a ")&amp;F81&amp;" team game? "&amp;IF(AL81&lt;&gt;"",AL81,IF(Offer!$C$5&lt;&gt;"",Offer!$C$5,"[NAME]")))&lt;=300,"Hi"&amp;IF(O81&lt;&gt;""," "&amp;O81,"")&amp;","&amp;" FC Urban runs after-work football for "&amp;IF(D81="Canary Wharf","Canary Wharf","City")&amp;" teams. We have a "&amp;AC81&amp;" pitch at "&amp;X81&amp;", "&amp;Y81&amp;" min from your office, "&amp;IF(ISNUMBER(AB81),TEXT(AB81,"ddd d mmm")&amp;", "&amp;TEXT(AB81,"hh:mm"),"weekday evenings")&amp;", "&amp;IF(AD81&lt;&gt;"","£"&amp;IF(AD81=INT(AD81),TEXT(AD81,"0"),TEXT(AD81,"0.00")),"[PRICE PER PLAYER]")&amp;" a player. We handle booking, sign-ups and payments. Fancy "&amp;IF(ISNUMBER(SEARCH(LEFT(F81,1),"AEIOU")),"an ","a ")&amp;F81&amp;" team game? "&amp;IF(AL81&lt;&gt;"",AL81,IF(Offer!$C$5&lt;&gt;"",Offer!$C$5,"[NAME]")),LEFT("Hi"&amp;IF(O81&lt;&gt;""," "&amp;O81,"")&amp;","&amp;" FC Urban runs after-work football for "&amp;IF(D81="Canary Wharf","Canary Wharf","City")&amp;" teams: "&amp;AC81&amp;" at "&amp;X81&amp;", "&amp;Y81&amp;" min from your office, "&amp;IF(ISNUMBER(AB81),TEXT(AB81,"ddd d mmm")&amp;", "&amp;TEXT(AB81,"hh:mm"),"weekday evenings")&amp;", "&amp;IF(AD81&lt;&gt;"","£"&amp;IF(AD81=INT(AD81),TEXT(AD81,"0"),TEXT(AD81,"0.00")),"[PRICE PER PLAYER]")&amp;" pp. We handle booking and payments. Up for a team game? "&amp;IF(AL81&lt;&gt;"",AL81,IF(Offer!$C$5&lt;&gt;"",Offer!$C$5,"[NAME]")),300))</f>
        <v/>
      </c>
      <c r="AI81" s="14">
        <f>LEN(AH81)</f>
        <v/>
      </c>
      <c r="AJ81" s="14">
        <f>"Thanks for connecting"&amp;IF(O81&lt;&gt;"",", "&amp;O81,"")&amp;". "&amp;IF(ISNUMBER(AB81),"The "&amp;AC81&amp;" slot at "&amp;X81&amp;" is "&amp;IF(ISNUMBER(AB81),TEXT(AB81,"ddd d mmm")&amp;", "&amp;TEXT(AB81,"hh:mm"),"weekday evenings"),"We can book "&amp;AC81&amp;" at "&amp;X81&amp;" on a weekday evening that suits you")&amp;" and it's "&amp;IF(AD81&lt;&gt;"","£"&amp;IF(AD81=INT(AD81),TEXT(AD81,"0"),TEXT(AD81,"0.00")),"[PRICE PER PLAYER]")&amp;" a player, all booked and paid through one link. If football isn't your thing, who at "&amp;F81&amp;" would be the right person to organise a team game?"&amp;IF(Offer!$C$7&lt;&gt;""," Spots are held until "&amp;TEXT(Offer!$C$7,"dddd d mmmm")&amp;".","")&amp;" "&amp;IF(Offer!$C$6&lt;&gt;"",Offer!$C$6,"[JOINING LINK]")</f>
        <v/>
      </c>
      <c r="AK81" s="14">
        <f>IF(OR(ISNUMBER(SEARCH("[",AG81)),ISNUMBER(SEARCH("[",AJ81))),"Fill placeholders",IF(ISNUMBER(AB81),"Ready to send","Ready · no fixed slot"))</f>
        <v/>
      </c>
      <c r="AN81" s="17" t="n"/>
    </row>
    <row r="82">
      <c r="A82" s="11" t="n">
        <v>80</v>
      </c>
      <c r="B82" s="11" t="n">
        <v>2</v>
      </c>
      <c r="C82" s="11" t="inlineStr">
        <is>
          <t>Fund administrator</t>
        </is>
      </c>
      <c r="D82" s="11" t="inlineStr">
        <is>
          <t>City of London</t>
        </is>
      </c>
      <c r="E82" s="11" t="inlineStr">
        <is>
          <t>Apex Corporate and Business Services UK Limited</t>
        </is>
      </c>
      <c r="F82" s="11" t="inlineStr">
        <is>
          <t>Apex Group</t>
        </is>
      </c>
      <c r="G82" s="11" t="inlineStr">
        <is>
          <t>03853848</t>
        </is>
      </c>
      <c r="H82" s="12" t="inlineStr">
        <is>
          <t>Open</t>
        </is>
      </c>
      <c r="I82" s="12" t="inlineStr">
        <is>
          <t>Search</t>
        </is>
      </c>
      <c r="J82" s="11" t="inlineStr">
        <is>
          <t>Full</t>
        </is>
      </c>
      <c r="K82" s="13" t="n">
        <v>36439</v>
      </c>
      <c r="L82" s="11" t="inlineStr">
        <is>
          <t>4Th Floor,, 140 Aldersgate Street, London</t>
        </is>
      </c>
      <c r="M82" s="11" t="inlineStr">
        <is>
          <t>EC1A 4HY</t>
        </is>
      </c>
      <c r="N82" s="11" t="inlineStr">
        <is>
          <t>No</t>
        </is>
      </c>
      <c r="U82" s="11" t="inlineStr">
        <is>
          <t>Old St - Moreland Primary School</t>
        </is>
      </c>
      <c r="V82" s="11" t="n">
        <v>17</v>
      </c>
      <c r="W82" s="11" t="n"/>
      <c r="X82" s="11" t="inlineStr">
        <is>
          <t>Old St - Moreland Primary School</t>
        </is>
      </c>
      <c r="Y82" s="11" t="n">
        <v>17</v>
      </c>
      <c r="Z82" s="14">
        <f>IFERROR(INDEX(Venues!$E$2:$E$15,MATCH(X82,Venues!$A$2:$A$15,0)),"Not checked")</f>
        <v/>
      </c>
      <c r="AA82" s="14">
        <f>IFERROR(INDEX(Venues!$F$2:$F$15,MATCH(X82,Venues!$A$2:$A$15,0)),0)</f>
        <v/>
      </c>
      <c r="AB82" s="15">
        <f>IFERROR(INDEX(Venues!$M$2:$M$15,MATCH(X82,Venues!$A$2:$A$15,0)),"")</f>
        <v/>
      </c>
      <c r="AC82" s="14">
        <f>IFERROR(INDEX(Venues!$N$2:$N$15,MATCH(X82,Venues!$A$2:$A$15,0)),"5-a-side")</f>
        <v/>
      </c>
      <c r="AD82" s="16">
        <f>IF(Offer!$C$4="","",Offer!$C$4)</f>
        <v/>
      </c>
      <c r="AE82" s="14">
        <f>X82&amp;" ("&amp;Y82&amp;" min walk) · "&amp;IF(ISNUMBER(AB82),TEXT(AB82,"ddd d mmm, hh:mm"),"slot to confirm with venue")&amp;" · "&amp;AC82&amp;" · "&amp;IF(AD82&lt;&gt;"","£"&amp;TEXT(AD82,"0.00")&amp;" pp","price TBC")</f>
        <v/>
      </c>
      <c r="AF82" s="14">
        <f>"After-work football for "&amp;F82&amp;" · "&amp;X82&amp;", "&amp;Y82&amp;" min from your office"</f>
        <v/>
      </c>
      <c r="AG82" s="14">
        <f>"Hi"&amp;IF(O82&lt;&gt;""," "&amp;O82,"")&amp;","&amp;CHAR(10)&amp;CHAR(10)&amp;"I'm "&amp;IF(AL82&lt;&gt;"",AL82,IF(Offer!$C$5&lt;&gt;"",Offer!$C$5,"[NAME]"))&amp;" from FC Urban. We organise after-work football for teams in the City and Canary Wharf."&amp;CHAR(10)&amp;CHAR(10)&amp;"We have a "&amp;AC82&amp;" pitch at "&amp;X82&amp;", "&amp;IF(OR(Y82=8,Y82=11,Y82=18),"an ","a ")&amp;Y82&amp;"-minute walk from your "&amp;M82&amp;" office, "&amp;IF(ISNUMBER(AB82),"on "&amp;TEXT(AB82,"dddd d mmmm")&amp;" at "&amp;TEXT(AB82,"hh:mm"),"on a weekday evening that suits your team")&amp;". It's "&amp;IF(AD82&lt;&gt;"","£"&amp;IF(AD82=INT(AD82),TEXT(AD82,"0"),TEXT(AD82,"0.00")),"[PRICE PER PLAYER]")&amp;" a player and we handle the pitch booking, sign-ups and payments, so all it takes is one person sharing a link with the team."&amp;CHAR(10)&amp;CHAR(10)&amp;"It works well as a team social or "&amp;IF(ISNUMBER(SEARCH(LEFT(F82,1),"AEIOU")),"an ","a ")&amp;F82&amp;"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LINK]")&amp;CHAR(10)&amp;CHAR(10)&amp;"Best,"&amp;CHAR(10)&amp;IF(AL82&lt;&gt;"",AL82,IF(Offer!$C$5&lt;&gt;"",Offer!$C$5,"[NAME]"))&amp;CHAR(10)&amp;"FC Urban"</f>
        <v/>
      </c>
      <c r="AH82" s="14">
        <f>IF(LEN("Hi"&amp;IF(O82&lt;&gt;""," "&amp;O82,"")&amp;","&amp;" FC Urban runs after-work football for "&amp;IF(D82="Canary Wharf","Canary Wharf","City")&amp;" teams. We have a "&amp;AC82&amp;" pitch at "&amp;X82&amp;", "&amp;Y82&amp;" min from your office, "&amp;IF(ISNUMBER(AB82),TEXT(AB82,"ddd d mmm")&amp;", "&amp;TEXT(AB82,"hh:mm"),"weekday evenings")&amp;", "&amp;IF(AD82&lt;&gt;"","£"&amp;IF(AD82=INT(AD82),TEXT(AD82,"0"),TEXT(AD82,"0.00")),"[PRICE PER PLAYER]")&amp;" a player. We handle booking, sign-ups and payments. Fancy "&amp;IF(ISNUMBER(SEARCH(LEFT(F82,1),"AEIOU")),"an ","a ")&amp;F82&amp;" team game? "&amp;IF(AL82&lt;&gt;"",AL82,IF(Offer!$C$5&lt;&gt;"",Offer!$C$5,"[NAME]")))&lt;=300,"Hi"&amp;IF(O82&lt;&gt;""," "&amp;O82,"")&amp;","&amp;" FC Urban runs after-work football for "&amp;IF(D82="Canary Wharf","Canary Wharf","City")&amp;" teams. We have a "&amp;AC82&amp;" pitch at "&amp;X82&amp;", "&amp;Y82&amp;" min from your office, "&amp;IF(ISNUMBER(AB82),TEXT(AB82,"ddd d mmm")&amp;", "&amp;TEXT(AB82,"hh:mm"),"weekday evenings")&amp;", "&amp;IF(AD82&lt;&gt;"","£"&amp;IF(AD82=INT(AD82),TEXT(AD82,"0"),TEXT(AD82,"0.00")),"[PRICE PER PLAYER]")&amp;" a player. We handle booking, sign-ups and payments. Fancy "&amp;IF(ISNUMBER(SEARCH(LEFT(F82,1),"AEIOU")),"an ","a ")&amp;F82&amp;" team game? "&amp;IF(AL82&lt;&gt;"",AL82,IF(Offer!$C$5&lt;&gt;"",Offer!$C$5,"[NAME]")),LEFT("Hi"&amp;IF(O82&lt;&gt;""," "&amp;O82,"")&amp;","&amp;" FC Urban runs after-work football for "&amp;IF(D82="Canary Wharf","Canary Wharf","City")&amp;" teams: "&amp;AC82&amp;" at "&amp;X82&amp;", "&amp;Y82&amp;" min from your office, "&amp;IF(ISNUMBER(AB82),TEXT(AB82,"ddd d mmm")&amp;", "&amp;TEXT(AB82,"hh:mm"),"weekday evenings")&amp;", "&amp;IF(AD82&lt;&gt;"","£"&amp;IF(AD82=INT(AD82),TEXT(AD82,"0"),TEXT(AD82,"0.00")),"[PRICE PER PLAYER]")&amp;" pp. We handle booking and payments. Up for a team game? "&amp;IF(AL82&lt;&gt;"",AL82,IF(Offer!$C$5&lt;&gt;"",Offer!$C$5,"[NAME]")),300))</f>
        <v/>
      </c>
      <c r="AI82" s="14">
        <f>LEN(AH82)</f>
        <v/>
      </c>
      <c r="AJ82" s="14">
        <f>"Thanks for connecting"&amp;IF(O82&lt;&gt;"",", "&amp;O82,"")&amp;". "&amp;IF(ISNUMBER(AB82),"The "&amp;AC82&amp;" slot at "&amp;X82&amp;" is "&amp;IF(ISNUMBER(AB82),TEXT(AB82,"ddd d mmm")&amp;", "&amp;TEXT(AB82,"hh:mm"),"weekday evenings"),"We can book "&amp;AC82&amp;" at "&amp;X82&amp;" on a weekday evening that suits you")&amp;" and it's "&amp;IF(AD82&lt;&gt;"","£"&amp;IF(AD82=INT(AD82),TEXT(AD82,"0"),TEXT(AD82,"0.00")),"[PRICE PER PLAYER]")&amp;" a player, all booked and paid through one link. If football isn't your thing, who at "&amp;F82&amp;" would be the right person to organise a team game?"&amp;IF(Offer!$C$7&lt;&gt;""," Spots are held until "&amp;TEXT(Offer!$C$7,"dddd d mmmm")&amp;".","")&amp;" "&amp;IF(Offer!$C$6&lt;&gt;"",Offer!$C$6,"[JOINING LINK]")</f>
        <v/>
      </c>
      <c r="AK82" s="14">
        <f>IF(OR(ISNUMBER(SEARCH("[",AG82)),ISNUMBER(SEARCH("[",AJ82))),"Fill placeholders",IF(ISNUMBER(AB82),"Ready to send","Ready · no fixed slot"))</f>
        <v/>
      </c>
      <c r="AN82" s="17" t="n"/>
    </row>
    <row r="83">
      <c r="A83" s="11" t="n">
        <v>81</v>
      </c>
      <c r="B83" s="11" t="n">
        <v>2</v>
      </c>
      <c r="C83" s="11" t="inlineStr">
        <is>
          <t>Fund administrator</t>
        </is>
      </c>
      <c r="D83" s="11" t="inlineStr">
        <is>
          <t>City of London</t>
        </is>
      </c>
      <c r="E83" s="11" t="inlineStr">
        <is>
          <t>Alter Domus Fund Services (UK) Limited</t>
        </is>
      </c>
      <c r="F83" s="11" t="inlineStr">
        <is>
          <t>Alter Domus</t>
        </is>
      </c>
      <c r="G83" s="11" t="inlineStr">
        <is>
          <t>08962253</t>
        </is>
      </c>
      <c r="H83" s="12" t="inlineStr">
        <is>
          <t>Open</t>
        </is>
      </c>
      <c r="I83" s="12" t="inlineStr">
        <is>
          <t>Search</t>
        </is>
      </c>
      <c r="J83" s="11" t="inlineStr">
        <is>
          <t>Full</t>
        </is>
      </c>
      <c r="K83" s="13" t="n">
        <v>41725</v>
      </c>
      <c r="L83" s="11" t="inlineStr">
        <is>
          <t>10Th Floor, 30 St Mary Axe, London</t>
        </is>
      </c>
      <c r="M83" s="11" t="inlineStr">
        <is>
          <t>EC3A 8BF</t>
        </is>
      </c>
      <c r="N83" s="11" t="inlineStr">
        <is>
          <t>No</t>
        </is>
      </c>
      <c r="U83" s="11" t="inlineStr">
        <is>
          <t>Liverpool St - Attlee Centre</t>
        </is>
      </c>
      <c r="V83" s="11" t="n">
        <v>10</v>
      </c>
      <c r="W83" s="11" t="inlineStr">
        <is>
          <t>Shoreditch Powerleague (16.8)</t>
        </is>
      </c>
      <c r="X83" s="11" t="inlineStr">
        <is>
          <t>Shoreditch Powerleague</t>
        </is>
      </c>
      <c r="Y83" s="11" t="n">
        <v>17</v>
      </c>
      <c r="Z83" s="14">
        <f>IFERROR(INDEX(Venues!$E$2:$E$15,MATCH(X83,Venues!$A$2:$A$15,0)),"Not checked")</f>
        <v/>
      </c>
      <c r="AA83" s="14">
        <f>IFERROR(INDEX(Venues!$F$2:$F$15,MATCH(X83,Venues!$A$2:$A$15,0)),0)</f>
        <v/>
      </c>
      <c r="AB83" s="15">
        <f>IFERROR(INDEX(Venues!$M$2:$M$15,MATCH(X83,Venues!$A$2:$A$15,0)),"")</f>
        <v/>
      </c>
      <c r="AC83" s="14">
        <f>IFERROR(INDEX(Venues!$N$2:$N$15,MATCH(X83,Venues!$A$2:$A$15,0)),"5-a-side")</f>
        <v/>
      </c>
      <c r="AD83" s="16">
        <f>IF(Offer!$C$4="","",Offer!$C$4)</f>
        <v/>
      </c>
      <c r="AE83" s="14">
        <f>X83&amp;" ("&amp;Y83&amp;" min walk) · "&amp;IF(ISNUMBER(AB83),TEXT(AB83,"ddd d mmm, hh:mm"),"slot to confirm with venue")&amp;" · "&amp;AC83&amp;" · "&amp;IF(AD83&lt;&gt;"","£"&amp;TEXT(AD83,"0.00")&amp;" pp","price TBC")</f>
        <v/>
      </c>
      <c r="AF83" s="14">
        <f>"After-work football for "&amp;F83&amp;" · "&amp;X83&amp;", "&amp;Y83&amp;" min from your office"</f>
        <v/>
      </c>
      <c r="AG83" s="14">
        <f>"Hi"&amp;IF(O83&lt;&gt;""," "&amp;O83,"")&amp;","&amp;CHAR(10)&amp;CHAR(10)&amp;"I'm "&amp;IF(AL83&lt;&gt;"",AL83,IF(Offer!$C$5&lt;&gt;"",Offer!$C$5,"[NAME]"))&amp;" from FC Urban. We organise after-work football for teams in the City and Canary Wharf."&amp;CHAR(10)&amp;CHAR(10)&amp;"We have a "&amp;AC83&amp;" pitch at "&amp;X83&amp;", "&amp;IF(OR(Y83=8,Y83=11,Y83=18),"an ","a ")&amp;Y83&amp;"-minute walk from your "&amp;M83&amp;" office, "&amp;IF(ISNUMBER(AB83),"on "&amp;TEXT(AB83,"dddd d mmmm")&amp;" at "&amp;TEXT(AB83,"hh:mm"),"on a weekday evening that suits your team")&amp;". It's "&amp;IF(AD83&lt;&gt;"","£"&amp;IF(AD83=INT(AD83),TEXT(AD83,"0"),TEXT(AD83,"0.00")),"[PRICE PER PLAYER]")&amp;" a player and we handle the pitch booking, sign-ups and payments, so all it takes is one person sharing a link with the team."&amp;CHAR(10)&amp;CHAR(10)&amp;"It works well as a team social or "&amp;IF(ISNUMBER(SEARCH(LEFT(F83,1),"AEIOU")),"an ","a ")&amp;F83&amp;"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LINK]")&amp;CHAR(10)&amp;CHAR(10)&amp;"Best,"&amp;CHAR(10)&amp;IF(AL83&lt;&gt;"",AL83,IF(Offer!$C$5&lt;&gt;"",Offer!$C$5,"[NAME]"))&amp;CHAR(10)&amp;"FC Urban"</f>
        <v/>
      </c>
      <c r="AH83" s="14">
        <f>IF(LEN("Hi"&amp;IF(O83&lt;&gt;""," "&amp;O83,"")&amp;","&amp;" FC Urban runs after-work football for "&amp;IF(D83="Canary Wharf","Canary Wharf","City")&amp;" teams. We have a "&amp;AC83&amp;" pitch at "&amp;X83&amp;", "&amp;Y83&amp;" min from your office, "&amp;IF(ISNUMBER(AB83),TEXT(AB83,"ddd d mmm")&amp;", "&amp;TEXT(AB83,"hh:mm"),"weekday evenings")&amp;", "&amp;IF(AD83&lt;&gt;"","£"&amp;IF(AD83=INT(AD83),TEXT(AD83,"0"),TEXT(AD83,"0.00")),"[PRICE PER PLAYER]")&amp;" a player. We handle booking, sign-ups and payments. Fancy "&amp;IF(ISNUMBER(SEARCH(LEFT(F83,1),"AEIOU")),"an ","a ")&amp;F83&amp;" team game? "&amp;IF(AL83&lt;&gt;"",AL83,IF(Offer!$C$5&lt;&gt;"",Offer!$C$5,"[NAME]")))&lt;=300,"Hi"&amp;IF(O83&lt;&gt;""," "&amp;O83,"")&amp;","&amp;" FC Urban runs after-work football for "&amp;IF(D83="Canary Wharf","Canary Wharf","City")&amp;" teams. We have a "&amp;AC83&amp;" pitch at "&amp;X83&amp;", "&amp;Y83&amp;" min from your office, "&amp;IF(ISNUMBER(AB83),TEXT(AB83,"ddd d mmm")&amp;", "&amp;TEXT(AB83,"hh:mm"),"weekday evenings")&amp;", "&amp;IF(AD83&lt;&gt;"","£"&amp;IF(AD83=INT(AD83),TEXT(AD83,"0"),TEXT(AD83,"0.00")),"[PRICE PER PLAYER]")&amp;" a player. We handle booking, sign-ups and payments. Fancy "&amp;IF(ISNUMBER(SEARCH(LEFT(F83,1),"AEIOU")),"an ","a ")&amp;F83&amp;" team game? "&amp;IF(AL83&lt;&gt;"",AL83,IF(Offer!$C$5&lt;&gt;"",Offer!$C$5,"[NAME]")),LEFT("Hi"&amp;IF(O83&lt;&gt;""," "&amp;O83,"")&amp;","&amp;" FC Urban runs after-work football for "&amp;IF(D83="Canary Wharf","Canary Wharf","City")&amp;" teams: "&amp;AC83&amp;" at "&amp;X83&amp;", "&amp;Y83&amp;" min from your office, "&amp;IF(ISNUMBER(AB83),TEXT(AB83,"ddd d mmm")&amp;", "&amp;TEXT(AB83,"hh:mm"),"weekday evenings")&amp;", "&amp;IF(AD83&lt;&gt;"","£"&amp;IF(AD83=INT(AD83),TEXT(AD83,"0"),TEXT(AD83,"0.00")),"[PRICE PER PLAYER]")&amp;" pp. We handle booking and payments. Up for a team game? "&amp;IF(AL83&lt;&gt;"",AL83,IF(Offer!$C$5&lt;&gt;"",Offer!$C$5,"[NAME]")),300))</f>
        <v/>
      </c>
      <c r="AI83" s="14">
        <f>LEN(AH83)</f>
        <v/>
      </c>
      <c r="AJ83" s="14">
        <f>"Thanks for connecting"&amp;IF(O83&lt;&gt;"",", "&amp;O83,"")&amp;". "&amp;IF(ISNUMBER(AB83),"The "&amp;AC83&amp;" slot at "&amp;X83&amp;" is "&amp;IF(ISNUMBER(AB83),TEXT(AB83,"ddd d mmm")&amp;", "&amp;TEXT(AB83,"hh:mm"),"weekday evenings"),"We can book "&amp;AC83&amp;" at "&amp;X83&amp;" on a weekday evening that suits you")&amp;" and it's "&amp;IF(AD83&lt;&gt;"","£"&amp;IF(AD83=INT(AD83),TEXT(AD83,"0"),TEXT(AD83,"0.00")),"[PRICE PER PLAYER]")&amp;" a player, all booked and paid through one link. If football isn't your thing, who at "&amp;F83&amp;" would be the right person to organise a team game?"&amp;IF(Offer!$C$7&lt;&gt;""," Spots are held until "&amp;TEXT(Offer!$C$7,"dddd d mmmm")&amp;".","")&amp;" "&amp;IF(Offer!$C$6&lt;&gt;"",Offer!$C$6,"[JOINING LINK]")</f>
        <v/>
      </c>
      <c r="AK83" s="14">
        <f>IF(OR(ISNUMBER(SEARCH("[",AG83)),ISNUMBER(SEARCH("[",AJ83))),"Fill placeholders",IF(ISNUMBER(AB83),"Ready to send","Ready · no fixed slot"))</f>
        <v/>
      </c>
      <c r="AN83" s="17" t="n"/>
    </row>
    <row r="84">
      <c r="A84" s="11" t="n">
        <v>82</v>
      </c>
      <c r="B84" s="11" t="n">
        <v>2</v>
      </c>
      <c r="C84" s="11" t="inlineStr">
        <is>
          <t>Fund administrator</t>
        </is>
      </c>
      <c r="D84" s="11" t="inlineStr">
        <is>
          <t>City of London</t>
        </is>
      </c>
      <c r="E84" s="11" t="inlineStr">
        <is>
          <t>Carne International Financial Services (UK) Limited</t>
        </is>
      </c>
      <c r="F84" s="11" t="inlineStr">
        <is>
          <t>Carne Group</t>
        </is>
      </c>
      <c r="G84" s="11" t="inlineStr">
        <is>
          <t>11555138</t>
        </is>
      </c>
      <c r="H84" s="12" t="inlineStr">
        <is>
          <t>Open</t>
        </is>
      </c>
      <c r="I84" s="12" t="inlineStr">
        <is>
          <t>Search</t>
        </is>
      </c>
      <c r="J84" s="11" t="inlineStr">
        <is>
          <t>Full</t>
        </is>
      </c>
      <c r="K84" s="13" t="n">
        <v>43349</v>
      </c>
      <c r="L84" s="11" t="inlineStr">
        <is>
          <t>2Nd Floor, 29-30 Cornhill, London</t>
        </is>
      </c>
      <c r="M84" s="11" t="inlineStr">
        <is>
          <t>EC3V 3NF</t>
        </is>
      </c>
      <c r="N84" s="11" t="inlineStr">
        <is>
          <t>No</t>
        </is>
      </c>
      <c r="U84" s="11" t="inlineStr">
        <is>
          <t>Liverpool St - Attlee Centre</t>
        </is>
      </c>
      <c r="V84" s="11" t="n">
        <v>18</v>
      </c>
      <c r="W84" s="11" t="n"/>
      <c r="X84" s="11" t="inlineStr">
        <is>
          <t>Liverpool St - Attlee Centre</t>
        </is>
      </c>
      <c r="Y84" s="11" t="n">
        <v>18</v>
      </c>
      <c r="Z84" s="14">
        <f>IFERROR(INDEX(Venues!$E$2:$E$15,MATCH(X84,Venues!$A$2:$A$15,0)),"Not checked")</f>
        <v/>
      </c>
      <c r="AA84" s="14">
        <f>IFERROR(INDEX(Venues!$F$2:$F$15,MATCH(X84,Venues!$A$2:$A$15,0)),0)</f>
        <v/>
      </c>
      <c r="AB84" s="15">
        <f>IFERROR(INDEX(Venues!$M$2:$M$15,MATCH(X84,Venues!$A$2:$A$15,0)),"")</f>
        <v/>
      </c>
      <c r="AC84" s="14">
        <f>IFERROR(INDEX(Venues!$N$2:$N$15,MATCH(X84,Venues!$A$2:$A$15,0)),"5-a-side")</f>
        <v/>
      </c>
      <c r="AD84" s="16">
        <f>IF(Offer!$C$4="","",Offer!$C$4)</f>
        <v/>
      </c>
      <c r="AE84" s="14">
        <f>X84&amp;" ("&amp;Y84&amp;" min walk) · "&amp;IF(ISNUMBER(AB84),TEXT(AB84,"ddd d mmm, hh:mm"),"slot to confirm with venue")&amp;" · "&amp;AC84&amp;" · "&amp;IF(AD84&lt;&gt;"","£"&amp;TEXT(AD84,"0.00")&amp;" pp","price TBC")</f>
        <v/>
      </c>
      <c r="AF84" s="14">
        <f>"After-work football for "&amp;F84&amp;" · "&amp;X84&amp;", "&amp;Y84&amp;" min from your office"</f>
        <v/>
      </c>
      <c r="AG84" s="14">
        <f>"Hi"&amp;IF(O84&lt;&gt;""," "&amp;O84,"")&amp;","&amp;CHAR(10)&amp;CHAR(10)&amp;"I'm "&amp;IF(AL84&lt;&gt;"",AL84,IF(Offer!$C$5&lt;&gt;"",Offer!$C$5,"[NAME]"))&amp;" from FC Urban. We organise after-work football for teams in the City and Canary Wharf."&amp;CHAR(10)&amp;CHAR(10)&amp;"We have a "&amp;AC84&amp;" pitch at "&amp;X84&amp;", "&amp;IF(OR(Y84=8,Y84=11,Y84=18),"an ","a ")&amp;Y84&amp;"-minute walk from your "&amp;M84&amp;" office, "&amp;IF(ISNUMBER(AB84),"on "&amp;TEXT(AB84,"dddd d mmmm")&amp;" at "&amp;TEXT(AB84,"hh:mm"),"on a weekday evening that suits your team")&amp;". It's "&amp;IF(AD84&lt;&gt;"","£"&amp;IF(AD84=INT(AD84),TEXT(AD84,"0"),TEXT(AD84,"0.00")),"[PRICE PER PLAYER]")&amp;" a player and we handle the pitch booking, sign-ups and payments, so all it takes is one person sharing a link with the team."&amp;CHAR(10)&amp;CHAR(10)&amp;"It works well as a team social or "&amp;IF(ISNUMBER(SEARCH(LEFT(F84,1),"AEIOU")),"an ","a ")&amp;F84&amp;"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LINK]")&amp;CHAR(10)&amp;CHAR(10)&amp;"Best,"&amp;CHAR(10)&amp;IF(AL84&lt;&gt;"",AL84,IF(Offer!$C$5&lt;&gt;"",Offer!$C$5,"[NAME]"))&amp;CHAR(10)&amp;"FC Urban"</f>
        <v/>
      </c>
      <c r="AH84" s="14">
        <f>IF(LEN("Hi"&amp;IF(O84&lt;&gt;""," "&amp;O84,"")&amp;","&amp;" FC Urban runs after-work football for "&amp;IF(D84="Canary Wharf","Canary Wharf","City")&amp;" teams. We have a "&amp;AC84&amp;" pitch at "&amp;X84&amp;", "&amp;Y84&amp;" min from your office, "&amp;IF(ISNUMBER(AB84),TEXT(AB84,"ddd d mmm")&amp;", "&amp;TEXT(AB84,"hh:mm"),"weekday evenings")&amp;", "&amp;IF(AD84&lt;&gt;"","£"&amp;IF(AD84=INT(AD84),TEXT(AD84,"0"),TEXT(AD84,"0.00")),"[PRICE PER PLAYER]")&amp;" a player. We handle booking, sign-ups and payments. Fancy "&amp;IF(ISNUMBER(SEARCH(LEFT(F84,1),"AEIOU")),"an ","a ")&amp;F84&amp;" team game? "&amp;IF(AL84&lt;&gt;"",AL84,IF(Offer!$C$5&lt;&gt;"",Offer!$C$5,"[NAME]")))&lt;=300,"Hi"&amp;IF(O84&lt;&gt;""," "&amp;O84,"")&amp;","&amp;" FC Urban runs after-work football for "&amp;IF(D84="Canary Wharf","Canary Wharf","City")&amp;" teams. We have a "&amp;AC84&amp;" pitch at "&amp;X84&amp;", "&amp;Y84&amp;" min from your office, "&amp;IF(ISNUMBER(AB84),TEXT(AB84,"ddd d mmm")&amp;", "&amp;TEXT(AB84,"hh:mm"),"weekday evenings")&amp;", "&amp;IF(AD84&lt;&gt;"","£"&amp;IF(AD84=INT(AD84),TEXT(AD84,"0"),TEXT(AD84,"0.00")),"[PRICE PER PLAYER]")&amp;" a player. We handle booking, sign-ups and payments. Fancy "&amp;IF(ISNUMBER(SEARCH(LEFT(F84,1),"AEIOU")),"an ","a ")&amp;F84&amp;" team game? "&amp;IF(AL84&lt;&gt;"",AL84,IF(Offer!$C$5&lt;&gt;"",Offer!$C$5,"[NAME]")),LEFT("Hi"&amp;IF(O84&lt;&gt;""," "&amp;O84,"")&amp;","&amp;" FC Urban runs after-work football for "&amp;IF(D84="Canary Wharf","Canary Wharf","City")&amp;" teams: "&amp;AC84&amp;" at "&amp;X84&amp;", "&amp;Y84&amp;" min from your office, "&amp;IF(ISNUMBER(AB84),TEXT(AB84,"ddd d mmm")&amp;", "&amp;TEXT(AB84,"hh:mm"),"weekday evenings")&amp;", "&amp;IF(AD84&lt;&gt;"","£"&amp;IF(AD84=INT(AD84),TEXT(AD84,"0"),TEXT(AD84,"0.00")),"[PRICE PER PLAYER]")&amp;" pp. We handle booking and payments. Up for a team game? "&amp;IF(AL84&lt;&gt;"",AL84,IF(Offer!$C$5&lt;&gt;"",Offer!$C$5,"[NAME]")),300))</f>
        <v/>
      </c>
      <c r="AI84" s="14">
        <f>LEN(AH84)</f>
        <v/>
      </c>
      <c r="AJ84" s="14">
        <f>"Thanks for connecting"&amp;IF(O84&lt;&gt;"",", "&amp;O84,"")&amp;". "&amp;IF(ISNUMBER(AB84),"The "&amp;AC84&amp;" slot at "&amp;X84&amp;" is "&amp;IF(ISNUMBER(AB84),TEXT(AB84,"ddd d mmm")&amp;", "&amp;TEXT(AB84,"hh:mm"),"weekday evenings"),"We can book "&amp;AC84&amp;" at "&amp;X84&amp;" on a weekday evening that suits you")&amp;" and it's "&amp;IF(AD84&lt;&gt;"","£"&amp;IF(AD84=INT(AD84),TEXT(AD84,"0"),TEXT(AD84,"0.00")),"[PRICE PER PLAYER]")&amp;" a player, all booked and paid through one link. If football isn't your thing, who at "&amp;F84&amp;" would be the right person to organise a team game?"&amp;IF(Offer!$C$7&lt;&gt;""," Spots are held until "&amp;TEXT(Offer!$C$7,"dddd d mmmm")&amp;".","")&amp;" "&amp;IF(Offer!$C$6&lt;&gt;"",Offer!$C$6,"[JOINING LINK]")</f>
        <v/>
      </c>
      <c r="AK84" s="14">
        <f>IF(OR(ISNUMBER(SEARCH("[",AG84)),ISNUMBER(SEARCH("[",AJ84))),"Fill placeholders",IF(ISNUMBER(AB84),"Ready to send","Ready · no fixed slot"))</f>
        <v/>
      </c>
      <c r="AN84" s="17" t="n"/>
    </row>
    <row r="85">
      <c r="A85" s="11" t="n">
        <v>83</v>
      </c>
      <c r="B85" s="11" t="n">
        <v>2</v>
      </c>
      <c r="C85" s="11" t="inlineStr">
        <is>
          <t>Fund / asset manager</t>
        </is>
      </c>
      <c r="D85" s="11" t="inlineStr">
        <is>
          <t>City of London</t>
        </is>
      </c>
      <c r="E85" s="11" t="inlineStr">
        <is>
          <t>Stafford Capital Partners Limited</t>
        </is>
      </c>
      <c r="F85" s="11" t="inlineStr">
        <is>
          <t>Stafford Capital Partners</t>
        </is>
      </c>
      <c r="G85" s="11" t="inlineStr">
        <is>
          <t>04752750</t>
        </is>
      </c>
      <c r="H85" s="12" t="inlineStr">
        <is>
          <t>Open</t>
        </is>
      </c>
      <c r="I85" s="12" t="inlineStr">
        <is>
          <t>Search</t>
        </is>
      </c>
      <c r="J85" s="11" t="inlineStr">
        <is>
          <t>Group</t>
        </is>
      </c>
      <c r="K85" s="13" t="n">
        <v>37743</v>
      </c>
      <c r="L85" s="11" t="inlineStr">
        <is>
          <t>Level 6 Duo, 280 Bishopsgate, London</t>
        </is>
      </c>
      <c r="M85" s="11" t="inlineStr">
        <is>
          <t>EC2M 4RB</t>
        </is>
      </c>
      <c r="N85" s="11" t="inlineStr">
        <is>
          <t>No</t>
        </is>
      </c>
      <c r="U85" s="11" t="inlineStr">
        <is>
          <t>Shoreditch Powerleague</t>
        </is>
      </c>
      <c r="V85" s="11" t="n">
        <v>7</v>
      </c>
      <c r="W85" s="11" t="inlineStr">
        <is>
          <t>Liverpool St - Attlee Centre (7.1)</t>
        </is>
      </c>
      <c r="X85" s="11" t="inlineStr">
        <is>
          <t>Shoreditch Powerleague</t>
        </is>
      </c>
      <c r="Y85" s="11" t="n">
        <v>7</v>
      </c>
      <c r="Z85" s="14">
        <f>IFERROR(INDEX(Venues!$E$2:$E$15,MATCH(X85,Venues!$A$2:$A$15,0)),"Not checked")</f>
        <v/>
      </c>
      <c r="AA85" s="14">
        <f>IFERROR(INDEX(Venues!$F$2:$F$15,MATCH(X85,Venues!$A$2:$A$15,0)),0)</f>
        <v/>
      </c>
      <c r="AB85" s="15">
        <f>IFERROR(INDEX(Venues!$M$2:$M$15,MATCH(X85,Venues!$A$2:$A$15,0)),"")</f>
        <v/>
      </c>
      <c r="AC85" s="14">
        <f>IFERROR(INDEX(Venues!$N$2:$N$15,MATCH(X85,Venues!$A$2:$A$15,0)),"5-a-side")</f>
        <v/>
      </c>
      <c r="AD85" s="16">
        <f>IF(Offer!$C$4="","",Offer!$C$4)</f>
        <v/>
      </c>
      <c r="AE85" s="14">
        <f>X85&amp;" ("&amp;Y85&amp;" min walk) · "&amp;IF(ISNUMBER(AB85),TEXT(AB85,"ddd d mmm, hh:mm"),"slot to confirm with venue")&amp;" · "&amp;AC85&amp;" · "&amp;IF(AD85&lt;&gt;"","£"&amp;TEXT(AD85,"0.00")&amp;" pp","price TBC")</f>
        <v/>
      </c>
      <c r="AF85" s="14">
        <f>"After-work football for "&amp;F85&amp;" · "&amp;X85&amp;", "&amp;Y85&amp;" min from your office"</f>
        <v/>
      </c>
      <c r="AG85" s="14">
        <f>"Hi"&amp;IF(O85&lt;&gt;""," "&amp;O85,"")&amp;","&amp;CHAR(10)&amp;CHAR(10)&amp;"I'm "&amp;IF(AL85&lt;&gt;"",AL85,IF(Offer!$C$5&lt;&gt;"",Offer!$C$5,"[NAME]"))&amp;" from FC Urban. We organise after-work football for teams in the City and Canary Wharf."&amp;CHAR(10)&amp;CHAR(10)&amp;"We have a "&amp;AC85&amp;" pitch at "&amp;X85&amp;", "&amp;IF(OR(Y85=8,Y85=11,Y85=18),"an ","a ")&amp;Y85&amp;"-minute walk from your "&amp;M85&amp;" office, "&amp;IF(ISNUMBER(AB85),"on "&amp;TEXT(AB85,"dddd d mmmm")&amp;" at "&amp;TEXT(AB85,"hh:mm"),"on a weekday evening that suits your team")&amp;". It's "&amp;IF(AD85&lt;&gt;"","£"&amp;IF(AD85=INT(AD85),TEXT(AD85,"0"),TEXT(AD85,"0.00")),"[PRICE PER PLAYER]")&amp;" a player and we handle the pitch booking, sign-ups and payments, so all it takes is one person sharing a link with the team."&amp;CHAR(10)&amp;CHAR(10)&amp;"It works well as a team social or "&amp;IF(ISNUMBER(SEARCH(LEFT(F85,1),"AEIOU")),"an ","a ")&amp;F85&amp;"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LINK]")&amp;CHAR(10)&amp;CHAR(10)&amp;"Best,"&amp;CHAR(10)&amp;IF(AL85&lt;&gt;"",AL85,IF(Offer!$C$5&lt;&gt;"",Offer!$C$5,"[NAME]"))&amp;CHAR(10)&amp;"FC Urban"</f>
        <v/>
      </c>
      <c r="AH85" s="14">
        <f>IF(LEN("Hi"&amp;IF(O85&lt;&gt;""," "&amp;O85,"")&amp;","&amp;" FC Urban runs after-work football for "&amp;IF(D85="Canary Wharf","Canary Wharf","City")&amp;" teams. We have a "&amp;AC85&amp;" pitch at "&amp;X85&amp;", "&amp;Y85&amp;" min from your office, "&amp;IF(ISNUMBER(AB85),TEXT(AB85,"ddd d mmm")&amp;", "&amp;TEXT(AB85,"hh:mm"),"weekday evenings")&amp;", "&amp;IF(AD85&lt;&gt;"","£"&amp;IF(AD85=INT(AD85),TEXT(AD85,"0"),TEXT(AD85,"0.00")),"[PRICE PER PLAYER]")&amp;" a player. We handle booking, sign-ups and payments. Fancy "&amp;IF(ISNUMBER(SEARCH(LEFT(F85,1),"AEIOU")),"an ","a ")&amp;F85&amp;" team game? "&amp;IF(AL85&lt;&gt;"",AL85,IF(Offer!$C$5&lt;&gt;"",Offer!$C$5,"[NAME]")))&lt;=300,"Hi"&amp;IF(O85&lt;&gt;""," "&amp;O85,"")&amp;","&amp;" FC Urban runs after-work football for "&amp;IF(D85="Canary Wharf","Canary Wharf","City")&amp;" teams. We have a "&amp;AC85&amp;" pitch at "&amp;X85&amp;", "&amp;Y85&amp;" min from your office, "&amp;IF(ISNUMBER(AB85),TEXT(AB85,"ddd d mmm")&amp;", "&amp;TEXT(AB85,"hh:mm"),"weekday evenings")&amp;", "&amp;IF(AD85&lt;&gt;"","£"&amp;IF(AD85=INT(AD85),TEXT(AD85,"0"),TEXT(AD85,"0.00")),"[PRICE PER PLAYER]")&amp;" a player. We handle booking, sign-ups and payments. Fancy "&amp;IF(ISNUMBER(SEARCH(LEFT(F85,1),"AEIOU")),"an ","a ")&amp;F85&amp;" team game? "&amp;IF(AL85&lt;&gt;"",AL85,IF(Offer!$C$5&lt;&gt;"",Offer!$C$5,"[NAME]")),LEFT("Hi"&amp;IF(O85&lt;&gt;""," "&amp;O85,"")&amp;","&amp;" FC Urban runs after-work football for "&amp;IF(D85="Canary Wharf","Canary Wharf","City")&amp;" teams: "&amp;AC85&amp;" at "&amp;X85&amp;", "&amp;Y85&amp;" min from your office, "&amp;IF(ISNUMBER(AB85),TEXT(AB85,"ddd d mmm")&amp;", "&amp;TEXT(AB85,"hh:mm"),"weekday evenings")&amp;", "&amp;IF(AD85&lt;&gt;"","£"&amp;IF(AD85=INT(AD85),TEXT(AD85,"0"),TEXT(AD85,"0.00")),"[PRICE PER PLAYER]")&amp;" pp. We handle booking and payments. Up for a team game? "&amp;IF(AL85&lt;&gt;"",AL85,IF(Offer!$C$5&lt;&gt;"",Offer!$C$5,"[NAME]")),300))</f>
        <v/>
      </c>
      <c r="AI85" s="14">
        <f>LEN(AH85)</f>
        <v/>
      </c>
      <c r="AJ85" s="14">
        <f>"Thanks for connecting"&amp;IF(O85&lt;&gt;"",", "&amp;O85,"")&amp;". "&amp;IF(ISNUMBER(AB85),"The "&amp;AC85&amp;" slot at "&amp;X85&amp;" is "&amp;IF(ISNUMBER(AB85),TEXT(AB85,"ddd d mmm")&amp;", "&amp;TEXT(AB85,"hh:mm"),"weekday evenings"),"We can book "&amp;AC85&amp;" at "&amp;X85&amp;" on a weekday evening that suits you")&amp;" and it's "&amp;IF(AD85&lt;&gt;"","£"&amp;IF(AD85=INT(AD85),TEXT(AD85,"0"),TEXT(AD85,"0.00")),"[PRICE PER PLAYER]")&amp;" a player, all booked and paid through one link. If football isn't your thing, who at "&amp;F85&amp;" would be the right person to organise a team game?"&amp;IF(Offer!$C$7&lt;&gt;""," Spots are held until "&amp;TEXT(Offer!$C$7,"dddd d mmmm")&amp;".","")&amp;" "&amp;IF(Offer!$C$6&lt;&gt;"",Offer!$C$6,"[JOINING LINK]")</f>
        <v/>
      </c>
      <c r="AK85" s="14">
        <f>IF(OR(ISNUMBER(SEARCH("[",AG85)),ISNUMBER(SEARCH("[",AJ85))),"Fill placeholders",IF(ISNUMBER(AB85),"Ready to send","Ready · no fixed slot"))</f>
        <v/>
      </c>
      <c r="AN85" s="17" t="n"/>
    </row>
    <row r="86">
      <c r="A86" s="11" t="n">
        <v>84</v>
      </c>
      <c r="B86" s="11" t="n">
        <v>2</v>
      </c>
      <c r="C86" s="11" t="inlineStr">
        <is>
          <t>Fund / asset manager</t>
        </is>
      </c>
      <c r="D86" s="11" t="inlineStr">
        <is>
          <t>City of London</t>
        </is>
      </c>
      <c r="E86" s="11" t="inlineStr">
        <is>
          <t>Tritax Management LLP</t>
        </is>
      </c>
      <c r="F86" s="11" t="inlineStr">
        <is>
          <t>Tritax Management</t>
        </is>
      </c>
      <c r="G86" s="11" t="inlineStr">
        <is>
          <t>OC326500</t>
        </is>
      </c>
      <c r="H86" s="12" t="inlineStr">
        <is>
          <t>Open</t>
        </is>
      </c>
      <c r="I86" s="12" t="inlineStr">
        <is>
          <t>Search</t>
        </is>
      </c>
      <c r="J86" s="11" t="inlineStr">
        <is>
          <t>Group</t>
        </is>
      </c>
      <c r="K86" s="13" t="n">
        <v>39143</v>
      </c>
      <c r="L86" s="11" t="inlineStr">
        <is>
          <t>280 Bishopsgate, London</t>
        </is>
      </c>
      <c r="M86" s="11" t="inlineStr">
        <is>
          <t>EC2M 4AG</t>
        </is>
      </c>
      <c r="N86" s="11" t="inlineStr">
        <is>
          <t>No</t>
        </is>
      </c>
      <c r="U86" s="11" t="inlineStr">
        <is>
          <t>Shoreditch Powerleague</t>
        </is>
      </c>
      <c r="V86" s="11" t="n">
        <v>7</v>
      </c>
      <c r="W86" s="11" t="inlineStr">
        <is>
          <t>Liverpool St - Attlee Centre (7.1)</t>
        </is>
      </c>
      <c r="X86" s="11" t="inlineStr">
        <is>
          <t>Shoreditch Powerleague</t>
        </is>
      </c>
      <c r="Y86" s="11" t="n">
        <v>7</v>
      </c>
      <c r="Z86" s="14">
        <f>IFERROR(INDEX(Venues!$E$2:$E$15,MATCH(X86,Venues!$A$2:$A$15,0)),"Not checked")</f>
        <v/>
      </c>
      <c r="AA86" s="14">
        <f>IFERROR(INDEX(Venues!$F$2:$F$15,MATCH(X86,Venues!$A$2:$A$15,0)),0)</f>
        <v/>
      </c>
      <c r="AB86" s="15">
        <f>IFERROR(INDEX(Venues!$M$2:$M$15,MATCH(X86,Venues!$A$2:$A$15,0)),"")</f>
        <v/>
      </c>
      <c r="AC86" s="14">
        <f>IFERROR(INDEX(Venues!$N$2:$N$15,MATCH(X86,Venues!$A$2:$A$15,0)),"5-a-side")</f>
        <v/>
      </c>
      <c r="AD86" s="16">
        <f>IF(Offer!$C$4="","",Offer!$C$4)</f>
        <v/>
      </c>
      <c r="AE86" s="14">
        <f>X86&amp;" ("&amp;Y86&amp;" min walk) · "&amp;IF(ISNUMBER(AB86),TEXT(AB86,"ddd d mmm, hh:mm"),"slot to confirm with venue")&amp;" · "&amp;AC86&amp;" · "&amp;IF(AD86&lt;&gt;"","£"&amp;TEXT(AD86,"0.00")&amp;" pp","price TBC")</f>
        <v/>
      </c>
      <c r="AF86" s="14">
        <f>"After-work football for "&amp;F86&amp;" · "&amp;X86&amp;", "&amp;Y86&amp;" min from your office"</f>
        <v/>
      </c>
      <c r="AG86" s="14">
        <f>"Hi"&amp;IF(O86&lt;&gt;""," "&amp;O86,"")&amp;","&amp;CHAR(10)&amp;CHAR(10)&amp;"I'm "&amp;IF(AL86&lt;&gt;"",AL86,IF(Offer!$C$5&lt;&gt;"",Offer!$C$5,"[NAME]"))&amp;" from FC Urban. We organise after-work football for teams in the City and Canary Wharf."&amp;CHAR(10)&amp;CHAR(10)&amp;"We have a "&amp;AC86&amp;" pitch at "&amp;X86&amp;", "&amp;IF(OR(Y86=8,Y86=11,Y86=18),"an ","a ")&amp;Y86&amp;"-minute walk from your "&amp;M86&amp;" office, "&amp;IF(ISNUMBER(AB86),"on "&amp;TEXT(AB86,"dddd d mmmm")&amp;" at "&amp;TEXT(AB86,"hh:mm"),"on a weekday evening that suits your team")&amp;". It's "&amp;IF(AD86&lt;&gt;"","£"&amp;IF(AD86=INT(AD86),TEXT(AD86,"0"),TEXT(AD86,"0.00")),"[PRICE PER PLAYER]")&amp;" a player and we handle the pitch booking, sign-ups and payments, so all it takes is one person sharing a link with the team."&amp;CHAR(10)&amp;CHAR(10)&amp;"It works well as a team social or "&amp;IF(ISNUMBER(SEARCH(LEFT(F86,1),"AEIOU")),"an ","a ")&amp;F86&amp;"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LINK]")&amp;CHAR(10)&amp;CHAR(10)&amp;"Best,"&amp;CHAR(10)&amp;IF(AL86&lt;&gt;"",AL86,IF(Offer!$C$5&lt;&gt;"",Offer!$C$5,"[NAME]"))&amp;CHAR(10)&amp;"FC Urban"</f>
        <v/>
      </c>
      <c r="AH86" s="14">
        <f>IF(LEN("Hi"&amp;IF(O86&lt;&gt;""," "&amp;O86,"")&amp;","&amp;" FC Urban runs after-work football for "&amp;IF(D86="Canary Wharf","Canary Wharf","City")&amp;" teams. We have a "&amp;AC86&amp;" pitch at "&amp;X86&amp;", "&amp;Y86&amp;" min from your office, "&amp;IF(ISNUMBER(AB86),TEXT(AB86,"ddd d mmm")&amp;", "&amp;TEXT(AB86,"hh:mm"),"weekday evenings")&amp;", "&amp;IF(AD86&lt;&gt;"","£"&amp;IF(AD86=INT(AD86),TEXT(AD86,"0"),TEXT(AD86,"0.00")),"[PRICE PER PLAYER]")&amp;" a player. We handle booking, sign-ups and payments. Fancy "&amp;IF(ISNUMBER(SEARCH(LEFT(F86,1),"AEIOU")),"an ","a ")&amp;F86&amp;" team game? "&amp;IF(AL86&lt;&gt;"",AL86,IF(Offer!$C$5&lt;&gt;"",Offer!$C$5,"[NAME]")))&lt;=300,"Hi"&amp;IF(O86&lt;&gt;""," "&amp;O86,"")&amp;","&amp;" FC Urban runs after-work football for "&amp;IF(D86="Canary Wharf","Canary Wharf","City")&amp;" teams. We have a "&amp;AC86&amp;" pitch at "&amp;X86&amp;", "&amp;Y86&amp;" min from your office, "&amp;IF(ISNUMBER(AB86),TEXT(AB86,"ddd d mmm")&amp;", "&amp;TEXT(AB86,"hh:mm"),"weekday evenings")&amp;", "&amp;IF(AD86&lt;&gt;"","£"&amp;IF(AD86=INT(AD86),TEXT(AD86,"0"),TEXT(AD86,"0.00")),"[PRICE PER PLAYER]")&amp;" a player. We handle booking, sign-ups and payments. Fancy "&amp;IF(ISNUMBER(SEARCH(LEFT(F86,1),"AEIOU")),"an ","a ")&amp;F86&amp;" team game? "&amp;IF(AL86&lt;&gt;"",AL86,IF(Offer!$C$5&lt;&gt;"",Offer!$C$5,"[NAME]")),LEFT("Hi"&amp;IF(O86&lt;&gt;""," "&amp;O86,"")&amp;","&amp;" FC Urban runs after-work football for "&amp;IF(D86="Canary Wharf","Canary Wharf","City")&amp;" teams: "&amp;AC86&amp;" at "&amp;X86&amp;", "&amp;Y86&amp;" min from your office, "&amp;IF(ISNUMBER(AB86),TEXT(AB86,"ddd d mmm")&amp;", "&amp;TEXT(AB86,"hh:mm"),"weekday evenings")&amp;", "&amp;IF(AD86&lt;&gt;"","£"&amp;IF(AD86=INT(AD86),TEXT(AD86,"0"),TEXT(AD86,"0.00")),"[PRICE PER PLAYER]")&amp;" pp. We handle booking and payments. Up for a team game? "&amp;IF(AL86&lt;&gt;"",AL86,IF(Offer!$C$5&lt;&gt;"",Offer!$C$5,"[NAME]")),300))</f>
        <v/>
      </c>
      <c r="AI86" s="14">
        <f>LEN(AH86)</f>
        <v/>
      </c>
      <c r="AJ86" s="14">
        <f>"Thanks for connecting"&amp;IF(O86&lt;&gt;"",", "&amp;O86,"")&amp;". "&amp;IF(ISNUMBER(AB86),"The "&amp;AC86&amp;" slot at "&amp;X86&amp;" is "&amp;IF(ISNUMBER(AB86),TEXT(AB86,"ddd d mmm")&amp;", "&amp;TEXT(AB86,"hh:mm"),"weekday evenings"),"We can book "&amp;AC86&amp;" at "&amp;X86&amp;" on a weekday evening that suits you")&amp;" and it's "&amp;IF(AD86&lt;&gt;"","£"&amp;IF(AD86=INT(AD86),TEXT(AD86,"0"),TEXT(AD86,"0.00")),"[PRICE PER PLAYER]")&amp;" a player, all booked and paid through one link. If football isn't your thing, who at "&amp;F86&amp;" would be the right person to organise a team game?"&amp;IF(Offer!$C$7&lt;&gt;""," Spots are held until "&amp;TEXT(Offer!$C$7,"dddd d mmmm")&amp;".","")&amp;" "&amp;IF(Offer!$C$6&lt;&gt;"",Offer!$C$6,"[JOINING LINK]")</f>
        <v/>
      </c>
      <c r="AK86" s="14">
        <f>IF(OR(ISNUMBER(SEARCH("[",AG86)),ISNUMBER(SEARCH("[",AJ86))),"Fill placeholders",IF(ISNUMBER(AB86),"Ready to send","Ready · no fixed slot"))</f>
        <v/>
      </c>
      <c r="AN86" s="17" t="n"/>
    </row>
    <row r="87">
      <c r="A87" s="11" t="n">
        <v>85</v>
      </c>
      <c r="B87" s="11" t="n">
        <v>2</v>
      </c>
      <c r="C87" s="11" t="inlineStr">
        <is>
          <t>Fund / asset manager</t>
        </is>
      </c>
      <c r="D87" s="11" t="inlineStr">
        <is>
          <t>Canary Wharf</t>
        </is>
      </c>
      <c r="E87" s="11" t="inlineStr">
        <is>
          <t>Tramontana Asset Management Limited</t>
        </is>
      </c>
      <c r="F87" s="11" t="inlineStr">
        <is>
          <t>Tramontana Asset Management</t>
        </is>
      </c>
      <c r="G87" s="11" t="inlineStr">
        <is>
          <t>09317056</t>
        </is>
      </c>
      <c r="H87" s="12" t="inlineStr">
        <is>
          <t>Open</t>
        </is>
      </c>
      <c r="I87" s="12" t="inlineStr">
        <is>
          <t>Search</t>
        </is>
      </c>
      <c r="J87" s="11" t="inlineStr">
        <is>
          <t>Group</t>
        </is>
      </c>
      <c r="K87" s="13" t="n">
        <v>41961</v>
      </c>
      <c r="L87" s="11" t="inlineStr">
        <is>
          <t>One Canada Square, Canary Wharf, London</t>
        </is>
      </c>
      <c r="M87" s="11" t="inlineStr">
        <is>
          <t>E14 5AA</t>
        </is>
      </c>
      <c r="N87" s="11" t="inlineStr">
        <is>
          <t>No</t>
        </is>
      </c>
      <c r="U87" s="11" t="inlineStr">
        <is>
          <t>Poplar</t>
        </is>
      </c>
      <c r="V87" s="11" t="n">
        <v>7</v>
      </c>
      <c r="W87" s="11" t="inlineStr">
        <is>
          <t>PlayFootball Canary Wharf - Westferry (E14 8HH) (16.1)</t>
        </is>
      </c>
      <c r="X87" s="11" t="inlineStr">
        <is>
          <t>Poplar</t>
        </is>
      </c>
      <c r="Y87" s="11" t="n">
        <v>7</v>
      </c>
      <c r="Z87" s="14">
        <f>IFERROR(INDEX(Venues!$E$2:$E$15,MATCH(X87,Venues!$A$2:$A$15,0)),"Not checked")</f>
        <v/>
      </c>
      <c r="AA87" s="14">
        <f>IFERROR(INDEX(Venues!$F$2:$F$15,MATCH(X87,Venues!$A$2:$A$15,0)),0)</f>
        <v/>
      </c>
      <c r="AB87" s="15">
        <f>IFERROR(INDEX(Venues!$M$2:$M$15,MATCH(X87,Venues!$A$2:$A$15,0)),"")</f>
        <v/>
      </c>
      <c r="AC87" s="14">
        <f>IFERROR(INDEX(Venues!$N$2:$N$15,MATCH(X87,Venues!$A$2:$A$15,0)),"5-a-side")</f>
        <v/>
      </c>
      <c r="AD87" s="16">
        <f>IF(Offer!$C$4="","",Offer!$C$4)</f>
        <v/>
      </c>
      <c r="AE87" s="14">
        <f>X87&amp;" ("&amp;Y87&amp;" min walk) · "&amp;IF(ISNUMBER(AB87),TEXT(AB87,"ddd d mmm, hh:mm"),"slot to confirm with venue")&amp;" · "&amp;AC87&amp;" · "&amp;IF(AD87&lt;&gt;"","£"&amp;TEXT(AD87,"0.00")&amp;" pp","price TBC")</f>
        <v/>
      </c>
      <c r="AF87" s="14">
        <f>"After-work football for "&amp;F87&amp;" · "&amp;X87&amp;", "&amp;Y87&amp;" min from your office"</f>
        <v/>
      </c>
      <c r="AG87" s="14">
        <f>"Hi"&amp;IF(O87&lt;&gt;""," "&amp;O87,"")&amp;","&amp;CHAR(10)&amp;CHAR(10)&amp;"I'm "&amp;IF(AL87&lt;&gt;"",AL87,IF(Offer!$C$5&lt;&gt;"",Offer!$C$5,"[NAME]"))&amp;" from FC Urban. We organise after-work football for teams in the City and Canary Wharf."&amp;CHAR(10)&amp;CHAR(10)&amp;"We have a "&amp;AC87&amp;" pitch at "&amp;X87&amp;", "&amp;IF(OR(Y87=8,Y87=11,Y87=18),"an ","a ")&amp;Y87&amp;"-minute walk from your "&amp;M87&amp;" office, "&amp;IF(ISNUMBER(AB87),"on "&amp;TEXT(AB87,"dddd d mmmm")&amp;" at "&amp;TEXT(AB87,"hh:mm"),"on a weekday evening that suits your team")&amp;". It's "&amp;IF(AD87&lt;&gt;"","£"&amp;IF(AD87=INT(AD87),TEXT(AD87,"0"),TEXT(AD87,"0.00")),"[PRICE PER PLAYER]")&amp;" a player and we handle the pitch booking, sign-ups and payments, so all it takes is one person sharing a link with the team."&amp;CHAR(10)&amp;CHAR(10)&amp;"It works well as a team social or "&amp;IF(ISNUMBER(SEARCH(LEFT(F87,1),"AEIOU")),"an ","a ")&amp;F87&amp;"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LINK]")&amp;CHAR(10)&amp;CHAR(10)&amp;"Best,"&amp;CHAR(10)&amp;IF(AL87&lt;&gt;"",AL87,IF(Offer!$C$5&lt;&gt;"",Offer!$C$5,"[NAME]"))&amp;CHAR(10)&amp;"FC Urban"</f>
        <v/>
      </c>
      <c r="AH87" s="14">
        <f>IF(LEN("Hi"&amp;IF(O87&lt;&gt;""," "&amp;O87,"")&amp;","&amp;" FC Urban runs after-work football for "&amp;IF(D87="Canary Wharf","Canary Wharf","City")&amp;" teams. We have a "&amp;AC87&amp;" pitch at "&amp;X87&amp;", "&amp;Y87&amp;" min from your office, "&amp;IF(ISNUMBER(AB87),TEXT(AB87,"ddd d mmm")&amp;", "&amp;TEXT(AB87,"hh:mm"),"weekday evenings")&amp;", "&amp;IF(AD87&lt;&gt;"","£"&amp;IF(AD87=INT(AD87),TEXT(AD87,"0"),TEXT(AD87,"0.00")),"[PRICE PER PLAYER]")&amp;" a player. We handle booking, sign-ups and payments. Fancy "&amp;IF(ISNUMBER(SEARCH(LEFT(F87,1),"AEIOU")),"an ","a ")&amp;F87&amp;" team game? "&amp;IF(AL87&lt;&gt;"",AL87,IF(Offer!$C$5&lt;&gt;"",Offer!$C$5,"[NAME]")))&lt;=300,"Hi"&amp;IF(O87&lt;&gt;""," "&amp;O87,"")&amp;","&amp;" FC Urban runs after-work football for "&amp;IF(D87="Canary Wharf","Canary Wharf","City")&amp;" teams. We have a "&amp;AC87&amp;" pitch at "&amp;X87&amp;", "&amp;Y87&amp;" min from your office, "&amp;IF(ISNUMBER(AB87),TEXT(AB87,"ddd d mmm")&amp;", "&amp;TEXT(AB87,"hh:mm"),"weekday evenings")&amp;", "&amp;IF(AD87&lt;&gt;"","£"&amp;IF(AD87=INT(AD87),TEXT(AD87,"0"),TEXT(AD87,"0.00")),"[PRICE PER PLAYER]")&amp;" a player. We handle booking, sign-ups and payments. Fancy "&amp;IF(ISNUMBER(SEARCH(LEFT(F87,1),"AEIOU")),"an ","a ")&amp;F87&amp;" team game? "&amp;IF(AL87&lt;&gt;"",AL87,IF(Offer!$C$5&lt;&gt;"",Offer!$C$5,"[NAME]")),LEFT("Hi"&amp;IF(O87&lt;&gt;""," "&amp;O87,"")&amp;","&amp;" FC Urban runs after-work football for "&amp;IF(D87="Canary Wharf","Canary Wharf","City")&amp;" teams: "&amp;AC87&amp;" at "&amp;X87&amp;", "&amp;Y87&amp;" min from your office, "&amp;IF(ISNUMBER(AB87),TEXT(AB87,"ddd d mmm")&amp;", "&amp;TEXT(AB87,"hh:mm"),"weekday evenings")&amp;", "&amp;IF(AD87&lt;&gt;"","£"&amp;IF(AD87=INT(AD87),TEXT(AD87,"0"),TEXT(AD87,"0.00")),"[PRICE PER PLAYER]")&amp;" pp. We handle booking and payments. Up for a team game? "&amp;IF(AL87&lt;&gt;"",AL87,IF(Offer!$C$5&lt;&gt;"",Offer!$C$5,"[NAME]")),300))</f>
        <v/>
      </c>
      <c r="AI87" s="14">
        <f>LEN(AH87)</f>
        <v/>
      </c>
      <c r="AJ87" s="14">
        <f>"Thanks for connecting"&amp;IF(O87&lt;&gt;"",", "&amp;O87,"")&amp;". "&amp;IF(ISNUMBER(AB87),"The "&amp;AC87&amp;" slot at "&amp;X87&amp;" is "&amp;IF(ISNUMBER(AB87),TEXT(AB87,"ddd d mmm")&amp;", "&amp;TEXT(AB87,"hh:mm"),"weekday evenings"),"We can book "&amp;AC87&amp;" at "&amp;X87&amp;" on a weekday evening that suits you")&amp;" and it's "&amp;IF(AD87&lt;&gt;"","£"&amp;IF(AD87=INT(AD87),TEXT(AD87,"0"),TEXT(AD87,"0.00")),"[PRICE PER PLAYER]")&amp;" a player, all booked and paid through one link. If football isn't your thing, who at "&amp;F87&amp;" would be the right person to organise a team game?"&amp;IF(Offer!$C$7&lt;&gt;""," Spots are held until "&amp;TEXT(Offer!$C$7,"dddd d mmmm")&amp;".","")&amp;" "&amp;IF(Offer!$C$6&lt;&gt;"",Offer!$C$6,"[JOINING LINK]")</f>
        <v/>
      </c>
      <c r="AK87" s="14">
        <f>IF(OR(ISNUMBER(SEARCH("[",AG87)),ISNUMBER(SEARCH("[",AJ87))),"Fill placeholders",IF(ISNUMBER(AB87),"Ready to send","Ready · no fixed slot"))</f>
        <v/>
      </c>
      <c r="AN87" s="17" t="n"/>
    </row>
    <row r="88">
      <c r="A88" s="11" t="n">
        <v>86</v>
      </c>
      <c r="B88" s="11" t="n">
        <v>2</v>
      </c>
      <c r="C88" s="11" t="inlineStr">
        <is>
          <t>Advisory / accountancy</t>
        </is>
      </c>
      <c r="D88" s="11" t="inlineStr">
        <is>
          <t>City of London</t>
        </is>
      </c>
      <c r="E88" s="11" t="inlineStr">
        <is>
          <t>Westonwilliamson+Partners LLP</t>
        </is>
      </c>
      <c r="F88" s="11" t="inlineStr">
        <is>
          <t>WestonWilliamson+Partners</t>
        </is>
      </c>
      <c r="G88" s="11" t="inlineStr">
        <is>
          <t>OC375867</t>
        </is>
      </c>
      <c r="H88" s="12" t="inlineStr">
        <is>
          <t>Open</t>
        </is>
      </c>
      <c r="I88" s="12" t="inlineStr">
        <is>
          <t>Search</t>
        </is>
      </c>
      <c r="J88" s="11" t="inlineStr">
        <is>
          <t>Group</t>
        </is>
      </c>
      <c r="K88" s="13" t="n">
        <v>41067</v>
      </c>
      <c r="L88" s="11" t="inlineStr">
        <is>
          <t>12 Valentine Place, London</t>
        </is>
      </c>
      <c r="M88" s="11" t="inlineStr">
        <is>
          <t>SE1 8QH</t>
        </is>
      </c>
      <c r="N88" s="11" t="inlineStr">
        <is>
          <t>No</t>
        </is>
      </c>
      <c r="U88" s="11" t="inlineStr">
        <is>
          <t>Borough Academy</t>
        </is>
      </c>
      <c r="V88" s="11" t="n">
        <v>7</v>
      </c>
      <c r="W88" s="11" t="n"/>
      <c r="X88" s="11" t="inlineStr">
        <is>
          <t>Borough Academy</t>
        </is>
      </c>
      <c r="Y88" s="11" t="n">
        <v>7</v>
      </c>
      <c r="Z88" s="14">
        <f>IFERROR(INDEX(Venues!$E$2:$E$15,MATCH(X88,Venues!$A$2:$A$15,0)),"Not checked")</f>
        <v/>
      </c>
      <c r="AA88" s="14">
        <f>IFERROR(INDEX(Venues!$F$2:$F$15,MATCH(X88,Venues!$A$2:$A$15,0)),0)</f>
        <v/>
      </c>
      <c r="AB88" s="15">
        <f>IFERROR(INDEX(Venues!$M$2:$M$15,MATCH(X88,Venues!$A$2:$A$15,0)),"")</f>
        <v/>
      </c>
      <c r="AC88" s="14">
        <f>IFERROR(INDEX(Venues!$N$2:$N$15,MATCH(X88,Venues!$A$2:$A$15,0)),"5-a-side")</f>
        <v/>
      </c>
      <c r="AD88" s="16">
        <f>IF(Offer!$C$4="","",Offer!$C$4)</f>
        <v/>
      </c>
      <c r="AE88" s="14">
        <f>X88&amp;" ("&amp;Y88&amp;" min walk) · "&amp;IF(ISNUMBER(AB88),TEXT(AB88,"ddd d mmm, hh:mm"),"slot to confirm with venue")&amp;" · "&amp;AC88&amp;" · "&amp;IF(AD88&lt;&gt;"","£"&amp;TEXT(AD88,"0.00")&amp;" pp","price TBC")</f>
        <v/>
      </c>
      <c r="AF88" s="14">
        <f>"After-work football for "&amp;F88&amp;" · "&amp;X88&amp;", "&amp;Y88&amp;" min from your office"</f>
        <v/>
      </c>
      <c r="AG88" s="14">
        <f>"Hi"&amp;IF(O88&lt;&gt;""," "&amp;O88,"")&amp;","&amp;CHAR(10)&amp;CHAR(10)&amp;"I'm "&amp;IF(AL88&lt;&gt;"",AL88,IF(Offer!$C$5&lt;&gt;"",Offer!$C$5,"[NAME]"))&amp;" from FC Urban. We organise after-work football for teams in the City and Canary Wharf."&amp;CHAR(10)&amp;CHAR(10)&amp;"We have a "&amp;AC88&amp;" pitch at "&amp;X88&amp;", "&amp;IF(OR(Y88=8,Y88=11,Y88=18),"an ","a ")&amp;Y88&amp;"-minute walk from your "&amp;M88&amp;" office, "&amp;IF(ISNUMBER(AB88),"on "&amp;TEXT(AB88,"dddd d mmmm")&amp;" at "&amp;TEXT(AB88,"hh:mm"),"on a weekday evening that suits your team")&amp;". It's "&amp;IF(AD88&lt;&gt;"","£"&amp;IF(AD88=INT(AD88),TEXT(AD88,"0"),TEXT(AD88,"0.00")),"[PRICE PER PLAYER]")&amp;" a player and we handle the pitch booking, sign-ups and payments, so all it takes is one person sharing a link with the team."&amp;CHAR(10)&amp;CHAR(10)&amp;"It works well as a team social or "&amp;IF(ISNUMBER(SEARCH(LEFT(F88,1),"AEIOU")),"an ","a ")&amp;F88&amp;"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LINK]")&amp;CHAR(10)&amp;CHAR(10)&amp;"Best,"&amp;CHAR(10)&amp;IF(AL88&lt;&gt;"",AL88,IF(Offer!$C$5&lt;&gt;"",Offer!$C$5,"[NAME]"))&amp;CHAR(10)&amp;"FC Urban"</f>
        <v/>
      </c>
      <c r="AH88" s="14">
        <f>IF(LEN("Hi"&amp;IF(O88&lt;&gt;""," "&amp;O88,"")&amp;","&amp;" FC Urban runs after-work football for "&amp;IF(D88="Canary Wharf","Canary Wharf","City")&amp;" teams. We have a "&amp;AC88&amp;" pitch at "&amp;X88&amp;", "&amp;Y88&amp;" min from your office, "&amp;IF(ISNUMBER(AB88),TEXT(AB88,"ddd d mmm")&amp;", "&amp;TEXT(AB88,"hh:mm"),"weekday evenings")&amp;", "&amp;IF(AD88&lt;&gt;"","£"&amp;IF(AD88=INT(AD88),TEXT(AD88,"0"),TEXT(AD88,"0.00")),"[PRICE PER PLAYER]")&amp;" a player. We handle booking, sign-ups and payments. Fancy "&amp;IF(ISNUMBER(SEARCH(LEFT(F88,1),"AEIOU")),"an ","a ")&amp;F88&amp;" team game? "&amp;IF(AL88&lt;&gt;"",AL88,IF(Offer!$C$5&lt;&gt;"",Offer!$C$5,"[NAME]")))&lt;=300,"Hi"&amp;IF(O88&lt;&gt;""," "&amp;O88,"")&amp;","&amp;" FC Urban runs after-work football for "&amp;IF(D88="Canary Wharf","Canary Wharf","City")&amp;" teams. We have a "&amp;AC88&amp;" pitch at "&amp;X88&amp;", "&amp;Y88&amp;" min from your office, "&amp;IF(ISNUMBER(AB88),TEXT(AB88,"ddd d mmm")&amp;", "&amp;TEXT(AB88,"hh:mm"),"weekday evenings")&amp;", "&amp;IF(AD88&lt;&gt;"","£"&amp;IF(AD88=INT(AD88),TEXT(AD88,"0"),TEXT(AD88,"0.00")),"[PRICE PER PLAYER]")&amp;" a player. We handle booking, sign-ups and payments. Fancy "&amp;IF(ISNUMBER(SEARCH(LEFT(F88,1),"AEIOU")),"an ","a ")&amp;F88&amp;" team game? "&amp;IF(AL88&lt;&gt;"",AL88,IF(Offer!$C$5&lt;&gt;"",Offer!$C$5,"[NAME]")),LEFT("Hi"&amp;IF(O88&lt;&gt;""," "&amp;O88,"")&amp;","&amp;" FC Urban runs after-work football for "&amp;IF(D88="Canary Wharf","Canary Wharf","City")&amp;" teams: "&amp;AC88&amp;" at "&amp;X88&amp;", "&amp;Y88&amp;" min from your office, "&amp;IF(ISNUMBER(AB88),TEXT(AB88,"ddd d mmm")&amp;", "&amp;TEXT(AB88,"hh:mm"),"weekday evenings")&amp;", "&amp;IF(AD88&lt;&gt;"","£"&amp;IF(AD88=INT(AD88),TEXT(AD88,"0"),TEXT(AD88,"0.00")),"[PRICE PER PLAYER]")&amp;" pp. We handle booking and payments. Up for a team game? "&amp;IF(AL88&lt;&gt;"",AL88,IF(Offer!$C$5&lt;&gt;"",Offer!$C$5,"[NAME]")),300))</f>
        <v/>
      </c>
      <c r="AI88" s="14">
        <f>LEN(AH88)</f>
        <v/>
      </c>
      <c r="AJ88" s="14">
        <f>"Thanks for connecting"&amp;IF(O88&lt;&gt;"",", "&amp;O88,"")&amp;". "&amp;IF(ISNUMBER(AB88),"The "&amp;AC88&amp;" slot at "&amp;X88&amp;" is "&amp;IF(ISNUMBER(AB88),TEXT(AB88,"ddd d mmm")&amp;", "&amp;TEXT(AB88,"hh:mm"),"weekday evenings"),"We can book "&amp;AC88&amp;" at "&amp;X88&amp;" on a weekday evening that suits you")&amp;" and it's "&amp;IF(AD88&lt;&gt;"","£"&amp;IF(AD88=INT(AD88),TEXT(AD88,"0"),TEXT(AD88,"0.00")),"[PRICE PER PLAYER]")&amp;" a player, all booked and paid through one link. If football isn't your thing, who at "&amp;F88&amp;" would be the right person to organise a team game?"&amp;IF(Offer!$C$7&lt;&gt;""," Spots are held until "&amp;TEXT(Offer!$C$7,"dddd d mmmm")&amp;".","")&amp;" "&amp;IF(Offer!$C$6&lt;&gt;"",Offer!$C$6,"[JOINING LINK]")</f>
        <v/>
      </c>
      <c r="AK88" s="14">
        <f>IF(OR(ISNUMBER(SEARCH("[",AG88)),ISNUMBER(SEARCH("[",AJ88))),"Fill placeholders",IF(ISNUMBER(AB88),"Ready to send","Ready · no fixed slot"))</f>
        <v/>
      </c>
      <c r="AN88" s="17" t="n"/>
    </row>
    <row r="89">
      <c r="A89" s="11" t="n">
        <v>87</v>
      </c>
      <c r="B89" s="11" t="n">
        <v>2</v>
      </c>
      <c r="C89" s="11" t="inlineStr">
        <is>
          <t>Fund / asset manager</t>
        </is>
      </c>
      <c r="D89" s="11" t="inlineStr">
        <is>
          <t>Canary Wharf</t>
        </is>
      </c>
      <c r="E89" s="11" t="inlineStr">
        <is>
          <t>Lord Abbett (UK) Ltd.</t>
        </is>
      </c>
      <c r="F89" s="11" t="inlineStr">
        <is>
          <t>Lord Abbett</t>
        </is>
      </c>
      <c r="G89" s="11" t="inlineStr">
        <is>
          <t>10804287</t>
        </is>
      </c>
      <c r="H89" s="12" t="inlineStr">
        <is>
          <t>Open</t>
        </is>
      </c>
      <c r="I89" s="12" t="inlineStr">
        <is>
          <t>Search</t>
        </is>
      </c>
      <c r="J89" s="11" t="inlineStr">
        <is>
          <t>Group</t>
        </is>
      </c>
      <c r="K89" s="13" t="n">
        <v>42892</v>
      </c>
      <c r="L89" s="11" t="inlineStr">
        <is>
          <t>C/O Csc Cls (Uk) Limited 5 Churchill Place, 10Th Floor, London</t>
        </is>
      </c>
      <c r="M89" s="11" t="inlineStr">
        <is>
          <t>E14 5HU</t>
        </is>
      </c>
      <c r="N89" s="11" t="inlineStr">
        <is>
          <t>No</t>
        </is>
      </c>
      <c r="U89" s="11" t="inlineStr">
        <is>
          <t>Poplar</t>
        </is>
      </c>
      <c r="V89" s="11" t="n">
        <v>8</v>
      </c>
      <c r="W89" s="11" t="inlineStr">
        <is>
          <t>Fives Dockland Centre (E14 9GW) (17.3)</t>
        </is>
      </c>
      <c r="X89" s="11" t="inlineStr">
        <is>
          <t>Poplar</t>
        </is>
      </c>
      <c r="Y89" s="11" t="n">
        <v>8</v>
      </c>
      <c r="Z89" s="14">
        <f>IFERROR(INDEX(Venues!$E$2:$E$15,MATCH(X89,Venues!$A$2:$A$15,0)),"Not checked")</f>
        <v/>
      </c>
      <c r="AA89" s="14">
        <f>IFERROR(INDEX(Venues!$F$2:$F$15,MATCH(X89,Venues!$A$2:$A$15,0)),0)</f>
        <v/>
      </c>
      <c r="AB89" s="15">
        <f>IFERROR(INDEX(Venues!$M$2:$M$15,MATCH(X89,Venues!$A$2:$A$15,0)),"")</f>
        <v/>
      </c>
      <c r="AC89" s="14">
        <f>IFERROR(INDEX(Venues!$N$2:$N$15,MATCH(X89,Venues!$A$2:$A$15,0)),"5-a-side")</f>
        <v/>
      </c>
      <c r="AD89" s="16">
        <f>IF(Offer!$C$4="","",Offer!$C$4)</f>
        <v/>
      </c>
      <c r="AE89" s="14">
        <f>X89&amp;" ("&amp;Y89&amp;" min walk) · "&amp;IF(ISNUMBER(AB89),TEXT(AB89,"ddd d mmm, hh:mm"),"slot to confirm with venue")&amp;" · "&amp;AC89&amp;" · "&amp;IF(AD89&lt;&gt;"","£"&amp;TEXT(AD89,"0.00")&amp;" pp","price TBC")</f>
        <v/>
      </c>
      <c r="AF89" s="14">
        <f>"After-work football for "&amp;F89&amp;" · "&amp;X89&amp;", "&amp;Y89&amp;" min from your office"</f>
        <v/>
      </c>
      <c r="AG89" s="14">
        <f>"Hi"&amp;IF(O89&lt;&gt;""," "&amp;O89,"")&amp;","&amp;CHAR(10)&amp;CHAR(10)&amp;"I'm "&amp;IF(AL89&lt;&gt;"",AL89,IF(Offer!$C$5&lt;&gt;"",Offer!$C$5,"[NAME]"))&amp;" from FC Urban. We organise after-work football for teams in the City and Canary Wharf."&amp;CHAR(10)&amp;CHAR(10)&amp;"We have a "&amp;AC89&amp;" pitch at "&amp;X89&amp;", "&amp;IF(OR(Y89=8,Y89=11,Y89=18),"an ","a ")&amp;Y89&amp;"-minute walk from your "&amp;M89&amp;" office, "&amp;IF(ISNUMBER(AB89),"on "&amp;TEXT(AB89,"dddd d mmmm")&amp;" at "&amp;TEXT(AB89,"hh:mm"),"on a weekday evening that suits your team")&amp;". It's "&amp;IF(AD89&lt;&gt;"","£"&amp;IF(AD89=INT(AD89),TEXT(AD89,"0"),TEXT(AD89,"0.00")),"[PRICE PER PLAYER]")&amp;" a player and we handle the pitch booking, sign-ups and payments, so all it takes is one person sharing a link with the team."&amp;CHAR(10)&amp;CHAR(10)&amp;"It works well as a team social or "&amp;IF(ISNUMBER(SEARCH(LEFT(F89,1),"AEIOU")),"an ","a ")&amp;F89&amp;"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LINK]")&amp;CHAR(10)&amp;CHAR(10)&amp;"Best,"&amp;CHAR(10)&amp;IF(AL89&lt;&gt;"",AL89,IF(Offer!$C$5&lt;&gt;"",Offer!$C$5,"[NAME]"))&amp;CHAR(10)&amp;"FC Urban"</f>
        <v/>
      </c>
      <c r="AH89" s="14">
        <f>IF(LEN("Hi"&amp;IF(O89&lt;&gt;""," "&amp;O89,"")&amp;","&amp;" FC Urban runs after-work football for "&amp;IF(D89="Canary Wharf","Canary Wharf","City")&amp;" teams. We have a "&amp;AC89&amp;" pitch at "&amp;X89&amp;", "&amp;Y89&amp;" min from your office, "&amp;IF(ISNUMBER(AB89),TEXT(AB89,"ddd d mmm")&amp;", "&amp;TEXT(AB89,"hh:mm"),"weekday evenings")&amp;", "&amp;IF(AD89&lt;&gt;"","£"&amp;IF(AD89=INT(AD89),TEXT(AD89,"0"),TEXT(AD89,"0.00")),"[PRICE PER PLAYER]")&amp;" a player. We handle booking, sign-ups and payments. Fancy "&amp;IF(ISNUMBER(SEARCH(LEFT(F89,1),"AEIOU")),"an ","a ")&amp;F89&amp;" team game? "&amp;IF(AL89&lt;&gt;"",AL89,IF(Offer!$C$5&lt;&gt;"",Offer!$C$5,"[NAME]")))&lt;=300,"Hi"&amp;IF(O89&lt;&gt;""," "&amp;O89,"")&amp;","&amp;" FC Urban runs after-work football for "&amp;IF(D89="Canary Wharf","Canary Wharf","City")&amp;" teams. We have a "&amp;AC89&amp;" pitch at "&amp;X89&amp;", "&amp;Y89&amp;" min from your office, "&amp;IF(ISNUMBER(AB89),TEXT(AB89,"ddd d mmm")&amp;", "&amp;TEXT(AB89,"hh:mm"),"weekday evenings")&amp;", "&amp;IF(AD89&lt;&gt;"","£"&amp;IF(AD89=INT(AD89),TEXT(AD89,"0"),TEXT(AD89,"0.00")),"[PRICE PER PLAYER]")&amp;" a player. We handle booking, sign-ups and payments. Fancy "&amp;IF(ISNUMBER(SEARCH(LEFT(F89,1),"AEIOU")),"an ","a ")&amp;F89&amp;" team game? "&amp;IF(AL89&lt;&gt;"",AL89,IF(Offer!$C$5&lt;&gt;"",Offer!$C$5,"[NAME]")),LEFT("Hi"&amp;IF(O89&lt;&gt;""," "&amp;O89,"")&amp;","&amp;" FC Urban runs after-work football for "&amp;IF(D89="Canary Wharf","Canary Wharf","City")&amp;" teams: "&amp;AC89&amp;" at "&amp;X89&amp;", "&amp;Y89&amp;" min from your office, "&amp;IF(ISNUMBER(AB89),TEXT(AB89,"ddd d mmm")&amp;", "&amp;TEXT(AB89,"hh:mm"),"weekday evenings")&amp;", "&amp;IF(AD89&lt;&gt;"","£"&amp;IF(AD89=INT(AD89),TEXT(AD89,"0"),TEXT(AD89,"0.00")),"[PRICE PER PLAYER]")&amp;" pp. We handle booking and payments. Up for a team game? "&amp;IF(AL89&lt;&gt;"",AL89,IF(Offer!$C$5&lt;&gt;"",Offer!$C$5,"[NAME]")),300))</f>
        <v/>
      </c>
      <c r="AI89" s="14">
        <f>LEN(AH89)</f>
        <v/>
      </c>
      <c r="AJ89" s="14">
        <f>"Thanks for connecting"&amp;IF(O89&lt;&gt;"",", "&amp;O89,"")&amp;". "&amp;IF(ISNUMBER(AB89),"The "&amp;AC89&amp;" slot at "&amp;X89&amp;" is "&amp;IF(ISNUMBER(AB89),TEXT(AB89,"ddd d mmm")&amp;", "&amp;TEXT(AB89,"hh:mm"),"weekday evenings"),"We can book "&amp;AC89&amp;" at "&amp;X89&amp;" on a weekday evening that suits you")&amp;" and it's "&amp;IF(AD89&lt;&gt;"","£"&amp;IF(AD89=INT(AD89),TEXT(AD89,"0"),TEXT(AD89,"0.00")),"[PRICE PER PLAYER]")&amp;" a player, all booked and paid through one link. If football isn't your thing, who at "&amp;F89&amp;" would be the right person to organise a team game?"&amp;IF(Offer!$C$7&lt;&gt;""," Spots are held until "&amp;TEXT(Offer!$C$7,"dddd d mmmm")&amp;".","")&amp;" "&amp;IF(Offer!$C$6&lt;&gt;"",Offer!$C$6,"[JOINING LINK]")</f>
        <v/>
      </c>
      <c r="AK89" s="14">
        <f>IF(OR(ISNUMBER(SEARCH("[",AG89)),ISNUMBER(SEARCH("[",AJ89))),"Fill placeholders",IF(ISNUMBER(AB89),"Ready to send","Ready · no fixed slot"))</f>
        <v/>
      </c>
      <c r="AN89" s="17" t="n"/>
    </row>
    <row r="90">
      <c r="A90" s="11" t="n">
        <v>88</v>
      </c>
      <c r="B90" s="11" t="n">
        <v>2</v>
      </c>
      <c r="C90" s="11" t="inlineStr">
        <is>
          <t>Fund / asset manager</t>
        </is>
      </c>
      <c r="D90" s="11" t="inlineStr">
        <is>
          <t>Canary Wharf</t>
        </is>
      </c>
      <c r="E90" s="11" t="inlineStr">
        <is>
          <t>Roscommon Analytics UK Limited</t>
        </is>
      </c>
      <c r="F90" s="11" t="inlineStr">
        <is>
          <t>Roscommon Analytics</t>
        </is>
      </c>
      <c r="G90" s="11" t="inlineStr">
        <is>
          <t>13224309</t>
        </is>
      </c>
      <c r="H90" s="12" t="inlineStr">
        <is>
          <t>Open</t>
        </is>
      </c>
      <c r="I90" s="12" t="inlineStr">
        <is>
          <t>Search</t>
        </is>
      </c>
      <c r="J90" s="11" t="inlineStr">
        <is>
          <t>Group</t>
        </is>
      </c>
      <c r="K90" s="13" t="n">
        <v>44251</v>
      </c>
      <c r="L90" s="11" t="inlineStr">
        <is>
          <t>C/O Csc Cls (Uk) Limited 5 Churchill Place, 10Th Floor, London</t>
        </is>
      </c>
      <c r="M90" s="11" t="inlineStr">
        <is>
          <t>E14 5HU</t>
        </is>
      </c>
      <c r="N90" s="11" t="inlineStr">
        <is>
          <t>No</t>
        </is>
      </c>
      <c r="U90" s="11" t="inlineStr">
        <is>
          <t>Poplar</t>
        </is>
      </c>
      <c r="V90" s="11" t="n">
        <v>8</v>
      </c>
      <c r="W90" s="11" t="inlineStr">
        <is>
          <t>Fives Dockland Centre (E14 9GW) (17.3)</t>
        </is>
      </c>
      <c r="X90" s="11" t="inlineStr">
        <is>
          <t>Poplar</t>
        </is>
      </c>
      <c r="Y90" s="11" t="n">
        <v>8</v>
      </c>
      <c r="Z90" s="14">
        <f>IFERROR(INDEX(Venues!$E$2:$E$15,MATCH(X90,Venues!$A$2:$A$15,0)),"Not checked")</f>
        <v/>
      </c>
      <c r="AA90" s="14">
        <f>IFERROR(INDEX(Venues!$F$2:$F$15,MATCH(X90,Venues!$A$2:$A$15,0)),0)</f>
        <v/>
      </c>
      <c r="AB90" s="15">
        <f>IFERROR(INDEX(Venues!$M$2:$M$15,MATCH(X90,Venues!$A$2:$A$15,0)),"")</f>
        <v/>
      </c>
      <c r="AC90" s="14">
        <f>IFERROR(INDEX(Venues!$N$2:$N$15,MATCH(X90,Venues!$A$2:$A$15,0)),"5-a-side")</f>
        <v/>
      </c>
      <c r="AD90" s="16">
        <f>IF(Offer!$C$4="","",Offer!$C$4)</f>
        <v/>
      </c>
      <c r="AE90" s="14">
        <f>X90&amp;" ("&amp;Y90&amp;" min walk) · "&amp;IF(ISNUMBER(AB90),TEXT(AB90,"ddd d mmm, hh:mm"),"slot to confirm with venue")&amp;" · "&amp;AC90&amp;" · "&amp;IF(AD90&lt;&gt;"","£"&amp;TEXT(AD90,"0.00")&amp;" pp","price TBC")</f>
        <v/>
      </c>
      <c r="AF90" s="14">
        <f>"After-work football for "&amp;F90&amp;" · "&amp;X90&amp;", "&amp;Y90&amp;" min from your office"</f>
        <v/>
      </c>
      <c r="AG90" s="14">
        <f>"Hi"&amp;IF(O90&lt;&gt;""," "&amp;O90,"")&amp;","&amp;CHAR(10)&amp;CHAR(10)&amp;"I'm "&amp;IF(AL90&lt;&gt;"",AL90,IF(Offer!$C$5&lt;&gt;"",Offer!$C$5,"[NAME]"))&amp;" from FC Urban. We organise after-work football for teams in the City and Canary Wharf."&amp;CHAR(10)&amp;CHAR(10)&amp;"We have a "&amp;AC90&amp;" pitch at "&amp;X90&amp;", "&amp;IF(OR(Y90=8,Y90=11,Y90=18),"an ","a ")&amp;Y90&amp;"-minute walk from your "&amp;M90&amp;" office, "&amp;IF(ISNUMBER(AB90),"on "&amp;TEXT(AB90,"dddd d mmmm")&amp;" at "&amp;TEXT(AB90,"hh:mm"),"on a weekday evening that suits your team")&amp;". It's "&amp;IF(AD90&lt;&gt;"","£"&amp;IF(AD90=INT(AD90),TEXT(AD90,"0"),TEXT(AD90,"0.00")),"[PRICE PER PLAYER]")&amp;" a player and we handle the pitch booking, sign-ups and payments, so all it takes is one person sharing a link with the team."&amp;CHAR(10)&amp;CHAR(10)&amp;"It works well as a team social or "&amp;IF(ISNUMBER(SEARCH(LEFT(F90,1),"AEIOU")),"an ","a ")&amp;F90&amp;"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LINK]")&amp;CHAR(10)&amp;CHAR(10)&amp;"Best,"&amp;CHAR(10)&amp;IF(AL90&lt;&gt;"",AL90,IF(Offer!$C$5&lt;&gt;"",Offer!$C$5,"[NAME]"))&amp;CHAR(10)&amp;"FC Urban"</f>
        <v/>
      </c>
      <c r="AH90" s="14">
        <f>IF(LEN("Hi"&amp;IF(O90&lt;&gt;""," "&amp;O90,"")&amp;","&amp;" FC Urban runs after-work football for "&amp;IF(D90="Canary Wharf","Canary Wharf","City")&amp;" teams. We have a "&amp;AC90&amp;" pitch at "&amp;X90&amp;", "&amp;Y90&amp;" min from your office, "&amp;IF(ISNUMBER(AB90),TEXT(AB90,"ddd d mmm")&amp;", "&amp;TEXT(AB90,"hh:mm"),"weekday evenings")&amp;", "&amp;IF(AD90&lt;&gt;"","£"&amp;IF(AD90=INT(AD90),TEXT(AD90,"0"),TEXT(AD90,"0.00")),"[PRICE PER PLAYER]")&amp;" a player. We handle booking, sign-ups and payments. Fancy "&amp;IF(ISNUMBER(SEARCH(LEFT(F90,1),"AEIOU")),"an ","a ")&amp;F90&amp;" team game? "&amp;IF(AL90&lt;&gt;"",AL90,IF(Offer!$C$5&lt;&gt;"",Offer!$C$5,"[NAME]")))&lt;=300,"Hi"&amp;IF(O90&lt;&gt;""," "&amp;O90,"")&amp;","&amp;" FC Urban runs after-work football for "&amp;IF(D90="Canary Wharf","Canary Wharf","City")&amp;" teams. We have a "&amp;AC90&amp;" pitch at "&amp;X90&amp;", "&amp;Y90&amp;" min from your office, "&amp;IF(ISNUMBER(AB90),TEXT(AB90,"ddd d mmm")&amp;", "&amp;TEXT(AB90,"hh:mm"),"weekday evenings")&amp;", "&amp;IF(AD90&lt;&gt;"","£"&amp;IF(AD90=INT(AD90),TEXT(AD90,"0"),TEXT(AD90,"0.00")),"[PRICE PER PLAYER]")&amp;" a player. We handle booking, sign-ups and payments. Fancy "&amp;IF(ISNUMBER(SEARCH(LEFT(F90,1),"AEIOU")),"an ","a ")&amp;F90&amp;" team game? "&amp;IF(AL90&lt;&gt;"",AL90,IF(Offer!$C$5&lt;&gt;"",Offer!$C$5,"[NAME]")),LEFT("Hi"&amp;IF(O90&lt;&gt;""," "&amp;O90,"")&amp;","&amp;" FC Urban runs after-work football for "&amp;IF(D90="Canary Wharf","Canary Wharf","City")&amp;" teams: "&amp;AC90&amp;" at "&amp;X90&amp;", "&amp;Y90&amp;" min from your office, "&amp;IF(ISNUMBER(AB90),TEXT(AB90,"ddd d mmm")&amp;", "&amp;TEXT(AB90,"hh:mm"),"weekday evenings")&amp;", "&amp;IF(AD90&lt;&gt;"","£"&amp;IF(AD90=INT(AD90),TEXT(AD90,"0"),TEXT(AD90,"0.00")),"[PRICE PER PLAYER]")&amp;" pp. We handle booking and payments. Up for a team game? "&amp;IF(AL90&lt;&gt;"",AL90,IF(Offer!$C$5&lt;&gt;"",Offer!$C$5,"[NAME]")),300))</f>
        <v/>
      </c>
      <c r="AI90" s="14">
        <f>LEN(AH90)</f>
        <v/>
      </c>
      <c r="AJ90" s="14">
        <f>"Thanks for connecting"&amp;IF(O90&lt;&gt;"",", "&amp;O90,"")&amp;". "&amp;IF(ISNUMBER(AB90),"The "&amp;AC90&amp;" slot at "&amp;X90&amp;" is "&amp;IF(ISNUMBER(AB90),TEXT(AB90,"ddd d mmm")&amp;", "&amp;TEXT(AB90,"hh:mm"),"weekday evenings"),"We can book "&amp;AC90&amp;" at "&amp;X90&amp;" on a weekday evening that suits you")&amp;" and it's "&amp;IF(AD90&lt;&gt;"","£"&amp;IF(AD90=INT(AD90),TEXT(AD90,"0"),TEXT(AD90,"0.00")),"[PRICE PER PLAYER]")&amp;" a player, all booked and paid through one link. If football isn't your thing, who at "&amp;F90&amp;" would be the right person to organise a team game?"&amp;IF(Offer!$C$7&lt;&gt;""," Spots are held until "&amp;TEXT(Offer!$C$7,"dddd d mmmm")&amp;".","")&amp;" "&amp;IF(Offer!$C$6&lt;&gt;"",Offer!$C$6,"[JOINING LINK]")</f>
        <v/>
      </c>
      <c r="AK90" s="14">
        <f>IF(OR(ISNUMBER(SEARCH("[",AG90)),ISNUMBER(SEARCH("[",AJ90))),"Fill placeholders",IF(ISNUMBER(AB90),"Ready to send","Ready · no fixed slot"))</f>
        <v/>
      </c>
      <c r="AN90" s="17" t="n"/>
    </row>
    <row r="91">
      <c r="A91" s="11" t="n">
        <v>89</v>
      </c>
      <c r="B91" s="11" t="n">
        <v>2</v>
      </c>
      <c r="C91" s="11" t="inlineStr">
        <is>
          <t>Fund / asset manager</t>
        </is>
      </c>
      <c r="D91" s="11" t="inlineStr">
        <is>
          <t>City of London</t>
        </is>
      </c>
      <c r="E91" s="11" t="inlineStr">
        <is>
          <t>Activtrades PLC</t>
        </is>
      </c>
      <c r="F91" s="11" t="inlineStr">
        <is>
          <t>ActivTrades</t>
        </is>
      </c>
      <c r="G91" s="11" t="inlineStr">
        <is>
          <t>05367727</t>
        </is>
      </c>
      <c r="H91" s="12" t="inlineStr">
        <is>
          <t>Open</t>
        </is>
      </c>
      <c r="I91" s="12" t="inlineStr">
        <is>
          <t>Search</t>
        </is>
      </c>
      <c r="J91" s="11" t="inlineStr">
        <is>
          <t>Group</t>
        </is>
      </c>
      <c r="K91" s="13" t="n">
        <v>38400</v>
      </c>
      <c r="L91" s="11" t="inlineStr">
        <is>
          <t>The Loom, Office 2.6,, 14 Gowers Walk, London</t>
        </is>
      </c>
      <c r="M91" s="11" t="inlineStr">
        <is>
          <t>E1 8PY</t>
        </is>
      </c>
      <c r="N91" s="11" t="inlineStr">
        <is>
          <t>No</t>
        </is>
      </c>
      <c r="U91" s="11" t="inlineStr">
        <is>
          <t>Whitechapel</t>
        </is>
      </c>
      <c r="V91" s="11" t="n">
        <v>9</v>
      </c>
      <c r="W91" s="11" t="inlineStr">
        <is>
          <t>Liverpool St - Attlee Centre (11.3)</t>
        </is>
      </c>
      <c r="X91" s="11" t="inlineStr">
        <is>
          <t>Whitechapel</t>
        </is>
      </c>
      <c r="Y91" s="11" t="n">
        <v>9</v>
      </c>
      <c r="Z91" s="14">
        <f>IFERROR(INDEX(Venues!$E$2:$E$15,MATCH(X91,Venues!$A$2:$A$15,0)),"Not checked")</f>
        <v/>
      </c>
      <c r="AA91" s="14">
        <f>IFERROR(INDEX(Venues!$F$2:$F$15,MATCH(X91,Venues!$A$2:$A$15,0)),0)</f>
        <v/>
      </c>
      <c r="AB91" s="15">
        <f>IFERROR(INDEX(Venues!$M$2:$M$15,MATCH(X91,Venues!$A$2:$A$15,0)),"")</f>
        <v/>
      </c>
      <c r="AC91" s="14">
        <f>IFERROR(INDEX(Venues!$N$2:$N$15,MATCH(X91,Venues!$A$2:$A$15,0)),"5-a-side")</f>
        <v/>
      </c>
      <c r="AD91" s="16">
        <f>IF(Offer!$C$4="","",Offer!$C$4)</f>
        <v/>
      </c>
      <c r="AE91" s="14">
        <f>X91&amp;" ("&amp;Y91&amp;" min walk) · "&amp;IF(ISNUMBER(AB91),TEXT(AB91,"ddd d mmm, hh:mm"),"slot to confirm with venue")&amp;" · "&amp;AC91&amp;" · "&amp;IF(AD91&lt;&gt;"","£"&amp;TEXT(AD91,"0.00")&amp;" pp","price TBC")</f>
        <v/>
      </c>
      <c r="AF91" s="14">
        <f>"After-work football for "&amp;F91&amp;" · "&amp;X91&amp;", "&amp;Y91&amp;" min from your office"</f>
        <v/>
      </c>
      <c r="AG91" s="14">
        <f>"Hi"&amp;IF(O91&lt;&gt;""," "&amp;O91,"")&amp;","&amp;CHAR(10)&amp;CHAR(10)&amp;"I'm "&amp;IF(AL91&lt;&gt;"",AL91,IF(Offer!$C$5&lt;&gt;"",Offer!$C$5,"[NAME]"))&amp;" from FC Urban. We organise after-work football for teams in the City and Canary Wharf."&amp;CHAR(10)&amp;CHAR(10)&amp;"We have a "&amp;AC91&amp;" pitch at "&amp;X91&amp;", "&amp;IF(OR(Y91=8,Y91=11,Y91=18),"an ","a ")&amp;Y91&amp;"-minute walk from your "&amp;M91&amp;" office, "&amp;IF(ISNUMBER(AB91),"on "&amp;TEXT(AB91,"dddd d mmmm")&amp;" at "&amp;TEXT(AB91,"hh:mm"),"on a weekday evening that suits your team")&amp;". It's "&amp;IF(AD91&lt;&gt;"","£"&amp;IF(AD91=INT(AD91),TEXT(AD91,"0"),TEXT(AD91,"0.00")),"[PRICE PER PLAYER]")&amp;" a player and we handle the pitch booking, sign-ups and payments, so all it takes is one person sharing a link with the team."&amp;CHAR(10)&amp;CHAR(10)&amp;"It works well as a team social or "&amp;IF(ISNUMBER(SEARCH(LEFT(F91,1),"AEIOU")),"an ","a ")&amp;F91&amp;"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LINK]")&amp;CHAR(10)&amp;CHAR(10)&amp;"Best,"&amp;CHAR(10)&amp;IF(AL91&lt;&gt;"",AL91,IF(Offer!$C$5&lt;&gt;"",Offer!$C$5,"[NAME]"))&amp;CHAR(10)&amp;"FC Urban"</f>
        <v/>
      </c>
      <c r="AH91" s="14">
        <f>IF(LEN("Hi"&amp;IF(O91&lt;&gt;""," "&amp;O91,"")&amp;","&amp;" FC Urban runs after-work football for "&amp;IF(D91="Canary Wharf","Canary Wharf","City")&amp;" teams. We have a "&amp;AC91&amp;" pitch at "&amp;X91&amp;", "&amp;Y91&amp;" min from your office, "&amp;IF(ISNUMBER(AB91),TEXT(AB91,"ddd d mmm")&amp;", "&amp;TEXT(AB91,"hh:mm"),"weekday evenings")&amp;", "&amp;IF(AD91&lt;&gt;"","£"&amp;IF(AD91=INT(AD91),TEXT(AD91,"0"),TEXT(AD91,"0.00")),"[PRICE PER PLAYER]")&amp;" a player. We handle booking, sign-ups and payments. Fancy "&amp;IF(ISNUMBER(SEARCH(LEFT(F91,1),"AEIOU")),"an ","a ")&amp;F91&amp;" team game? "&amp;IF(AL91&lt;&gt;"",AL91,IF(Offer!$C$5&lt;&gt;"",Offer!$C$5,"[NAME]")))&lt;=300,"Hi"&amp;IF(O91&lt;&gt;""," "&amp;O91,"")&amp;","&amp;" FC Urban runs after-work football for "&amp;IF(D91="Canary Wharf","Canary Wharf","City")&amp;" teams. We have a "&amp;AC91&amp;" pitch at "&amp;X91&amp;", "&amp;Y91&amp;" min from your office, "&amp;IF(ISNUMBER(AB91),TEXT(AB91,"ddd d mmm")&amp;", "&amp;TEXT(AB91,"hh:mm"),"weekday evenings")&amp;", "&amp;IF(AD91&lt;&gt;"","£"&amp;IF(AD91=INT(AD91),TEXT(AD91,"0"),TEXT(AD91,"0.00")),"[PRICE PER PLAYER]")&amp;" a player. We handle booking, sign-ups and payments. Fancy "&amp;IF(ISNUMBER(SEARCH(LEFT(F91,1),"AEIOU")),"an ","a ")&amp;F91&amp;" team game? "&amp;IF(AL91&lt;&gt;"",AL91,IF(Offer!$C$5&lt;&gt;"",Offer!$C$5,"[NAME]")),LEFT("Hi"&amp;IF(O91&lt;&gt;""," "&amp;O91,"")&amp;","&amp;" FC Urban runs after-work football for "&amp;IF(D91="Canary Wharf","Canary Wharf","City")&amp;" teams: "&amp;AC91&amp;" at "&amp;X91&amp;", "&amp;Y91&amp;" min from your office, "&amp;IF(ISNUMBER(AB91),TEXT(AB91,"ddd d mmm")&amp;", "&amp;TEXT(AB91,"hh:mm"),"weekday evenings")&amp;", "&amp;IF(AD91&lt;&gt;"","£"&amp;IF(AD91=INT(AD91),TEXT(AD91,"0"),TEXT(AD91,"0.00")),"[PRICE PER PLAYER]")&amp;" pp. We handle booking and payments. Up for a team game? "&amp;IF(AL91&lt;&gt;"",AL91,IF(Offer!$C$5&lt;&gt;"",Offer!$C$5,"[NAME]")),300))</f>
        <v/>
      </c>
      <c r="AI91" s="14">
        <f>LEN(AH91)</f>
        <v/>
      </c>
      <c r="AJ91" s="14">
        <f>"Thanks for connecting"&amp;IF(O91&lt;&gt;"",", "&amp;O91,"")&amp;". "&amp;IF(ISNUMBER(AB91),"The "&amp;AC91&amp;" slot at "&amp;X91&amp;" is "&amp;IF(ISNUMBER(AB91),TEXT(AB91,"ddd d mmm")&amp;", "&amp;TEXT(AB91,"hh:mm"),"weekday evenings"),"We can book "&amp;AC91&amp;" at "&amp;X91&amp;" on a weekday evening that suits you")&amp;" and it's "&amp;IF(AD91&lt;&gt;"","£"&amp;IF(AD91=INT(AD91),TEXT(AD91,"0"),TEXT(AD91,"0.00")),"[PRICE PER PLAYER]")&amp;" a player, all booked and paid through one link. If football isn't your thing, who at "&amp;F91&amp;" would be the right person to organise a team game?"&amp;IF(Offer!$C$7&lt;&gt;""," Spots are held until "&amp;TEXT(Offer!$C$7,"dddd d mmmm")&amp;".","")&amp;" "&amp;IF(Offer!$C$6&lt;&gt;"",Offer!$C$6,"[JOINING LINK]")</f>
        <v/>
      </c>
      <c r="AK91" s="14">
        <f>IF(OR(ISNUMBER(SEARCH("[",AG91)),ISNUMBER(SEARCH("[",AJ91))),"Fill placeholders",IF(ISNUMBER(AB91),"Ready to send","Ready · no fixed slot"))</f>
        <v/>
      </c>
      <c r="AN91" s="17" t="n"/>
    </row>
    <row r="92">
      <c r="A92" s="11" t="n">
        <v>90</v>
      </c>
      <c r="B92" s="11" t="n">
        <v>2</v>
      </c>
      <c r="C92" s="11" t="inlineStr">
        <is>
          <t>Fund / asset manager</t>
        </is>
      </c>
      <c r="D92" s="11" t="inlineStr">
        <is>
          <t>City of London</t>
        </is>
      </c>
      <c r="E92" s="11" t="inlineStr">
        <is>
          <t>Crowdcube Limited</t>
        </is>
      </c>
      <c r="F92" s="11" t="inlineStr">
        <is>
          <t>Crowdcube</t>
        </is>
      </c>
      <c r="G92" s="11" t="inlineStr">
        <is>
          <t>07014587</t>
        </is>
      </c>
      <c r="H92" s="12" t="inlineStr">
        <is>
          <t>Open</t>
        </is>
      </c>
      <c r="I92" s="12" t="inlineStr">
        <is>
          <t>Search</t>
        </is>
      </c>
      <c r="J92" s="11" t="inlineStr">
        <is>
          <t>Group</t>
        </is>
      </c>
      <c r="K92" s="13" t="n">
        <v>40066</v>
      </c>
      <c r="L92" s="11" t="inlineStr">
        <is>
          <t>Zetland House, Clifton Street, London</t>
        </is>
      </c>
      <c r="M92" s="11" t="inlineStr">
        <is>
          <t>EC2A 4LD</t>
        </is>
      </c>
      <c r="N92" s="11" t="inlineStr">
        <is>
          <t>Yes</t>
        </is>
      </c>
      <c r="U92" s="11" t="inlineStr">
        <is>
          <t>Shoreditch Powerleague</t>
        </is>
      </c>
      <c r="V92" s="11" t="n">
        <v>9</v>
      </c>
      <c r="W92" s="11" t="inlineStr">
        <is>
          <t>Liverpool St - Attlee Centre (15.7)</t>
        </is>
      </c>
      <c r="X92" s="11" t="inlineStr">
        <is>
          <t>Shoreditch Powerleague</t>
        </is>
      </c>
      <c r="Y92" s="11" t="n">
        <v>9</v>
      </c>
      <c r="Z92" s="14">
        <f>IFERROR(INDEX(Venues!$E$2:$E$15,MATCH(X92,Venues!$A$2:$A$15,0)),"Not checked")</f>
        <v/>
      </c>
      <c r="AA92" s="14">
        <f>IFERROR(INDEX(Venues!$F$2:$F$15,MATCH(X92,Venues!$A$2:$A$15,0)),0)</f>
        <v/>
      </c>
      <c r="AB92" s="15">
        <f>IFERROR(INDEX(Venues!$M$2:$M$15,MATCH(X92,Venues!$A$2:$A$15,0)),"")</f>
        <v/>
      </c>
      <c r="AC92" s="14">
        <f>IFERROR(INDEX(Venues!$N$2:$N$15,MATCH(X92,Venues!$A$2:$A$15,0)),"5-a-side")</f>
        <v/>
      </c>
      <c r="AD92" s="16">
        <f>IF(Offer!$C$4="","",Offer!$C$4)</f>
        <v/>
      </c>
      <c r="AE92" s="14">
        <f>X92&amp;" ("&amp;Y92&amp;" min walk) · "&amp;IF(ISNUMBER(AB92),TEXT(AB92,"ddd d mmm, hh:mm"),"slot to confirm with venue")&amp;" · "&amp;AC92&amp;" · "&amp;IF(AD92&lt;&gt;"","£"&amp;TEXT(AD92,"0.00")&amp;" pp","price TBC")</f>
        <v/>
      </c>
      <c r="AF92" s="14">
        <f>"After-work football for "&amp;F92&amp;" · "&amp;X92&amp;", "&amp;Y92&amp;" min from your office"</f>
        <v/>
      </c>
      <c r="AG92" s="14">
        <f>"Hi"&amp;IF(O92&lt;&gt;""," "&amp;O92,"")&amp;","&amp;CHAR(10)&amp;CHAR(10)&amp;"I'm "&amp;IF(AL92&lt;&gt;"",AL92,IF(Offer!$C$5&lt;&gt;"",Offer!$C$5,"[NAME]"))&amp;" from FC Urban. We organise after-work football for teams in the City and Canary Wharf."&amp;CHAR(10)&amp;CHAR(10)&amp;"We have a "&amp;AC92&amp;" pitch at "&amp;X92&amp;", "&amp;IF(OR(Y92=8,Y92=11,Y92=18),"an ","a ")&amp;Y92&amp;"-minute walk from your "&amp;M92&amp;" office, "&amp;IF(ISNUMBER(AB92),"on "&amp;TEXT(AB92,"dddd d mmmm")&amp;" at "&amp;TEXT(AB92,"hh:mm"),"on a weekday evening that suits your team")&amp;". It's "&amp;IF(AD92&lt;&gt;"","£"&amp;IF(AD92=INT(AD92),TEXT(AD92,"0"),TEXT(AD92,"0.00")),"[PRICE PER PLAYER]")&amp;" a player and we handle the pitch booking, sign-ups and payments, so all it takes is one person sharing a link with the team."&amp;CHAR(10)&amp;CHAR(10)&amp;"It works well as a team social or "&amp;IF(ISNUMBER(SEARCH(LEFT(F92,1),"AEIOU")),"an ","a ")&amp;F92&amp;"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LINK]")&amp;CHAR(10)&amp;CHAR(10)&amp;"Best,"&amp;CHAR(10)&amp;IF(AL92&lt;&gt;"",AL92,IF(Offer!$C$5&lt;&gt;"",Offer!$C$5,"[NAME]"))&amp;CHAR(10)&amp;"FC Urban"</f>
        <v/>
      </c>
      <c r="AH92" s="14">
        <f>IF(LEN("Hi"&amp;IF(O92&lt;&gt;""," "&amp;O92,"")&amp;","&amp;" FC Urban runs after-work football for "&amp;IF(D92="Canary Wharf","Canary Wharf","City")&amp;" teams. We have a "&amp;AC92&amp;" pitch at "&amp;X92&amp;", "&amp;Y92&amp;" min from your office, "&amp;IF(ISNUMBER(AB92),TEXT(AB92,"ddd d mmm")&amp;", "&amp;TEXT(AB92,"hh:mm"),"weekday evenings")&amp;", "&amp;IF(AD92&lt;&gt;"","£"&amp;IF(AD92=INT(AD92),TEXT(AD92,"0"),TEXT(AD92,"0.00")),"[PRICE PER PLAYER]")&amp;" a player. We handle booking, sign-ups and payments. Fancy "&amp;IF(ISNUMBER(SEARCH(LEFT(F92,1),"AEIOU")),"an ","a ")&amp;F92&amp;" team game? "&amp;IF(AL92&lt;&gt;"",AL92,IF(Offer!$C$5&lt;&gt;"",Offer!$C$5,"[NAME]")))&lt;=300,"Hi"&amp;IF(O92&lt;&gt;""," "&amp;O92,"")&amp;","&amp;" FC Urban runs after-work football for "&amp;IF(D92="Canary Wharf","Canary Wharf","City")&amp;" teams. We have a "&amp;AC92&amp;" pitch at "&amp;X92&amp;", "&amp;Y92&amp;" min from your office, "&amp;IF(ISNUMBER(AB92),TEXT(AB92,"ddd d mmm")&amp;", "&amp;TEXT(AB92,"hh:mm"),"weekday evenings")&amp;", "&amp;IF(AD92&lt;&gt;"","£"&amp;IF(AD92=INT(AD92),TEXT(AD92,"0"),TEXT(AD92,"0.00")),"[PRICE PER PLAYER]")&amp;" a player. We handle booking, sign-ups and payments. Fancy "&amp;IF(ISNUMBER(SEARCH(LEFT(F92,1),"AEIOU")),"an ","a ")&amp;F92&amp;" team game? "&amp;IF(AL92&lt;&gt;"",AL92,IF(Offer!$C$5&lt;&gt;"",Offer!$C$5,"[NAME]")),LEFT("Hi"&amp;IF(O92&lt;&gt;""," "&amp;O92,"")&amp;","&amp;" FC Urban runs after-work football for "&amp;IF(D92="Canary Wharf","Canary Wharf","City")&amp;" teams: "&amp;AC92&amp;" at "&amp;X92&amp;", "&amp;Y92&amp;" min from your office, "&amp;IF(ISNUMBER(AB92),TEXT(AB92,"ddd d mmm")&amp;", "&amp;TEXT(AB92,"hh:mm"),"weekday evenings")&amp;", "&amp;IF(AD92&lt;&gt;"","£"&amp;IF(AD92=INT(AD92),TEXT(AD92,"0"),TEXT(AD92,"0.00")),"[PRICE PER PLAYER]")&amp;" pp. We handle booking and payments. Up for a team game? "&amp;IF(AL92&lt;&gt;"",AL92,IF(Offer!$C$5&lt;&gt;"",Offer!$C$5,"[NAME]")),300))</f>
        <v/>
      </c>
      <c r="AI92" s="14">
        <f>LEN(AH92)</f>
        <v/>
      </c>
      <c r="AJ92" s="14">
        <f>"Thanks for connecting"&amp;IF(O92&lt;&gt;"",", "&amp;O92,"")&amp;". "&amp;IF(ISNUMBER(AB92),"The "&amp;AC92&amp;" slot at "&amp;X92&amp;" is "&amp;IF(ISNUMBER(AB92),TEXT(AB92,"ddd d mmm")&amp;", "&amp;TEXT(AB92,"hh:mm"),"weekday evenings"),"We can book "&amp;AC92&amp;" at "&amp;X92&amp;" on a weekday evening that suits you")&amp;" and it's "&amp;IF(AD92&lt;&gt;"","£"&amp;IF(AD92=INT(AD92),TEXT(AD92,"0"),TEXT(AD92,"0.00")),"[PRICE PER PLAYER]")&amp;" a player, all booked and paid through one link. If football isn't your thing, who at "&amp;F92&amp;" would be the right person to organise a team game?"&amp;IF(Offer!$C$7&lt;&gt;""," Spots are held until "&amp;TEXT(Offer!$C$7,"dddd d mmmm")&amp;".","")&amp;" "&amp;IF(Offer!$C$6&lt;&gt;"",Offer!$C$6,"[JOINING LINK]")</f>
        <v/>
      </c>
      <c r="AK92" s="14">
        <f>IF(OR(ISNUMBER(SEARCH("[",AG92)),ISNUMBER(SEARCH("[",AJ92))),"Fill placeholders",IF(ISNUMBER(AB92),"Ready to send","Ready · no fixed slot"))</f>
        <v/>
      </c>
      <c r="AN92" s="17" t="n"/>
    </row>
    <row r="93">
      <c r="A93" s="11" t="n">
        <v>91</v>
      </c>
      <c r="B93" s="11" t="n">
        <v>2</v>
      </c>
      <c r="C93" s="11" t="inlineStr">
        <is>
          <t>Insurance / broker</t>
        </is>
      </c>
      <c r="D93" s="11" t="inlineStr">
        <is>
          <t>Canary Wharf</t>
        </is>
      </c>
      <c r="E93" s="11" t="inlineStr">
        <is>
          <t>Ambridge Europe Limited</t>
        </is>
      </c>
      <c r="F93" s="11" t="inlineStr">
        <is>
          <t>Ambridge</t>
        </is>
      </c>
      <c r="G93" s="11" t="inlineStr">
        <is>
          <t>05864472</t>
        </is>
      </c>
      <c r="H93" s="12" t="inlineStr">
        <is>
          <t>Open</t>
        </is>
      </c>
      <c r="I93" s="12" t="inlineStr">
        <is>
          <t>Search</t>
        </is>
      </c>
      <c r="J93" s="11" t="inlineStr">
        <is>
          <t>Group</t>
        </is>
      </c>
      <c r="K93" s="13" t="n">
        <v>38901</v>
      </c>
      <c r="L93" s="11" t="inlineStr">
        <is>
          <t>C/O Pkf Littlejohn Llp 30 Churchill Place, Canary Wharf, London</t>
        </is>
      </c>
      <c r="M93" s="11" t="inlineStr">
        <is>
          <t>E14 5RE</t>
        </is>
      </c>
      <c r="N93" s="11" t="inlineStr">
        <is>
          <t>No</t>
        </is>
      </c>
      <c r="U93" s="11" t="inlineStr">
        <is>
          <t>Poplar</t>
        </is>
      </c>
      <c r="V93" s="11" t="n">
        <v>9</v>
      </c>
      <c r="W93" s="11" t="n"/>
      <c r="X93" s="11" t="inlineStr">
        <is>
          <t>Poplar</t>
        </is>
      </c>
      <c r="Y93" s="11" t="n">
        <v>9</v>
      </c>
      <c r="Z93" s="14">
        <f>IFERROR(INDEX(Venues!$E$2:$E$15,MATCH(X93,Venues!$A$2:$A$15,0)),"Not checked")</f>
        <v/>
      </c>
      <c r="AA93" s="14">
        <f>IFERROR(INDEX(Venues!$F$2:$F$15,MATCH(X93,Venues!$A$2:$A$15,0)),0)</f>
        <v/>
      </c>
      <c r="AB93" s="15">
        <f>IFERROR(INDEX(Venues!$M$2:$M$15,MATCH(X93,Venues!$A$2:$A$15,0)),"")</f>
        <v/>
      </c>
      <c r="AC93" s="14">
        <f>IFERROR(INDEX(Venues!$N$2:$N$15,MATCH(X93,Venues!$A$2:$A$15,0)),"5-a-side")</f>
        <v/>
      </c>
      <c r="AD93" s="16">
        <f>IF(Offer!$C$4="","",Offer!$C$4)</f>
        <v/>
      </c>
      <c r="AE93" s="14">
        <f>X93&amp;" ("&amp;Y93&amp;" min walk) · "&amp;IF(ISNUMBER(AB93),TEXT(AB93,"ddd d mmm, hh:mm"),"slot to confirm with venue")&amp;" · "&amp;AC93&amp;" · "&amp;IF(AD93&lt;&gt;"","£"&amp;TEXT(AD93,"0.00")&amp;" pp","price TBC")</f>
        <v/>
      </c>
      <c r="AF93" s="14">
        <f>"After-work football for "&amp;F93&amp;" · "&amp;X93&amp;", "&amp;Y93&amp;" min from your office"</f>
        <v/>
      </c>
      <c r="AG93" s="14">
        <f>"Hi"&amp;IF(O93&lt;&gt;""," "&amp;O93,"")&amp;","&amp;CHAR(10)&amp;CHAR(10)&amp;"I'm "&amp;IF(AL93&lt;&gt;"",AL93,IF(Offer!$C$5&lt;&gt;"",Offer!$C$5,"[NAME]"))&amp;" from FC Urban. We organise after-work football for teams in the City and Canary Wharf."&amp;CHAR(10)&amp;CHAR(10)&amp;"We have a "&amp;AC93&amp;" pitch at "&amp;X93&amp;", "&amp;IF(OR(Y93=8,Y93=11,Y93=18),"an ","a ")&amp;Y93&amp;"-minute walk from your "&amp;M93&amp;" office, "&amp;IF(ISNUMBER(AB93),"on "&amp;TEXT(AB93,"dddd d mmmm")&amp;" at "&amp;TEXT(AB93,"hh:mm"),"on a weekday evening that suits your team")&amp;". It's "&amp;IF(AD93&lt;&gt;"","£"&amp;IF(AD93=INT(AD93),TEXT(AD93,"0"),TEXT(AD93,"0.00")),"[PRICE PER PLAYER]")&amp;" a player and we handle the pitch booking, sign-ups and payments, so all it takes is one person sharing a link with the team."&amp;CHAR(10)&amp;CHAR(10)&amp;"It works well as a team social or "&amp;IF(ISNUMBER(SEARCH(LEFT(F93,1),"AEIOU")),"an ","a ")&amp;F93&amp;"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LINK]")&amp;CHAR(10)&amp;CHAR(10)&amp;"Best,"&amp;CHAR(10)&amp;IF(AL93&lt;&gt;"",AL93,IF(Offer!$C$5&lt;&gt;"",Offer!$C$5,"[NAME]"))&amp;CHAR(10)&amp;"FC Urban"</f>
        <v/>
      </c>
      <c r="AH93" s="14">
        <f>IF(LEN("Hi"&amp;IF(O93&lt;&gt;""," "&amp;O93,"")&amp;","&amp;" FC Urban runs after-work football for "&amp;IF(D93="Canary Wharf","Canary Wharf","City")&amp;" teams. We have a "&amp;AC93&amp;" pitch at "&amp;X93&amp;", "&amp;Y93&amp;" min from your office, "&amp;IF(ISNUMBER(AB93),TEXT(AB93,"ddd d mmm")&amp;", "&amp;TEXT(AB93,"hh:mm"),"weekday evenings")&amp;", "&amp;IF(AD93&lt;&gt;"","£"&amp;IF(AD93=INT(AD93),TEXT(AD93,"0"),TEXT(AD93,"0.00")),"[PRICE PER PLAYER]")&amp;" a player. We handle booking, sign-ups and payments. Fancy "&amp;IF(ISNUMBER(SEARCH(LEFT(F93,1),"AEIOU")),"an ","a ")&amp;F93&amp;" team game? "&amp;IF(AL93&lt;&gt;"",AL93,IF(Offer!$C$5&lt;&gt;"",Offer!$C$5,"[NAME]")))&lt;=300,"Hi"&amp;IF(O93&lt;&gt;""," "&amp;O93,"")&amp;","&amp;" FC Urban runs after-work football for "&amp;IF(D93="Canary Wharf","Canary Wharf","City")&amp;" teams. We have a "&amp;AC93&amp;" pitch at "&amp;X93&amp;", "&amp;Y93&amp;" min from your office, "&amp;IF(ISNUMBER(AB93),TEXT(AB93,"ddd d mmm")&amp;", "&amp;TEXT(AB93,"hh:mm"),"weekday evenings")&amp;", "&amp;IF(AD93&lt;&gt;"","£"&amp;IF(AD93=INT(AD93),TEXT(AD93,"0"),TEXT(AD93,"0.00")),"[PRICE PER PLAYER]")&amp;" a player. We handle booking, sign-ups and payments. Fancy "&amp;IF(ISNUMBER(SEARCH(LEFT(F93,1),"AEIOU")),"an ","a ")&amp;F93&amp;" team game? "&amp;IF(AL93&lt;&gt;"",AL93,IF(Offer!$C$5&lt;&gt;"",Offer!$C$5,"[NAME]")),LEFT("Hi"&amp;IF(O93&lt;&gt;""," "&amp;O93,"")&amp;","&amp;" FC Urban runs after-work football for "&amp;IF(D93="Canary Wharf","Canary Wharf","City")&amp;" teams: "&amp;AC93&amp;" at "&amp;X93&amp;", "&amp;Y93&amp;" min from your office, "&amp;IF(ISNUMBER(AB93),TEXT(AB93,"ddd d mmm")&amp;", "&amp;TEXT(AB93,"hh:mm"),"weekday evenings")&amp;", "&amp;IF(AD93&lt;&gt;"","£"&amp;IF(AD93=INT(AD93),TEXT(AD93,"0"),TEXT(AD93,"0.00")),"[PRICE PER PLAYER]")&amp;" pp. We handle booking and payments. Up for a team game? "&amp;IF(AL93&lt;&gt;"",AL93,IF(Offer!$C$5&lt;&gt;"",Offer!$C$5,"[NAME]")),300))</f>
        <v/>
      </c>
      <c r="AI93" s="14">
        <f>LEN(AH93)</f>
        <v/>
      </c>
      <c r="AJ93" s="14">
        <f>"Thanks for connecting"&amp;IF(O93&lt;&gt;"",", "&amp;O93,"")&amp;". "&amp;IF(ISNUMBER(AB93),"The "&amp;AC93&amp;" slot at "&amp;X93&amp;" is "&amp;IF(ISNUMBER(AB93),TEXT(AB93,"ddd d mmm")&amp;", "&amp;TEXT(AB93,"hh:mm"),"weekday evenings"),"We can book "&amp;AC93&amp;" at "&amp;X93&amp;" on a weekday evening that suits you")&amp;" and it's "&amp;IF(AD93&lt;&gt;"","£"&amp;IF(AD93=INT(AD93),TEXT(AD93,"0"),TEXT(AD93,"0.00")),"[PRICE PER PLAYER]")&amp;" a player, all booked and paid through one link. If football isn't your thing, who at "&amp;F93&amp;" would be the right person to organise a team game?"&amp;IF(Offer!$C$7&lt;&gt;""," Spots are held until "&amp;TEXT(Offer!$C$7,"dddd d mmmm")&amp;".","")&amp;" "&amp;IF(Offer!$C$6&lt;&gt;"",Offer!$C$6,"[JOINING LINK]")</f>
        <v/>
      </c>
      <c r="AK93" s="14">
        <f>IF(OR(ISNUMBER(SEARCH("[",AG93)),ISNUMBER(SEARCH("[",AJ93))),"Fill placeholders",IF(ISNUMBER(AB93),"Ready to send","Ready · no fixed slot"))</f>
        <v/>
      </c>
      <c r="AN93" s="17" t="n"/>
    </row>
    <row r="94">
      <c r="A94" s="11" t="n">
        <v>92</v>
      </c>
      <c r="B94" s="11" t="n">
        <v>2</v>
      </c>
      <c r="C94" s="11" t="inlineStr">
        <is>
          <t>Fund / asset manager</t>
        </is>
      </c>
      <c r="D94" s="11" t="inlineStr">
        <is>
          <t>City of London</t>
        </is>
      </c>
      <c r="E94" s="11" t="inlineStr">
        <is>
          <t>Wealthkernel Limited</t>
        </is>
      </c>
      <c r="F94" s="11" t="inlineStr">
        <is>
          <t>Wealthkernel</t>
        </is>
      </c>
      <c r="G94" s="11" t="inlineStr">
        <is>
          <t>09686970</t>
        </is>
      </c>
      <c r="H94" s="12" t="inlineStr">
        <is>
          <t>Open</t>
        </is>
      </c>
      <c r="I94" s="12" t="inlineStr">
        <is>
          <t>Search</t>
        </is>
      </c>
      <c r="J94" s="11" t="inlineStr">
        <is>
          <t>Group</t>
        </is>
      </c>
      <c r="K94" s="13" t="n">
        <v>42200</v>
      </c>
      <c r="L94" s="11" t="inlineStr">
        <is>
          <t>41 Luke Street, London</t>
        </is>
      </c>
      <c r="M94" s="11" t="inlineStr">
        <is>
          <t>EC2A 4DP</t>
        </is>
      </c>
      <c r="N94" s="11" t="inlineStr">
        <is>
          <t>Yes</t>
        </is>
      </c>
      <c r="U94" s="11" t="inlineStr">
        <is>
          <t>Shoreditch Powerleague</t>
        </is>
      </c>
      <c r="V94" s="11" t="n">
        <v>9</v>
      </c>
      <c r="W94" s="11" t="inlineStr">
        <is>
          <t>Liverpool St - Attlee Centre (16.3); Old St - Moreland Primary School (18.5)</t>
        </is>
      </c>
      <c r="X94" s="11" t="inlineStr">
        <is>
          <t>Shoreditch Powerleague</t>
        </is>
      </c>
      <c r="Y94" s="11" t="n">
        <v>9</v>
      </c>
      <c r="Z94" s="14">
        <f>IFERROR(INDEX(Venues!$E$2:$E$15,MATCH(X94,Venues!$A$2:$A$15,0)),"Not checked")</f>
        <v/>
      </c>
      <c r="AA94" s="14">
        <f>IFERROR(INDEX(Venues!$F$2:$F$15,MATCH(X94,Venues!$A$2:$A$15,0)),0)</f>
        <v/>
      </c>
      <c r="AB94" s="15">
        <f>IFERROR(INDEX(Venues!$M$2:$M$15,MATCH(X94,Venues!$A$2:$A$15,0)),"")</f>
        <v/>
      </c>
      <c r="AC94" s="14">
        <f>IFERROR(INDEX(Venues!$N$2:$N$15,MATCH(X94,Venues!$A$2:$A$15,0)),"5-a-side")</f>
        <v/>
      </c>
      <c r="AD94" s="16">
        <f>IF(Offer!$C$4="","",Offer!$C$4)</f>
        <v/>
      </c>
      <c r="AE94" s="14">
        <f>X94&amp;" ("&amp;Y94&amp;" min walk) · "&amp;IF(ISNUMBER(AB94),TEXT(AB94,"ddd d mmm, hh:mm"),"slot to confirm with venue")&amp;" · "&amp;AC94&amp;" · "&amp;IF(AD94&lt;&gt;"","£"&amp;TEXT(AD94,"0.00")&amp;" pp","price TBC")</f>
        <v/>
      </c>
      <c r="AF94" s="14">
        <f>"After-work football for "&amp;F94&amp;" · "&amp;X94&amp;", "&amp;Y94&amp;" min from your office"</f>
        <v/>
      </c>
      <c r="AG94" s="14">
        <f>"Hi"&amp;IF(O94&lt;&gt;""," "&amp;O94,"")&amp;","&amp;CHAR(10)&amp;CHAR(10)&amp;"I'm "&amp;IF(AL94&lt;&gt;"",AL94,IF(Offer!$C$5&lt;&gt;"",Offer!$C$5,"[NAME]"))&amp;" from FC Urban. We organise after-work football for teams in the City and Canary Wharf."&amp;CHAR(10)&amp;CHAR(10)&amp;"We have a "&amp;AC94&amp;" pitch at "&amp;X94&amp;", "&amp;IF(OR(Y94=8,Y94=11,Y94=18),"an ","a ")&amp;Y94&amp;"-minute walk from your "&amp;M94&amp;" office, "&amp;IF(ISNUMBER(AB94),"on "&amp;TEXT(AB94,"dddd d mmmm")&amp;" at "&amp;TEXT(AB94,"hh:mm"),"on a weekday evening that suits your team")&amp;". It's "&amp;IF(AD94&lt;&gt;"","£"&amp;IF(AD94=INT(AD94),TEXT(AD94,"0"),TEXT(AD94,"0.00")),"[PRICE PER PLAYER]")&amp;" a player and we handle the pitch booking, sign-ups and payments, so all it takes is one person sharing a link with the team."&amp;CHAR(10)&amp;CHAR(10)&amp;"It works well as a team social or "&amp;IF(ISNUMBER(SEARCH(LEFT(F94,1),"AEIOU")),"an ","a ")&amp;F94&amp;"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LINK]")&amp;CHAR(10)&amp;CHAR(10)&amp;"Best,"&amp;CHAR(10)&amp;IF(AL94&lt;&gt;"",AL94,IF(Offer!$C$5&lt;&gt;"",Offer!$C$5,"[NAME]"))&amp;CHAR(10)&amp;"FC Urban"</f>
        <v/>
      </c>
      <c r="AH94" s="14">
        <f>IF(LEN("Hi"&amp;IF(O94&lt;&gt;""," "&amp;O94,"")&amp;","&amp;" FC Urban runs after-work football for "&amp;IF(D94="Canary Wharf","Canary Wharf","City")&amp;" teams. We have a "&amp;AC94&amp;" pitch at "&amp;X94&amp;", "&amp;Y94&amp;" min from your office, "&amp;IF(ISNUMBER(AB94),TEXT(AB94,"ddd d mmm")&amp;", "&amp;TEXT(AB94,"hh:mm"),"weekday evenings")&amp;", "&amp;IF(AD94&lt;&gt;"","£"&amp;IF(AD94=INT(AD94),TEXT(AD94,"0"),TEXT(AD94,"0.00")),"[PRICE PER PLAYER]")&amp;" a player. We handle booking, sign-ups and payments. Fancy "&amp;IF(ISNUMBER(SEARCH(LEFT(F94,1),"AEIOU")),"an ","a ")&amp;F94&amp;" team game? "&amp;IF(AL94&lt;&gt;"",AL94,IF(Offer!$C$5&lt;&gt;"",Offer!$C$5,"[NAME]")))&lt;=300,"Hi"&amp;IF(O94&lt;&gt;""," "&amp;O94,"")&amp;","&amp;" FC Urban runs after-work football for "&amp;IF(D94="Canary Wharf","Canary Wharf","City")&amp;" teams. We have a "&amp;AC94&amp;" pitch at "&amp;X94&amp;", "&amp;Y94&amp;" min from your office, "&amp;IF(ISNUMBER(AB94),TEXT(AB94,"ddd d mmm")&amp;", "&amp;TEXT(AB94,"hh:mm"),"weekday evenings")&amp;", "&amp;IF(AD94&lt;&gt;"","£"&amp;IF(AD94=INT(AD94),TEXT(AD94,"0"),TEXT(AD94,"0.00")),"[PRICE PER PLAYER]")&amp;" a player. We handle booking, sign-ups and payments. Fancy "&amp;IF(ISNUMBER(SEARCH(LEFT(F94,1),"AEIOU")),"an ","a ")&amp;F94&amp;" team game? "&amp;IF(AL94&lt;&gt;"",AL94,IF(Offer!$C$5&lt;&gt;"",Offer!$C$5,"[NAME]")),LEFT("Hi"&amp;IF(O94&lt;&gt;""," "&amp;O94,"")&amp;","&amp;" FC Urban runs after-work football for "&amp;IF(D94="Canary Wharf","Canary Wharf","City")&amp;" teams: "&amp;AC94&amp;" at "&amp;X94&amp;", "&amp;Y94&amp;" min from your office, "&amp;IF(ISNUMBER(AB94),TEXT(AB94,"ddd d mmm")&amp;", "&amp;TEXT(AB94,"hh:mm"),"weekday evenings")&amp;", "&amp;IF(AD94&lt;&gt;"","£"&amp;IF(AD94=INT(AD94),TEXT(AD94,"0"),TEXT(AD94,"0.00")),"[PRICE PER PLAYER]")&amp;" pp. We handle booking and payments. Up for a team game? "&amp;IF(AL94&lt;&gt;"",AL94,IF(Offer!$C$5&lt;&gt;"",Offer!$C$5,"[NAME]")),300))</f>
        <v/>
      </c>
      <c r="AI94" s="14">
        <f>LEN(AH94)</f>
        <v/>
      </c>
      <c r="AJ94" s="14">
        <f>"Thanks for connecting"&amp;IF(O94&lt;&gt;"",", "&amp;O94,"")&amp;". "&amp;IF(ISNUMBER(AB94),"The "&amp;AC94&amp;" slot at "&amp;X94&amp;" is "&amp;IF(ISNUMBER(AB94),TEXT(AB94,"ddd d mmm")&amp;", "&amp;TEXT(AB94,"hh:mm"),"weekday evenings"),"We can book "&amp;AC94&amp;" at "&amp;X94&amp;" on a weekday evening that suits you")&amp;" and it's "&amp;IF(AD94&lt;&gt;"","£"&amp;IF(AD94=INT(AD94),TEXT(AD94,"0"),TEXT(AD94,"0.00")),"[PRICE PER PLAYER]")&amp;" a player, all booked and paid through one link. If football isn't your thing, who at "&amp;F94&amp;" would be the right person to organise a team game?"&amp;IF(Offer!$C$7&lt;&gt;""," Spots are held until "&amp;TEXT(Offer!$C$7,"dddd d mmmm")&amp;".","")&amp;" "&amp;IF(Offer!$C$6&lt;&gt;"",Offer!$C$6,"[JOINING LINK]")</f>
        <v/>
      </c>
      <c r="AK94" s="14">
        <f>IF(OR(ISNUMBER(SEARCH("[",AG94)),ISNUMBER(SEARCH("[",AJ94))),"Fill placeholders",IF(ISNUMBER(AB94),"Ready to send","Ready · no fixed slot"))</f>
        <v/>
      </c>
      <c r="AN94" s="17" t="n"/>
    </row>
    <row r="95">
      <c r="A95" s="11" t="n">
        <v>93</v>
      </c>
      <c r="B95" s="11" t="n">
        <v>2</v>
      </c>
      <c r="C95" s="11" t="inlineStr">
        <is>
          <t>Insurance / broker</t>
        </is>
      </c>
      <c r="D95" s="11" t="inlineStr">
        <is>
          <t>City of London</t>
        </is>
      </c>
      <c r="E95" s="11" t="inlineStr">
        <is>
          <t>Steamship Mutual Underwriting Association Limited</t>
        </is>
      </c>
      <c r="F95" s="11" t="inlineStr">
        <is>
          <t>Steamship Mutual Underwriting Association</t>
        </is>
      </c>
      <c r="G95" s="11" t="inlineStr">
        <is>
          <t>00105461</t>
        </is>
      </c>
      <c r="H95" s="12" t="inlineStr">
        <is>
          <t>Open</t>
        </is>
      </c>
      <c r="I95" s="12" t="inlineStr">
        <is>
          <t>Search</t>
        </is>
      </c>
      <c r="J95" s="11" t="inlineStr">
        <is>
          <t>Group</t>
        </is>
      </c>
      <c r="K95" s="13" t="n">
        <v>3577</v>
      </c>
      <c r="L95" s="11" t="inlineStr">
        <is>
          <t>155 Bishopsgate, Floor 6, London</t>
        </is>
      </c>
      <c r="M95" s="11" t="inlineStr">
        <is>
          <t>EC2M 3TQ</t>
        </is>
      </c>
      <c r="N95" s="11" t="inlineStr">
        <is>
          <t>No</t>
        </is>
      </c>
      <c r="U95" s="11" t="inlineStr">
        <is>
          <t>Liverpool St - Attlee Centre</t>
        </is>
      </c>
      <c r="V95" s="11" t="n">
        <v>8</v>
      </c>
      <c r="W95" s="11" t="inlineStr">
        <is>
          <t>Shoreditch Powerleague (9.5)</t>
        </is>
      </c>
      <c r="X95" s="11" t="inlineStr">
        <is>
          <t>Shoreditch Powerleague</t>
        </is>
      </c>
      <c r="Y95" s="11" t="n">
        <v>10</v>
      </c>
      <c r="Z95" s="14">
        <f>IFERROR(INDEX(Venues!$E$2:$E$15,MATCH(X95,Venues!$A$2:$A$15,0)),"Not checked")</f>
        <v/>
      </c>
      <c r="AA95" s="14">
        <f>IFERROR(INDEX(Venues!$F$2:$F$15,MATCH(X95,Venues!$A$2:$A$15,0)),0)</f>
        <v/>
      </c>
      <c r="AB95" s="15">
        <f>IFERROR(INDEX(Venues!$M$2:$M$15,MATCH(X95,Venues!$A$2:$A$15,0)),"")</f>
        <v/>
      </c>
      <c r="AC95" s="14">
        <f>IFERROR(INDEX(Venues!$N$2:$N$15,MATCH(X95,Venues!$A$2:$A$15,0)),"5-a-side")</f>
        <v/>
      </c>
      <c r="AD95" s="16">
        <f>IF(Offer!$C$4="","",Offer!$C$4)</f>
        <v/>
      </c>
      <c r="AE95" s="14">
        <f>X95&amp;" ("&amp;Y95&amp;" min walk) · "&amp;IF(ISNUMBER(AB95),TEXT(AB95,"ddd d mmm, hh:mm"),"slot to confirm with venue")&amp;" · "&amp;AC95&amp;" · "&amp;IF(AD95&lt;&gt;"","£"&amp;TEXT(AD95,"0.00")&amp;" pp","price TBC")</f>
        <v/>
      </c>
      <c r="AF95" s="14">
        <f>"After-work football for "&amp;F95&amp;" · "&amp;X95&amp;", "&amp;Y95&amp;" min from your office"</f>
        <v/>
      </c>
      <c r="AG95" s="14">
        <f>"Hi"&amp;IF(O95&lt;&gt;""," "&amp;O95,"")&amp;","&amp;CHAR(10)&amp;CHAR(10)&amp;"I'm "&amp;IF(AL95&lt;&gt;"",AL95,IF(Offer!$C$5&lt;&gt;"",Offer!$C$5,"[NAME]"))&amp;" from FC Urban. We organise after-work football for teams in the City and Canary Wharf."&amp;CHAR(10)&amp;CHAR(10)&amp;"We have a "&amp;AC95&amp;" pitch at "&amp;X95&amp;", "&amp;IF(OR(Y95=8,Y95=11,Y95=18),"an ","a ")&amp;Y95&amp;"-minute walk from your "&amp;M95&amp;" office, "&amp;IF(ISNUMBER(AB95),"on "&amp;TEXT(AB95,"dddd d mmmm")&amp;" at "&amp;TEXT(AB95,"hh:mm"),"on a weekday evening that suits your team")&amp;". It's "&amp;IF(AD95&lt;&gt;"","£"&amp;IF(AD95=INT(AD95),TEXT(AD95,"0"),TEXT(AD95,"0.00")),"[PRICE PER PLAYER]")&amp;" a player and we handle the pitch booking, sign-ups and payments, so all it takes is one person sharing a link with the team."&amp;CHAR(10)&amp;CHAR(10)&amp;"It works well as a team social or "&amp;IF(ISNUMBER(SEARCH(LEFT(F95,1),"AEIOU")),"an ","a ")&amp;F95&amp;"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LINK]")&amp;CHAR(10)&amp;CHAR(10)&amp;"Best,"&amp;CHAR(10)&amp;IF(AL95&lt;&gt;"",AL95,IF(Offer!$C$5&lt;&gt;"",Offer!$C$5,"[NAME]"))&amp;CHAR(10)&amp;"FC Urban"</f>
        <v/>
      </c>
      <c r="AH95" s="14">
        <f>IF(LEN("Hi"&amp;IF(O95&lt;&gt;""," "&amp;O95,"")&amp;","&amp;" FC Urban runs after-work football for "&amp;IF(D95="Canary Wharf","Canary Wharf","City")&amp;" teams. We have a "&amp;AC95&amp;" pitch at "&amp;X95&amp;", "&amp;Y95&amp;" min from your office, "&amp;IF(ISNUMBER(AB95),TEXT(AB95,"ddd d mmm")&amp;", "&amp;TEXT(AB95,"hh:mm"),"weekday evenings")&amp;", "&amp;IF(AD95&lt;&gt;"","£"&amp;IF(AD95=INT(AD95),TEXT(AD95,"0"),TEXT(AD95,"0.00")),"[PRICE PER PLAYER]")&amp;" a player. We handle booking, sign-ups and payments. Fancy "&amp;IF(ISNUMBER(SEARCH(LEFT(F95,1),"AEIOU")),"an ","a ")&amp;F95&amp;" team game? "&amp;IF(AL95&lt;&gt;"",AL95,IF(Offer!$C$5&lt;&gt;"",Offer!$C$5,"[NAME]")))&lt;=300,"Hi"&amp;IF(O95&lt;&gt;""," "&amp;O95,"")&amp;","&amp;" FC Urban runs after-work football for "&amp;IF(D95="Canary Wharf","Canary Wharf","City")&amp;" teams. We have a "&amp;AC95&amp;" pitch at "&amp;X95&amp;", "&amp;Y95&amp;" min from your office, "&amp;IF(ISNUMBER(AB95),TEXT(AB95,"ddd d mmm")&amp;", "&amp;TEXT(AB95,"hh:mm"),"weekday evenings")&amp;", "&amp;IF(AD95&lt;&gt;"","£"&amp;IF(AD95=INT(AD95),TEXT(AD95,"0"),TEXT(AD95,"0.00")),"[PRICE PER PLAYER]")&amp;" a player. We handle booking, sign-ups and payments. Fancy "&amp;IF(ISNUMBER(SEARCH(LEFT(F95,1),"AEIOU")),"an ","a ")&amp;F95&amp;" team game? "&amp;IF(AL95&lt;&gt;"",AL95,IF(Offer!$C$5&lt;&gt;"",Offer!$C$5,"[NAME]")),LEFT("Hi"&amp;IF(O95&lt;&gt;""," "&amp;O95,"")&amp;","&amp;" FC Urban runs after-work football for "&amp;IF(D95="Canary Wharf","Canary Wharf","City")&amp;" teams: "&amp;AC95&amp;" at "&amp;X95&amp;", "&amp;Y95&amp;" min from your office, "&amp;IF(ISNUMBER(AB95),TEXT(AB95,"ddd d mmm")&amp;", "&amp;TEXT(AB95,"hh:mm"),"weekday evenings")&amp;", "&amp;IF(AD95&lt;&gt;"","£"&amp;IF(AD95=INT(AD95),TEXT(AD95,"0"),TEXT(AD95,"0.00")),"[PRICE PER PLAYER]")&amp;" pp. We handle booking and payments. Up for a team game? "&amp;IF(AL95&lt;&gt;"",AL95,IF(Offer!$C$5&lt;&gt;"",Offer!$C$5,"[NAME]")),300))</f>
        <v/>
      </c>
      <c r="AI95" s="14">
        <f>LEN(AH95)</f>
        <v/>
      </c>
      <c r="AJ95" s="14">
        <f>"Thanks for connecting"&amp;IF(O95&lt;&gt;"",", "&amp;O95,"")&amp;". "&amp;IF(ISNUMBER(AB95),"The "&amp;AC95&amp;" slot at "&amp;X95&amp;" is "&amp;IF(ISNUMBER(AB95),TEXT(AB95,"ddd d mmm")&amp;", "&amp;TEXT(AB95,"hh:mm"),"weekday evenings"),"We can book "&amp;AC95&amp;" at "&amp;X95&amp;" on a weekday evening that suits you")&amp;" and it's "&amp;IF(AD95&lt;&gt;"","£"&amp;IF(AD95=INT(AD95),TEXT(AD95,"0"),TEXT(AD95,"0.00")),"[PRICE PER PLAYER]")&amp;" a player, all booked and paid through one link. If football isn't your thing, who at "&amp;F95&amp;" would be the right person to organise a team game?"&amp;IF(Offer!$C$7&lt;&gt;""," Spots are held until "&amp;TEXT(Offer!$C$7,"dddd d mmmm")&amp;".","")&amp;" "&amp;IF(Offer!$C$6&lt;&gt;"",Offer!$C$6,"[JOINING LINK]")</f>
        <v/>
      </c>
      <c r="AK95" s="14">
        <f>IF(OR(ISNUMBER(SEARCH("[",AG95)),ISNUMBER(SEARCH("[",AJ95))),"Fill placeholders",IF(ISNUMBER(AB95),"Ready to send","Ready · no fixed slot"))</f>
        <v/>
      </c>
      <c r="AN95" s="17" t="n"/>
    </row>
    <row r="96">
      <c r="A96" s="11" t="n">
        <v>94</v>
      </c>
      <c r="B96" s="11" t="n">
        <v>2</v>
      </c>
      <c r="C96" s="11" t="inlineStr">
        <is>
          <t>Insurance / broker</t>
        </is>
      </c>
      <c r="D96" s="11" t="inlineStr">
        <is>
          <t>City of London</t>
        </is>
      </c>
      <c r="E96" s="11" t="inlineStr">
        <is>
          <t>Seascope Holdings Ltd</t>
        </is>
      </c>
      <c r="F96" s="11" t="inlineStr">
        <is>
          <t>Seascope</t>
        </is>
      </c>
      <c r="G96" s="11" t="inlineStr">
        <is>
          <t>02162215</t>
        </is>
      </c>
      <c r="H96" s="12" t="inlineStr">
        <is>
          <t>Open</t>
        </is>
      </c>
      <c r="I96" s="12" t="inlineStr">
        <is>
          <t>Search</t>
        </is>
      </c>
      <c r="J96" s="11" t="inlineStr">
        <is>
          <t>Group</t>
        </is>
      </c>
      <c r="K96" s="13" t="n">
        <v>32028</v>
      </c>
      <c r="L96" s="11" t="inlineStr">
        <is>
          <t>57 Mansell Street, London</t>
        </is>
      </c>
      <c r="M96" s="11" t="inlineStr">
        <is>
          <t>E1 8AN</t>
        </is>
      </c>
      <c r="N96" s="11" t="inlineStr">
        <is>
          <t>No</t>
        </is>
      </c>
      <c r="U96" s="11" t="inlineStr">
        <is>
          <t>Liverpool St - Attlee Centre</t>
        </is>
      </c>
      <c r="V96" s="11" t="n">
        <v>10</v>
      </c>
      <c r="W96" s="11" t="inlineStr">
        <is>
          <t>Whitechapel (14.5)</t>
        </is>
      </c>
      <c r="X96" s="11" t="inlineStr">
        <is>
          <t>Liverpool St - Attlee Centre</t>
        </is>
      </c>
      <c r="Y96" s="11" t="n">
        <v>10</v>
      </c>
      <c r="Z96" s="14">
        <f>IFERROR(INDEX(Venues!$E$2:$E$15,MATCH(X96,Venues!$A$2:$A$15,0)),"Not checked")</f>
        <v/>
      </c>
      <c r="AA96" s="14">
        <f>IFERROR(INDEX(Venues!$F$2:$F$15,MATCH(X96,Venues!$A$2:$A$15,0)),0)</f>
        <v/>
      </c>
      <c r="AB96" s="15">
        <f>IFERROR(INDEX(Venues!$M$2:$M$15,MATCH(X96,Venues!$A$2:$A$15,0)),"")</f>
        <v/>
      </c>
      <c r="AC96" s="14">
        <f>IFERROR(INDEX(Venues!$N$2:$N$15,MATCH(X96,Venues!$A$2:$A$15,0)),"5-a-side")</f>
        <v/>
      </c>
      <c r="AD96" s="16">
        <f>IF(Offer!$C$4="","",Offer!$C$4)</f>
        <v/>
      </c>
      <c r="AE96" s="14">
        <f>X96&amp;" ("&amp;Y96&amp;" min walk) · "&amp;IF(ISNUMBER(AB96),TEXT(AB96,"ddd d mmm, hh:mm"),"slot to confirm with venue")&amp;" · "&amp;AC96&amp;" · "&amp;IF(AD96&lt;&gt;"","£"&amp;TEXT(AD96,"0.00")&amp;" pp","price TBC")</f>
        <v/>
      </c>
      <c r="AF96" s="14">
        <f>"After-work football for "&amp;F96&amp;" · "&amp;X96&amp;", "&amp;Y96&amp;" min from your office"</f>
        <v/>
      </c>
      <c r="AG96" s="14">
        <f>"Hi"&amp;IF(O96&lt;&gt;""," "&amp;O96,"")&amp;","&amp;CHAR(10)&amp;CHAR(10)&amp;"I'm "&amp;IF(AL96&lt;&gt;"",AL96,IF(Offer!$C$5&lt;&gt;"",Offer!$C$5,"[NAME]"))&amp;" from FC Urban. We organise after-work football for teams in the City and Canary Wharf."&amp;CHAR(10)&amp;CHAR(10)&amp;"We have a "&amp;AC96&amp;" pitch at "&amp;X96&amp;", "&amp;IF(OR(Y96=8,Y96=11,Y96=18),"an ","a ")&amp;Y96&amp;"-minute walk from your "&amp;M96&amp;" office, "&amp;IF(ISNUMBER(AB96),"on "&amp;TEXT(AB96,"dddd d mmmm")&amp;" at "&amp;TEXT(AB96,"hh:mm"),"on a weekday evening that suits your team")&amp;". It's "&amp;IF(AD96&lt;&gt;"","£"&amp;IF(AD96=INT(AD96),TEXT(AD96,"0"),TEXT(AD96,"0.00")),"[PRICE PER PLAYER]")&amp;" a player and we handle the pitch booking, sign-ups and payments, so all it takes is one person sharing a link with the team."&amp;CHAR(10)&amp;CHAR(10)&amp;"It works well as a team social or "&amp;IF(ISNUMBER(SEARCH(LEFT(F96,1),"AEIOU")),"an ","a ")&amp;F96&amp;"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LINK]")&amp;CHAR(10)&amp;CHAR(10)&amp;"Best,"&amp;CHAR(10)&amp;IF(AL96&lt;&gt;"",AL96,IF(Offer!$C$5&lt;&gt;"",Offer!$C$5,"[NAME]"))&amp;CHAR(10)&amp;"FC Urban"</f>
        <v/>
      </c>
      <c r="AH96" s="14">
        <f>IF(LEN("Hi"&amp;IF(O96&lt;&gt;""," "&amp;O96,"")&amp;","&amp;" FC Urban runs after-work football for "&amp;IF(D96="Canary Wharf","Canary Wharf","City")&amp;" teams. We have a "&amp;AC96&amp;" pitch at "&amp;X96&amp;", "&amp;Y96&amp;" min from your office, "&amp;IF(ISNUMBER(AB96),TEXT(AB96,"ddd d mmm")&amp;", "&amp;TEXT(AB96,"hh:mm"),"weekday evenings")&amp;", "&amp;IF(AD96&lt;&gt;"","£"&amp;IF(AD96=INT(AD96),TEXT(AD96,"0"),TEXT(AD96,"0.00")),"[PRICE PER PLAYER]")&amp;" a player. We handle booking, sign-ups and payments. Fancy "&amp;IF(ISNUMBER(SEARCH(LEFT(F96,1),"AEIOU")),"an ","a ")&amp;F96&amp;" team game? "&amp;IF(AL96&lt;&gt;"",AL96,IF(Offer!$C$5&lt;&gt;"",Offer!$C$5,"[NAME]")))&lt;=300,"Hi"&amp;IF(O96&lt;&gt;""," "&amp;O96,"")&amp;","&amp;" FC Urban runs after-work football for "&amp;IF(D96="Canary Wharf","Canary Wharf","City")&amp;" teams. We have a "&amp;AC96&amp;" pitch at "&amp;X96&amp;", "&amp;Y96&amp;" min from your office, "&amp;IF(ISNUMBER(AB96),TEXT(AB96,"ddd d mmm")&amp;", "&amp;TEXT(AB96,"hh:mm"),"weekday evenings")&amp;", "&amp;IF(AD96&lt;&gt;"","£"&amp;IF(AD96=INT(AD96),TEXT(AD96,"0"),TEXT(AD96,"0.00")),"[PRICE PER PLAYER]")&amp;" a player. We handle booking, sign-ups and payments. Fancy "&amp;IF(ISNUMBER(SEARCH(LEFT(F96,1),"AEIOU")),"an ","a ")&amp;F96&amp;" team game? "&amp;IF(AL96&lt;&gt;"",AL96,IF(Offer!$C$5&lt;&gt;"",Offer!$C$5,"[NAME]")),LEFT("Hi"&amp;IF(O96&lt;&gt;""," "&amp;O96,"")&amp;","&amp;" FC Urban runs after-work football for "&amp;IF(D96="Canary Wharf","Canary Wharf","City")&amp;" teams: "&amp;AC96&amp;" at "&amp;X96&amp;", "&amp;Y96&amp;" min from your office, "&amp;IF(ISNUMBER(AB96),TEXT(AB96,"ddd d mmm")&amp;", "&amp;TEXT(AB96,"hh:mm"),"weekday evenings")&amp;", "&amp;IF(AD96&lt;&gt;"","£"&amp;IF(AD96=INT(AD96),TEXT(AD96,"0"),TEXT(AD96,"0.00")),"[PRICE PER PLAYER]")&amp;" pp. We handle booking and payments. Up for a team game? "&amp;IF(AL96&lt;&gt;"",AL96,IF(Offer!$C$5&lt;&gt;"",Offer!$C$5,"[NAME]")),300))</f>
        <v/>
      </c>
      <c r="AI96" s="14">
        <f>LEN(AH96)</f>
        <v/>
      </c>
      <c r="AJ96" s="14">
        <f>"Thanks for connecting"&amp;IF(O96&lt;&gt;"",", "&amp;O96,"")&amp;". "&amp;IF(ISNUMBER(AB96),"The "&amp;AC96&amp;" slot at "&amp;X96&amp;" is "&amp;IF(ISNUMBER(AB96),TEXT(AB96,"ddd d mmm")&amp;", "&amp;TEXT(AB96,"hh:mm"),"weekday evenings"),"We can book "&amp;AC96&amp;" at "&amp;X96&amp;" on a weekday evening that suits you")&amp;" and it's "&amp;IF(AD96&lt;&gt;"","£"&amp;IF(AD96=INT(AD96),TEXT(AD96,"0"),TEXT(AD96,"0.00")),"[PRICE PER PLAYER]")&amp;" a player, all booked and paid through one link. If football isn't your thing, who at "&amp;F96&amp;" would be the right person to organise a team game?"&amp;IF(Offer!$C$7&lt;&gt;""," Spots are held until "&amp;TEXT(Offer!$C$7,"dddd d mmmm")&amp;".","")&amp;" "&amp;IF(Offer!$C$6&lt;&gt;"",Offer!$C$6,"[JOINING LINK]")</f>
        <v/>
      </c>
      <c r="AK96" s="14">
        <f>IF(OR(ISNUMBER(SEARCH("[",AG96)),ISNUMBER(SEARCH("[",AJ96))),"Fill placeholders",IF(ISNUMBER(AB96),"Ready to send","Ready · no fixed slot"))</f>
        <v/>
      </c>
      <c r="AN96" s="17" t="n"/>
    </row>
    <row r="97">
      <c r="A97" s="11" t="n">
        <v>95</v>
      </c>
      <c r="B97" s="11" t="n">
        <v>2</v>
      </c>
      <c r="C97" s="11" t="inlineStr">
        <is>
          <t>Fund / asset manager</t>
        </is>
      </c>
      <c r="D97" s="11" t="inlineStr">
        <is>
          <t>City of London</t>
        </is>
      </c>
      <c r="E97" s="11" t="inlineStr">
        <is>
          <t>Advisors Investment LLP</t>
        </is>
      </c>
      <c r="F97" s="11" t="inlineStr">
        <is>
          <t>Advisors Investment</t>
        </is>
      </c>
      <c r="G97" s="11" t="inlineStr">
        <is>
          <t>OC339952</t>
        </is>
      </c>
      <c r="H97" s="12" t="inlineStr">
        <is>
          <t>Open</t>
        </is>
      </c>
      <c r="I97" s="12" t="inlineStr">
        <is>
          <t>Search</t>
        </is>
      </c>
      <c r="J97" s="11" t="inlineStr">
        <is>
          <t>Group</t>
        </is>
      </c>
      <c r="K97" s="13" t="n">
        <v>39696</v>
      </c>
      <c r="L97" s="11" t="inlineStr">
        <is>
          <t>3Rd Floor, 86 - 90 Paul Street, London</t>
        </is>
      </c>
      <c r="M97" s="11" t="inlineStr">
        <is>
          <t>EC2A 4NE</t>
        </is>
      </c>
      <c r="N97" s="11" t="inlineStr">
        <is>
          <t>No</t>
        </is>
      </c>
      <c r="U97" s="11" t="inlineStr">
        <is>
          <t>Shoreditch Powerleague</t>
        </is>
      </c>
      <c r="V97" s="11" t="n">
        <v>10</v>
      </c>
      <c r="W97" s="11" t="inlineStr">
        <is>
          <t>Shoreditch Rooftop (15.7); Old St - Moreland Primary School (17.4)</t>
        </is>
      </c>
      <c r="X97" s="11" t="inlineStr">
        <is>
          <t>Shoreditch Powerleague</t>
        </is>
      </c>
      <c r="Y97" s="11" t="n">
        <v>10</v>
      </c>
      <c r="Z97" s="14">
        <f>IFERROR(INDEX(Venues!$E$2:$E$15,MATCH(X97,Venues!$A$2:$A$15,0)),"Not checked")</f>
        <v/>
      </c>
      <c r="AA97" s="14">
        <f>IFERROR(INDEX(Venues!$F$2:$F$15,MATCH(X97,Venues!$A$2:$A$15,0)),0)</f>
        <v/>
      </c>
      <c r="AB97" s="15">
        <f>IFERROR(INDEX(Venues!$M$2:$M$15,MATCH(X97,Venues!$A$2:$A$15,0)),"")</f>
        <v/>
      </c>
      <c r="AC97" s="14">
        <f>IFERROR(INDEX(Venues!$N$2:$N$15,MATCH(X97,Venues!$A$2:$A$15,0)),"5-a-side")</f>
        <v/>
      </c>
      <c r="AD97" s="16">
        <f>IF(Offer!$C$4="","",Offer!$C$4)</f>
        <v/>
      </c>
      <c r="AE97" s="14">
        <f>X97&amp;" ("&amp;Y97&amp;" min walk) · "&amp;IF(ISNUMBER(AB97),TEXT(AB97,"ddd d mmm, hh:mm"),"slot to confirm with venue")&amp;" · "&amp;AC97&amp;" · "&amp;IF(AD97&lt;&gt;"","£"&amp;TEXT(AD97,"0.00")&amp;" pp","price TBC")</f>
        <v/>
      </c>
      <c r="AF97" s="14">
        <f>"After-work football for "&amp;F97&amp;" · "&amp;X97&amp;", "&amp;Y97&amp;" min from your office"</f>
        <v/>
      </c>
      <c r="AG97" s="14">
        <f>"Hi"&amp;IF(O97&lt;&gt;""," "&amp;O97,"")&amp;","&amp;CHAR(10)&amp;CHAR(10)&amp;"I'm "&amp;IF(AL97&lt;&gt;"",AL97,IF(Offer!$C$5&lt;&gt;"",Offer!$C$5,"[NAME]"))&amp;" from FC Urban. We organise after-work football for teams in the City and Canary Wharf."&amp;CHAR(10)&amp;CHAR(10)&amp;"We have a "&amp;AC97&amp;" pitch at "&amp;X97&amp;", "&amp;IF(OR(Y97=8,Y97=11,Y97=18),"an ","a ")&amp;Y97&amp;"-minute walk from your "&amp;M97&amp;" office, "&amp;IF(ISNUMBER(AB97),"on "&amp;TEXT(AB97,"dddd d mmmm")&amp;" at "&amp;TEXT(AB97,"hh:mm"),"on a weekday evening that suits your team")&amp;". It's "&amp;IF(AD97&lt;&gt;"","£"&amp;IF(AD97=INT(AD97),TEXT(AD97,"0"),TEXT(AD97,"0.00")),"[PRICE PER PLAYER]")&amp;" a player and we handle the pitch booking, sign-ups and payments, so all it takes is one person sharing a link with the team."&amp;CHAR(10)&amp;CHAR(10)&amp;"It works well as a team social or "&amp;IF(ISNUMBER(SEARCH(LEFT(F97,1),"AEIOU")),"an ","a ")&amp;F97&amp;"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LINK]")&amp;CHAR(10)&amp;CHAR(10)&amp;"Best,"&amp;CHAR(10)&amp;IF(AL97&lt;&gt;"",AL97,IF(Offer!$C$5&lt;&gt;"",Offer!$C$5,"[NAME]"))&amp;CHAR(10)&amp;"FC Urban"</f>
        <v/>
      </c>
      <c r="AH97" s="14">
        <f>IF(LEN("Hi"&amp;IF(O97&lt;&gt;""," "&amp;O97,"")&amp;","&amp;" FC Urban runs after-work football for "&amp;IF(D97="Canary Wharf","Canary Wharf","City")&amp;" teams. We have a "&amp;AC97&amp;" pitch at "&amp;X97&amp;", "&amp;Y97&amp;" min from your office, "&amp;IF(ISNUMBER(AB97),TEXT(AB97,"ddd d mmm")&amp;", "&amp;TEXT(AB97,"hh:mm"),"weekday evenings")&amp;", "&amp;IF(AD97&lt;&gt;"","£"&amp;IF(AD97=INT(AD97),TEXT(AD97,"0"),TEXT(AD97,"0.00")),"[PRICE PER PLAYER]")&amp;" a player. We handle booking, sign-ups and payments. Fancy "&amp;IF(ISNUMBER(SEARCH(LEFT(F97,1),"AEIOU")),"an ","a ")&amp;F97&amp;" team game? "&amp;IF(AL97&lt;&gt;"",AL97,IF(Offer!$C$5&lt;&gt;"",Offer!$C$5,"[NAME]")))&lt;=300,"Hi"&amp;IF(O97&lt;&gt;""," "&amp;O97,"")&amp;","&amp;" FC Urban runs after-work football for "&amp;IF(D97="Canary Wharf","Canary Wharf","City")&amp;" teams. We have a "&amp;AC97&amp;" pitch at "&amp;X97&amp;", "&amp;Y97&amp;" min from your office, "&amp;IF(ISNUMBER(AB97),TEXT(AB97,"ddd d mmm")&amp;", "&amp;TEXT(AB97,"hh:mm"),"weekday evenings")&amp;", "&amp;IF(AD97&lt;&gt;"","£"&amp;IF(AD97=INT(AD97),TEXT(AD97,"0"),TEXT(AD97,"0.00")),"[PRICE PER PLAYER]")&amp;" a player. We handle booking, sign-ups and payments. Fancy "&amp;IF(ISNUMBER(SEARCH(LEFT(F97,1),"AEIOU")),"an ","a ")&amp;F97&amp;" team game? "&amp;IF(AL97&lt;&gt;"",AL97,IF(Offer!$C$5&lt;&gt;"",Offer!$C$5,"[NAME]")),LEFT("Hi"&amp;IF(O97&lt;&gt;""," "&amp;O97,"")&amp;","&amp;" FC Urban runs after-work football for "&amp;IF(D97="Canary Wharf","Canary Wharf","City")&amp;" teams: "&amp;AC97&amp;" at "&amp;X97&amp;", "&amp;Y97&amp;" min from your office, "&amp;IF(ISNUMBER(AB97),TEXT(AB97,"ddd d mmm")&amp;", "&amp;TEXT(AB97,"hh:mm"),"weekday evenings")&amp;", "&amp;IF(AD97&lt;&gt;"","£"&amp;IF(AD97=INT(AD97),TEXT(AD97,"0"),TEXT(AD97,"0.00")),"[PRICE PER PLAYER]")&amp;" pp. We handle booking and payments. Up for a team game? "&amp;IF(AL97&lt;&gt;"",AL97,IF(Offer!$C$5&lt;&gt;"",Offer!$C$5,"[NAME]")),300))</f>
        <v/>
      </c>
      <c r="AI97" s="14">
        <f>LEN(AH97)</f>
        <v/>
      </c>
      <c r="AJ97" s="14">
        <f>"Thanks for connecting"&amp;IF(O97&lt;&gt;"",", "&amp;O97,"")&amp;". "&amp;IF(ISNUMBER(AB97),"The "&amp;AC97&amp;" slot at "&amp;X97&amp;" is "&amp;IF(ISNUMBER(AB97),TEXT(AB97,"ddd d mmm")&amp;", "&amp;TEXT(AB97,"hh:mm"),"weekday evenings"),"We can book "&amp;AC97&amp;" at "&amp;X97&amp;" on a weekday evening that suits you")&amp;" and it's "&amp;IF(AD97&lt;&gt;"","£"&amp;IF(AD97=INT(AD97),TEXT(AD97,"0"),TEXT(AD97,"0.00")),"[PRICE PER PLAYER]")&amp;" a player, all booked and paid through one link. If football isn't your thing, who at "&amp;F97&amp;" would be the right person to organise a team game?"&amp;IF(Offer!$C$7&lt;&gt;""," Spots are held until "&amp;TEXT(Offer!$C$7,"dddd d mmmm")&amp;".","")&amp;" "&amp;IF(Offer!$C$6&lt;&gt;"",Offer!$C$6,"[JOINING LINK]")</f>
        <v/>
      </c>
      <c r="AK97" s="14">
        <f>IF(OR(ISNUMBER(SEARCH("[",AG97)),ISNUMBER(SEARCH("[",AJ97))),"Fill placeholders",IF(ISNUMBER(AB97),"Ready to send","Ready · no fixed slot"))</f>
        <v/>
      </c>
      <c r="AN97" s="17" t="n"/>
    </row>
    <row r="98">
      <c r="A98" s="11" t="n">
        <v>96</v>
      </c>
      <c r="B98" s="11" t="n">
        <v>2</v>
      </c>
      <c r="C98" s="11" t="inlineStr">
        <is>
          <t>Fund / asset manager</t>
        </is>
      </c>
      <c r="D98" s="11" t="inlineStr">
        <is>
          <t>City of London</t>
        </is>
      </c>
      <c r="E98" s="11" t="inlineStr">
        <is>
          <t>Momenta Finance Limited</t>
        </is>
      </c>
      <c r="F98" s="11" t="inlineStr">
        <is>
          <t>Momenta Finance</t>
        </is>
      </c>
      <c r="G98" s="11" t="inlineStr">
        <is>
          <t>14423247</t>
        </is>
      </c>
      <c r="H98" s="12" t="inlineStr">
        <is>
          <t>Open</t>
        </is>
      </c>
      <c r="I98" s="12" t="inlineStr">
        <is>
          <t>Search</t>
        </is>
      </c>
      <c r="J98" s="11" t="inlineStr">
        <is>
          <t>Group</t>
        </is>
      </c>
      <c r="K98" s="13" t="n">
        <v>44851</v>
      </c>
      <c r="L98" s="11" t="inlineStr">
        <is>
          <t>3Rd Floor, 86 - 90 Paul Street, London</t>
        </is>
      </c>
      <c r="M98" s="11" t="inlineStr">
        <is>
          <t>EC2A 4NE</t>
        </is>
      </c>
      <c r="N98" s="11" t="inlineStr">
        <is>
          <t>No</t>
        </is>
      </c>
      <c r="U98" s="11" t="inlineStr">
        <is>
          <t>Shoreditch Powerleague</t>
        </is>
      </c>
      <c r="V98" s="11" t="n">
        <v>10</v>
      </c>
      <c r="W98" s="11" t="inlineStr">
        <is>
          <t>Shoreditch Rooftop (15.7); Old St - Moreland Primary School (17.4)</t>
        </is>
      </c>
      <c r="X98" s="11" t="inlineStr">
        <is>
          <t>Shoreditch Powerleague</t>
        </is>
      </c>
      <c r="Y98" s="11" t="n">
        <v>10</v>
      </c>
      <c r="Z98" s="14">
        <f>IFERROR(INDEX(Venues!$E$2:$E$15,MATCH(X98,Venues!$A$2:$A$15,0)),"Not checked")</f>
        <v/>
      </c>
      <c r="AA98" s="14">
        <f>IFERROR(INDEX(Venues!$F$2:$F$15,MATCH(X98,Venues!$A$2:$A$15,0)),0)</f>
        <v/>
      </c>
      <c r="AB98" s="15">
        <f>IFERROR(INDEX(Venues!$M$2:$M$15,MATCH(X98,Venues!$A$2:$A$15,0)),"")</f>
        <v/>
      </c>
      <c r="AC98" s="14">
        <f>IFERROR(INDEX(Venues!$N$2:$N$15,MATCH(X98,Venues!$A$2:$A$15,0)),"5-a-side")</f>
        <v/>
      </c>
      <c r="AD98" s="16">
        <f>IF(Offer!$C$4="","",Offer!$C$4)</f>
        <v/>
      </c>
      <c r="AE98" s="14">
        <f>X98&amp;" ("&amp;Y98&amp;" min walk) · "&amp;IF(ISNUMBER(AB98),TEXT(AB98,"ddd d mmm, hh:mm"),"slot to confirm with venue")&amp;" · "&amp;AC98&amp;" · "&amp;IF(AD98&lt;&gt;"","£"&amp;TEXT(AD98,"0.00")&amp;" pp","price TBC")</f>
        <v/>
      </c>
      <c r="AF98" s="14">
        <f>"After-work football for "&amp;F98&amp;" · "&amp;X98&amp;", "&amp;Y98&amp;" min from your office"</f>
        <v/>
      </c>
      <c r="AG98" s="14">
        <f>"Hi"&amp;IF(O98&lt;&gt;""," "&amp;O98,"")&amp;","&amp;CHAR(10)&amp;CHAR(10)&amp;"I'm "&amp;IF(AL98&lt;&gt;"",AL98,IF(Offer!$C$5&lt;&gt;"",Offer!$C$5,"[NAME]"))&amp;" from FC Urban. We organise after-work football for teams in the City and Canary Wharf."&amp;CHAR(10)&amp;CHAR(10)&amp;"We have a "&amp;AC98&amp;" pitch at "&amp;X98&amp;", "&amp;IF(OR(Y98=8,Y98=11,Y98=18),"an ","a ")&amp;Y98&amp;"-minute walk from your "&amp;M98&amp;" office, "&amp;IF(ISNUMBER(AB98),"on "&amp;TEXT(AB98,"dddd d mmmm")&amp;" at "&amp;TEXT(AB98,"hh:mm"),"on a weekday evening that suits your team")&amp;". It's "&amp;IF(AD98&lt;&gt;"","£"&amp;IF(AD98=INT(AD98),TEXT(AD98,"0"),TEXT(AD98,"0.00")),"[PRICE PER PLAYER]")&amp;" a player and we handle the pitch booking, sign-ups and payments, so all it takes is one person sharing a link with the team."&amp;CHAR(10)&amp;CHAR(10)&amp;"It works well as a team social or "&amp;IF(ISNUMBER(SEARCH(LEFT(F98,1),"AEIOU")),"an ","a ")&amp;F98&amp;"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LINK]")&amp;CHAR(10)&amp;CHAR(10)&amp;"Best,"&amp;CHAR(10)&amp;IF(AL98&lt;&gt;"",AL98,IF(Offer!$C$5&lt;&gt;"",Offer!$C$5,"[NAME]"))&amp;CHAR(10)&amp;"FC Urban"</f>
        <v/>
      </c>
      <c r="AH98" s="14">
        <f>IF(LEN("Hi"&amp;IF(O98&lt;&gt;""," "&amp;O98,"")&amp;","&amp;" FC Urban runs after-work football for "&amp;IF(D98="Canary Wharf","Canary Wharf","City")&amp;" teams. We have a "&amp;AC98&amp;" pitch at "&amp;X98&amp;", "&amp;Y98&amp;" min from your office, "&amp;IF(ISNUMBER(AB98),TEXT(AB98,"ddd d mmm")&amp;", "&amp;TEXT(AB98,"hh:mm"),"weekday evenings")&amp;", "&amp;IF(AD98&lt;&gt;"","£"&amp;IF(AD98=INT(AD98),TEXT(AD98,"0"),TEXT(AD98,"0.00")),"[PRICE PER PLAYER]")&amp;" a player. We handle booking, sign-ups and payments. Fancy "&amp;IF(ISNUMBER(SEARCH(LEFT(F98,1),"AEIOU")),"an ","a ")&amp;F98&amp;" team game? "&amp;IF(AL98&lt;&gt;"",AL98,IF(Offer!$C$5&lt;&gt;"",Offer!$C$5,"[NAME]")))&lt;=300,"Hi"&amp;IF(O98&lt;&gt;""," "&amp;O98,"")&amp;","&amp;" FC Urban runs after-work football for "&amp;IF(D98="Canary Wharf","Canary Wharf","City")&amp;" teams. We have a "&amp;AC98&amp;" pitch at "&amp;X98&amp;", "&amp;Y98&amp;" min from your office, "&amp;IF(ISNUMBER(AB98),TEXT(AB98,"ddd d mmm")&amp;", "&amp;TEXT(AB98,"hh:mm"),"weekday evenings")&amp;", "&amp;IF(AD98&lt;&gt;"","£"&amp;IF(AD98=INT(AD98),TEXT(AD98,"0"),TEXT(AD98,"0.00")),"[PRICE PER PLAYER]")&amp;" a player. We handle booking, sign-ups and payments. Fancy "&amp;IF(ISNUMBER(SEARCH(LEFT(F98,1),"AEIOU")),"an ","a ")&amp;F98&amp;" team game? "&amp;IF(AL98&lt;&gt;"",AL98,IF(Offer!$C$5&lt;&gt;"",Offer!$C$5,"[NAME]")),LEFT("Hi"&amp;IF(O98&lt;&gt;""," "&amp;O98,"")&amp;","&amp;" FC Urban runs after-work football for "&amp;IF(D98="Canary Wharf","Canary Wharf","City")&amp;" teams: "&amp;AC98&amp;" at "&amp;X98&amp;", "&amp;Y98&amp;" min from your office, "&amp;IF(ISNUMBER(AB98),TEXT(AB98,"ddd d mmm")&amp;", "&amp;TEXT(AB98,"hh:mm"),"weekday evenings")&amp;", "&amp;IF(AD98&lt;&gt;"","£"&amp;IF(AD98=INT(AD98),TEXT(AD98,"0"),TEXT(AD98,"0.00")),"[PRICE PER PLAYER]")&amp;" pp. We handle booking and payments. Up for a team game? "&amp;IF(AL98&lt;&gt;"",AL98,IF(Offer!$C$5&lt;&gt;"",Offer!$C$5,"[NAME]")),300))</f>
        <v/>
      </c>
      <c r="AI98" s="14">
        <f>LEN(AH98)</f>
        <v/>
      </c>
      <c r="AJ98" s="14">
        <f>"Thanks for connecting"&amp;IF(O98&lt;&gt;"",", "&amp;O98,"")&amp;". "&amp;IF(ISNUMBER(AB98),"The "&amp;AC98&amp;" slot at "&amp;X98&amp;" is "&amp;IF(ISNUMBER(AB98),TEXT(AB98,"ddd d mmm")&amp;", "&amp;TEXT(AB98,"hh:mm"),"weekday evenings"),"We can book "&amp;AC98&amp;" at "&amp;X98&amp;" on a weekday evening that suits you")&amp;" and it's "&amp;IF(AD98&lt;&gt;"","£"&amp;IF(AD98=INT(AD98),TEXT(AD98,"0"),TEXT(AD98,"0.00")),"[PRICE PER PLAYER]")&amp;" a player, all booked and paid through one link. If football isn't your thing, who at "&amp;F98&amp;" would be the right person to organise a team game?"&amp;IF(Offer!$C$7&lt;&gt;""," Spots are held until "&amp;TEXT(Offer!$C$7,"dddd d mmmm")&amp;".","")&amp;" "&amp;IF(Offer!$C$6&lt;&gt;"",Offer!$C$6,"[JOINING LINK]")</f>
        <v/>
      </c>
      <c r="AK98" s="14">
        <f>IF(OR(ISNUMBER(SEARCH("[",AG98)),ISNUMBER(SEARCH("[",AJ98))),"Fill placeholders",IF(ISNUMBER(AB98),"Ready to send","Ready · no fixed slot"))</f>
        <v/>
      </c>
      <c r="AN98" s="17" t="n"/>
    </row>
    <row r="99">
      <c r="A99" s="11" t="n">
        <v>97</v>
      </c>
      <c r="B99" s="11" t="n">
        <v>2</v>
      </c>
      <c r="C99" s="11" t="inlineStr">
        <is>
          <t>Insurance / broker</t>
        </is>
      </c>
      <c r="D99" s="11" t="inlineStr">
        <is>
          <t>City of London</t>
        </is>
      </c>
      <c r="E99" s="11" t="inlineStr">
        <is>
          <t>Talisman Underwriting PLC</t>
        </is>
      </c>
      <c r="F99" s="11" t="inlineStr">
        <is>
          <t>Talisman Underwriting</t>
        </is>
      </c>
      <c r="G99" s="11" t="inlineStr">
        <is>
          <t>03370297</t>
        </is>
      </c>
      <c r="H99" s="12" t="inlineStr">
        <is>
          <t>Open</t>
        </is>
      </c>
      <c r="I99" s="12" t="inlineStr">
        <is>
          <t>Search</t>
        </is>
      </c>
      <c r="J99" s="11" t="inlineStr">
        <is>
          <t>Group</t>
        </is>
      </c>
      <c r="K99" s="13" t="n">
        <v>35564</v>
      </c>
      <c r="L99" s="11" t="inlineStr">
        <is>
          <t>107 Fenchurch Street, London</t>
        </is>
      </c>
      <c r="M99" s="11" t="inlineStr">
        <is>
          <t>EC3M 5JF</t>
        </is>
      </c>
      <c r="N99" s="11" t="inlineStr">
        <is>
          <t>No</t>
        </is>
      </c>
      <c r="U99" s="11" t="inlineStr">
        <is>
          <t>Liverpool St - Attlee Centre</t>
        </is>
      </c>
      <c r="V99" s="11" t="n">
        <v>12</v>
      </c>
      <c r="W99" s="11" t="n"/>
      <c r="X99" s="11" t="inlineStr">
        <is>
          <t>Liverpool St - Attlee Centre</t>
        </is>
      </c>
      <c r="Y99" s="11" t="n">
        <v>12</v>
      </c>
      <c r="Z99" s="14">
        <f>IFERROR(INDEX(Venues!$E$2:$E$15,MATCH(X99,Venues!$A$2:$A$15,0)),"Not checked")</f>
        <v/>
      </c>
      <c r="AA99" s="14">
        <f>IFERROR(INDEX(Venues!$F$2:$F$15,MATCH(X99,Venues!$A$2:$A$15,0)),0)</f>
        <v/>
      </c>
      <c r="AB99" s="15">
        <f>IFERROR(INDEX(Venues!$M$2:$M$15,MATCH(X99,Venues!$A$2:$A$15,0)),"")</f>
        <v/>
      </c>
      <c r="AC99" s="14">
        <f>IFERROR(INDEX(Venues!$N$2:$N$15,MATCH(X99,Venues!$A$2:$A$15,0)),"5-a-side")</f>
        <v/>
      </c>
      <c r="AD99" s="16">
        <f>IF(Offer!$C$4="","",Offer!$C$4)</f>
        <v/>
      </c>
      <c r="AE99" s="14">
        <f>X99&amp;" ("&amp;Y99&amp;" min walk) · "&amp;IF(ISNUMBER(AB99),TEXT(AB99,"ddd d mmm, hh:mm"),"slot to confirm with venue")&amp;" · "&amp;AC99&amp;" · "&amp;IF(AD99&lt;&gt;"","£"&amp;TEXT(AD99,"0.00")&amp;" pp","price TBC")</f>
        <v/>
      </c>
      <c r="AF99" s="14">
        <f>"After-work football for "&amp;F99&amp;" · "&amp;X99&amp;", "&amp;Y99&amp;" min from your office"</f>
        <v/>
      </c>
      <c r="AG99" s="14">
        <f>"Hi"&amp;IF(O99&lt;&gt;""," "&amp;O99,"")&amp;","&amp;CHAR(10)&amp;CHAR(10)&amp;"I'm "&amp;IF(AL99&lt;&gt;"",AL99,IF(Offer!$C$5&lt;&gt;"",Offer!$C$5,"[NAME]"))&amp;" from FC Urban. We organise after-work football for teams in the City and Canary Wharf."&amp;CHAR(10)&amp;CHAR(10)&amp;"We have a "&amp;AC99&amp;" pitch at "&amp;X99&amp;", "&amp;IF(OR(Y99=8,Y99=11,Y99=18),"an ","a ")&amp;Y99&amp;"-minute walk from your "&amp;M99&amp;" office, "&amp;IF(ISNUMBER(AB99),"on "&amp;TEXT(AB99,"dddd d mmmm")&amp;" at "&amp;TEXT(AB99,"hh:mm"),"on a weekday evening that suits your team")&amp;". It's "&amp;IF(AD99&lt;&gt;"","£"&amp;IF(AD99=INT(AD99),TEXT(AD99,"0"),TEXT(AD99,"0.00")),"[PRICE PER PLAYER]")&amp;" a player and we handle the pitch booking, sign-ups and payments, so all it takes is one person sharing a link with the team."&amp;CHAR(10)&amp;CHAR(10)&amp;"It works well as a team social or "&amp;IF(ISNUMBER(SEARCH(LEFT(F99,1),"AEIOU")),"an ","a ")&amp;F99&amp;"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LINK]")&amp;CHAR(10)&amp;CHAR(10)&amp;"Best,"&amp;CHAR(10)&amp;IF(AL99&lt;&gt;"",AL99,IF(Offer!$C$5&lt;&gt;"",Offer!$C$5,"[NAME]"))&amp;CHAR(10)&amp;"FC Urban"</f>
        <v/>
      </c>
      <c r="AH99" s="14">
        <f>IF(LEN("Hi"&amp;IF(O99&lt;&gt;""," "&amp;O99,"")&amp;","&amp;" FC Urban runs after-work football for "&amp;IF(D99="Canary Wharf","Canary Wharf","City")&amp;" teams. We have a "&amp;AC99&amp;" pitch at "&amp;X99&amp;", "&amp;Y99&amp;" min from your office, "&amp;IF(ISNUMBER(AB99),TEXT(AB99,"ddd d mmm")&amp;", "&amp;TEXT(AB99,"hh:mm"),"weekday evenings")&amp;", "&amp;IF(AD99&lt;&gt;"","£"&amp;IF(AD99=INT(AD99),TEXT(AD99,"0"),TEXT(AD99,"0.00")),"[PRICE PER PLAYER]")&amp;" a player. We handle booking, sign-ups and payments. Fancy "&amp;IF(ISNUMBER(SEARCH(LEFT(F99,1),"AEIOU")),"an ","a ")&amp;F99&amp;" team game? "&amp;IF(AL99&lt;&gt;"",AL99,IF(Offer!$C$5&lt;&gt;"",Offer!$C$5,"[NAME]")))&lt;=300,"Hi"&amp;IF(O99&lt;&gt;""," "&amp;O99,"")&amp;","&amp;" FC Urban runs after-work football for "&amp;IF(D99="Canary Wharf","Canary Wharf","City")&amp;" teams. We have a "&amp;AC99&amp;" pitch at "&amp;X99&amp;", "&amp;Y99&amp;" min from your office, "&amp;IF(ISNUMBER(AB99),TEXT(AB99,"ddd d mmm")&amp;", "&amp;TEXT(AB99,"hh:mm"),"weekday evenings")&amp;", "&amp;IF(AD99&lt;&gt;"","£"&amp;IF(AD99=INT(AD99),TEXT(AD99,"0"),TEXT(AD99,"0.00")),"[PRICE PER PLAYER]")&amp;" a player. We handle booking, sign-ups and payments. Fancy "&amp;IF(ISNUMBER(SEARCH(LEFT(F99,1),"AEIOU")),"an ","a ")&amp;F99&amp;" team game? "&amp;IF(AL99&lt;&gt;"",AL99,IF(Offer!$C$5&lt;&gt;"",Offer!$C$5,"[NAME]")),LEFT("Hi"&amp;IF(O99&lt;&gt;""," "&amp;O99,"")&amp;","&amp;" FC Urban runs after-work football for "&amp;IF(D99="Canary Wharf","Canary Wharf","City")&amp;" teams: "&amp;AC99&amp;" at "&amp;X99&amp;", "&amp;Y99&amp;" min from your office, "&amp;IF(ISNUMBER(AB99),TEXT(AB99,"ddd d mmm")&amp;", "&amp;TEXT(AB99,"hh:mm"),"weekday evenings")&amp;", "&amp;IF(AD99&lt;&gt;"","£"&amp;IF(AD99=INT(AD99),TEXT(AD99,"0"),TEXT(AD99,"0.00")),"[PRICE PER PLAYER]")&amp;" pp. We handle booking and payments. Up for a team game? "&amp;IF(AL99&lt;&gt;"",AL99,IF(Offer!$C$5&lt;&gt;"",Offer!$C$5,"[NAME]")),300))</f>
        <v/>
      </c>
      <c r="AI99" s="14">
        <f>LEN(AH99)</f>
        <v/>
      </c>
      <c r="AJ99" s="14">
        <f>"Thanks for connecting"&amp;IF(O99&lt;&gt;"",", "&amp;O99,"")&amp;". "&amp;IF(ISNUMBER(AB99),"The "&amp;AC99&amp;" slot at "&amp;X99&amp;" is "&amp;IF(ISNUMBER(AB99),TEXT(AB99,"ddd d mmm")&amp;", "&amp;TEXT(AB99,"hh:mm"),"weekday evenings"),"We can book "&amp;AC99&amp;" at "&amp;X99&amp;" on a weekday evening that suits you")&amp;" and it's "&amp;IF(AD99&lt;&gt;"","£"&amp;IF(AD99=INT(AD99),TEXT(AD99,"0"),TEXT(AD99,"0.00")),"[PRICE PER PLAYER]")&amp;" a player, all booked and paid through one link. If football isn't your thing, who at "&amp;F99&amp;" would be the right person to organise a team game?"&amp;IF(Offer!$C$7&lt;&gt;""," Spots are held until "&amp;TEXT(Offer!$C$7,"dddd d mmmm")&amp;".","")&amp;" "&amp;IF(Offer!$C$6&lt;&gt;"",Offer!$C$6,"[JOINING LINK]")</f>
        <v/>
      </c>
      <c r="AK99" s="14">
        <f>IF(OR(ISNUMBER(SEARCH("[",AG99)),ISNUMBER(SEARCH("[",AJ99))),"Fill placeholders",IF(ISNUMBER(AB99),"Ready to send","Ready · no fixed slot"))</f>
        <v/>
      </c>
      <c r="AN99" s="17" t="n"/>
    </row>
    <row r="100">
      <c r="A100" s="11" t="n">
        <v>98</v>
      </c>
      <c r="B100" s="11" t="n">
        <v>2</v>
      </c>
      <c r="C100" s="11" t="inlineStr">
        <is>
          <t>Insurance / broker</t>
        </is>
      </c>
      <c r="D100" s="11" t="inlineStr">
        <is>
          <t>City of London</t>
        </is>
      </c>
      <c r="E100" s="11" t="inlineStr">
        <is>
          <t>Vector Investment Capital (Holdings) Limited</t>
        </is>
      </c>
      <c r="F100" s="11" t="inlineStr">
        <is>
          <t>Vector Investment Capital</t>
        </is>
      </c>
      <c r="G100" s="11" t="inlineStr">
        <is>
          <t>10126196</t>
        </is>
      </c>
      <c r="H100" s="12" t="inlineStr">
        <is>
          <t>Open</t>
        </is>
      </c>
      <c r="I100" s="12" t="inlineStr">
        <is>
          <t>Search</t>
        </is>
      </c>
      <c r="J100" s="11" t="inlineStr">
        <is>
          <t>Group</t>
        </is>
      </c>
      <c r="K100" s="13" t="n">
        <v>42475</v>
      </c>
      <c r="L100" s="11" t="inlineStr">
        <is>
          <t>71 Fenchurch Street, London</t>
        </is>
      </c>
      <c r="M100" s="11" t="inlineStr">
        <is>
          <t>EC3M 4BS</t>
        </is>
      </c>
      <c r="N100" s="11" t="inlineStr">
        <is>
          <t>No</t>
        </is>
      </c>
      <c r="U100" s="11" t="inlineStr">
        <is>
          <t>Liverpool St - Attlee Centre</t>
        </is>
      </c>
      <c r="V100" s="11" t="n">
        <v>12</v>
      </c>
      <c r="W100" s="11" t="n"/>
      <c r="X100" s="11" t="inlineStr">
        <is>
          <t>Liverpool St - Attlee Centre</t>
        </is>
      </c>
      <c r="Y100" s="11" t="n">
        <v>12</v>
      </c>
      <c r="Z100" s="14">
        <f>IFERROR(INDEX(Venues!$E$2:$E$15,MATCH(X100,Venues!$A$2:$A$15,0)),"Not checked")</f>
        <v/>
      </c>
      <c r="AA100" s="14">
        <f>IFERROR(INDEX(Venues!$F$2:$F$15,MATCH(X100,Venues!$A$2:$A$15,0)),0)</f>
        <v/>
      </c>
      <c r="AB100" s="15">
        <f>IFERROR(INDEX(Venues!$M$2:$M$15,MATCH(X100,Venues!$A$2:$A$15,0)),"")</f>
        <v/>
      </c>
      <c r="AC100" s="14">
        <f>IFERROR(INDEX(Venues!$N$2:$N$15,MATCH(X100,Venues!$A$2:$A$15,0)),"5-a-side")</f>
        <v/>
      </c>
      <c r="AD100" s="16">
        <f>IF(Offer!$C$4="","",Offer!$C$4)</f>
        <v/>
      </c>
      <c r="AE100" s="14">
        <f>X100&amp;" ("&amp;Y100&amp;" min walk) · "&amp;IF(ISNUMBER(AB100),TEXT(AB100,"ddd d mmm, hh:mm"),"slot to confirm with venue")&amp;" · "&amp;AC100&amp;" · "&amp;IF(AD100&lt;&gt;"","£"&amp;TEXT(AD100,"0.00")&amp;" pp","price TBC")</f>
        <v/>
      </c>
      <c r="AF100" s="14">
        <f>"After-work football for "&amp;F100&amp;" · "&amp;X100&amp;", "&amp;Y100&amp;" min from your office"</f>
        <v/>
      </c>
      <c r="AG100" s="14">
        <f>"Hi"&amp;IF(O100&lt;&gt;""," "&amp;O100,"")&amp;","&amp;CHAR(10)&amp;CHAR(10)&amp;"I'm "&amp;IF(AL100&lt;&gt;"",AL100,IF(Offer!$C$5&lt;&gt;"",Offer!$C$5,"[NAME]"))&amp;" from FC Urban. We organise after-work football for teams in the City and Canary Wharf."&amp;CHAR(10)&amp;CHAR(10)&amp;"We have a "&amp;AC100&amp;" pitch at "&amp;X100&amp;", "&amp;IF(OR(Y100=8,Y100=11,Y100=18),"an ","a ")&amp;Y100&amp;"-minute walk from your "&amp;M100&amp;" office, "&amp;IF(ISNUMBER(AB100),"on "&amp;TEXT(AB100,"dddd d mmmm")&amp;" at "&amp;TEXT(AB100,"hh:mm"),"on a weekday evening that suits your team")&amp;". It's "&amp;IF(AD100&lt;&gt;"","£"&amp;IF(AD100=INT(AD100),TEXT(AD100,"0"),TEXT(AD100,"0.00")),"[PRICE PER PLAYER]")&amp;" a player and we handle the pitch booking, sign-ups and payments, so all it takes is one person sharing a link with the team."&amp;CHAR(10)&amp;CHAR(10)&amp;"It works well as a team social or "&amp;IF(ISNUMBER(SEARCH(LEFT(F100,1),"AEIOU")),"an ","a ")&amp;F100&amp;"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LINK]")&amp;CHAR(10)&amp;CHAR(10)&amp;"Best,"&amp;CHAR(10)&amp;IF(AL100&lt;&gt;"",AL100,IF(Offer!$C$5&lt;&gt;"",Offer!$C$5,"[NAME]"))&amp;CHAR(10)&amp;"FC Urban"</f>
        <v/>
      </c>
      <c r="AH100" s="14">
        <f>IF(LEN("Hi"&amp;IF(O100&lt;&gt;""," "&amp;O100,"")&amp;","&amp;" FC Urban runs after-work football for "&amp;IF(D100="Canary Wharf","Canary Wharf","City")&amp;" teams. We have a "&amp;AC100&amp;" pitch at "&amp;X100&amp;", "&amp;Y100&amp;" min from your office, "&amp;IF(ISNUMBER(AB100),TEXT(AB100,"ddd d mmm")&amp;", "&amp;TEXT(AB100,"hh:mm"),"weekday evenings")&amp;", "&amp;IF(AD100&lt;&gt;"","£"&amp;IF(AD100=INT(AD100),TEXT(AD100,"0"),TEXT(AD100,"0.00")),"[PRICE PER PLAYER]")&amp;" a player. We handle booking, sign-ups and payments. Fancy "&amp;IF(ISNUMBER(SEARCH(LEFT(F100,1),"AEIOU")),"an ","a ")&amp;F100&amp;" team game? "&amp;IF(AL100&lt;&gt;"",AL100,IF(Offer!$C$5&lt;&gt;"",Offer!$C$5,"[NAME]")))&lt;=300,"Hi"&amp;IF(O100&lt;&gt;""," "&amp;O100,"")&amp;","&amp;" FC Urban runs after-work football for "&amp;IF(D100="Canary Wharf","Canary Wharf","City")&amp;" teams. We have a "&amp;AC100&amp;" pitch at "&amp;X100&amp;", "&amp;Y100&amp;" min from your office, "&amp;IF(ISNUMBER(AB100),TEXT(AB100,"ddd d mmm")&amp;", "&amp;TEXT(AB100,"hh:mm"),"weekday evenings")&amp;", "&amp;IF(AD100&lt;&gt;"","£"&amp;IF(AD100=INT(AD100),TEXT(AD100,"0"),TEXT(AD100,"0.00")),"[PRICE PER PLAYER]")&amp;" a player. We handle booking, sign-ups and payments. Fancy "&amp;IF(ISNUMBER(SEARCH(LEFT(F100,1),"AEIOU")),"an ","a ")&amp;F100&amp;" team game? "&amp;IF(AL100&lt;&gt;"",AL100,IF(Offer!$C$5&lt;&gt;"",Offer!$C$5,"[NAME]")),LEFT("Hi"&amp;IF(O100&lt;&gt;""," "&amp;O100,"")&amp;","&amp;" FC Urban runs after-work football for "&amp;IF(D100="Canary Wharf","Canary Wharf","City")&amp;" teams: "&amp;AC100&amp;" at "&amp;X100&amp;", "&amp;Y100&amp;" min from your office, "&amp;IF(ISNUMBER(AB100),TEXT(AB100,"ddd d mmm")&amp;", "&amp;TEXT(AB100,"hh:mm"),"weekday evenings")&amp;", "&amp;IF(AD100&lt;&gt;"","£"&amp;IF(AD100=INT(AD100),TEXT(AD100,"0"),TEXT(AD100,"0.00")),"[PRICE PER PLAYER]")&amp;" pp. We handle booking and payments. Up for a team game? "&amp;IF(AL100&lt;&gt;"",AL100,IF(Offer!$C$5&lt;&gt;"",Offer!$C$5,"[NAME]")),300))</f>
        <v/>
      </c>
      <c r="AI100" s="14">
        <f>LEN(AH100)</f>
        <v/>
      </c>
      <c r="AJ100" s="14">
        <f>"Thanks for connecting"&amp;IF(O100&lt;&gt;"",", "&amp;O100,"")&amp;". "&amp;IF(ISNUMBER(AB100),"The "&amp;AC100&amp;" slot at "&amp;X100&amp;" is "&amp;IF(ISNUMBER(AB100),TEXT(AB100,"ddd d mmm")&amp;", "&amp;TEXT(AB100,"hh:mm"),"weekday evenings"),"We can book "&amp;AC100&amp;" at "&amp;X100&amp;" on a weekday evening that suits you")&amp;" and it's "&amp;IF(AD100&lt;&gt;"","£"&amp;IF(AD100=INT(AD100),TEXT(AD100,"0"),TEXT(AD100,"0.00")),"[PRICE PER PLAYER]")&amp;" a player, all booked and paid through one link. If football isn't your thing, who at "&amp;F100&amp;" would be the right person to organise a team game?"&amp;IF(Offer!$C$7&lt;&gt;""," Spots are held until "&amp;TEXT(Offer!$C$7,"dddd d mmmm")&amp;".","")&amp;" "&amp;IF(Offer!$C$6&lt;&gt;"",Offer!$C$6,"[JOINING LINK]")</f>
        <v/>
      </c>
      <c r="AK100" s="14">
        <f>IF(OR(ISNUMBER(SEARCH("[",AG100)),ISNUMBER(SEARCH("[",AJ100))),"Fill placeholders",IF(ISNUMBER(AB100),"Ready to send","Ready · no fixed slot"))</f>
        <v/>
      </c>
      <c r="AN100" s="17" t="n"/>
    </row>
    <row r="101">
      <c r="A101" s="11" t="n">
        <v>99</v>
      </c>
      <c r="B101" s="11" t="n">
        <v>2</v>
      </c>
      <c r="C101" s="11" t="inlineStr">
        <is>
          <t>Insurance / broker</t>
        </is>
      </c>
      <c r="D101" s="11" t="inlineStr">
        <is>
          <t>City of London</t>
        </is>
      </c>
      <c r="E101" s="11" t="inlineStr">
        <is>
          <t>Fidentia Insurance Brokers Limited</t>
        </is>
      </c>
      <c r="F101" s="11" t="inlineStr">
        <is>
          <t>Fidentia Insurance Brokers</t>
        </is>
      </c>
      <c r="G101" s="11" t="inlineStr">
        <is>
          <t>08620374</t>
        </is>
      </c>
      <c r="H101" s="12" t="inlineStr">
        <is>
          <t>Open</t>
        </is>
      </c>
      <c r="I101" s="12" t="inlineStr">
        <is>
          <t>Search</t>
        </is>
      </c>
      <c r="J101" s="11" t="inlineStr">
        <is>
          <t>Group</t>
        </is>
      </c>
      <c r="K101" s="13" t="n">
        <v>41478</v>
      </c>
      <c r="L101" s="11" t="inlineStr">
        <is>
          <t>Lloyd'S Avenue House, 6 Lloyd'S Avenue, London</t>
        </is>
      </c>
      <c r="M101" s="11" t="inlineStr">
        <is>
          <t>EC3N 3AX</t>
        </is>
      </c>
      <c r="N101" s="11" t="inlineStr">
        <is>
          <t>Yes</t>
        </is>
      </c>
      <c r="U101" s="11" t="inlineStr">
        <is>
          <t>Liverpool St - Attlee Centre</t>
        </is>
      </c>
      <c r="V101" s="11" t="n">
        <v>12</v>
      </c>
      <c r="W101" s="11" t="n"/>
      <c r="X101" s="11" t="inlineStr">
        <is>
          <t>Liverpool St - Attlee Centre</t>
        </is>
      </c>
      <c r="Y101" s="11" t="n">
        <v>12</v>
      </c>
      <c r="Z101" s="14">
        <f>IFERROR(INDEX(Venues!$E$2:$E$15,MATCH(X101,Venues!$A$2:$A$15,0)),"Not checked")</f>
        <v/>
      </c>
      <c r="AA101" s="14">
        <f>IFERROR(INDEX(Venues!$F$2:$F$15,MATCH(X101,Venues!$A$2:$A$15,0)),0)</f>
        <v/>
      </c>
      <c r="AB101" s="15">
        <f>IFERROR(INDEX(Venues!$M$2:$M$15,MATCH(X101,Venues!$A$2:$A$15,0)),"")</f>
        <v/>
      </c>
      <c r="AC101" s="14">
        <f>IFERROR(INDEX(Venues!$N$2:$N$15,MATCH(X101,Venues!$A$2:$A$15,0)),"5-a-side")</f>
        <v/>
      </c>
      <c r="AD101" s="16">
        <f>IF(Offer!$C$4="","",Offer!$C$4)</f>
        <v/>
      </c>
      <c r="AE101" s="14">
        <f>X101&amp;" ("&amp;Y101&amp;" min walk) · "&amp;IF(ISNUMBER(AB101),TEXT(AB101,"ddd d mmm, hh:mm"),"slot to confirm with venue")&amp;" · "&amp;AC101&amp;" · "&amp;IF(AD101&lt;&gt;"","£"&amp;TEXT(AD101,"0.00")&amp;" pp","price TBC")</f>
        <v/>
      </c>
      <c r="AF101" s="14">
        <f>"After-work football for "&amp;F101&amp;" · "&amp;X101&amp;", "&amp;Y101&amp;" min from your office"</f>
        <v/>
      </c>
      <c r="AG101" s="14">
        <f>"Hi"&amp;IF(O101&lt;&gt;""," "&amp;O101,"")&amp;","&amp;CHAR(10)&amp;CHAR(10)&amp;"I'm "&amp;IF(AL101&lt;&gt;"",AL101,IF(Offer!$C$5&lt;&gt;"",Offer!$C$5,"[NAME]"))&amp;" from FC Urban. We organise after-work football for teams in the City and Canary Wharf."&amp;CHAR(10)&amp;CHAR(10)&amp;"We have a "&amp;AC101&amp;" pitch at "&amp;X101&amp;", "&amp;IF(OR(Y101=8,Y101=11,Y101=18),"an ","a ")&amp;Y101&amp;"-minute walk from your "&amp;M101&amp;" office, "&amp;IF(ISNUMBER(AB101),"on "&amp;TEXT(AB101,"dddd d mmmm")&amp;" at "&amp;TEXT(AB101,"hh:mm"),"on a weekday evening that suits your team")&amp;". It's "&amp;IF(AD101&lt;&gt;"","£"&amp;IF(AD101=INT(AD101),TEXT(AD101,"0"),TEXT(AD101,"0.00")),"[PRICE PER PLAYER]")&amp;" a player and we handle the pitch booking, sign-ups and payments, so all it takes is one person sharing a link with the team."&amp;CHAR(10)&amp;CHAR(10)&amp;"It works well as a team social or "&amp;IF(ISNUMBER(SEARCH(LEFT(F101,1),"AEIOU")),"an ","a ")&amp;F101&amp;"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LINK]")&amp;CHAR(10)&amp;CHAR(10)&amp;"Best,"&amp;CHAR(10)&amp;IF(AL101&lt;&gt;"",AL101,IF(Offer!$C$5&lt;&gt;"",Offer!$C$5,"[NAME]"))&amp;CHAR(10)&amp;"FC Urban"</f>
        <v/>
      </c>
      <c r="AH101" s="14">
        <f>IF(LEN("Hi"&amp;IF(O101&lt;&gt;""," "&amp;O101,"")&amp;","&amp;" FC Urban runs after-work football for "&amp;IF(D101="Canary Wharf","Canary Wharf","City")&amp;" teams. We have a "&amp;AC101&amp;" pitch at "&amp;X101&amp;", "&amp;Y101&amp;" min from your office, "&amp;IF(ISNUMBER(AB101),TEXT(AB101,"ddd d mmm")&amp;", "&amp;TEXT(AB101,"hh:mm"),"weekday evenings")&amp;", "&amp;IF(AD101&lt;&gt;"","£"&amp;IF(AD101=INT(AD101),TEXT(AD101,"0"),TEXT(AD101,"0.00")),"[PRICE PER PLAYER]")&amp;" a player. We handle booking, sign-ups and payments. Fancy "&amp;IF(ISNUMBER(SEARCH(LEFT(F101,1),"AEIOU")),"an ","a ")&amp;F101&amp;" team game? "&amp;IF(AL101&lt;&gt;"",AL101,IF(Offer!$C$5&lt;&gt;"",Offer!$C$5,"[NAME]")))&lt;=300,"Hi"&amp;IF(O101&lt;&gt;""," "&amp;O101,"")&amp;","&amp;" FC Urban runs after-work football for "&amp;IF(D101="Canary Wharf","Canary Wharf","City")&amp;" teams. We have a "&amp;AC101&amp;" pitch at "&amp;X101&amp;", "&amp;Y101&amp;" min from your office, "&amp;IF(ISNUMBER(AB101),TEXT(AB101,"ddd d mmm")&amp;", "&amp;TEXT(AB101,"hh:mm"),"weekday evenings")&amp;", "&amp;IF(AD101&lt;&gt;"","£"&amp;IF(AD101=INT(AD101),TEXT(AD101,"0"),TEXT(AD101,"0.00")),"[PRICE PER PLAYER]")&amp;" a player. We handle booking, sign-ups and payments. Fancy "&amp;IF(ISNUMBER(SEARCH(LEFT(F101,1),"AEIOU")),"an ","a ")&amp;F101&amp;" team game? "&amp;IF(AL101&lt;&gt;"",AL101,IF(Offer!$C$5&lt;&gt;"",Offer!$C$5,"[NAME]")),LEFT("Hi"&amp;IF(O101&lt;&gt;""," "&amp;O101,"")&amp;","&amp;" FC Urban runs after-work football for "&amp;IF(D101="Canary Wharf","Canary Wharf","City")&amp;" teams: "&amp;AC101&amp;" at "&amp;X101&amp;", "&amp;Y101&amp;" min from your office, "&amp;IF(ISNUMBER(AB101),TEXT(AB101,"ddd d mmm")&amp;", "&amp;TEXT(AB101,"hh:mm"),"weekday evenings")&amp;", "&amp;IF(AD101&lt;&gt;"","£"&amp;IF(AD101=INT(AD101),TEXT(AD101,"0"),TEXT(AD101,"0.00")),"[PRICE PER PLAYER]")&amp;" pp. We handle booking and payments. Up for a team game? "&amp;IF(AL101&lt;&gt;"",AL101,IF(Offer!$C$5&lt;&gt;"",Offer!$C$5,"[NAME]")),300))</f>
        <v/>
      </c>
      <c r="AI101" s="14">
        <f>LEN(AH101)</f>
        <v/>
      </c>
      <c r="AJ101" s="14">
        <f>"Thanks for connecting"&amp;IF(O101&lt;&gt;"",", "&amp;O101,"")&amp;". "&amp;IF(ISNUMBER(AB101),"The "&amp;AC101&amp;" slot at "&amp;X101&amp;" is "&amp;IF(ISNUMBER(AB101),TEXT(AB101,"ddd d mmm")&amp;", "&amp;TEXT(AB101,"hh:mm"),"weekday evenings"),"We can book "&amp;AC101&amp;" at "&amp;X101&amp;" on a weekday evening that suits you")&amp;" and it's "&amp;IF(AD101&lt;&gt;"","£"&amp;IF(AD101=INT(AD101),TEXT(AD101,"0"),TEXT(AD101,"0.00")),"[PRICE PER PLAYER]")&amp;" a player, all booked and paid through one link. If football isn't your thing, who at "&amp;F101&amp;" would be the right person to organise a team game?"&amp;IF(Offer!$C$7&lt;&gt;""," Spots are held until "&amp;TEXT(Offer!$C$7,"dddd d mmmm")&amp;".","")&amp;" "&amp;IF(Offer!$C$6&lt;&gt;"",Offer!$C$6,"[JOINING LINK]")</f>
        <v/>
      </c>
      <c r="AK101" s="14">
        <f>IF(OR(ISNUMBER(SEARCH("[",AG101)),ISNUMBER(SEARCH("[",AJ101))),"Fill placeholders",IF(ISNUMBER(AB101),"Ready to send","Ready · no fixed slot"))</f>
        <v/>
      </c>
      <c r="AN101" s="17" t="n"/>
    </row>
    <row r="102">
      <c r="A102" s="11" t="n">
        <v>100</v>
      </c>
      <c r="B102" s="11" t="n">
        <v>2</v>
      </c>
      <c r="C102" s="11" t="inlineStr">
        <is>
          <t>Fund / asset manager</t>
        </is>
      </c>
      <c r="D102" s="11" t="inlineStr">
        <is>
          <t>City of London</t>
        </is>
      </c>
      <c r="E102" s="11" t="inlineStr">
        <is>
          <t>Plum Fintech Limited</t>
        </is>
      </c>
      <c r="F102" s="11" t="inlineStr">
        <is>
          <t>Plum Fintech</t>
        </is>
      </c>
      <c r="G102" s="11" t="inlineStr">
        <is>
          <t>09952199</t>
        </is>
      </c>
      <c r="H102" s="12" t="inlineStr">
        <is>
          <t>Open</t>
        </is>
      </c>
      <c r="I102" s="12" t="inlineStr">
        <is>
          <t>Search</t>
        </is>
      </c>
      <c r="J102" s="11" t="inlineStr">
        <is>
          <t>Group</t>
        </is>
      </c>
      <c r="K102" s="13" t="n">
        <v>42383</v>
      </c>
      <c r="L102" s="11" t="inlineStr">
        <is>
          <t>2-7 Clerkenwell Green, 2Nd Floor, London</t>
        </is>
      </c>
      <c r="M102" s="11" t="inlineStr">
        <is>
          <t>EC1R 0DE</t>
        </is>
      </c>
      <c r="N102" s="11" t="inlineStr">
        <is>
          <t>Yes</t>
        </is>
      </c>
      <c r="U102" s="11" t="inlineStr">
        <is>
          <t>Old St - Moreland Primary School</t>
        </is>
      </c>
      <c r="V102" s="11" t="n">
        <v>12</v>
      </c>
      <c r="W102" s="11" t="inlineStr">
        <is>
          <t>St Pancras - Coram's Fields 3G (18.8)</t>
        </is>
      </c>
      <c r="X102" s="11" t="inlineStr">
        <is>
          <t>Old St - Moreland Primary School</t>
        </is>
      </c>
      <c r="Y102" s="11" t="n">
        <v>12</v>
      </c>
      <c r="Z102" s="14">
        <f>IFERROR(INDEX(Venues!$E$2:$E$15,MATCH(X102,Venues!$A$2:$A$15,0)),"Not checked")</f>
        <v/>
      </c>
      <c r="AA102" s="14">
        <f>IFERROR(INDEX(Venues!$F$2:$F$15,MATCH(X102,Venues!$A$2:$A$15,0)),0)</f>
        <v/>
      </c>
      <c r="AB102" s="15">
        <f>IFERROR(INDEX(Venues!$M$2:$M$15,MATCH(X102,Venues!$A$2:$A$15,0)),"")</f>
        <v/>
      </c>
      <c r="AC102" s="14">
        <f>IFERROR(INDEX(Venues!$N$2:$N$15,MATCH(X102,Venues!$A$2:$A$15,0)),"5-a-side")</f>
        <v/>
      </c>
      <c r="AD102" s="16">
        <f>IF(Offer!$C$4="","",Offer!$C$4)</f>
        <v/>
      </c>
      <c r="AE102" s="14">
        <f>X102&amp;" ("&amp;Y102&amp;" min walk) · "&amp;IF(ISNUMBER(AB102),TEXT(AB102,"ddd d mmm, hh:mm"),"slot to confirm with venue")&amp;" · "&amp;AC102&amp;" · "&amp;IF(AD102&lt;&gt;"","£"&amp;TEXT(AD102,"0.00")&amp;" pp","price TBC")</f>
        <v/>
      </c>
      <c r="AF102" s="14">
        <f>"After-work football for "&amp;F102&amp;" · "&amp;X102&amp;", "&amp;Y102&amp;" min from your office"</f>
        <v/>
      </c>
      <c r="AG102" s="14">
        <f>"Hi"&amp;IF(O102&lt;&gt;""," "&amp;O102,"")&amp;","&amp;CHAR(10)&amp;CHAR(10)&amp;"I'm "&amp;IF(AL102&lt;&gt;"",AL102,IF(Offer!$C$5&lt;&gt;"",Offer!$C$5,"[NAME]"))&amp;" from FC Urban. We organise after-work football for teams in the City and Canary Wharf."&amp;CHAR(10)&amp;CHAR(10)&amp;"We have a "&amp;AC102&amp;" pitch at "&amp;X102&amp;", "&amp;IF(OR(Y102=8,Y102=11,Y102=18),"an ","a ")&amp;Y102&amp;"-minute walk from your "&amp;M102&amp;" office, "&amp;IF(ISNUMBER(AB102),"on "&amp;TEXT(AB102,"dddd d mmmm")&amp;" at "&amp;TEXT(AB102,"hh:mm"),"on a weekday evening that suits your team")&amp;". It's "&amp;IF(AD102&lt;&gt;"","£"&amp;IF(AD102=INT(AD102),TEXT(AD102,"0"),TEXT(AD102,"0.00")),"[PRICE PER PLAYER]")&amp;" a player and we handle the pitch booking, sign-ups and payments, so all it takes is one person sharing a link with the team."&amp;CHAR(10)&amp;CHAR(10)&amp;"It works well as a team social or "&amp;IF(ISNUMBER(SEARCH(LEFT(F102,1),"AEIOU")),"an ","a ")&amp;F102&amp;"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LINK]")&amp;CHAR(10)&amp;CHAR(10)&amp;"Best,"&amp;CHAR(10)&amp;IF(AL102&lt;&gt;"",AL102,IF(Offer!$C$5&lt;&gt;"",Offer!$C$5,"[NAME]"))&amp;CHAR(10)&amp;"FC Urban"</f>
        <v/>
      </c>
      <c r="AH102" s="14">
        <f>IF(LEN("Hi"&amp;IF(O102&lt;&gt;""," "&amp;O102,"")&amp;","&amp;" FC Urban runs after-work football for "&amp;IF(D102="Canary Wharf","Canary Wharf","City")&amp;" teams. We have a "&amp;AC102&amp;" pitch at "&amp;X102&amp;", "&amp;Y102&amp;" min from your office, "&amp;IF(ISNUMBER(AB102),TEXT(AB102,"ddd d mmm")&amp;", "&amp;TEXT(AB102,"hh:mm"),"weekday evenings")&amp;", "&amp;IF(AD102&lt;&gt;"","£"&amp;IF(AD102=INT(AD102),TEXT(AD102,"0"),TEXT(AD102,"0.00")),"[PRICE PER PLAYER]")&amp;" a player. We handle booking, sign-ups and payments. Fancy "&amp;IF(ISNUMBER(SEARCH(LEFT(F102,1),"AEIOU")),"an ","a ")&amp;F102&amp;" team game? "&amp;IF(AL102&lt;&gt;"",AL102,IF(Offer!$C$5&lt;&gt;"",Offer!$C$5,"[NAME]")))&lt;=300,"Hi"&amp;IF(O102&lt;&gt;""," "&amp;O102,"")&amp;","&amp;" FC Urban runs after-work football for "&amp;IF(D102="Canary Wharf","Canary Wharf","City")&amp;" teams. We have a "&amp;AC102&amp;" pitch at "&amp;X102&amp;", "&amp;Y102&amp;" min from your office, "&amp;IF(ISNUMBER(AB102),TEXT(AB102,"ddd d mmm")&amp;", "&amp;TEXT(AB102,"hh:mm"),"weekday evenings")&amp;", "&amp;IF(AD102&lt;&gt;"","£"&amp;IF(AD102=INT(AD102),TEXT(AD102,"0"),TEXT(AD102,"0.00")),"[PRICE PER PLAYER]")&amp;" a player. We handle booking, sign-ups and payments. Fancy "&amp;IF(ISNUMBER(SEARCH(LEFT(F102,1),"AEIOU")),"an ","a ")&amp;F102&amp;" team game? "&amp;IF(AL102&lt;&gt;"",AL102,IF(Offer!$C$5&lt;&gt;"",Offer!$C$5,"[NAME]")),LEFT("Hi"&amp;IF(O102&lt;&gt;""," "&amp;O102,"")&amp;","&amp;" FC Urban runs after-work football for "&amp;IF(D102="Canary Wharf","Canary Wharf","City")&amp;" teams: "&amp;AC102&amp;" at "&amp;X102&amp;", "&amp;Y102&amp;" min from your office, "&amp;IF(ISNUMBER(AB102),TEXT(AB102,"ddd d mmm")&amp;", "&amp;TEXT(AB102,"hh:mm"),"weekday evenings")&amp;", "&amp;IF(AD102&lt;&gt;"","£"&amp;IF(AD102=INT(AD102),TEXT(AD102,"0"),TEXT(AD102,"0.00")),"[PRICE PER PLAYER]")&amp;" pp. We handle booking and payments. Up for a team game? "&amp;IF(AL102&lt;&gt;"",AL102,IF(Offer!$C$5&lt;&gt;"",Offer!$C$5,"[NAME]")),300))</f>
        <v/>
      </c>
      <c r="AI102" s="14">
        <f>LEN(AH102)</f>
        <v/>
      </c>
      <c r="AJ102" s="14">
        <f>"Thanks for connecting"&amp;IF(O102&lt;&gt;"",", "&amp;O102,"")&amp;". "&amp;IF(ISNUMBER(AB102),"The "&amp;AC102&amp;" slot at "&amp;X102&amp;" is "&amp;IF(ISNUMBER(AB102),TEXT(AB102,"ddd d mmm")&amp;", "&amp;TEXT(AB102,"hh:mm"),"weekday evenings"),"We can book "&amp;AC102&amp;" at "&amp;X102&amp;" on a weekday evening that suits you")&amp;" and it's "&amp;IF(AD102&lt;&gt;"","£"&amp;IF(AD102=INT(AD102),TEXT(AD102,"0"),TEXT(AD102,"0.00")),"[PRICE PER PLAYER]")&amp;" a player, all booked and paid through one link. If football isn't your thing, who at "&amp;F102&amp;" would be the right person to organise a team game?"&amp;IF(Offer!$C$7&lt;&gt;""," Spots are held until "&amp;TEXT(Offer!$C$7,"dddd d mmmm")&amp;".","")&amp;" "&amp;IF(Offer!$C$6&lt;&gt;"",Offer!$C$6,"[JOINING LINK]")</f>
        <v/>
      </c>
      <c r="AK102" s="14">
        <f>IF(OR(ISNUMBER(SEARCH("[",AG102)),ISNUMBER(SEARCH("[",AJ102))),"Fill placeholders",IF(ISNUMBER(AB102),"Ready to send","Ready · no fixed slot"))</f>
        <v/>
      </c>
      <c r="AN102" s="17" t="n"/>
    </row>
    <row r="103">
      <c r="A103" s="11" t="n">
        <v>101</v>
      </c>
      <c r="B103" s="11" t="n">
        <v>2</v>
      </c>
      <c r="C103" s="11" t="inlineStr">
        <is>
          <t>Insurance / broker</t>
        </is>
      </c>
      <c r="D103" s="11" t="inlineStr">
        <is>
          <t>City of London</t>
        </is>
      </c>
      <c r="E103" s="11" t="inlineStr">
        <is>
          <t>Aegis London Holdings Limited</t>
        </is>
      </c>
      <c r="F103" s="11" t="inlineStr">
        <is>
          <t>Aegis London</t>
        </is>
      </c>
      <c r="G103" s="11" t="inlineStr">
        <is>
          <t>07984021</t>
        </is>
      </c>
      <c r="H103" s="12" t="inlineStr">
        <is>
          <t>Open</t>
        </is>
      </c>
      <c r="I103" s="12" t="inlineStr">
        <is>
          <t>Search</t>
        </is>
      </c>
      <c r="J103" s="11" t="inlineStr">
        <is>
          <t>Group</t>
        </is>
      </c>
      <c r="K103" s="13" t="n">
        <v>40977</v>
      </c>
      <c r="L103" s="11" t="inlineStr">
        <is>
          <t>25 Fenchurch Avenue, London</t>
        </is>
      </c>
      <c r="M103" s="11" t="inlineStr">
        <is>
          <t>EC3M 5AD</t>
        </is>
      </c>
      <c r="N103" s="11" t="inlineStr">
        <is>
          <t>No</t>
        </is>
      </c>
      <c r="U103" s="11" t="inlineStr">
        <is>
          <t>Liverpool St - Attlee Centre</t>
        </is>
      </c>
      <c r="V103" s="11" t="n">
        <v>13</v>
      </c>
      <c r="W103" s="11" t="n"/>
      <c r="X103" s="11" t="inlineStr">
        <is>
          <t>Liverpool St - Attlee Centre</t>
        </is>
      </c>
      <c r="Y103" s="11" t="n">
        <v>13</v>
      </c>
      <c r="Z103" s="14">
        <f>IFERROR(INDEX(Venues!$E$2:$E$15,MATCH(X103,Venues!$A$2:$A$15,0)),"Not checked")</f>
        <v/>
      </c>
      <c r="AA103" s="14">
        <f>IFERROR(INDEX(Venues!$F$2:$F$15,MATCH(X103,Venues!$A$2:$A$15,0)),0)</f>
        <v/>
      </c>
      <c r="AB103" s="15">
        <f>IFERROR(INDEX(Venues!$M$2:$M$15,MATCH(X103,Venues!$A$2:$A$15,0)),"")</f>
        <v/>
      </c>
      <c r="AC103" s="14">
        <f>IFERROR(INDEX(Venues!$N$2:$N$15,MATCH(X103,Venues!$A$2:$A$15,0)),"5-a-side")</f>
        <v/>
      </c>
      <c r="AD103" s="16">
        <f>IF(Offer!$C$4="","",Offer!$C$4)</f>
        <v/>
      </c>
      <c r="AE103" s="14">
        <f>X103&amp;" ("&amp;Y103&amp;" min walk) · "&amp;IF(ISNUMBER(AB103),TEXT(AB103,"ddd d mmm, hh:mm"),"slot to confirm with venue")&amp;" · "&amp;AC103&amp;" · "&amp;IF(AD103&lt;&gt;"","£"&amp;TEXT(AD103,"0.00")&amp;" pp","price TBC")</f>
        <v/>
      </c>
      <c r="AF103" s="14">
        <f>"After-work football for "&amp;F103&amp;" · "&amp;X103&amp;", "&amp;Y103&amp;" min from your office"</f>
        <v/>
      </c>
      <c r="AG103" s="14">
        <f>"Hi"&amp;IF(O103&lt;&gt;""," "&amp;O103,"")&amp;","&amp;CHAR(10)&amp;CHAR(10)&amp;"I'm "&amp;IF(AL103&lt;&gt;"",AL103,IF(Offer!$C$5&lt;&gt;"",Offer!$C$5,"[NAME]"))&amp;" from FC Urban. We organise after-work football for teams in the City and Canary Wharf."&amp;CHAR(10)&amp;CHAR(10)&amp;"We have a "&amp;AC103&amp;" pitch at "&amp;X103&amp;", "&amp;IF(OR(Y103=8,Y103=11,Y103=18),"an ","a ")&amp;Y103&amp;"-minute walk from your "&amp;M103&amp;" office, "&amp;IF(ISNUMBER(AB103),"on "&amp;TEXT(AB103,"dddd d mmmm")&amp;" at "&amp;TEXT(AB103,"hh:mm"),"on a weekday evening that suits your team")&amp;". It's "&amp;IF(AD103&lt;&gt;"","£"&amp;IF(AD103=INT(AD103),TEXT(AD103,"0"),TEXT(AD103,"0.00")),"[PRICE PER PLAYER]")&amp;" a player and we handle the pitch booking, sign-ups and payments, so all it takes is one person sharing a link with the team."&amp;CHAR(10)&amp;CHAR(10)&amp;"It works well as a team social or "&amp;IF(ISNUMBER(SEARCH(LEFT(F103,1),"AEIOU")),"an ","a ")&amp;F103&amp;"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LINK]")&amp;CHAR(10)&amp;CHAR(10)&amp;"Best,"&amp;CHAR(10)&amp;IF(AL103&lt;&gt;"",AL103,IF(Offer!$C$5&lt;&gt;"",Offer!$C$5,"[NAME]"))&amp;CHAR(10)&amp;"FC Urban"</f>
        <v/>
      </c>
      <c r="AH103" s="14">
        <f>IF(LEN("Hi"&amp;IF(O103&lt;&gt;""," "&amp;O103,"")&amp;","&amp;" FC Urban runs after-work football for "&amp;IF(D103="Canary Wharf","Canary Wharf","City")&amp;" teams. We have a "&amp;AC103&amp;" pitch at "&amp;X103&amp;", "&amp;Y103&amp;" min from your office, "&amp;IF(ISNUMBER(AB103),TEXT(AB103,"ddd d mmm")&amp;", "&amp;TEXT(AB103,"hh:mm"),"weekday evenings")&amp;", "&amp;IF(AD103&lt;&gt;"","£"&amp;IF(AD103=INT(AD103),TEXT(AD103,"0"),TEXT(AD103,"0.00")),"[PRICE PER PLAYER]")&amp;" a player. We handle booking, sign-ups and payments. Fancy "&amp;IF(ISNUMBER(SEARCH(LEFT(F103,1),"AEIOU")),"an ","a ")&amp;F103&amp;" team game? "&amp;IF(AL103&lt;&gt;"",AL103,IF(Offer!$C$5&lt;&gt;"",Offer!$C$5,"[NAME]")))&lt;=300,"Hi"&amp;IF(O103&lt;&gt;""," "&amp;O103,"")&amp;","&amp;" FC Urban runs after-work football for "&amp;IF(D103="Canary Wharf","Canary Wharf","City")&amp;" teams. We have a "&amp;AC103&amp;" pitch at "&amp;X103&amp;", "&amp;Y103&amp;" min from your office, "&amp;IF(ISNUMBER(AB103),TEXT(AB103,"ddd d mmm")&amp;", "&amp;TEXT(AB103,"hh:mm"),"weekday evenings")&amp;", "&amp;IF(AD103&lt;&gt;"","£"&amp;IF(AD103=INT(AD103),TEXT(AD103,"0"),TEXT(AD103,"0.00")),"[PRICE PER PLAYER]")&amp;" a player. We handle booking, sign-ups and payments. Fancy "&amp;IF(ISNUMBER(SEARCH(LEFT(F103,1),"AEIOU")),"an ","a ")&amp;F103&amp;" team game? "&amp;IF(AL103&lt;&gt;"",AL103,IF(Offer!$C$5&lt;&gt;"",Offer!$C$5,"[NAME]")),LEFT("Hi"&amp;IF(O103&lt;&gt;""," "&amp;O103,"")&amp;","&amp;" FC Urban runs after-work football for "&amp;IF(D103="Canary Wharf","Canary Wharf","City")&amp;" teams: "&amp;AC103&amp;" at "&amp;X103&amp;", "&amp;Y103&amp;" min from your office, "&amp;IF(ISNUMBER(AB103),TEXT(AB103,"ddd d mmm")&amp;", "&amp;TEXT(AB103,"hh:mm"),"weekday evenings")&amp;", "&amp;IF(AD103&lt;&gt;"","£"&amp;IF(AD103=INT(AD103),TEXT(AD103,"0"),TEXT(AD103,"0.00")),"[PRICE PER PLAYER]")&amp;" pp. We handle booking and payments. Up for a team game? "&amp;IF(AL103&lt;&gt;"",AL103,IF(Offer!$C$5&lt;&gt;"",Offer!$C$5,"[NAME]")),300))</f>
        <v/>
      </c>
      <c r="AI103" s="14">
        <f>LEN(AH103)</f>
        <v/>
      </c>
      <c r="AJ103" s="14">
        <f>"Thanks for connecting"&amp;IF(O103&lt;&gt;"",", "&amp;O103,"")&amp;". "&amp;IF(ISNUMBER(AB103),"The "&amp;AC103&amp;" slot at "&amp;X103&amp;" is "&amp;IF(ISNUMBER(AB103),TEXT(AB103,"ddd d mmm")&amp;", "&amp;TEXT(AB103,"hh:mm"),"weekday evenings"),"We can book "&amp;AC103&amp;" at "&amp;X103&amp;" on a weekday evening that suits you")&amp;" and it's "&amp;IF(AD103&lt;&gt;"","£"&amp;IF(AD103=INT(AD103),TEXT(AD103,"0"),TEXT(AD103,"0.00")),"[PRICE PER PLAYER]")&amp;" a player, all booked and paid through one link. If football isn't your thing, who at "&amp;F103&amp;" would be the right person to organise a team game?"&amp;IF(Offer!$C$7&lt;&gt;""," Spots are held until "&amp;TEXT(Offer!$C$7,"dddd d mmmm")&amp;".","")&amp;" "&amp;IF(Offer!$C$6&lt;&gt;"",Offer!$C$6,"[JOINING LINK]")</f>
        <v/>
      </c>
      <c r="AK103" s="14">
        <f>IF(OR(ISNUMBER(SEARCH("[",AG103)),ISNUMBER(SEARCH("[",AJ103))),"Fill placeholders",IF(ISNUMBER(AB103),"Ready to send","Ready · no fixed slot"))</f>
        <v/>
      </c>
      <c r="AN103" s="17" t="n"/>
    </row>
    <row r="104">
      <c r="A104" s="11" t="n">
        <v>102</v>
      </c>
      <c r="B104" s="11" t="n">
        <v>2</v>
      </c>
      <c r="C104" s="11" t="inlineStr">
        <is>
          <t>Insurance / broker</t>
        </is>
      </c>
      <c r="D104" s="11" t="inlineStr">
        <is>
          <t>City of London</t>
        </is>
      </c>
      <c r="E104" s="11" t="inlineStr">
        <is>
          <t>Inigo Limited</t>
        </is>
      </c>
      <c r="F104" s="11" t="inlineStr">
        <is>
          <t>Inigo</t>
        </is>
      </c>
      <c r="G104" s="11" t="inlineStr">
        <is>
          <t>12764745</t>
        </is>
      </c>
      <c r="H104" s="12" t="inlineStr">
        <is>
          <t>Open</t>
        </is>
      </c>
      <c r="I104" s="12" t="inlineStr">
        <is>
          <t>Search</t>
        </is>
      </c>
      <c r="J104" s="11" t="inlineStr">
        <is>
          <t>Group</t>
        </is>
      </c>
      <c r="K104" s="13" t="n">
        <v>44035</v>
      </c>
      <c r="L104" s="11" t="inlineStr">
        <is>
          <t>25 Fenchurch Avenue, London</t>
        </is>
      </c>
      <c r="M104" s="11" t="inlineStr">
        <is>
          <t>EC3M 5AD</t>
        </is>
      </c>
      <c r="N104" s="11" t="inlineStr">
        <is>
          <t>No</t>
        </is>
      </c>
      <c r="U104" s="11" t="inlineStr">
        <is>
          <t>Liverpool St - Attlee Centre</t>
        </is>
      </c>
      <c r="V104" s="11" t="n">
        <v>13</v>
      </c>
      <c r="W104" s="11" t="n"/>
      <c r="X104" s="11" t="inlineStr">
        <is>
          <t>Liverpool St - Attlee Centre</t>
        </is>
      </c>
      <c r="Y104" s="11" t="n">
        <v>13</v>
      </c>
      <c r="Z104" s="14">
        <f>IFERROR(INDEX(Venues!$E$2:$E$15,MATCH(X104,Venues!$A$2:$A$15,0)),"Not checked")</f>
        <v/>
      </c>
      <c r="AA104" s="14">
        <f>IFERROR(INDEX(Venues!$F$2:$F$15,MATCH(X104,Venues!$A$2:$A$15,0)),0)</f>
        <v/>
      </c>
      <c r="AB104" s="15">
        <f>IFERROR(INDEX(Venues!$M$2:$M$15,MATCH(X104,Venues!$A$2:$A$15,0)),"")</f>
        <v/>
      </c>
      <c r="AC104" s="14">
        <f>IFERROR(INDEX(Venues!$N$2:$N$15,MATCH(X104,Venues!$A$2:$A$15,0)),"5-a-side")</f>
        <v/>
      </c>
      <c r="AD104" s="16">
        <f>IF(Offer!$C$4="","",Offer!$C$4)</f>
        <v/>
      </c>
      <c r="AE104" s="14">
        <f>X104&amp;" ("&amp;Y104&amp;" min walk) · "&amp;IF(ISNUMBER(AB104),TEXT(AB104,"ddd d mmm, hh:mm"),"slot to confirm with venue")&amp;" · "&amp;AC104&amp;" · "&amp;IF(AD104&lt;&gt;"","£"&amp;TEXT(AD104,"0.00")&amp;" pp","price TBC")</f>
        <v/>
      </c>
      <c r="AF104" s="14">
        <f>"After-work football for "&amp;F104&amp;" · "&amp;X104&amp;", "&amp;Y104&amp;" min from your office"</f>
        <v/>
      </c>
      <c r="AG104" s="14">
        <f>"Hi"&amp;IF(O104&lt;&gt;""," "&amp;O104,"")&amp;","&amp;CHAR(10)&amp;CHAR(10)&amp;"I'm "&amp;IF(AL104&lt;&gt;"",AL104,IF(Offer!$C$5&lt;&gt;"",Offer!$C$5,"[NAME]"))&amp;" from FC Urban. We organise after-work football for teams in the City and Canary Wharf."&amp;CHAR(10)&amp;CHAR(10)&amp;"We have a "&amp;AC104&amp;" pitch at "&amp;X104&amp;", "&amp;IF(OR(Y104=8,Y104=11,Y104=18),"an ","a ")&amp;Y104&amp;"-minute walk from your "&amp;M104&amp;" office, "&amp;IF(ISNUMBER(AB104),"on "&amp;TEXT(AB104,"dddd d mmmm")&amp;" at "&amp;TEXT(AB104,"hh:mm"),"on a weekday evening that suits your team")&amp;". It's "&amp;IF(AD104&lt;&gt;"","£"&amp;IF(AD104=INT(AD104),TEXT(AD104,"0"),TEXT(AD104,"0.00")),"[PRICE PER PLAYER]")&amp;" a player and we handle the pitch booking, sign-ups and payments, so all it takes is one person sharing a link with the team."&amp;CHAR(10)&amp;CHAR(10)&amp;"It works well as a team social or "&amp;IF(ISNUMBER(SEARCH(LEFT(F104,1),"AEIOU")),"an ","a ")&amp;F104&amp;"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LINK]")&amp;CHAR(10)&amp;CHAR(10)&amp;"Best,"&amp;CHAR(10)&amp;IF(AL104&lt;&gt;"",AL104,IF(Offer!$C$5&lt;&gt;"",Offer!$C$5,"[NAME]"))&amp;CHAR(10)&amp;"FC Urban"</f>
        <v/>
      </c>
      <c r="AH104" s="14">
        <f>IF(LEN("Hi"&amp;IF(O104&lt;&gt;""," "&amp;O104,"")&amp;","&amp;" FC Urban runs after-work football for "&amp;IF(D104="Canary Wharf","Canary Wharf","City")&amp;" teams. We have a "&amp;AC104&amp;" pitch at "&amp;X104&amp;", "&amp;Y104&amp;" min from your office, "&amp;IF(ISNUMBER(AB104),TEXT(AB104,"ddd d mmm")&amp;", "&amp;TEXT(AB104,"hh:mm"),"weekday evenings")&amp;", "&amp;IF(AD104&lt;&gt;"","£"&amp;IF(AD104=INT(AD104),TEXT(AD104,"0"),TEXT(AD104,"0.00")),"[PRICE PER PLAYER]")&amp;" a player. We handle booking, sign-ups and payments. Fancy "&amp;IF(ISNUMBER(SEARCH(LEFT(F104,1),"AEIOU")),"an ","a ")&amp;F104&amp;" team game? "&amp;IF(AL104&lt;&gt;"",AL104,IF(Offer!$C$5&lt;&gt;"",Offer!$C$5,"[NAME]")))&lt;=300,"Hi"&amp;IF(O104&lt;&gt;""," "&amp;O104,"")&amp;","&amp;" FC Urban runs after-work football for "&amp;IF(D104="Canary Wharf","Canary Wharf","City")&amp;" teams. We have a "&amp;AC104&amp;" pitch at "&amp;X104&amp;", "&amp;Y104&amp;" min from your office, "&amp;IF(ISNUMBER(AB104),TEXT(AB104,"ddd d mmm")&amp;", "&amp;TEXT(AB104,"hh:mm"),"weekday evenings")&amp;", "&amp;IF(AD104&lt;&gt;"","£"&amp;IF(AD104=INT(AD104),TEXT(AD104,"0"),TEXT(AD104,"0.00")),"[PRICE PER PLAYER]")&amp;" a player. We handle booking, sign-ups and payments. Fancy "&amp;IF(ISNUMBER(SEARCH(LEFT(F104,1),"AEIOU")),"an ","a ")&amp;F104&amp;" team game? "&amp;IF(AL104&lt;&gt;"",AL104,IF(Offer!$C$5&lt;&gt;"",Offer!$C$5,"[NAME]")),LEFT("Hi"&amp;IF(O104&lt;&gt;""," "&amp;O104,"")&amp;","&amp;" FC Urban runs after-work football for "&amp;IF(D104="Canary Wharf","Canary Wharf","City")&amp;" teams: "&amp;AC104&amp;" at "&amp;X104&amp;", "&amp;Y104&amp;" min from your office, "&amp;IF(ISNUMBER(AB104),TEXT(AB104,"ddd d mmm")&amp;", "&amp;TEXT(AB104,"hh:mm"),"weekday evenings")&amp;", "&amp;IF(AD104&lt;&gt;"","£"&amp;IF(AD104=INT(AD104),TEXT(AD104,"0"),TEXT(AD104,"0.00")),"[PRICE PER PLAYER]")&amp;" pp. We handle booking and payments. Up for a team game? "&amp;IF(AL104&lt;&gt;"",AL104,IF(Offer!$C$5&lt;&gt;"",Offer!$C$5,"[NAME]")),300))</f>
        <v/>
      </c>
      <c r="AI104" s="14">
        <f>LEN(AH104)</f>
        <v/>
      </c>
      <c r="AJ104" s="14">
        <f>"Thanks for connecting"&amp;IF(O104&lt;&gt;"",", "&amp;O104,"")&amp;". "&amp;IF(ISNUMBER(AB104),"The "&amp;AC104&amp;" slot at "&amp;X104&amp;" is "&amp;IF(ISNUMBER(AB104),TEXT(AB104,"ddd d mmm")&amp;", "&amp;TEXT(AB104,"hh:mm"),"weekday evenings"),"We can book "&amp;AC104&amp;" at "&amp;X104&amp;" on a weekday evening that suits you")&amp;" and it's "&amp;IF(AD104&lt;&gt;"","£"&amp;IF(AD104=INT(AD104),TEXT(AD104,"0"),TEXT(AD104,"0.00")),"[PRICE PER PLAYER]")&amp;" a player, all booked and paid through one link. If football isn't your thing, who at "&amp;F104&amp;" would be the right person to organise a team game?"&amp;IF(Offer!$C$7&lt;&gt;""," Spots are held until "&amp;TEXT(Offer!$C$7,"dddd d mmmm")&amp;".","")&amp;" "&amp;IF(Offer!$C$6&lt;&gt;"",Offer!$C$6,"[JOINING LINK]")</f>
        <v/>
      </c>
      <c r="AK104" s="14">
        <f>IF(OR(ISNUMBER(SEARCH("[",AG104)),ISNUMBER(SEARCH("[",AJ104))),"Fill placeholders",IF(ISNUMBER(AB104),"Ready to send","Ready · no fixed slot"))</f>
        <v/>
      </c>
      <c r="AN104" s="17" t="n"/>
    </row>
    <row r="105">
      <c r="A105" s="11" t="n">
        <v>103</v>
      </c>
      <c r="B105" s="11" t="n">
        <v>2</v>
      </c>
      <c r="C105" s="11" t="inlineStr">
        <is>
          <t>Insurance / broker</t>
        </is>
      </c>
      <c r="D105" s="11" t="inlineStr">
        <is>
          <t>City of London</t>
        </is>
      </c>
      <c r="E105" s="11" t="inlineStr">
        <is>
          <t>AIG Europe (Services) Limited</t>
        </is>
      </c>
      <c r="F105" s="11" t="inlineStr">
        <is>
          <t>AIG</t>
        </is>
      </c>
      <c r="G105" s="11" t="inlineStr">
        <is>
          <t>00521852</t>
        </is>
      </c>
      <c r="H105" s="12" t="inlineStr">
        <is>
          <t>Open</t>
        </is>
      </c>
      <c r="I105" s="12" t="inlineStr">
        <is>
          <t>Search</t>
        </is>
      </c>
      <c r="J105" s="11" t="inlineStr">
        <is>
          <t>Group</t>
        </is>
      </c>
      <c r="K105" s="13" t="n">
        <v>19557</v>
      </c>
      <c r="L105" s="11" t="inlineStr">
        <is>
          <t>The Aig Building, 58 Fenchurch Street, London</t>
        </is>
      </c>
      <c r="M105" s="11" t="inlineStr">
        <is>
          <t>EC3M 4AB</t>
        </is>
      </c>
      <c r="N105" s="11" t="inlineStr">
        <is>
          <t>No</t>
        </is>
      </c>
      <c r="U105" s="11" t="inlineStr">
        <is>
          <t>Liverpool St - Attlee Centre</t>
        </is>
      </c>
      <c r="V105" s="11" t="n">
        <v>13</v>
      </c>
      <c r="W105" s="11" t="n"/>
      <c r="X105" s="11" t="inlineStr">
        <is>
          <t>Liverpool St - Attlee Centre</t>
        </is>
      </c>
      <c r="Y105" s="11" t="n">
        <v>13</v>
      </c>
      <c r="Z105" s="14">
        <f>IFERROR(INDEX(Venues!$E$2:$E$15,MATCH(X105,Venues!$A$2:$A$15,0)),"Not checked")</f>
        <v/>
      </c>
      <c r="AA105" s="14">
        <f>IFERROR(INDEX(Venues!$F$2:$F$15,MATCH(X105,Venues!$A$2:$A$15,0)),0)</f>
        <v/>
      </c>
      <c r="AB105" s="15">
        <f>IFERROR(INDEX(Venues!$M$2:$M$15,MATCH(X105,Venues!$A$2:$A$15,0)),"")</f>
        <v/>
      </c>
      <c r="AC105" s="14">
        <f>IFERROR(INDEX(Venues!$N$2:$N$15,MATCH(X105,Venues!$A$2:$A$15,0)),"5-a-side")</f>
        <v/>
      </c>
      <c r="AD105" s="16">
        <f>IF(Offer!$C$4="","",Offer!$C$4)</f>
        <v/>
      </c>
      <c r="AE105" s="14">
        <f>X105&amp;" ("&amp;Y105&amp;" min walk) · "&amp;IF(ISNUMBER(AB105),TEXT(AB105,"ddd d mmm, hh:mm"),"slot to confirm with venue")&amp;" · "&amp;AC105&amp;" · "&amp;IF(AD105&lt;&gt;"","£"&amp;TEXT(AD105,"0.00")&amp;" pp","price TBC")</f>
        <v/>
      </c>
      <c r="AF105" s="14">
        <f>"After-work football for "&amp;F105&amp;" · "&amp;X105&amp;", "&amp;Y105&amp;" min from your office"</f>
        <v/>
      </c>
      <c r="AG105" s="14">
        <f>"Hi"&amp;IF(O105&lt;&gt;""," "&amp;O105,"")&amp;","&amp;CHAR(10)&amp;CHAR(10)&amp;"I'm "&amp;IF(AL105&lt;&gt;"",AL105,IF(Offer!$C$5&lt;&gt;"",Offer!$C$5,"[NAME]"))&amp;" from FC Urban. We organise after-work football for teams in the City and Canary Wharf."&amp;CHAR(10)&amp;CHAR(10)&amp;"We have a "&amp;AC105&amp;" pitch at "&amp;X105&amp;", "&amp;IF(OR(Y105=8,Y105=11,Y105=18),"an ","a ")&amp;Y105&amp;"-minute walk from your "&amp;M105&amp;" office, "&amp;IF(ISNUMBER(AB105),"on "&amp;TEXT(AB105,"dddd d mmmm")&amp;" at "&amp;TEXT(AB105,"hh:mm"),"on a weekday evening that suits your team")&amp;". It's "&amp;IF(AD105&lt;&gt;"","£"&amp;IF(AD105=INT(AD105),TEXT(AD105,"0"),TEXT(AD105,"0.00")),"[PRICE PER PLAYER]")&amp;" a player and we handle the pitch booking, sign-ups and payments, so all it takes is one person sharing a link with the team."&amp;CHAR(10)&amp;CHAR(10)&amp;"It works well as a team social or "&amp;IF(ISNUMBER(SEARCH(LEFT(F105,1),"AEIOU")),"an ","a ")&amp;F105&amp;"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LINK]")&amp;CHAR(10)&amp;CHAR(10)&amp;"Best,"&amp;CHAR(10)&amp;IF(AL105&lt;&gt;"",AL105,IF(Offer!$C$5&lt;&gt;"",Offer!$C$5,"[NAME]"))&amp;CHAR(10)&amp;"FC Urban"</f>
        <v/>
      </c>
      <c r="AH105" s="14">
        <f>IF(LEN("Hi"&amp;IF(O105&lt;&gt;""," "&amp;O105,"")&amp;","&amp;" FC Urban runs after-work football for "&amp;IF(D105="Canary Wharf","Canary Wharf","City")&amp;" teams. We have a "&amp;AC105&amp;" pitch at "&amp;X105&amp;", "&amp;Y105&amp;" min from your office, "&amp;IF(ISNUMBER(AB105),TEXT(AB105,"ddd d mmm")&amp;", "&amp;TEXT(AB105,"hh:mm"),"weekday evenings")&amp;", "&amp;IF(AD105&lt;&gt;"","£"&amp;IF(AD105=INT(AD105),TEXT(AD105,"0"),TEXT(AD105,"0.00")),"[PRICE PER PLAYER]")&amp;" a player. We handle booking, sign-ups and payments. Fancy "&amp;IF(ISNUMBER(SEARCH(LEFT(F105,1),"AEIOU")),"an ","a ")&amp;F105&amp;" team game? "&amp;IF(AL105&lt;&gt;"",AL105,IF(Offer!$C$5&lt;&gt;"",Offer!$C$5,"[NAME]")))&lt;=300,"Hi"&amp;IF(O105&lt;&gt;""," "&amp;O105,"")&amp;","&amp;" FC Urban runs after-work football for "&amp;IF(D105="Canary Wharf","Canary Wharf","City")&amp;" teams. We have a "&amp;AC105&amp;" pitch at "&amp;X105&amp;", "&amp;Y105&amp;" min from your office, "&amp;IF(ISNUMBER(AB105),TEXT(AB105,"ddd d mmm")&amp;", "&amp;TEXT(AB105,"hh:mm"),"weekday evenings")&amp;", "&amp;IF(AD105&lt;&gt;"","£"&amp;IF(AD105=INT(AD105),TEXT(AD105,"0"),TEXT(AD105,"0.00")),"[PRICE PER PLAYER]")&amp;" a player. We handle booking, sign-ups and payments. Fancy "&amp;IF(ISNUMBER(SEARCH(LEFT(F105,1),"AEIOU")),"an ","a ")&amp;F105&amp;" team game? "&amp;IF(AL105&lt;&gt;"",AL105,IF(Offer!$C$5&lt;&gt;"",Offer!$C$5,"[NAME]")),LEFT("Hi"&amp;IF(O105&lt;&gt;""," "&amp;O105,"")&amp;","&amp;" FC Urban runs after-work football for "&amp;IF(D105="Canary Wharf","Canary Wharf","City")&amp;" teams: "&amp;AC105&amp;" at "&amp;X105&amp;", "&amp;Y105&amp;" min from your office, "&amp;IF(ISNUMBER(AB105),TEXT(AB105,"ddd d mmm")&amp;", "&amp;TEXT(AB105,"hh:mm"),"weekday evenings")&amp;", "&amp;IF(AD105&lt;&gt;"","£"&amp;IF(AD105=INT(AD105),TEXT(AD105,"0"),TEXT(AD105,"0.00")),"[PRICE PER PLAYER]")&amp;" pp. We handle booking and payments. Up for a team game? "&amp;IF(AL105&lt;&gt;"",AL105,IF(Offer!$C$5&lt;&gt;"",Offer!$C$5,"[NAME]")),300))</f>
        <v/>
      </c>
      <c r="AI105" s="14">
        <f>LEN(AH105)</f>
        <v/>
      </c>
      <c r="AJ105" s="14">
        <f>"Thanks for connecting"&amp;IF(O105&lt;&gt;"",", "&amp;O105,"")&amp;". "&amp;IF(ISNUMBER(AB105),"The "&amp;AC105&amp;" slot at "&amp;X105&amp;" is "&amp;IF(ISNUMBER(AB105),TEXT(AB105,"ddd d mmm")&amp;", "&amp;TEXT(AB105,"hh:mm"),"weekday evenings"),"We can book "&amp;AC105&amp;" at "&amp;X105&amp;" on a weekday evening that suits you")&amp;" and it's "&amp;IF(AD105&lt;&gt;"","£"&amp;IF(AD105=INT(AD105),TEXT(AD105,"0"),TEXT(AD105,"0.00")),"[PRICE PER PLAYER]")&amp;" a player, all booked and paid through one link. If football isn't your thing, who at "&amp;F105&amp;" would be the right person to organise a team game?"&amp;IF(Offer!$C$7&lt;&gt;""," Spots are held until "&amp;TEXT(Offer!$C$7,"dddd d mmmm")&amp;".","")&amp;" "&amp;IF(Offer!$C$6&lt;&gt;"",Offer!$C$6,"[JOINING LINK]")</f>
        <v/>
      </c>
      <c r="AK105" s="14">
        <f>IF(OR(ISNUMBER(SEARCH("[",AG105)),ISNUMBER(SEARCH("[",AJ105))),"Fill placeholders",IF(ISNUMBER(AB105),"Ready to send","Ready · no fixed slot"))</f>
        <v/>
      </c>
      <c r="AN105" s="17" t="n"/>
    </row>
    <row r="106">
      <c r="A106" s="11" t="n">
        <v>104</v>
      </c>
      <c r="B106" s="11" t="n">
        <v>2</v>
      </c>
      <c r="C106" s="11" t="inlineStr">
        <is>
          <t>Insurance / broker</t>
        </is>
      </c>
      <c r="D106" s="11" t="inlineStr">
        <is>
          <t>City of London</t>
        </is>
      </c>
      <c r="E106" s="11" t="inlineStr">
        <is>
          <t>Ergo Travel Insurance Services Ltd</t>
        </is>
      </c>
      <c r="F106" s="11" t="inlineStr">
        <is>
          <t>Ergo Travel Insurance</t>
        </is>
      </c>
      <c r="G106" s="11" t="inlineStr">
        <is>
          <t>11091555</t>
        </is>
      </c>
      <c r="H106" s="12" t="inlineStr">
        <is>
          <t>Open</t>
        </is>
      </c>
      <c r="I106" s="12" t="inlineStr">
        <is>
          <t>Search</t>
        </is>
      </c>
      <c r="J106" s="11" t="inlineStr">
        <is>
          <t>Group</t>
        </is>
      </c>
      <c r="K106" s="13" t="n">
        <v>43070</v>
      </c>
      <c r="L106" s="11" t="inlineStr">
        <is>
          <t>1 Fen Court, Fenchurch Avenue, London</t>
        </is>
      </c>
      <c r="M106" s="11" t="inlineStr">
        <is>
          <t>EC3M 5BN</t>
        </is>
      </c>
      <c r="N106" s="11" t="inlineStr">
        <is>
          <t>Yes</t>
        </is>
      </c>
      <c r="U106" s="11" t="inlineStr">
        <is>
          <t>Liverpool St - Attlee Centre</t>
        </is>
      </c>
      <c r="V106" s="11" t="n">
        <v>14</v>
      </c>
      <c r="W106" s="11" t="n"/>
      <c r="X106" s="11" t="inlineStr">
        <is>
          <t>Liverpool St - Attlee Centre</t>
        </is>
      </c>
      <c r="Y106" s="11" t="n">
        <v>14</v>
      </c>
      <c r="Z106" s="14">
        <f>IFERROR(INDEX(Venues!$E$2:$E$15,MATCH(X106,Venues!$A$2:$A$15,0)),"Not checked")</f>
        <v/>
      </c>
      <c r="AA106" s="14">
        <f>IFERROR(INDEX(Venues!$F$2:$F$15,MATCH(X106,Venues!$A$2:$A$15,0)),0)</f>
        <v/>
      </c>
      <c r="AB106" s="15">
        <f>IFERROR(INDEX(Venues!$M$2:$M$15,MATCH(X106,Venues!$A$2:$A$15,0)),"")</f>
        <v/>
      </c>
      <c r="AC106" s="14">
        <f>IFERROR(INDEX(Venues!$N$2:$N$15,MATCH(X106,Venues!$A$2:$A$15,0)),"5-a-side")</f>
        <v/>
      </c>
      <c r="AD106" s="16">
        <f>IF(Offer!$C$4="","",Offer!$C$4)</f>
        <v/>
      </c>
      <c r="AE106" s="14">
        <f>X106&amp;" ("&amp;Y106&amp;" min walk) · "&amp;IF(ISNUMBER(AB106),TEXT(AB106,"ddd d mmm, hh:mm"),"slot to confirm with venue")&amp;" · "&amp;AC106&amp;" · "&amp;IF(AD106&lt;&gt;"","£"&amp;TEXT(AD106,"0.00")&amp;" pp","price TBC")</f>
        <v/>
      </c>
      <c r="AF106" s="14">
        <f>"After-work football for "&amp;F106&amp;" · "&amp;X106&amp;", "&amp;Y106&amp;" min from your office"</f>
        <v/>
      </c>
      <c r="AG106" s="14">
        <f>"Hi"&amp;IF(O106&lt;&gt;""," "&amp;O106,"")&amp;","&amp;CHAR(10)&amp;CHAR(10)&amp;"I'm "&amp;IF(AL106&lt;&gt;"",AL106,IF(Offer!$C$5&lt;&gt;"",Offer!$C$5,"[NAME]"))&amp;" from FC Urban. We organise after-work football for teams in the City and Canary Wharf."&amp;CHAR(10)&amp;CHAR(10)&amp;"We have a "&amp;AC106&amp;" pitch at "&amp;X106&amp;", "&amp;IF(OR(Y106=8,Y106=11,Y106=18),"an ","a ")&amp;Y106&amp;"-minute walk from your "&amp;M106&amp;" office, "&amp;IF(ISNUMBER(AB106),"on "&amp;TEXT(AB106,"dddd d mmmm")&amp;" at "&amp;TEXT(AB106,"hh:mm"),"on a weekday evening that suits your team")&amp;". It's "&amp;IF(AD106&lt;&gt;"","£"&amp;IF(AD106=INT(AD106),TEXT(AD106,"0"),TEXT(AD106,"0.00")),"[PRICE PER PLAYER]")&amp;" a player and we handle the pitch booking, sign-ups and payments, so all it takes is one person sharing a link with the team."&amp;CHAR(10)&amp;CHAR(10)&amp;"It works well as a team social or "&amp;IF(ISNUMBER(SEARCH(LEFT(F106,1),"AEIOU")),"an ","a ")&amp;F106&amp;"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LINK]")&amp;CHAR(10)&amp;CHAR(10)&amp;"Best,"&amp;CHAR(10)&amp;IF(AL106&lt;&gt;"",AL106,IF(Offer!$C$5&lt;&gt;"",Offer!$C$5,"[NAME]"))&amp;CHAR(10)&amp;"FC Urban"</f>
        <v/>
      </c>
      <c r="AH106" s="14">
        <f>IF(LEN("Hi"&amp;IF(O106&lt;&gt;""," "&amp;O106,"")&amp;","&amp;" FC Urban runs after-work football for "&amp;IF(D106="Canary Wharf","Canary Wharf","City")&amp;" teams. We have a "&amp;AC106&amp;" pitch at "&amp;X106&amp;", "&amp;Y106&amp;" min from your office, "&amp;IF(ISNUMBER(AB106),TEXT(AB106,"ddd d mmm")&amp;", "&amp;TEXT(AB106,"hh:mm"),"weekday evenings")&amp;", "&amp;IF(AD106&lt;&gt;"","£"&amp;IF(AD106=INT(AD106),TEXT(AD106,"0"),TEXT(AD106,"0.00")),"[PRICE PER PLAYER]")&amp;" a player. We handle booking, sign-ups and payments. Fancy "&amp;IF(ISNUMBER(SEARCH(LEFT(F106,1),"AEIOU")),"an ","a ")&amp;F106&amp;" team game? "&amp;IF(AL106&lt;&gt;"",AL106,IF(Offer!$C$5&lt;&gt;"",Offer!$C$5,"[NAME]")))&lt;=300,"Hi"&amp;IF(O106&lt;&gt;""," "&amp;O106,"")&amp;","&amp;" FC Urban runs after-work football for "&amp;IF(D106="Canary Wharf","Canary Wharf","City")&amp;" teams. We have a "&amp;AC106&amp;" pitch at "&amp;X106&amp;", "&amp;Y106&amp;" min from your office, "&amp;IF(ISNUMBER(AB106),TEXT(AB106,"ddd d mmm")&amp;", "&amp;TEXT(AB106,"hh:mm"),"weekday evenings")&amp;", "&amp;IF(AD106&lt;&gt;"","£"&amp;IF(AD106=INT(AD106),TEXT(AD106,"0"),TEXT(AD106,"0.00")),"[PRICE PER PLAYER]")&amp;" a player. We handle booking, sign-ups and payments. Fancy "&amp;IF(ISNUMBER(SEARCH(LEFT(F106,1),"AEIOU")),"an ","a ")&amp;F106&amp;" team game? "&amp;IF(AL106&lt;&gt;"",AL106,IF(Offer!$C$5&lt;&gt;"",Offer!$C$5,"[NAME]")),LEFT("Hi"&amp;IF(O106&lt;&gt;""," "&amp;O106,"")&amp;","&amp;" FC Urban runs after-work football for "&amp;IF(D106="Canary Wharf","Canary Wharf","City")&amp;" teams: "&amp;AC106&amp;" at "&amp;X106&amp;", "&amp;Y106&amp;" min from your office, "&amp;IF(ISNUMBER(AB106),TEXT(AB106,"ddd d mmm")&amp;", "&amp;TEXT(AB106,"hh:mm"),"weekday evenings")&amp;", "&amp;IF(AD106&lt;&gt;"","£"&amp;IF(AD106=INT(AD106),TEXT(AD106,"0"),TEXT(AD106,"0.00")),"[PRICE PER PLAYER]")&amp;" pp. We handle booking and payments. Up for a team game? "&amp;IF(AL106&lt;&gt;"",AL106,IF(Offer!$C$5&lt;&gt;"",Offer!$C$5,"[NAME]")),300))</f>
        <v/>
      </c>
      <c r="AI106" s="14">
        <f>LEN(AH106)</f>
        <v/>
      </c>
      <c r="AJ106" s="14">
        <f>"Thanks for connecting"&amp;IF(O106&lt;&gt;"",", "&amp;O106,"")&amp;". "&amp;IF(ISNUMBER(AB106),"The "&amp;AC106&amp;" slot at "&amp;X106&amp;" is "&amp;IF(ISNUMBER(AB106),TEXT(AB106,"ddd d mmm")&amp;", "&amp;TEXT(AB106,"hh:mm"),"weekday evenings"),"We can book "&amp;AC106&amp;" at "&amp;X106&amp;" on a weekday evening that suits you")&amp;" and it's "&amp;IF(AD106&lt;&gt;"","£"&amp;IF(AD106=INT(AD106),TEXT(AD106,"0"),TEXT(AD106,"0.00")),"[PRICE PER PLAYER]")&amp;" a player, all booked and paid through one link. If football isn't your thing, who at "&amp;F106&amp;" would be the right person to organise a team game?"&amp;IF(Offer!$C$7&lt;&gt;""," Spots are held until "&amp;TEXT(Offer!$C$7,"dddd d mmmm")&amp;".","")&amp;" "&amp;IF(Offer!$C$6&lt;&gt;"",Offer!$C$6,"[JOINING LINK]")</f>
        <v/>
      </c>
      <c r="AK106" s="14">
        <f>IF(OR(ISNUMBER(SEARCH("[",AG106)),ISNUMBER(SEARCH("[",AJ106))),"Fill placeholders",IF(ISNUMBER(AB106),"Ready to send","Ready · no fixed slot"))</f>
        <v/>
      </c>
      <c r="AN106" s="17" t="n"/>
    </row>
    <row r="107">
      <c r="A107" s="11" t="n">
        <v>105</v>
      </c>
      <c r="B107" s="11" t="n">
        <v>2</v>
      </c>
      <c r="C107" s="11" t="inlineStr">
        <is>
          <t>Insurance / broker</t>
        </is>
      </c>
      <c r="D107" s="11" t="inlineStr">
        <is>
          <t>City of London</t>
        </is>
      </c>
      <c r="E107" s="11" t="inlineStr">
        <is>
          <t>Map Equity Limited</t>
        </is>
      </c>
      <c r="F107" s="11" t="inlineStr">
        <is>
          <t>Map Equity</t>
        </is>
      </c>
      <c r="G107" s="11" t="inlineStr">
        <is>
          <t>03985522</t>
        </is>
      </c>
      <c r="H107" s="12" t="inlineStr">
        <is>
          <t>Open</t>
        </is>
      </c>
      <c r="I107" s="12" t="inlineStr">
        <is>
          <t>Search</t>
        </is>
      </c>
      <c r="J107" s="11" t="inlineStr">
        <is>
          <t>Group</t>
        </is>
      </c>
      <c r="K107" s="13" t="n">
        <v>36650</v>
      </c>
      <c r="L107" s="11" t="inlineStr">
        <is>
          <t>Salesforce Tower, 110 Bishopsgate, London</t>
        </is>
      </c>
      <c r="M107" s="11" t="inlineStr">
        <is>
          <t>EC2N 4AY</t>
        </is>
      </c>
      <c r="N107" s="11" t="inlineStr">
        <is>
          <t>No</t>
        </is>
      </c>
      <c r="U107" s="11" t="inlineStr">
        <is>
          <t>Liverpool St - Attlee Centre</t>
        </is>
      </c>
      <c r="V107" s="11" t="n">
        <v>10</v>
      </c>
      <c r="W107" s="11" t="inlineStr">
        <is>
          <t>Shoreditch Powerleague (13.9)</t>
        </is>
      </c>
      <c r="X107" s="11" t="inlineStr">
        <is>
          <t>Shoreditch Powerleague</t>
        </is>
      </c>
      <c r="Y107" s="11" t="n">
        <v>14</v>
      </c>
      <c r="Z107" s="14">
        <f>IFERROR(INDEX(Venues!$E$2:$E$15,MATCH(X107,Venues!$A$2:$A$15,0)),"Not checked")</f>
        <v/>
      </c>
      <c r="AA107" s="14">
        <f>IFERROR(INDEX(Venues!$F$2:$F$15,MATCH(X107,Venues!$A$2:$A$15,0)),0)</f>
        <v/>
      </c>
      <c r="AB107" s="15">
        <f>IFERROR(INDEX(Venues!$M$2:$M$15,MATCH(X107,Venues!$A$2:$A$15,0)),"")</f>
        <v/>
      </c>
      <c r="AC107" s="14">
        <f>IFERROR(INDEX(Venues!$N$2:$N$15,MATCH(X107,Venues!$A$2:$A$15,0)),"5-a-side")</f>
        <v/>
      </c>
      <c r="AD107" s="16">
        <f>IF(Offer!$C$4="","",Offer!$C$4)</f>
        <v/>
      </c>
      <c r="AE107" s="14">
        <f>X107&amp;" ("&amp;Y107&amp;" min walk) · "&amp;IF(ISNUMBER(AB107),TEXT(AB107,"ddd d mmm, hh:mm"),"slot to confirm with venue")&amp;" · "&amp;AC107&amp;" · "&amp;IF(AD107&lt;&gt;"","£"&amp;TEXT(AD107,"0.00")&amp;" pp","price TBC")</f>
        <v/>
      </c>
      <c r="AF107" s="14">
        <f>"After-work football for "&amp;F107&amp;" · "&amp;X107&amp;", "&amp;Y107&amp;" min from your office"</f>
        <v/>
      </c>
      <c r="AG107" s="14">
        <f>"Hi"&amp;IF(O107&lt;&gt;""," "&amp;O107,"")&amp;","&amp;CHAR(10)&amp;CHAR(10)&amp;"I'm "&amp;IF(AL107&lt;&gt;"",AL107,IF(Offer!$C$5&lt;&gt;"",Offer!$C$5,"[NAME]"))&amp;" from FC Urban. We organise after-work football for teams in the City and Canary Wharf."&amp;CHAR(10)&amp;CHAR(10)&amp;"We have a "&amp;AC107&amp;" pitch at "&amp;X107&amp;", "&amp;IF(OR(Y107=8,Y107=11,Y107=18),"an ","a ")&amp;Y107&amp;"-minute walk from your "&amp;M107&amp;" office, "&amp;IF(ISNUMBER(AB107),"on "&amp;TEXT(AB107,"dddd d mmmm")&amp;" at "&amp;TEXT(AB107,"hh:mm"),"on a weekday evening that suits your team")&amp;". It's "&amp;IF(AD107&lt;&gt;"","£"&amp;IF(AD107=INT(AD107),TEXT(AD107,"0"),TEXT(AD107,"0.00")),"[PRICE PER PLAYER]")&amp;" a player and we handle the pitch booking, sign-ups and payments, so all it takes is one person sharing a link with the team."&amp;CHAR(10)&amp;CHAR(10)&amp;"It works well as a team social or "&amp;IF(ISNUMBER(SEARCH(LEFT(F107,1),"AEIOU")),"an ","a ")&amp;F107&amp;"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LINK]")&amp;CHAR(10)&amp;CHAR(10)&amp;"Best,"&amp;CHAR(10)&amp;IF(AL107&lt;&gt;"",AL107,IF(Offer!$C$5&lt;&gt;"",Offer!$C$5,"[NAME]"))&amp;CHAR(10)&amp;"FC Urban"</f>
        <v/>
      </c>
      <c r="AH107" s="14">
        <f>IF(LEN("Hi"&amp;IF(O107&lt;&gt;""," "&amp;O107,"")&amp;","&amp;" FC Urban runs after-work football for "&amp;IF(D107="Canary Wharf","Canary Wharf","City")&amp;" teams. We have a "&amp;AC107&amp;" pitch at "&amp;X107&amp;", "&amp;Y107&amp;" min from your office, "&amp;IF(ISNUMBER(AB107),TEXT(AB107,"ddd d mmm")&amp;", "&amp;TEXT(AB107,"hh:mm"),"weekday evenings")&amp;", "&amp;IF(AD107&lt;&gt;"","£"&amp;IF(AD107=INT(AD107),TEXT(AD107,"0"),TEXT(AD107,"0.00")),"[PRICE PER PLAYER]")&amp;" a player. We handle booking, sign-ups and payments. Fancy "&amp;IF(ISNUMBER(SEARCH(LEFT(F107,1),"AEIOU")),"an ","a ")&amp;F107&amp;" team game? "&amp;IF(AL107&lt;&gt;"",AL107,IF(Offer!$C$5&lt;&gt;"",Offer!$C$5,"[NAME]")))&lt;=300,"Hi"&amp;IF(O107&lt;&gt;""," "&amp;O107,"")&amp;","&amp;" FC Urban runs after-work football for "&amp;IF(D107="Canary Wharf","Canary Wharf","City")&amp;" teams. We have a "&amp;AC107&amp;" pitch at "&amp;X107&amp;", "&amp;Y107&amp;" min from your office, "&amp;IF(ISNUMBER(AB107),TEXT(AB107,"ddd d mmm")&amp;", "&amp;TEXT(AB107,"hh:mm"),"weekday evenings")&amp;", "&amp;IF(AD107&lt;&gt;"","£"&amp;IF(AD107=INT(AD107),TEXT(AD107,"0"),TEXT(AD107,"0.00")),"[PRICE PER PLAYER]")&amp;" a player. We handle booking, sign-ups and payments. Fancy "&amp;IF(ISNUMBER(SEARCH(LEFT(F107,1),"AEIOU")),"an ","a ")&amp;F107&amp;" team game? "&amp;IF(AL107&lt;&gt;"",AL107,IF(Offer!$C$5&lt;&gt;"",Offer!$C$5,"[NAME]")),LEFT("Hi"&amp;IF(O107&lt;&gt;""," "&amp;O107,"")&amp;","&amp;" FC Urban runs after-work football for "&amp;IF(D107="Canary Wharf","Canary Wharf","City")&amp;" teams: "&amp;AC107&amp;" at "&amp;X107&amp;", "&amp;Y107&amp;" min from your office, "&amp;IF(ISNUMBER(AB107),TEXT(AB107,"ddd d mmm")&amp;", "&amp;TEXT(AB107,"hh:mm"),"weekday evenings")&amp;", "&amp;IF(AD107&lt;&gt;"","£"&amp;IF(AD107=INT(AD107),TEXT(AD107,"0"),TEXT(AD107,"0.00")),"[PRICE PER PLAYER]")&amp;" pp. We handle booking and payments. Up for a team game? "&amp;IF(AL107&lt;&gt;"",AL107,IF(Offer!$C$5&lt;&gt;"",Offer!$C$5,"[NAME]")),300))</f>
        <v/>
      </c>
      <c r="AI107" s="14">
        <f>LEN(AH107)</f>
        <v/>
      </c>
      <c r="AJ107" s="14">
        <f>"Thanks for connecting"&amp;IF(O107&lt;&gt;"",", "&amp;O107,"")&amp;". "&amp;IF(ISNUMBER(AB107),"The "&amp;AC107&amp;" slot at "&amp;X107&amp;" is "&amp;IF(ISNUMBER(AB107),TEXT(AB107,"ddd d mmm")&amp;", "&amp;TEXT(AB107,"hh:mm"),"weekday evenings"),"We can book "&amp;AC107&amp;" at "&amp;X107&amp;" on a weekday evening that suits you")&amp;" and it's "&amp;IF(AD107&lt;&gt;"","£"&amp;IF(AD107=INT(AD107),TEXT(AD107,"0"),TEXT(AD107,"0.00")),"[PRICE PER PLAYER]")&amp;" a player, all booked and paid through one link. If football isn't your thing, who at "&amp;F107&amp;" would be the right person to organise a team game?"&amp;IF(Offer!$C$7&lt;&gt;""," Spots are held until "&amp;TEXT(Offer!$C$7,"dddd d mmmm")&amp;".","")&amp;" "&amp;IF(Offer!$C$6&lt;&gt;"",Offer!$C$6,"[JOINING LINK]")</f>
        <v/>
      </c>
      <c r="AK107" s="14">
        <f>IF(OR(ISNUMBER(SEARCH("[",AG107)),ISNUMBER(SEARCH("[",AJ107))),"Fill placeholders",IF(ISNUMBER(AB107),"Ready to send","Ready · no fixed slot"))</f>
        <v/>
      </c>
      <c r="AN107" s="17" t="n"/>
    </row>
    <row r="108">
      <c r="A108" s="11" t="n">
        <v>106</v>
      </c>
      <c r="B108" s="11" t="n">
        <v>2</v>
      </c>
      <c r="C108" s="11" t="inlineStr">
        <is>
          <t>Fund / asset manager</t>
        </is>
      </c>
      <c r="D108" s="11" t="inlineStr">
        <is>
          <t>City of London</t>
        </is>
      </c>
      <c r="E108" s="11" t="inlineStr">
        <is>
          <t>Aberforth Partners LLP</t>
        </is>
      </c>
      <c r="F108" s="11" t="inlineStr">
        <is>
          <t>Aberforth Partners</t>
        </is>
      </c>
      <c r="G108" s="11" t="inlineStr">
        <is>
          <t>OC313353</t>
        </is>
      </c>
      <c r="H108" s="12" t="inlineStr">
        <is>
          <t>Open</t>
        </is>
      </c>
      <c r="I108" s="12" t="inlineStr">
        <is>
          <t>Search</t>
        </is>
      </c>
      <c r="J108" s="11" t="inlineStr">
        <is>
          <t>Group</t>
        </is>
      </c>
      <c r="K108" s="13" t="n">
        <v>38493</v>
      </c>
      <c r="L108" s="11" t="inlineStr">
        <is>
          <t>Level 4, Dashwood House, 69 Old Broad Street, London</t>
        </is>
      </c>
      <c r="M108" s="11" t="inlineStr">
        <is>
          <t>EC2M 1QS</t>
        </is>
      </c>
      <c r="N108" s="11" t="inlineStr">
        <is>
          <t>No</t>
        </is>
      </c>
      <c r="U108" s="11" t="inlineStr">
        <is>
          <t>Liverpool St - Attlee Centre</t>
        </is>
      </c>
      <c r="V108" s="11" t="n">
        <v>11</v>
      </c>
      <c r="W108" s="11" t="inlineStr">
        <is>
          <t>Shoreditch Powerleague (14)</t>
        </is>
      </c>
      <c r="X108" s="11" t="inlineStr">
        <is>
          <t>Shoreditch Powerleague</t>
        </is>
      </c>
      <c r="Y108" s="11" t="n">
        <v>14</v>
      </c>
      <c r="Z108" s="14">
        <f>IFERROR(INDEX(Venues!$E$2:$E$15,MATCH(X108,Venues!$A$2:$A$15,0)),"Not checked")</f>
        <v/>
      </c>
      <c r="AA108" s="14">
        <f>IFERROR(INDEX(Venues!$F$2:$F$15,MATCH(X108,Venues!$A$2:$A$15,0)),0)</f>
        <v/>
      </c>
      <c r="AB108" s="15">
        <f>IFERROR(INDEX(Venues!$M$2:$M$15,MATCH(X108,Venues!$A$2:$A$15,0)),"")</f>
        <v/>
      </c>
      <c r="AC108" s="14">
        <f>IFERROR(INDEX(Venues!$N$2:$N$15,MATCH(X108,Venues!$A$2:$A$15,0)),"5-a-side")</f>
        <v/>
      </c>
      <c r="AD108" s="16">
        <f>IF(Offer!$C$4="","",Offer!$C$4)</f>
        <v/>
      </c>
      <c r="AE108" s="14">
        <f>X108&amp;" ("&amp;Y108&amp;" min walk) · "&amp;IF(ISNUMBER(AB108),TEXT(AB108,"ddd d mmm, hh:mm"),"slot to confirm with venue")&amp;" · "&amp;AC108&amp;" · "&amp;IF(AD108&lt;&gt;"","£"&amp;TEXT(AD108,"0.00")&amp;" pp","price TBC")</f>
        <v/>
      </c>
      <c r="AF108" s="14">
        <f>"After-work football for "&amp;F108&amp;" · "&amp;X108&amp;", "&amp;Y108&amp;" min from your office"</f>
        <v/>
      </c>
      <c r="AG108" s="14">
        <f>"Hi"&amp;IF(O108&lt;&gt;""," "&amp;O108,"")&amp;","&amp;CHAR(10)&amp;CHAR(10)&amp;"I'm "&amp;IF(AL108&lt;&gt;"",AL108,IF(Offer!$C$5&lt;&gt;"",Offer!$C$5,"[NAME]"))&amp;" from FC Urban. We organise after-work football for teams in the City and Canary Wharf."&amp;CHAR(10)&amp;CHAR(10)&amp;"We have a "&amp;AC108&amp;" pitch at "&amp;X108&amp;", "&amp;IF(OR(Y108=8,Y108=11,Y108=18),"an ","a ")&amp;Y108&amp;"-minute walk from your "&amp;M108&amp;" office, "&amp;IF(ISNUMBER(AB108),"on "&amp;TEXT(AB108,"dddd d mmmm")&amp;" at "&amp;TEXT(AB108,"hh:mm"),"on a weekday evening that suits your team")&amp;". It's "&amp;IF(AD108&lt;&gt;"","£"&amp;IF(AD108=INT(AD108),TEXT(AD108,"0"),TEXT(AD108,"0.00")),"[PRICE PER PLAYER]")&amp;" a player and we handle the pitch booking, sign-ups and payments, so all it takes is one person sharing a link with the team."&amp;CHAR(10)&amp;CHAR(10)&amp;"It works well as a team social or "&amp;IF(ISNUMBER(SEARCH(LEFT(F108,1),"AEIOU")),"an ","a ")&amp;F108&amp;"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LINK]")&amp;CHAR(10)&amp;CHAR(10)&amp;"Best,"&amp;CHAR(10)&amp;IF(AL108&lt;&gt;"",AL108,IF(Offer!$C$5&lt;&gt;"",Offer!$C$5,"[NAME]"))&amp;CHAR(10)&amp;"FC Urban"</f>
        <v/>
      </c>
      <c r="AH108" s="14">
        <f>IF(LEN("Hi"&amp;IF(O108&lt;&gt;""," "&amp;O108,"")&amp;","&amp;" FC Urban runs after-work football for "&amp;IF(D108="Canary Wharf","Canary Wharf","City")&amp;" teams. We have a "&amp;AC108&amp;" pitch at "&amp;X108&amp;", "&amp;Y108&amp;" min from your office, "&amp;IF(ISNUMBER(AB108),TEXT(AB108,"ddd d mmm")&amp;", "&amp;TEXT(AB108,"hh:mm"),"weekday evenings")&amp;", "&amp;IF(AD108&lt;&gt;"","£"&amp;IF(AD108=INT(AD108),TEXT(AD108,"0"),TEXT(AD108,"0.00")),"[PRICE PER PLAYER]")&amp;" a player. We handle booking, sign-ups and payments. Fancy "&amp;IF(ISNUMBER(SEARCH(LEFT(F108,1),"AEIOU")),"an ","a ")&amp;F108&amp;" team game? "&amp;IF(AL108&lt;&gt;"",AL108,IF(Offer!$C$5&lt;&gt;"",Offer!$C$5,"[NAME]")))&lt;=300,"Hi"&amp;IF(O108&lt;&gt;""," "&amp;O108,"")&amp;","&amp;" FC Urban runs after-work football for "&amp;IF(D108="Canary Wharf","Canary Wharf","City")&amp;" teams. We have a "&amp;AC108&amp;" pitch at "&amp;X108&amp;", "&amp;Y108&amp;" min from your office, "&amp;IF(ISNUMBER(AB108),TEXT(AB108,"ddd d mmm")&amp;", "&amp;TEXT(AB108,"hh:mm"),"weekday evenings")&amp;", "&amp;IF(AD108&lt;&gt;"","£"&amp;IF(AD108=INT(AD108),TEXT(AD108,"0"),TEXT(AD108,"0.00")),"[PRICE PER PLAYER]")&amp;" a player. We handle booking, sign-ups and payments. Fancy "&amp;IF(ISNUMBER(SEARCH(LEFT(F108,1),"AEIOU")),"an ","a ")&amp;F108&amp;" team game? "&amp;IF(AL108&lt;&gt;"",AL108,IF(Offer!$C$5&lt;&gt;"",Offer!$C$5,"[NAME]")),LEFT("Hi"&amp;IF(O108&lt;&gt;""," "&amp;O108,"")&amp;","&amp;" FC Urban runs after-work football for "&amp;IF(D108="Canary Wharf","Canary Wharf","City")&amp;" teams: "&amp;AC108&amp;" at "&amp;X108&amp;", "&amp;Y108&amp;" min from your office, "&amp;IF(ISNUMBER(AB108),TEXT(AB108,"ddd d mmm")&amp;", "&amp;TEXT(AB108,"hh:mm"),"weekday evenings")&amp;", "&amp;IF(AD108&lt;&gt;"","£"&amp;IF(AD108=INT(AD108),TEXT(AD108,"0"),TEXT(AD108,"0.00")),"[PRICE PER PLAYER]")&amp;" pp. We handle booking and payments. Up for a team game? "&amp;IF(AL108&lt;&gt;"",AL108,IF(Offer!$C$5&lt;&gt;"",Offer!$C$5,"[NAME]")),300))</f>
        <v/>
      </c>
      <c r="AI108" s="14">
        <f>LEN(AH108)</f>
        <v/>
      </c>
      <c r="AJ108" s="14">
        <f>"Thanks for connecting"&amp;IF(O108&lt;&gt;"",", "&amp;O108,"")&amp;". "&amp;IF(ISNUMBER(AB108),"The "&amp;AC108&amp;" slot at "&amp;X108&amp;" is "&amp;IF(ISNUMBER(AB108),TEXT(AB108,"ddd d mmm")&amp;", "&amp;TEXT(AB108,"hh:mm"),"weekday evenings"),"We can book "&amp;AC108&amp;" at "&amp;X108&amp;" on a weekday evening that suits you")&amp;" and it's "&amp;IF(AD108&lt;&gt;"","£"&amp;IF(AD108=INT(AD108),TEXT(AD108,"0"),TEXT(AD108,"0.00")),"[PRICE PER PLAYER]")&amp;" a player, all booked and paid through one link. If football isn't your thing, who at "&amp;F108&amp;" would be the right person to organise a team game?"&amp;IF(Offer!$C$7&lt;&gt;""," Spots are held until "&amp;TEXT(Offer!$C$7,"dddd d mmmm")&amp;".","")&amp;" "&amp;IF(Offer!$C$6&lt;&gt;"",Offer!$C$6,"[JOINING LINK]")</f>
        <v/>
      </c>
      <c r="AK108" s="14">
        <f>IF(OR(ISNUMBER(SEARCH("[",AG108)),ISNUMBER(SEARCH("[",AJ108))),"Fill placeholders",IF(ISNUMBER(AB108),"Ready to send","Ready · no fixed slot"))</f>
        <v/>
      </c>
      <c r="AN108" s="17" t="n"/>
    </row>
    <row r="109">
      <c r="A109" s="11" t="n">
        <v>107</v>
      </c>
      <c r="B109" s="11" t="n">
        <v>2</v>
      </c>
      <c r="C109" s="11" t="inlineStr">
        <is>
          <t>Fund / asset manager</t>
        </is>
      </c>
      <c r="D109" s="11" t="inlineStr">
        <is>
          <t>City of London</t>
        </is>
      </c>
      <c r="E109" s="11" t="inlineStr">
        <is>
          <t>Augmentum Capital LLP</t>
        </is>
      </c>
      <c r="F109" s="11" t="inlineStr">
        <is>
          <t>Augmentum Capital</t>
        </is>
      </c>
      <c r="G109" s="11" t="inlineStr">
        <is>
          <t>OC350764</t>
        </is>
      </c>
      <c r="H109" s="12" t="inlineStr">
        <is>
          <t>Open</t>
        </is>
      </c>
      <c r="I109" s="12" t="inlineStr">
        <is>
          <t>Search</t>
        </is>
      </c>
      <c r="J109" s="11" t="inlineStr">
        <is>
          <t>Group</t>
        </is>
      </c>
      <c r="K109" s="13" t="n">
        <v>40158</v>
      </c>
      <c r="L109" s="11" t="inlineStr">
        <is>
          <t>5Th Floor, 4 Chiswell Street, London</t>
        </is>
      </c>
      <c r="M109" s="11" t="inlineStr">
        <is>
          <t>EC1Y 4UP</t>
        </is>
      </c>
      <c r="N109" s="11" t="inlineStr">
        <is>
          <t>No</t>
        </is>
      </c>
      <c r="U109" s="11" t="inlineStr">
        <is>
          <t>Shoreditch Powerleague</t>
        </is>
      </c>
      <c r="V109" s="11" t="n">
        <v>14</v>
      </c>
      <c r="W109" s="11" t="inlineStr">
        <is>
          <t>Liverpool St - Attlee Centre (17.7); Old St - Moreland Primary School (18.6)</t>
        </is>
      </c>
      <c r="X109" s="11" t="inlineStr">
        <is>
          <t>Shoreditch Powerleague</t>
        </is>
      </c>
      <c r="Y109" s="11" t="n">
        <v>14</v>
      </c>
      <c r="Z109" s="14">
        <f>IFERROR(INDEX(Venues!$E$2:$E$15,MATCH(X109,Venues!$A$2:$A$15,0)),"Not checked")</f>
        <v/>
      </c>
      <c r="AA109" s="14">
        <f>IFERROR(INDEX(Venues!$F$2:$F$15,MATCH(X109,Venues!$A$2:$A$15,0)),0)</f>
        <v/>
      </c>
      <c r="AB109" s="15">
        <f>IFERROR(INDEX(Venues!$M$2:$M$15,MATCH(X109,Venues!$A$2:$A$15,0)),"")</f>
        <v/>
      </c>
      <c r="AC109" s="14">
        <f>IFERROR(INDEX(Venues!$N$2:$N$15,MATCH(X109,Venues!$A$2:$A$15,0)),"5-a-side")</f>
        <v/>
      </c>
      <c r="AD109" s="16">
        <f>IF(Offer!$C$4="","",Offer!$C$4)</f>
        <v/>
      </c>
      <c r="AE109" s="14">
        <f>X109&amp;" ("&amp;Y109&amp;" min walk) · "&amp;IF(ISNUMBER(AB109),TEXT(AB109,"ddd d mmm, hh:mm"),"slot to confirm with venue")&amp;" · "&amp;AC109&amp;" · "&amp;IF(AD109&lt;&gt;"","£"&amp;TEXT(AD109,"0.00")&amp;" pp","price TBC")</f>
        <v/>
      </c>
      <c r="AF109" s="14">
        <f>"After-work football for "&amp;F109&amp;" · "&amp;X109&amp;", "&amp;Y109&amp;" min from your office"</f>
        <v/>
      </c>
      <c r="AG109" s="14">
        <f>"Hi"&amp;IF(O109&lt;&gt;""," "&amp;O109,"")&amp;","&amp;CHAR(10)&amp;CHAR(10)&amp;"I'm "&amp;IF(AL109&lt;&gt;"",AL109,IF(Offer!$C$5&lt;&gt;"",Offer!$C$5,"[NAME]"))&amp;" from FC Urban. We organise after-work football for teams in the City and Canary Wharf."&amp;CHAR(10)&amp;CHAR(10)&amp;"We have a "&amp;AC109&amp;" pitch at "&amp;X109&amp;", "&amp;IF(OR(Y109=8,Y109=11,Y109=18),"an ","a ")&amp;Y109&amp;"-minute walk from your "&amp;M109&amp;" office, "&amp;IF(ISNUMBER(AB109),"on "&amp;TEXT(AB109,"dddd d mmmm")&amp;" at "&amp;TEXT(AB109,"hh:mm"),"on a weekday evening that suits your team")&amp;". It's "&amp;IF(AD109&lt;&gt;"","£"&amp;IF(AD109=INT(AD109),TEXT(AD109,"0"),TEXT(AD109,"0.00")),"[PRICE PER PLAYER]")&amp;" a player and we handle the pitch booking, sign-ups and payments, so all it takes is one person sharing a link with the team."&amp;CHAR(10)&amp;CHAR(10)&amp;"It works well as a team social or "&amp;IF(ISNUMBER(SEARCH(LEFT(F109,1),"AEIOU")),"an ","a ")&amp;F109&amp;"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LINK]")&amp;CHAR(10)&amp;CHAR(10)&amp;"Best,"&amp;CHAR(10)&amp;IF(AL109&lt;&gt;"",AL109,IF(Offer!$C$5&lt;&gt;"",Offer!$C$5,"[NAME]"))&amp;CHAR(10)&amp;"FC Urban"</f>
        <v/>
      </c>
      <c r="AH109" s="14">
        <f>IF(LEN("Hi"&amp;IF(O109&lt;&gt;""," "&amp;O109,"")&amp;","&amp;" FC Urban runs after-work football for "&amp;IF(D109="Canary Wharf","Canary Wharf","City")&amp;" teams. We have a "&amp;AC109&amp;" pitch at "&amp;X109&amp;", "&amp;Y109&amp;" min from your office, "&amp;IF(ISNUMBER(AB109),TEXT(AB109,"ddd d mmm")&amp;", "&amp;TEXT(AB109,"hh:mm"),"weekday evenings")&amp;", "&amp;IF(AD109&lt;&gt;"","£"&amp;IF(AD109=INT(AD109),TEXT(AD109,"0"),TEXT(AD109,"0.00")),"[PRICE PER PLAYER]")&amp;" a player. We handle booking, sign-ups and payments. Fancy "&amp;IF(ISNUMBER(SEARCH(LEFT(F109,1),"AEIOU")),"an ","a ")&amp;F109&amp;" team game? "&amp;IF(AL109&lt;&gt;"",AL109,IF(Offer!$C$5&lt;&gt;"",Offer!$C$5,"[NAME]")))&lt;=300,"Hi"&amp;IF(O109&lt;&gt;""," "&amp;O109,"")&amp;","&amp;" FC Urban runs after-work football for "&amp;IF(D109="Canary Wharf","Canary Wharf","City")&amp;" teams. We have a "&amp;AC109&amp;" pitch at "&amp;X109&amp;", "&amp;Y109&amp;" min from your office, "&amp;IF(ISNUMBER(AB109),TEXT(AB109,"ddd d mmm")&amp;", "&amp;TEXT(AB109,"hh:mm"),"weekday evenings")&amp;", "&amp;IF(AD109&lt;&gt;"","£"&amp;IF(AD109=INT(AD109),TEXT(AD109,"0"),TEXT(AD109,"0.00")),"[PRICE PER PLAYER]")&amp;" a player. We handle booking, sign-ups and payments. Fancy "&amp;IF(ISNUMBER(SEARCH(LEFT(F109,1),"AEIOU")),"an ","a ")&amp;F109&amp;" team game? "&amp;IF(AL109&lt;&gt;"",AL109,IF(Offer!$C$5&lt;&gt;"",Offer!$C$5,"[NAME]")),LEFT("Hi"&amp;IF(O109&lt;&gt;""," "&amp;O109,"")&amp;","&amp;" FC Urban runs after-work football for "&amp;IF(D109="Canary Wharf","Canary Wharf","City")&amp;" teams: "&amp;AC109&amp;" at "&amp;X109&amp;", "&amp;Y109&amp;" min from your office, "&amp;IF(ISNUMBER(AB109),TEXT(AB109,"ddd d mmm")&amp;", "&amp;TEXT(AB109,"hh:mm"),"weekday evenings")&amp;", "&amp;IF(AD109&lt;&gt;"","£"&amp;IF(AD109=INT(AD109),TEXT(AD109,"0"),TEXT(AD109,"0.00")),"[PRICE PER PLAYER]")&amp;" pp. We handle booking and payments. Up for a team game? "&amp;IF(AL109&lt;&gt;"",AL109,IF(Offer!$C$5&lt;&gt;"",Offer!$C$5,"[NAME]")),300))</f>
        <v/>
      </c>
      <c r="AI109" s="14">
        <f>LEN(AH109)</f>
        <v/>
      </c>
      <c r="AJ109" s="14">
        <f>"Thanks for connecting"&amp;IF(O109&lt;&gt;"",", "&amp;O109,"")&amp;". "&amp;IF(ISNUMBER(AB109),"The "&amp;AC109&amp;" slot at "&amp;X109&amp;" is "&amp;IF(ISNUMBER(AB109),TEXT(AB109,"ddd d mmm")&amp;", "&amp;TEXT(AB109,"hh:mm"),"weekday evenings"),"We can book "&amp;AC109&amp;" at "&amp;X109&amp;" on a weekday evening that suits you")&amp;" and it's "&amp;IF(AD109&lt;&gt;"","£"&amp;IF(AD109=INT(AD109),TEXT(AD109,"0"),TEXT(AD109,"0.00")),"[PRICE PER PLAYER]")&amp;" a player, all booked and paid through one link. If football isn't your thing, who at "&amp;F109&amp;" would be the right person to organise a team game?"&amp;IF(Offer!$C$7&lt;&gt;""," Spots are held until "&amp;TEXT(Offer!$C$7,"dddd d mmmm")&amp;".","")&amp;" "&amp;IF(Offer!$C$6&lt;&gt;"",Offer!$C$6,"[JOINING LINK]")</f>
        <v/>
      </c>
      <c r="AK109" s="14">
        <f>IF(OR(ISNUMBER(SEARCH("[",AG109)),ISNUMBER(SEARCH("[",AJ109))),"Fill placeholders",IF(ISNUMBER(AB109),"Ready to send","Ready · no fixed slot"))</f>
        <v/>
      </c>
      <c r="AN109" s="17" t="n"/>
    </row>
    <row r="110">
      <c r="A110" s="11" t="n">
        <v>108</v>
      </c>
      <c r="B110" s="11" t="n">
        <v>2</v>
      </c>
      <c r="C110" s="11" t="inlineStr">
        <is>
          <t>Insurance / broker</t>
        </is>
      </c>
      <c r="D110" s="11" t="inlineStr">
        <is>
          <t>City of London</t>
        </is>
      </c>
      <c r="E110" s="11" t="inlineStr">
        <is>
          <t>Dale Partners Limited</t>
        </is>
      </c>
      <c r="F110" s="11" t="inlineStr">
        <is>
          <t>Dale Partners</t>
        </is>
      </c>
      <c r="G110" s="11" t="inlineStr">
        <is>
          <t>08698094</t>
        </is>
      </c>
      <c r="H110" s="12" t="inlineStr">
        <is>
          <t>Open</t>
        </is>
      </c>
      <c r="I110" s="12" t="inlineStr">
        <is>
          <t>Search</t>
        </is>
      </c>
      <c r="J110" s="11" t="inlineStr">
        <is>
          <t>Group</t>
        </is>
      </c>
      <c r="K110" s="13" t="n">
        <v>41536</v>
      </c>
      <c r="L110" s="11" t="inlineStr">
        <is>
          <t>70 St Mary Axe, London</t>
        </is>
      </c>
      <c r="M110" s="11" t="inlineStr">
        <is>
          <t>EC3A 8BE</t>
        </is>
      </c>
      <c r="N110" s="11" t="inlineStr">
        <is>
          <t>No</t>
        </is>
      </c>
      <c r="U110" s="11" t="inlineStr">
        <is>
          <t>Liverpool St - Attlee Centre</t>
        </is>
      </c>
      <c r="V110" s="11" t="n">
        <v>9</v>
      </c>
      <c r="W110" s="11" t="inlineStr">
        <is>
          <t>Shoreditch Powerleague (14.7)</t>
        </is>
      </c>
      <c r="X110" s="11" t="inlineStr">
        <is>
          <t>Shoreditch Powerleague</t>
        </is>
      </c>
      <c r="Y110" s="11" t="n">
        <v>15</v>
      </c>
      <c r="Z110" s="14">
        <f>IFERROR(INDEX(Venues!$E$2:$E$15,MATCH(X110,Venues!$A$2:$A$15,0)),"Not checked")</f>
        <v/>
      </c>
      <c r="AA110" s="14">
        <f>IFERROR(INDEX(Venues!$F$2:$F$15,MATCH(X110,Venues!$A$2:$A$15,0)),0)</f>
        <v/>
      </c>
      <c r="AB110" s="15">
        <f>IFERROR(INDEX(Venues!$M$2:$M$15,MATCH(X110,Venues!$A$2:$A$15,0)),"")</f>
        <v/>
      </c>
      <c r="AC110" s="14">
        <f>IFERROR(INDEX(Venues!$N$2:$N$15,MATCH(X110,Venues!$A$2:$A$15,0)),"5-a-side")</f>
        <v/>
      </c>
      <c r="AD110" s="16">
        <f>IF(Offer!$C$4="","",Offer!$C$4)</f>
        <v/>
      </c>
      <c r="AE110" s="14">
        <f>X110&amp;" ("&amp;Y110&amp;" min walk) · "&amp;IF(ISNUMBER(AB110),TEXT(AB110,"ddd d mmm, hh:mm"),"slot to confirm with venue")&amp;" · "&amp;AC110&amp;" · "&amp;IF(AD110&lt;&gt;"","£"&amp;TEXT(AD110,"0.00")&amp;" pp","price TBC")</f>
        <v/>
      </c>
      <c r="AF110" s="14">
        <f>"After-work football for "&amp;F110&amp;" · "&amp;X110&amp;", "&amp;Y110&amp;" min from your office"</f>
        <v/>
      </c>
      <c r="AG110" s="14">
        <f>"Hi"&amp;IF(O110&lt;&gt;""," "&amp;O110,"")&amp;","&amp;CHAR(10)&amp;CHAR(10)&amp;"I'm "&amp;IF(AL110&lt;&gt;"",AL110,IF(Offer!$C$5&lt;&gt;"",Offer!$C$5,"[NAME]"))&amp;" from FC Urban. We organise after-work football for teams in the City and Canary Wharf."&amp;CHAR(10)&amp;CHAR(10)&amp;"We have a "&amp;AC110&amp;" pitch at "&amp;X110&amp;", "&amp;IF(OR(Y110=8,Y110=11,Y110=18),"an ","a ")&amp;Y110&amp;"-minute walk from your "&amp;M110&amp;" office, "&amp;IF(ISNUMBER(AB110),"on "&amp;TEXT(AB110,"dddd d mmmm")&amp;" at "&amp;TEXT(AB110,"hh:mm"),"on a weekday evening that suits your team")&amp;". It's "&amp;IF(AD110&lt;&gt;"","£"&amp;IF(AD110=INT(AD110),TEXT(AD110,"0"),TEXT(AD110,"0.00")),"[PRICE PER PLAYER]")&amp;" a player and we handle the pitch booking, sign-ups and payments, so all it takes is one person sharing a link with the team."&amp;CHAR(10)&amp;CHAR(10)&amp;"It works well as a team social or "&amp;IF(ISNUMBER(SEARCH(LEFT(F110,1),"AEIOU")),"an ","a ")&amp;F110&amp;"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LINK]")&amp;CHAR(10)&amp;CHAR(10)&amp;"Best,"&amp;CHAR(10)&amp;IF(AL110&lt;&gt;"",AL110,IF(Offer!$C$5&lt;&gt;"",Offer!$C$5,"[NAME]"))&amp;CHAR(10)&amp;"FC Urban"</f>
        <v/>
      </c>
      <c r="AH110" s="14">
        <f>IF(LEN("Hi"&amp;IF(O110&lt;&gt;""," "&amp;O110,"")&amp;","&amp;" FC Urban runs after-work football for "&amp;IF(D110="Canary Wharf","Canary Wharf","City")&amp;" teams. We have a "&amp;AC110&amp;" pitch at "&amp;X110&amp;", "&amp;Y110&amp;" min from your office, "&amp;IF(ISNUMBER(AB110),TEXT(AB110,"ddd d mmm")&amp;", "&amp;TEXT(AB110,"hh:mm"),"weekday evenings")&amp;", "&amp;IF(AD110&lt;&gt;"","£"&amp;IF(AD110=INT(AD110),TEXT(AD110,"0"),TEXT(AD110,"0.00")),"[PRICE PER PLAYER]")&amp;" a player. We handle booking, sign-ups and payments. Fancy "&amp;IF(ISNUMBER(SEARCH(LEFT(F110,1),"AEIOU")),"an ","a ")&amp;F110&amp;" team game? "&amp;IF(AL110&lt;&gt;"",AL110,IF(Offer!$C$5&lt;&gt;"",Offer!$C$5,"[NAME]")))&lt;=300,"Hi"&amp;IF(O110&lt;&gt;""," "&amp;O110,"")&amp;","&amp;" FC Urban runs after-work football for "&amp;IF(D110="Canary Wharf","Canary Wharf","City")&amp;" teams. We have a "&amp;AC110&amp;" pitch at "&amp;X110&amp;", "&amp;Y110&amp;" min from your office, "&amp;IF(ISNUMBER(AB110),TEXT(AB110,"ddd d mmm")&amp;", "&amp;TEXT(AB110,"hh:mm"),"weekday evenings")&amp;", "&amp;IF(AD110&lt;&gt;"","£"&amp;IF(AD110=INT(AD110),TEXT(AD110,"0"),TEXT(AD110,"0.00")),"[PRICE PER PLAYER]")&amp;" a player. We handle booking, sign-ups and payments. Fancy "&amp;IF(ISNUMBER(SEARCH(LEFT(F110,1),"AEIOU")),"an ","a ")&amp;F110&amp;" team game? "&amp;IF(AL110&lt;&gt;"",AL110,IF(Offer!$C$5&lt;&gt;"",Offer!$C$5,"[NAME]")),LEFT("Hi"&amp;IF(O110&lt;&gt;""," "&amp;O110,"")&amp;","&amp;" FC Urban runs after-work football for "&amp;IF(D110="Canary Wharf","Canary Wharf","City")&amp;" teams: "&amp;AC110&amp;" at "&amp;X110&amp;", "&amp;Y110&amp;" min from your office, "&amp;IF(ISNUMBER(AB110),TEXT(AB110,"ddd d mmm")&amp;", "&amp;TEXT(AB110,"hh:mm"),"weekday evenings")&amp;", "&amp;IF(AD110&lt;&gt;"","£"&amp;IF(AD110=INT(AD110),TEXT(AD110,"0"),TEXT(AD110,"0.00")),"[PRICE PER PLAYER]")&amp;" pp. We handle booking and payments. Up for a team game? "&amp;IF(AL110&lt;&gt;"",AL110,IF(Offer!$C$5&lt;&gt;"",Offer!$C$5,"[NAME]")),300))</f>
        <v/>
      </c>
      <c r="AI110" s="14">
        <f>LEN(AH110)</f>
        <v/>
      </c>
      <c r="AJ110" s="14">
        <f>"Thanks for connecting"&amp;IF(O110&lt;&gt;"",", "&amp;O110,"")&amp;". "&amp;IF(ISNUMBER(AB110),"The "&amp;AC110&amp;" slot at "&amp;X110&amp;" is "&amp;IF(ISNUMBER(AB110),TEXT(AB110,"ddd d mmm")&amp;", "&amp;TEXT(AB110,"hh:mm"),"weekday evenings"),"We can book "&amp;AC110&amp;" at "&amp;X110&amp;" on a weekday evening that suits you")&amp;" and it's "&amp;IF(AD110&lt;&gt;"","£"&amp;IF(AD110=INT(AD110),TEXT(AD110,"0"),TEXT(AD110,"0.00")),"[PRICE PER PLAYER]")&amp;" a player, all booked and paid through one link. If football isn't your thing, who at "&amp;F110&amp;" would be the right person to organise a team game?"&amp;IF(Offer!$C$7&lt;&gt;""," Spots are held until "&amp;TEXT(Offer!$C$7,"dddd d mmmm")&amp;".","")&amp;" "&amp;IF(Offer!$C$6&lt;&gt;"",Offer!$C$6,"[JOINING LINK]")</f>
        <v/>
      </c>
      <c r="AK110" s="14">
        <f>IF(OR(ISNUMBER(SEARCH("[",AG110)),ISNUMBER(SEARCH("[",AJ110))),"Fill placeholders",IF(ISNUMBER(AB110),"Ready to send","Ready · no fixed slot"))</f>
        <v/>
      </c>
      <c r="AN110" s="17" t="n"/>
    </row>
    <row r="111">
      <c r="A111" s="11" t="n">
        <v>109</v>
      </c>
      <c r="B111" s="11" t="n">
        <v>2</v>
      </c>
      <c r="C111" s="11" t="inlineStr">
        <is>
          <t>Insurance / broker</t>
        </is>
      </c>
      <c r="D111" s="11" t="inlineStr">
        <is>
          <t>City of London</t>
        </is>
      </c>
      <c r="E111" s="11" t="inlineStr">
        <is>
          <t>Vitality UK Holdings Limited</t>
        </is>
      </c>
      <c r="F111" s="11" t="inlineStr">
        <is>
          <t>Vitality</t>
        </is>
      </c>
      <c r="G111" s="11" t="inlineStr">
        <is>
          <t>05933172</t>
        </is>
      </c>
      <c r="H111" s="12" t="inlineStr">
        <is>
          <t>Open</t>
        </is>
      </c>
      <c r="I111" s="12" t="inlineStr">
        <is>
          <t>Search</t>
        </is>
      </c>
      <c r="J111" s="11" t="inlineStr">
        <is>
          <t>Group</t>
        </is>
      </c>
      <c r="K111" s="13" t="n">
        <v>38972</v>
      </c>
      <c r="L111" s="11" t="inlineStr">
        <is>
          <t>3 More London Riverside, London</t>
        </is>
      </c>
      <c r="M111" s="11" t="inlineStr">
        <is>
          <t>SE1 2AQ</t>
        </is>
      </c>
      <c r="N111" s="11" t="inlineStr">
        <is>
          <t>No</t>
        </is>
      </c>
      <c r="U111" s="11" t="inlineStr">
        <is>
          <t>Bermondsey Riverside</t>
        </is>
      </c>
      <c r="V111" s="11" t="n">
        <v>15</v>
      </c>
      <c r="W111" s="11" t="n"/>
      <c r="X111" s="11" t="inlineStr">
        <is>
          <t>Bermondsey Riverside</t>
        </is>
      </c>
      <c r="Y111" s="11" t="n">
        <v>15</v>
      </c>
      <c r="Z111" s="14">
        <f>IFERROR(INDEX(Venues!$E$2:$E$15,MATCH(X111,Venues!$A$2:$A$15,0)),"Not checked")</f>
        <v/>
      </c>
      <c r="AA111" s="14">
        <f>IFERROR(INDEX(Venues!$F$2:$F$15,MATCH(X111,Venues!$A$2:$A$15,0)),0)</f>
        <v/>
      </c>
      <c r="AB111" s="15">
        <f>IFERROR(INDEX(Venues!$M$2:$M$15,MATCH(X111,Venues!$A$2:$A$15,0)),"")</f>
        <v/>
      </c>
      <c r="AC111" s="14">
        <f>IFERROR(INDEX(Venues!$N$2:$N$15,MATCH(X111,Venues!$A$2:$A$15,0)),"5-a-side")</f>
        <v/>
      </c>
      <c r="AD111" s="16">
        <f>IF(Offer!$C$4="","",Offer!$C$4)</f>
        <v/>
      </c>
      <c r="AE111" s="14">
        <f>X111&amp;" ("&amp;Y111&amp;" min walk) · "&amp;IF(ISNUMBER(AB111),TEXT(AB111,"ddd d mmm, hh:mm"),"slot to confirm with venue")&amp;" · "&amp;AC111&amp;" · "&amp;IF(AD111&lt;&gt;"","£"&amp;TEXT(AD111,"0.00")&amp;" pp","price TBC")</f>
        <v/>
      </c>
      <c r="AF111" s="14">
        <f>"After-work football for "&amp;F111&amp;" · "&amp;X111&amp;", "&amp;Y111&amp;" min from your office"</f>
        <v/>
      </c>
      <c r="AG111" s="14">
        <f>"Hi"&amp;IF(O111&lt;&gt;""," "&amp;O111,"")&amp;","&amp;CHAR(10)&amp;CHAR(10)&amp;"I'm "&amp;IF(AL111&lt;&gt;"",AL111,IF(Offer!$C$5&lt;&gt;"",Offer!$C$5,"[NAME]"))&amp;" from FC Urban. We organise after-work football for teams in the City and Canary Wharf."&amp;CHAR(10)&amp;CHAR(10)&amp;"We have a "&amp;AC111&amp;" pitch at "&amp;X111&amp;", "&amp;IF(OR(Y111=8,Y111=11,Y111=18),"an ","a ")&amp;Y111&amp;"-minute walk from your "&amp;M111&amp;" office, "&amp;IF(ISNUMBER(AB111),"on "&amp;TEXT(AB111,"dddd d mmmm")&amp;" at "&amp;TEXT(AB111,"hh:mm"),"on a weekday evening that suits your team")&amp;". It's "&amp;IF(AD111&lt;&gt;"","£"&amp;IF(AD111=INT(AD111),TEXT(AD111,"0"),TEXT(AD111,"0.00")),"[PRICE PER PLAYER]")&amp;" a player and we handle the pitch booking, sign-ups and payments, so all it takes is one person sharing a link with the team."&amp;CHAR(10)&amp;CHAR(10)&amp;"It works well as a team social or "&amp;IF(ISNUMBER(SEARCH(LEFT(F111,1),"AEIOU")),"an ","a ")&amp;F111&amp;"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LINK]")&amp;CHAR(10)&amp;CHAR(10)&amp;"Best,"&amp;CHAR(10)&amp;IF(AL111&lt;&gt;"",AL111,IF(Offer!$C$5&lt;&gt;"",Offer!$C$5,"[NAME]"))&amp;CHAR(10)&amp;"FC Urban"</f>
        <v/>
      </c>
      <c r="AH111" s="14">
        <f>IF(LEN("Hi"&amp;IF(O111&lt;&gt;""," "&amp;O111,"")&amp;","&amp;" FC Urban runs after-work football for "&amp;IF(D111="Canary Wharf","Canary Wharf","City")&amp;" teams. We have a "&amp;AC111&amp;" pitch at "&amp;X111&amp;", "&amp;Y111&amp;" min from your office, "&amp;IF(ISNUMBER(AB111),TEXT(AB111,"ddd d mmm")&amp;", "&amp;TEXT(AB111,"hh:mm"),"weekday evenings")&amp;", "&amp;IF(AD111&lt;&gt;"","£"&amp;IF(AD111=INT(AD111),TEXT(AD111,"0"),TEXT(AD111,"0.00")),"[PRICE PER PLAYER]")&amp;" a player. We handle booking, sign-ups and payments. Fancy "&amp;IF(ISNUMBER(SEARCH(LEFT(F111,1),"AEIOU")),"an ","a ")&amp;F111&amp;" team game? "&amp;IF(AL111&lt;&gt;"",AL111,IF(Offer!$C$5&lt;&gt;"",Offer!$C$5,"[NAME]")))&lt;=300,"Hi"&amp;IF(O111&lt;&gt;""," "&amp;O111,"")&amp;","&amp;" FC Urban runs after-work football for "&amp;IF(D111="Canary Wharf","Canary Wharf","City")&amp;" teams. We have a "&amp;AC111&amp;" pitch at "&amp;X111&amp;", "&amp;Y111&amp;" min from your office, "&amp;IF(ISNUMBER(AB111),TEXT(AB111,"ddd d mmm")&amp;", "&amp;TEXT(AB111,"hh:mm"),"weekday evenings")&amp;", "&amp;IF(AD111&lt;&gt;"","£"&amp;IF(AD111=INT(AD111),TEXT(AD111,"0"),TEXT(AD111,"0.00")),"[PRICE PER PLAYER]")&amp;" a player. We handle booking, sign-ups and payments. Fancy "&amp;IF(ISNUMBER(SEARCH(LEFT(F111,1),"AEIOU")),"an ","a ")&amp;F111&amp;" team game? "&amp;IF(AL111&lt;&gt;"",AL111,IF(Offer!$C$5&lt;&gt;"",Offer!$C$5,"[NAME]")),LEFT("Hi"&amp;IF(O111&lt;&gt;""," "&amp;O111,"")&amp;","&amp;" FC Urban runs after-work football for "&amp;IF(D111="Canary Wharf","Canary Wharf","City")&amp;" teams: "&amp;AC111&amp;" at "&amp;X111&amp;", "&amp;Y111&amp;" min from your office, "&amp;IF(ISNUMBER(AB111),TEXT(AB111,"ddd d mmm")&amp;", "&amp;TEXT(AB111,"hh:mm"),"weekday evenings")&amp;", "&amp;IF(AD111&lt;&gt;"","£"&amp;IF(AD111=INT(AD111),TEXT(AD111,"0"),TEXT(AD111,"0.00")),"[PRICE PER PLAYER]")&amp;" pp. We handle booking and payments. Up for a team game? "&amp;IF(AL111&lt;&gt;"",AL111,IF(Offer!$C$5&lt;&gt;"",Offer!$C$5,"[NAME]")),300))</f>
        <v/>
      </c>
      <c r="AI111" s="14">
        <f>LEN(AH111)</f>
        <v/>
      </c>
      <c r="AJ111" s="14">
        <f>"Thanks for connecting"&amp;IF(O111&lt;&gt;"",", "&amp;O111,"")&amp;". "&amp;IF(ISNUMBER(AB111),"The "&amp;AC111&amp;" slot at "&amp;X111&amp;" is "&amp;IF(ISNUMBER(AB111),TEXT(AB111,"ddd d mmm")&amp;", "&amp;TEXT(AB111,"hh:mm"),"weekday evenings"),"We can book "&amp;AC111&amp;" at "&amp;X111&amp;" on a weekday evening that suits you")&amp;" and it's "&amp;IF(AD111&lt;&gt;"","£"&amp;IF(AD111=INT(AD111),TEXT(AD111,"0"),TEXT(AD111,"0.00")),"[PRICE PER PLAYER]")&amp;" a player, all booked and paid through one link. If football isn't your thing, who at "&amp;F111&amp;" would be the right person to organise a team game?"&amp;IF(Offer!$C$7&lt;&gt;""," Spots are held until "&amp;TEXT(Offer!$C$7,"dddd d mmmm")&amp;".","")&amp;" "&amp;IF(Offer!$C$6&lt;&gt;"",Offer!$C$6,"[JOINING LINK]")</f>
        <v/>
      </c>
      <c r="AK111" s="14">
        <f>IF(OR(ISNUMBER(SEARCH("[",AG111)),ISNUMBER(SEARCH("[",AJ111))),"Fill placeholders",IF(ISNUMBER(AB111),"Ready to send","Ready · no fixed slot"))</f>
        <v/>
      </c>
      <c r="AN111" s="17" t="n"/>
    </row>
    <row r="112">
      <c r="A112" s="11" t="n">
        <v>110</v>
      </c>
      <c r="B112" s="11" t="n">
        <v>2</v>
      </c>
      <c r="C112" s="11" t="inlineStr">
        <is>
          <t>Fund / asset manager</t>
        </is>
      </c>
      <c r="D112" s="11" t="inlineStr">
        <is>
          <t>City of London</t>
        </is>
      </c>
      <c r="E112" s="11" t="inlineStr">
        <is>
          <t>MMC Ventures Partners LLP</t>
        </is>
      </c>
      <c r="F112" s="11" t="inlineStr">
        <is>
          <t>MMC Ventures Partners</t>
        </is>
      </c>
      <c r="G112" s="11" t="inlineStr">
        <is>
          <t>OC450941</t>
        </is>
      </c>
      <c r="H112" s="12" t="inlineStr">
        <is>
          <t>Open</t>
        </is>
      </c>
      <c r="I112" s="12" t="inlineStr">
        <is>
          <t>Search</t>
        </is>
      </c>
      <c r="J112" s="11" t="inlineStr">
        <is>
          <t>Group</t>
        </is>
      </c>
      <c r="K112" s="13" t="n">
        <v>45331</v>
      </c>
      <c r="L112" s="11" t="inlineStr">
        <is>
          <t>3Rd Floor, 24 High Holborn, London</t>
        </is>
      </c>
      <c r="M112" s="11" t="inlineStr">
        <is>
          <t>WC1V 6AZ</t>
        </is>
      </c>
      <c r="N112" s="11" t="inlineStr">
        <is>
          <t>No</t>
        </is>
      </c>
      <c r="U112" s="11" t="inlineStr">
        <is>
          <t>St Pancras - Coram's Fields 3G</t>
        </is>
      </c>
      <c r="V112" s="11" t="n">
        <v>15</v>
      </c>
      <c r="W112" s="11" t="n"/>
      <c r="X112" s="11" t="inlineStr">
        <is>
          <t>St Pancras - Coram's Fields 3G</t>
        </is>
      </c>
      <c r="Y112" s="11" t="n">
        <v>15</v>
      </c>
      <c r="Z112" s="14">
        <f>IFERROR(INDEX(Venues!$E$2:$E$15,MATCH(X112,Venues!$A$2:$A$15,0)),"Not checked")</f>
        <v/>
      </c>
      <c r="AA112" s="14">
        <f>IFERROR(INDEX(Venues!$F$2:$F$15,MATCH(X112,Venues!$A$2:$A$15,0)),0)</f>
        <v/>
      </c>
      <c r="AB112" s="15">
        <f>IFERROR(INDEX(Venues!$M$2:$M$15,MATCH(X112,Venues!$A$2:$A$15,0)),"")</f>
        <v/>
      </c>
      <c r="AC112" s="14">
        <f>IFERROR(INDEX(Venues!$N$2:$N$15,MATCH(X112,Venues!$A$2:$A$15,0)),"5-a-side")</f>
        <v/>
      </c>
      <c r="AD112" s="16">
        <f>IF(Offer!$C$4="","",Offer!$C$4)</f>
        <v/>
      </c>
      <c r="AE112" s="14">
        <f>X112&amp;" ("&amp;Y112&amp;" min walk) · "&amp;IF(ISNUMBER(AB112),TEXT(AB112,"ddd d mmm, hh:mm"),"slot to confirm with venue")&amp;" · "&amp;AC112&amp;" · "&amp;IF(AD112&lt;&gt;"","£"&amp;TEXT(AD112,"0.00")&amp;" pp","price TBC")</f>
        <v/>
      </c>
      <c r="AF112" s="14">
        <f>"After-work football for "&amp;F112&amp;" · "&amp;X112&amp;", "&amp;Y112&amp;" min from your office"</f>
        <v/>
      </c>
      <c r="AG112" s="14">
        <f>"Hi"&amp;IF(O112&lt;&gt;""," "&amp;O112,"")&amp;","&amp;CHAR(10)&amp;CHAR(10)&amp;"I'm "&amp;IF(AL112&lt;&gt;"",AL112,IF(Offer!$C$5&lt;&gt;"",Offer!$C$5,"[NAME]"))&amp;" from FC Urban. We organise after-work football for teams in the City and Canary Wharf."&amp;CHAR(10)&amp;CHAR(10)&amp;"We have a "&amp;AC112&amp;" pitch at "&amp;X112&amp;", "&amp;IF(OR(Y112=8,Y112=11,Y112=18),"an ","a ")&amp;Y112&amp;"-minute walk from your "&amp;M112&amp;" office, "&amp;IF(ISNUMBER(AB112),"on "&amp;TEXT(AB112,"dddd d mmmm")&amp;" at "&amp;TEXT(AB112,"hh:mm"),"on a weekday evening that suits your team")&amp;". It's "&amp;IF(AD112&lt;&gt;"","£"&amp;IF(AD112=INT(AD112),TEXT(AD112,"0"),TEXT(AD112,"0.00")),"[PRICE PER PLAYER]")&amp;" a player and we handle the pitch booking, sign-ups and payments, so all it takes is one person sharing a link with the team."&amp;CHAR(10)&amp;CHAR(10)&amp;"It works well as a team social or "&amp;IF(ISNUMBER(SEARCH(LEFT(F112,1),"AEIOU")),"an ","a ")&amp;F112&amp;"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LINK]")&amp;CHAR(10)&amp;CHAR(10)&amp;"Best,"&amp;CHAR(10)&amp;IF(AL112&lt;&gt;"",AL112,IF(Offer!$C$5&lt;&gt;"",Offer!$C$5,"[NAME]"))&amp;CHAR(10)&amp;"FC Urban"</f>
        <v/>
      </c>
      <c r="AH112" s="14">
        <f>IF(LEN("Hi"&amp;IF(O112&lt;&gt;""," "&amp;O112,"")&amp;","&amp;" FC Urban runs after-work football for "&amp;IF(D112="Canary Wharf","Canary Wharf","City")&amp;" teams. We have a "&amp;AC112&amp;" pitch at "&amp;X112&amp;", "&amp;Y112&amp;" min from your office, "&amp;IF(ISNUMBER(AB112),TEXT(AB112,"ddd d mmm")&amp;", "&amp;TEXT(AB112,"hh:mm"),"weekday evenings")&amp;", "&amp;IF(AD112&lt;&gt;"","£"&amp;IF(AD112=INT(AD112),TEXT(AD112,"0"),TEXT(AD112,"0.00")),"[PRICE PER PLAYER]")&amp;" a player. We handle booking, sign-ups and payments. Fancy "&amp;IF(ISNUMBER(SEARCH(LEFT(F112,1),"AEIOU")),"an ","a ")&amp;F112&amp;" team game? "&amp;IF(AL112&lt;&gt;"",AL112,IF(Offer!$C$5&lt;&gt;"",Offer!$C$5,"[NAME]")))&lt;=300,"Hi"&amp;IF(O112&lt;&gt;""," "&amp;O112,"")&amp;","&amp;" FC Urban runs after-work football for "&amp;IF(D112="Canary Wharf","Canary Wharf","City")&amp;" teams. We have a "&amp;AC112&amp;" pitch at "&amp;X112&amp;", "&amp;Y112&amp;" min from your office, "&amp;IF(ISNUMBER(AB112),TEXT(AB112,"ddd d mmm")&amp;", "&amp;TEXT(AB112,"hh:mm"),"weekday evenings")&amp;", "&amp;IF(AD112&lt;&gt;"","£"&amp;IF(AD112=INT(AD112),TEXT(AD112,"0"),TEXT(AD112,"0.00")),"[PRICE PER PLAYER]")&amp;" a player. We handle booking, sign-ups and payments. Fancy "&amp;IF(ISNUMBER(SEARCH(LEFT(F112,1),"AEIOU")),"an ","a ")&amp;F112&amp;" team game? "&amp;IF(AL112&lt;&gt;"",AL112,IF(Offer!$C$5&lt;&gt;"",Offer!$C$5,"[NAME]")),LEFT("Hi"&amp;IF(O112&lt;&gt;""," "&amp;O112,"")&amp;","&amp;" FC Urban runs after-work football for "&amp;IF(D112="Canary Wharf","Canary Wharf","City")&amp;" teams: "&amp;AC112&amp;" at "&amp;X112&amp;", "&amp;Y112&amp;" min from your office, "&amp;IF(ISNUMBER(AB112),TEXT(AB112,"ddd d mmm")&amp;", "&amp;TEXT(AB112,"hh:mm"),"weekday evenings")&amp;", "&amp;IF(AD112&lt;&gt;"","£"&amp;IF(AD112=INT(AD112),TEXT(AD112,"0"),TEXT(AD112,"0.00")),"[PRICE PER PLAYER]")&amp;" pp. We handle booking and payments. Up for a team game? "&amp;IF(AL112&lt;&gt;"",AL112,IF(Offer!$C$5&lt;&gt;"",Offer!$C$5,"[NAME]")),300))</f>
        <v/>
      </c>
      <c r="AI112" s="14">
        <f>LEN(AH112)</f>
        <v/>
      </c>
      <c r="AJ112" s="14">
        <f>"Thanks for connecting"&amp;IF(O112&lt;&gt;"",", "&amp;O112,"")&amp;". "&amp;IF(ISNUMBER(AB112),"The "&amp;AC112&amp;" slot at "&amp;X112&amp;" is "&amp;IF(ISNUMBER(AB112),TEXT(AB112,"ddd d mmm")&amp;", "&amp;TEXT(AB112,"hh:mm"),"weekday evenings"),"We can book "&amp;AC112&amp;" at "&amp;X112&amp;" on a weekday evening that suits you")&amp;" and it's "&amp;IF(AD112&lt;&gt;"","£"&amp;IF(AD112=INT(AD112),TEXT(AD112,"0"),TEXT(AD112,"0.00")),"[PRICE PER PLAYER]")&amp;" a player, all booked and paid through one link. If football isn't your thing, who at "&amp;F112&amp;" would be the right person to organise a team game?"&amp;IF(Offer!$C$7&lt;&gt;""," Spots are held until "&amp;TEXT(Offer!$C$7,"dddd d mmmm")&amp;".","")&amp;" "&amp;IF(Offer!$C$6&lt;&gt;"",Offer!$C$6,"[JOINING LINK]")</f>
        <v/>
      </c>
      <c r="AK112" s="14">
        <f>IF(OR(ISNUMBER(SEARCH("[",AG112)),ISNUMBER(SEARCH("[",AJ112))),"Fill placeholders",IF(ISNUMBER(AB112),"Ready to send","Ready · no fixed slot"))</f>
        <v/>
      </c>
      <c r="AN112" s="17" t="n"/>
    </row>
    <row r="113">
      <c r="A113" s="11" t="n">
        <v>111</v>
      </c>
      <c r="B113" s="11" t="n">
        <v>2</v>
      </c>
      <c r="C113" s="11" t="inlineStr">
        <is>
          <t>Fund / asset manager</t>
        </is>
      </c>
      <c r="D113" s="11" t="inlineStr">
        <is>
          <t>City of London</t>
        </is>
      </c>
      <c r="E113" s="11" t="inlineStr">
        <is>
          <t>Orchard Global Services Limited</t>
        </is>
      </c>
      <c r="F113" s="11" t="inlineStr">
        <is>
          <t>Orchard</t>
        </is>
      </c>
      <c r="G113" s="11" t="inlineStr">
        <is>
          <t>06714157</t>
        </is>
      </c>
      <c r="H113" s="12" t="inlineStr">
        <is>
          <t>Open</t>
        </is>
      </c>
      <c r="I113" s="12" t="inlineStr">
        <is>
          <t>Search</t>
        </is>
      </c>
      <c r="J113" s="11" t="inlineStr">
        <is>
          <t>Group</t>
        </is>
      </c>
      <c r="K113" s="13" t="n">
        <v>39723</v>
      </c>
      <c r="L113" s="11" t="inlineStr">
        <is>
          <t>Level 16, 100 Bishopsgate, London</t>
        </is>
      </c>
      <c r="M113" s="11" t="inlineStr">
        <is>
          <t>EC2N 4AG</t>
        </is>
      </c>
      <c r="N113" s="11" t="inlineStr">
        <is>
          <t>Yes</t>
        </is>
      </c>
      <c r="U113" s="11" t="inlineStr">
        <is>
          <t>Liverpool St - Attlee Centre</t>
        </is>
      </c>
      <c r="V113" s="11" t="n">
        <v>10</v>
      </c>
      <c r="W113" s="11" t="inlineStr">
        <is>
          <t>Shoreditch Powerleague (15.2)</t>
        </is>
      </c>
      <c r="X113" s="11" t="inlineStr">
        <is>
          <t>Shoreditch Powerleague</t>
        </is>
      </c>
      <c r="Y113" s="11" t="n">
        <v>15</v>
      </c>
      <c r="Z113" s="14">
        <f>IFERROR(INDEX(Venues!$E$2:$E$15,MATCH(X113,Venues!$A$2:$A$15,0)),"Not checked")</f>
        <v/>
      </c>
      <c r="AA113" s="14">
        <f>IFERROR(INDEX(Venues!$F$2:$F$15,MATCH(X113,Venues!$A$2:$A$15,0)),0)</f>
        <v/>
      </c>
      <c r="AB113" s="15">
        <f>IFERROR(INDEX(Venues!$M$2:$M$15,MATCH(X113,Venues!$A$2:$A$15,0)),"")</f>
        <v/>
      </c>
      <c r="AC113" s="14">
        <f>IFERROR(INDEX(Venues!$N$2:$N$15,MATCH(X113,Venues!$A$2:$A$15,0)),"5-a-side")</f>
        <v/>
      </c>
      <c r="AD113" s="16">
        <f>IF(Offer!$C$4="","",Offer!$C$4)</f>
        <v/>
      </c>
      <c r="AE113" s="14">
        <f>X113&amp;" ("&amp;Y113&amp;" min walk) · "&amp;IF(ISNUMBER(AB113),TEXT(AB113,"ddd d mmm, hh:mm"),"slot to confirm with venue")&amp;" · "&amp;AC113&amp;" · "&amp;IF(AD113&lt;&gt;"","£"&amp;TEXT(AD113,"0.00")&amp;" pp","price TBC")</f>
        <v/>
      </c>
      <c r="AF113" s="14">
        <f>"After-work football for "&amp;F113&amp;" · "&amp;X113&amp;", "&amp;Y113&amp;" min from your office"</f>
        <v/>
      </c>
      <c r="AG113" s="14">
        <f>"Hi"&amp;IF(O113&lt;&gt;""," "&amp;O113,"")&amp;","&amp;CHAR(10)&amp;CHAR(10)&amp;"I'm "&amp;IF(AL113&lt;&gt;"",AL113,IF(Offer!$C$5&lt;&gt;"",Offer!$C$5,"[NAME]"))&amp;" from FC Urban. We organise after-work football for teams in the City and Canary Wharf."&amp;CHAR(10)&amp;CHAR(10)&amp;"We have a "&amp;AC113&amp;" pitch at "&amp;X113&amp;", "&amp;IF(OR(Y113=8,Y113=11,Y113=18),"an ","a ")&amp;Y113&amp;"-minute walk from your "&amp;M113&amp;" office, "&amp;IF(ISNUMBER(AB113),"on "&amp;TEXT(AB113,"dddd d mmmm")&amp;" at "&amp;TEXT(AB113,"hh:mm"),"on a weekday evening that suits your team")&amp;". It's "&amp;IF(AD113&lt;&gt;"","£"&amp;IF(AD113=INT(AD113),TEXT(AD113,"0"),TEXT(AD113,"0.00")),"[PRICE PER PLAYER]")&amp;" a player and we handle the pitch booking, sign-ups and payments, so all it takes is one person sharing a link with the team."&amp;CHAR(10)&amp;CHAR(10)&amp;"It works well as a team social or "&amp;IF(ISNUMBER(SEARCH(LEFT(F113,1),"AEIOU")),"an ","a ")&amp;F113&amp;"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LINK]")&amp;CHAR(10)&amp;CHAR(10)&amp;"Best,"&amp;CHAR(10)&amp;IF(AL113&lt;&gt;"",AL113,IF(Offer!$C$5&lt;&gt;"",Offer!$C$5,"[NAME]"))&amp;CHAR(10)&amp;"FC Urban"</f>
        <v/>
      </c>
      <c r="AH113" s="14">
        <f>IF(LEN("Hi"&amp;IF(O113&lt;&gt;""," "&amp;O113,"")&amp;","&amp;" FC Urban runs after-work football for "&amp;IF(D113="Canary Wharf","Canary Wharf","City")&amp;" teams. We have a "&amp;AC113&amp;" pitch at "&amp;X113&amp;", "&amp;Y113&amp;" min from your office, "&amp;IF(ISNUMBER(AB113),TEXT(AB113,"ddd d mmm")&amp;", "&amp;TEXT(AB113,"hh:mm"),"weekday evenings")&amp;", "&amp;IF(AD113&lt;&gt;"","£"&amp;IF(AD113=INT(AD113),TEXT(AD113,"0"),TEXT(AD113,"0.00")),"[PRICE PER PLAYER]")&amp;" a player. We handle booking, sign-ups and payments. Fancy "&amp;IF(ISNUMBER(SEARCH(LEFT(F113,1),"AEIOU")),"an ","a ")&amp;F113&amp;" team game? "&amp;IF(AL113&lt;&gt;"",AL113,IF(Offer!$C$5&lt;&gt;"",Offer!$C$5,"[NAME]")))&lt;=300,"Hi"&amp;IF(O113&lt;&gt;""," "&amp;O113,"")&amp;","&amp;" FC Urban runs after-work football for "&amp;IF(D113="Canary Wharf","Canary Wharf","City")&amp;" teams. We have a "&amp;AC113&amp;" pitch at "&amp;X113&amp;", "&amp;Y113&amp;" min from your office, "&amp;IF(ISNUMBER(AB113),TEXT(AB113,"ddd d mmm")&amp;", "&amp;TEXT(AB113,"hh:mm"),"weekday evenings")&amp;", "&amp;IF(AD113&lt;&gt;"","£"&amp;IF(AD113=INT(AD113),TEXT(AD113,"0"),TEXT(AD113,"0.00")),"[PRICE PER PLAYER]")&amp;" a player. We handle booking, sign-ups and payments. Fancy "&amp;IF(ISNUMBER(SEARCH(LEFT(F113,1),"AEIOU")),"an ","a ")&amp;F113&amp;" team game? "&amp;IF(AL113&lt;&gt;"",AL113,IF(Offer!$C$5&lt;&gt;"",Offer!$C$5,"[NAME]")),LEFT("Hi"&amp;IF(O113&lt;&gt;""," "&amp;O113,"")&amp;","&amp;" FC Urban runs after-work football for "&amp;IF(D113="Canary Wharf","Canary Wharf","City")&amp;" teams: "&amp;AC113&amp;" at "&amp;X113&amp;", "&amp;Y113&amp;" min from your office, "&amp;IF(ISNUMBER(AB113),TEXT(AB113,"ddd d mmm")&amp;", "&amp;TEXT(AB113,"hh:mm"),"weekday evenings")&amp;", "&amp;IF(AD113&lt;&gt;"","£"&amp;IF(AD113=INT(AD113),TEXT(AD113,"0"),TEXT(AD113,"0.00")),"[PRICE PER PLAYER]")&amp;" pp. We handle booking and payments. Up for a team game? "&amp;IF(AL113&lt;&gt;"",AL113,IF(Offer!$C$5&lt;&gt;"",Offer!$C$5,"[NAME]")),300))</f>
        <v/>
      </c>
      <c r="AI113" s="14">
        <f>LEN(AH113)</f>
        <v/>
      </c>
      <c r="AJ113" s="14">
        <f>"Thanks for connecting"&amp;IF(O113&lt;&gt;"",", "&amp;O113,"")&amp;". "&amp;IF(ISNUMBER(AB113),"The "&amp;AC113&amp;" slot at "&amp;X113&amp;" is "&amp;IF(ISNUMBER(AB113),TEXT(AB113,"ddd d mmm")&amp;", "&amp;TEXT(AB113,"hh:mm"),"weekday evenings"),"We can book "&amp;AC113&amp;" at "&amp;X113&amp;" on a weekday evening that suits you")&amp;" and it's "&amp;IF(AD113&lt;&gt;"","£"&amp;IF(AD113=INT(AD113),TEXT(AD113,"0"),TEXT(AD113,"0.00")),"[PRICE PER PLAYER]")&amp;" a player, all booked and paid through one link. If football isn't your thing, who at "&amp;F113&amp;" would be the right person to organise a team game?"&amp;IF(Offer!$C$7&lt;&gt;""," Spots are held until "&amp;TEXT(Offer!$C$7,"dddd d mmmm")&amp;".","")&amp;" "&amp;IF(Offer!$C$6&lt;&gt;"",Offer!$C$6,"[JOINING LINK]")</f>
        <v/>
      </c>
      <c r="AK113" s="14">
        <f>IF(OR(ISNUMBER(SEARCH("[",AG113)),ISNUMBER(SEARCH("[",AJ113))),"Fill placeholders",IF(ISNUMBER(AB113),"Ready to send","Ready · no fixed slot"))</f>
        <v/>
      </c>
      <c r="AN113" s="17" t="n"/>
    </row>
    <row r="114">
      <c r="A114" s="11" t="n">
        <v>112</v>
      </c>
      <c r="B114" s="11" t="n">
        <v>2</v>
      </c>
      <c r="C114" s="11" t="inlineStr">
        <is>
          <t>Insurance / broker</t>
        </is>
      </c>
      <c r="D114" s="11" t="inlineStr">
        <is>
          <t>City of London</t>
        </is>
      </c>
      <c r="E114" s="11" t="inlineStr">
        <is>
          <t>Iris Insurance Brokers Limited</t>
        </is>
      </c>
      <c r="F114" s="11" t="inlineStr">
        <is>
          <t>Iris Insurance Brokers</t>
        </is>
      </c>
      <c r="G114" s="11" t="inlineStr">
        <is>
          <t>04072404</t>
        </is>
      </c>
      <c r="H114" s="12" t="inlineStr">
        <is>
          <t>Open</t>
        </is>
      </c>
      <c r="I114" s="12" t="inlineStr">
        <is>
          <t>Search</t>
        </is>
      </c>
      <c r="J114" s="11" t="inlineStr">
        <is>
          <t>Group</t>
        </is>
      </c>
      <c r="K114" s="13" t="n">
        <v>36784</v>
      </c>
      <c r="L114" s="11" t="inlineStr">
        <is>
          <t>33 Exchequer Court, St. Mary Axe, London</t>
        </is>
      </c>
      <c r="M114" s="11" t="inlineStr">
        <is>
          <t>EC3A 8AA</t>
        </is>
      </c>
      <c r="N114" s="11" t="inlineStr">
        <is>
          <t>Yes</t>
        </is>
      </c>
      <c r="U114" s="11" t="inlineStr">
        <is>
          <t>Liverpool St - Attlee Centre</t>
        </is>
      </c>
      <c r="V114" s="11" t="n">
        <v>10</v>
      </c>
      <c r="W114" s="11" t="inlineStr">
        <is>
          <t>Shoreditch Powerleague (15.5)</t>
        </is>
      </c>
      <c r="X114" s="11" t="inlineStr">
        <is>
          <t>Shoreditch Powerleague</t>
        </is>
      </c>
      <c r="Y114" s="11" t="n">
        <v>16</v>
      </c>
      <c r="Z114" s="14">
        <f>IFERROR(INDEX(Venues!$E$2:$E$15,MATCH(X114,Venues!$A$2:$A$15,0)),"Not checked")</f>
        <v/>
      </c>
      <c r="AA114" s="14">
        <f>IFERROR(INDEX(Venues!$F$2:$F$15,MATCH(X114,Venues!$A$2:$A$15,0)),0)</f>
        <v/>
      </c>
      <c r="AB114" s="15">
        <f>IFERROR(INDEX(Venues!$M$2:$M$15,MATCH(X114,Venues!$A$2:$A$15,0)),"")</f>
        <v/>
      </c>
      <c r="AC114" s="14">
        <f>IFERROR(INDEX(Venues!$N$2:$N$15,MATCH(X114,Venues!$A$2:$A$15,0)),"5-a-side")</f>
        <v/>
      </c>
      <c r="AD114" s="16">
        <f>IF(Offer!$C$4="","",Offer!$C$4)</f>
        <v/>
      </c>
      <c r="AE114" s="14">
        <f>X114&amp;" ("&amp;Y114&amp;" min walk) · "&amp;IF(ISNUMBER(AB114),TEXT(AB114,"ddd d mmm, hh:mm"),"slot to confirm with venue")&amp;" · "&amp;AC114&amp;" · "&amp;IF(AD114&lt;&gt;"","£"&amp;TEXT(AD114,"0.00")&amp;" pp","price TBC")</f>
        <v/>
      </c>
      <c r="AF114" s="14">
        <f>"After-work football for "&amp;F114&amp;" · "&amp;X114&amp;", "&amp;Y114&amp;" min from your office"</f>
        <v/>
      </c>
      <c r="AG114" s="14">
        <f>"Hi"&amp;IF(O114&lt;&gt;""," "&amp;O114,"")&amp;","&amp;CHAR(10)&amp;CHAR(10)&amp;"I'm "&amp;IF(AL114&lt;&gt;"",AL114,IF(Offer!$C$5&lt;&gt;"",Offer!$C$5,"[NAME]"))&amp;" from FC Urban. We organise after-work football for teams in the City and Canary Wharf."&amp;CHAR(10)&amp;CHAR(10)&amp;"We have a "&amp;AC114&amp;" pitch at "&amp;X114&amp;", "&amp;IF(OR(Y114=8,Y114=11,Y114=18),"an ","a ")&amp;Y114&amp;"-minute walk from your "&amp;M114&amp;" office, "&amp;IF(ISNUMBER(AB114),"on "&amp;TEXT(AB114,"dddd d mmmm")&amp;" at "&amp;TEXT(AB114,"hh:mm"),"on a weekday evening that suits your team")&amp;". It's "&amp;IF(AD114&lt;&gt;"","£"&amp;IF(AD114=INT(AD114),TEXT(AD114,"0"),TEXT(AD114,"0.00")),"[PRICE PER PLAYER]")&amp;" a player and we handle the pitch booking, sign-ups and payments, so all it takes is one person sharing a link with the team."&amp;CHAR(10)&amp;CHAR(10)&amp;"It works well as a team social or "&amp;IF(ISNUMBER(SEARCH(LEFT(F114,1),"AEIOU")),"an ","a ")&amp;F114&amp;"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LINK]")&amp;CHAR(10)&amp;CHAR(10)&amp;"Best,"&amp;CHAR(10)&amp;IF(AL114&lt;&gt;"",AL114,IF(Offer!$C$5&lt;&gt;"",Offer!$C$5,"[NAME]"))&amp;CHAR(10)&amp;"FC Urban"</f>
        <v/>
      </c>
      <c r="AH114" s="14">
        <f>IF(LEN("Hi"&amp;IF(O114&lt;&gt;""," "&amp;O114,"")&amp;","&amp;" FC Urban runs after-work football for "&amp;IF(D114="Canary Wharf","Canary Wharf","City")&amp;" teams. We have a "&amp;AC114&amp;" pitch at "&amp;X114&amp;", "&amp;Y114&amp;" min from your office, "&amp;IF(ISNUMBER(AB114),TEXT(AB114,"ddd d mmm")&amp;", "&amp;TEXT(AB114,"hh:mm"),"weekday evenings")&amp;", "&amp;IF(AD114&lt;&gt;"","£"&amp;IF(AD114=INT(AD114),TEXT(AD114,"0"),TEXT(AD114,"0.00")),"[PRICE PER PLAYER]")&amp;" a player. We handle booking, sign-ups and payments. Fancy "&amp;IF(ISNUMBER(SEARCH(LEFT(F114,1),"AEIOU")),"an ","a ")&amp;F114&amp;" team game? "&amp;IF(AL114&lt;&gt;"",AL114,IF(Offer!$C$5&lt;&gt;"",Offer!$C$5,"[NAME]")))&lt;=300,"Hi"&amp;IF(O114&lt;&gt;""," "&amp;O114,"")&amp;","&amp;" FC Urban runs after-work football for "&amp;IF(D114="Canary Wharf","Canary Wharf","City")&amp;" teams. We have a "&amp;AC114&amp;" pitch at "&amp;X114&amp;", "&amp;Y114&amp;" min from your office, "&amp;IF(ISNUMBER(AB114),TEXT(AB114,"ddd d mmm")&amp;", "&amp;TEXT(AB114,"hh:mm"),"weekday evenings")&amp;", "&amp;IF(AD114&lt;&gt;"","£"&amp;IF(AD114=INT(AD114),TEXT(AD114,"0"),TEXT(AD114,"0.00")),"[PRICE PER PLAYER]")&amp;" a player. We handle booking, sign-ups and payments. Fancy "&amp;IF(ISNUMBER(SEARCH(LEFT(F114,1),"AEIOU")),"an ","a ")&amp;F114&amp;" team game? "&amp;IF(AL114&lt;&gt;"",AL114,IF(Offer!$C$5&lt;&gt;"",Offer!$C$5,"[NAME]")),LEFT("Hi"&amp;IF(O114&lt;&gt;""," "&amp;O114,"")&amp;","&amp;" FC Urban runs after-work football for "&amp;IF(D114="Canary Wharf","Canary Wharf","City")&amp;" teams: "&amp;AC114&amp;" at "&amp;X114&amp;", "&amp;Y114&amp;" min from your office, "&amp;IF(ISNUMBER(AB114),TEXT(AB114,"ddd d mmm")&amp;", "&amp;TEXT(AB114,"hh:mm"),"weekday evenings")&amp;", "&amp;IF(AD114&lt;&gt;"","£"&amp;IF(AD114=INT(AD114),TEXT(AD114,"0"),TEXT(AD114,"0.00")),"[PRICE PER PLAYER]")&amp;" pp. We handle booking and payments. Up for a team game? "&amp;IF(AL114&lt;&gt;"",AL114,IF(Offer!$C$5&lt;&gt;"",Offer!$C$5,"[NAME]")),300))</f>
        <v/>
      </c>
      <c r="AI114" s="14">
        <f>LEN(AH114)</f>
        <v/>
      </c>
      <c r="AJ114" s="14">
        <f>"Thanks for connecting"&amp;IF(O114&lt;&gt;"",", "&amp;O114,"")&amp;". "&amp;IF(ISNUMBER(AB114),"The "&amp;AC114&amp;" slot at "&amp;X114&amp;" is "&amp;IF(ISNUMBER(AB114),TEXT(AB114,"ddd d mmm")&amp;", "&amp;TEXT(AB114,"hh:mm"),"weekday evenings"),"We can book "&amp;AC114&amp;" at "&amp;X114&amp;" on a weekday evening that suits you")&amp;" and it's "&amp;IF(AD114&lt;&gt;"","£"&amp;IF(AD114=INT(AD114),TEXT(AD114,"0"),TEXT(AD114,"0.00")),"[PRICE PER PLAYER]")&amp;" a player, all booked and paid through one link. If football isn't your thing, who at "&amp;F114&amp;" would be the right person to organise a team game?"&amp;IF(Offer!$C$7&lt;&gt;""," Spots are held until "&amp;TEXT(Offer!$C$7,"dddd d mmmm")&amp;".","")&amp;" "&amp;IF(Offer!$C$6&lt;&gt;"",Offer!$C$6,"[JOINING LINK]")</f>
        <v/>
      </c>
      <c r="AK114" s="14">
        <f>IF(OR(ISNUMBER(SEARCH("[",AG114)),ISNUMBER(SEARCH("[",AJ114))),"Fill placeholders",IF(ISNUMBER(AB114),"Ready to send","Ready · no fixed slot"))</f>
        <v/>
      </c>
      <c r="AN114" s="17" t="n"/>
    </row>
    <row r="115">
      <c r="A115" s="11" t="n">
        <v>113</v>
      </c>
      <c r="B115" s="11" t="n">
        <v>2</v>
      </c>
      <c r="C115" s="11" t="inlineStr">
        <is>
          <t>Fund / asset manager</t>
        </is>
      </c>
      <c r="D115" s="11" t="inlineStr">
        <is>
          <t>City of London</t>
        </is>
      </c>
      <c r="E115" s="11" t="inlineStr">
        <is>
          <t>Optio Group Limited</t>
        </is>
      </c>
      <c r="F115" s="11" t="inlineStr">
        <is>
          <t>Optio</t>
        </is>
      </c>
      <c r="G115" s="11" t="inlineStr">
        <is>
          <t>11032254</t>
        </is>
      </c>
      <c r="H115" s="12" t="inlineStr">
        <is>
          <t>Open</t>
        </is>
      </c>
      <c r="I115" s="12" t="inlineStr">
        <is>
          <t>Search</t>
        </is>
      </c>
      <c r="J115" s="11" t="inlineStr">
        <is>
          <t>Group</t>
        </is>
      </c>
      <c r="K115" s="13" t="n">
        <v>43033</v>
      </c>
      <c r="L115" s="11" t="inlineStr">
        <is>
          <t>10Th Floor, 1 Minster Court, Mincing Lane, London</t>
        </is>
      </c>
      <c r="M115" s="11" t="inlineStr">
        <is>
          <t>EC3R 7AA</t>
        </is>
      </c>
      <c r="N115" s="11" t="inlineStr">
        <is>
          <t>Yes</t>
        </is>
      </c>
      <c r="U115" s="11" t="inlineStr">
        <is>
          <t>Liverpool St - Attlee Centre</t>
        </is>
      </c>
      <c r="V115" s="11" t="n">
        <v>16</v>
      </c>
      <c r="W115" s="11" t="n"/>
      <c r="X115" s="11" t="inlineStr">
        <is>
          <t>Liverpool St - Attlee Centre</t>
        </is>
      </c>
      <c r="Y115" s="11" t="n">
        <v>16</v>
      </c>
      <c r="Z115" s="14">
        <f>IFERROR(INDEX(Venues!$E$2:$E$15,MATCH(X115,Venues!$A$2:$A$15,0)),"Not checked")</f>
        <v/>
      </c>
      <c r="AA115" s="14">
        <f>IFERROR(INDEX(Venues!$F$2:$F$15,MATCH(X115,Venues!$A$2:$A$15,0)),0)</f>
        <v/>
      </c>
      <c r="AB115" s="15">
        <f>IFERROR(INDEX(Venues!$M$2:$M$15,MATCH(X115,Venues!$A$2:$A$15,0)),"")</f>
        <v/>
      </c>
      <c r="AC115" s="14">
        <f>IFERROR(INDEX(Venues!$N$2:$N$15,MATCH(X115,Venues!$A$2:$A$15,0)),"5-a-side")</f>
        <v/>
      </c>
      <c r="AD115" s="16">
        <f>IF(Offer!$C$4="","",Offer!$C$4)</f>
        <v/>
      </c>
      <c r="AE115" s="14">
        <f>X115&amp;" ("&amp;Y115&amp;" min walk) · "&amp;IF(ISNUMBER(AB115),TEXT(AB115,"ddd d mmm, hh:mm"),"slot to confirm with venue")&amp;" · "&amp;AC115&amp;" · "&amp;IF(AD115&lt;&gt;"","£"&amp;TEXT(AD115,"0.00")&amp;" pp","price TBC")</f>
        <v/>
      </c>
      <c r="AF115" s="14">
        <f>"After-work football for "&amp;F115&amp;" · "&amp;X115&amp;", "&amp;Y115&amp;" min from your office"</f>
        <v/>
      </c>
      <c r="AG115" s="14">
        <f>"Hi"&amp;IF(O115&lt;&gt;""," "&amp;O115,"")&amp;","&amp;CHAR(10)&amp;CHAR(10)&amp;"I'm "&amp;IF(AL115&lt;&gt;"",AL115,IF(Offer!$C$5&lt;&gt;"",Offer!$C$5,"[NAME]"))&amp;" from FC Urban. We organise after-work football for teams in the City and Canary Wharf."&amp;CHAR(10)&amp;CHAR(10)&amp;"We have a "&amp;AC115&amp;" pitch at "&amp;X115&amp;", "&amp;IF(OR(Y115=8,Y115=11,Y115=18),"an ","a ")&amp;Y115&amp;"-minute walk from your "&amp;M115&amp;" office, "&amp;IF(ISNUMBER(AB115),"on "&amp;TEXT(AB115,"dddd d mmmm")&amp;" at "&amp;TEXT(AB115,"hh:mm"),"on a weekday evening that suits your team")&amp;". It's "&amp;IF(AD115&lt;&gt;"","£"&amp;IF(AD115=INT(AD115),TEXT(AD115,"0"),TEXT(AD115,"0.00")),"[PRICE PER PLAYER]")&amp;" a player and we handle the pitch booking, sign-ups and payments, so all it takes is one person sharing a link with the team."&amp;CHAR(10)&amp;CHAR(10)&amp;"It works well as a team social or "&amp;IF(ISNUMBER(SEARCH(LEFT(F115,1),"AEIOU")),"an ","a ")&amp;F115&amp;"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LINK]")&amp;CHAR(10)&amp;CHAR(10)&amp;"Best,"&amp;CHAR(10)&amp;IF(AL115&lt;&gt;"",AL115,IF(Offer!$C$5&lt;&gt;"",Offer!$C$5,"[NAME]"))&amp;CHAR(10)&amp;"FC Urban"</f>
        <v/>
      </c>
      <c r="AH115" s="14">
        <f>IF(LEN("Hi"&amp;IF(O115&lt;&gt;""," "&amp;O115,"")&amp;","&amp;" FC Urban runs after-work football for "&amp;IF(D115="Canary Wharf","Canary Wharf","City")&amp;" teams. We have a "&amp;AC115&amp;" pitch at "&amp;X115&amp;", "&amp;Y115&amp;" min from your office, "&amp;IF(ISNUMBER(AB115),TEXT(AB115,"ddd d mmm")&amp;", "&amp;TEXT(AB115,"hh:mm"),"weekday evenings")&amp;", "&amp;IF(AD115&lt;&gt;"","£"&amp;IF(AD115=INT(AD115),TEXT(AD115,"0"),TEXT(AD115,"0.00")),"[PRICE PER PLAYER]")&amp;" a player. We handle booking, sign-ups and payments. Fancy "&amp;IF(ISNUMBER(SEARCH(LEFT(F115,1),"AEIOU")),"an ","a ")&amp;F115&amp;" team game? "&amp;IF(AL115&lt;&gt;"",AL115,IF(Offer!$C$5&lt;&gt;"",Offer!$C$5,"[NAME]")))&lt;=300,"Hi"&amp;IF(O115&lt;&gt;""," "&amp;O115,"")&amp;","&amp;" FC Urban runs after-work football for "&amp;IF(D115="Canary Wharf","Canary Wharf","City")&amp;" teams. We have a "&amp;AC115&amp;" pitch at "&amp;X115&amp;", "&amp;Y115&amp;" min from your office, "&amp;IF(ISNUMBER(AB115),TEXT(AB115,"ddd d mmm")&amp;", "&amp;TEXT(AB115,"hh:mm"),"weekday evenings")&amp;", "&amp;IF(AD115&lt;&gt;"","£"&amp;IF(AD115=INT(AD115),TEXT(AD115,"0"),TEXT(AD115,"0.00")),"[PRICE PER PLAYER]")&amp;" a player. We handle booking, sign-ups and payments. Fancy "&amp;IF(ISNUMBER(SEARCH(LEFT(F115,1),"AEIOU")),"an ","a ")&amp;F115&amp;" team game? "&amp;IF(AL115&lt;&gt;"",AL115,IF(Offer!$C$5&lt;&gt;"",Offer!$C$5,"[NAME]")),LEFT("Hi"&amp;IF(O115&lt;&gt;""," "&amp;O115,"")&amp;","&amp;" FC Urban runs after-work football for "&amp;IF(D115="Canary Wharf","Canary Wharf","City")&amp;" teams: "&amp;AC115&amp;" at "&amp;X115&amp;", "&amp;Y115&amp;" min from your office, "&amp;IF(ISNUMBER(AB115),TEXT(AB115,"ddd d mmm")&amp;", "&amp;TEXT(AB115,"hh:mm"),"weekday evenings")&amp;", "&amp;IF(AD115&lt;&gt;"","£"&amp;IF(AD115=INT(AD115),TEXT(AD115,"0"),TEXT(AD115,"0.00")),"[PRICE PER PLAYER]")&amp;" pp. We handle booking and payments. Up for a team game? "&amp;IF(AL115&lt;&gt;"",AL115,IF(Offer!$C$5&lt;&gt;"",Offer!$C$5,"[NAME]")),300))</f>
        <v/>
      </c>
      <c r="AI115" s="14">
        <f>LEN(AH115)</f>
        <v/>
      </c>
      <c r="AJ115" s="14">
        <f>"Thanks for connecting"&amp;IF(O115&lt;&gt;"",", "&amp;O115,"")&amp;". "&amp;IF(ISNUMBER(AB115),"The "&amp;AC115&amp;" slot at "&amp;X115&amp;" is "&amp;IF(ISNUMBER(AB115),TEXT(AB115,"ddd d mmm")&amp;", "&amp;TEXT(AB115,"hh:mm"),"weekday evenings"),"We can book "&amp;AC115&amp;" at "&amp;X115&amp;" on a weekday evening that suits you")&amp;" and it's "&amp;IF(AD115&lt;&gt;"","£"&amp;IF(AD115=INT(AD115),TEXT(AD115,"0"),TEXT(AD115,"0.00")),"[PRICE PER PLAYER]")&amp;" a player, all booked and paid through one link. If football isn't your thing, who at "&amp;F115&amp;" would be the right person to organise a team game?"&amp;IF(Offer!$C$7&lt;&gt;""," Spots are held until "&amp;TEXT(Offer!$C$7,"dddd d mmmm")&amp;".","")&amp;" "&amp;IF(Offer!$C$6&lt;&gt;"",Offer!$C$6,"[JOINING LINK]")</f>
        <v/>
      </c>
      <c r="AK115" s="14">
        <f>IF(OR(ISNUMBER(SEARCH("[",AG115)),ISNUMBER(SEARCH("[",AJ115))),"Fill placeholders",IF(ISNUMBER(AB115),"Ready to send","Ready · no fixed slot"))</f>
        <v/>
      </c>
      <c r="AN115" s="17" t="n"/>
    </row>
    <row r="116">
      <c r="A116" s="11" t="n">
        <v>114</v>
      </c>
      <c r="B116" s="11" t="n">
        <v>2</v>
      </c>
      <c r="C116" s="11" t="inlineStr">
        <is>
          <t>Insurance / broker</t>
        </is>
      </c>
      <c r="D116" s="11" t="inlineStr">
        <is>
          <t>City of London</t>
        </is>
      </c>
      <c r="E116" s="11" t="inlineStr">
        <is>
          <t>Alchemy Underwriting Limited</t>
        </is>
      </c>
      <c r="F116" s="11" t="inlineStr">
        <is>
          <t>Alchemy Underwriting</t>
        </is>
      </c>
      <c r="G116" s="11" t="inlineStr">
        <is>
          <t>10879844</t>
        </is>
      </c>
      <c r="H116" s="12" t="inlineStr">
        <is>
          <t>Open</t>
        </is>
      </c>
      <c r="I116" s="12" t="inlineStr">
        <is>
          <t>Search</t>
        </is>
      </c>
      <c r="J116" s="11" t="inlineStr">
        <is>
          <t>Group</t>
        </is>
      </c>
      <c r="K116" s="13" t="n">
        <v>42940</v>
      </c>
      <c r="L116" s="11" t="inlineStr">
        <is>
          <t>2 Seething Lane, Ground Floor, London</t>
        </is>
      </c>
      <c r="M116" s="11" t="inlineStr">
        <is>
          <t>EC3N 4AT</t>
        </is>
      </c>
      <c r="N116" s="11" t="inlineStr">
        <is>
          <t>Yes</t>
        </is>
      </c>
      <c r="U116" s="11" t="inlineStr">
        <is>
          <t>Liverpool St - Attlee Centre</t>
        </is>
      </c>
      <c r="V116" s="11" t="n">
        <v>16</v>
      </c>
      <c r="W116" s="11" t="n"/>
      <c r="X116" s="11" t="inlineStr">
        <is>
          <t>Liverpool St - Attlee Centre</t>
        </is>
      </c>
      <c r="Y116" s="11" t="n">
        <v>16</v>
      </c>
      <c r="Z116" s="14">
        <f>IFERROR(INDEX(Venues!$E$2:$E$15,MATCH(X116,Venues!$A$2:$A$15,0)),"Not checked")</f>
        <v/>
      </c>
      <c r="AA116" s="14">
        <f>IFERROR(INDEX(Venues!$F$2:$F$15,MATCH(X116,Venues!$A$2:$A$15,0)),0)</f>
        <v/>
      </c>
      <c r="AB116" s="15">
        <f>IFERROR(INDEX(Venues!$M$2:$M$15,MATCH(X116,Venues!$A$2:$A$15,0)),"")</f>
        <v/>
      </c>
      <c r="AC116" s="14">
        <f>IFERROR(INDEX(Venues!$N$2:$N$15,MATCH(X116,Venues!$A$2:$A$15,0)),"5-a-side")</f>
        <v/>
      </c>
      <c r="AD116" s="16">
        <f>IF(Offer!$C$4="","",Offer!$C$4)</f>
        <v/>
      </c>
      <c r="AE116" s="14">
        <f>X116&amp;" ("&amp;Y116&amp;" min walk) · "&amp;IF(ISNUMBER(AB116),TEXT(AB116,"ddd d mmm, hh:mm"),"slot to confirm with venue")&amp;" · "&amp;AC116&amp;" · "&amp;IF(AD116&lt;&gt;"","£"&amp;TEXT(AD116,"0.00")&amp;" pp","price TBC")</f>
        <v/>
      </c>
      <c r="AF116" s="14">
        <f>"After-work football for "&amp;F116&amp;" · "&amp;X116&amp;", "&amp;Y116&amp;" min from your office"</f>
        <v/>
      </c>
      <c r="AG116" s="14">
        <f>"Hi"&amp;IF(O116&lt;&gt;""," "&amp;O116,"")&amp;","&amp;CHAR(10)&amp;CHAR(10)&amp;"I'm "&amp;IF(AL116&lt;&gt;"",AL116,IF(Offer!$C$5&lt;&gt;"",Offer!$C$5,"[NAME]"))&amp;" from FC Urban. We organise after-work football for teams in the City and Canary Wharf."&amp;CHAR(10)&amp;CHAR(10)&amp;"We have a "&amp;AC116&amp;" pitch at "&amp;X116&amp;", "&amp;IF(OR(Y116=8,Y116=11,Y116=18),"an ","a ")&amp;Y116&amp;"-minute walk from your "&amp;M116&amp;" office, "&amp;IF(ISNUMBER(AB116),"on "&amp;TEXT(AB116,"dddd d mmmm")&amp;" at "&amp;TEXT(AB116,"hh:mm"),"on a weekday evening that suits your team")&amp;". It's "&amp;IF(AD116&lt;&gt;"","£"&amp;IF(AD116=INT(AD116),TEXT(AD116,"0"),TEXT(AD116,"0.00")),"[PRICE PER PLAYER]")&amp;" a player and we handle the pitch booking, sign-ups and payments, so all it takes is one person sharing a link with the team."&amp;CHAR(10)&amp;CHAR(10)&amp;"It works well as a team social or "&amp;IF(ISNUMBER(SEARCH(LEFT(F116,1),"AEIOU")),"an ","a ")&amp;F116&amp;"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LINK]")&amp;CHAR(10)&amp;CHAR(10)&amp;"Best,"&amp;CHAR(10)&amp;IF(AL116&lt;&gt;"",AL116,IF(Offer!$C$5&lt;&gt;"",Offer!$C$5,"[NAME]"))&amp;CHAR(10)&amp;"FC Urban"</f>
        <v/>
      </c>
      <c r="AH116" s="14">
        <f>IF(LEN("Hi"&amp;IF(O116&lt;&gt;""," "&amp;O116,"")&amp;","&amp;" FC Urban runs after-work football for "&amp;IF(D116="Canary Wharf","Canary Wharf","City")&amp;" teams. We have a "&amp;AC116&amp;" pitch at "&amp;X116&amp;", "&amp;Y116&amp;" min from your office, "&amp;IF(ISNUMBER(AB116),TEXT(AB116,"ddd d mmm")&amp;", "&amp;TEXT(AB116,"hh:mm"),"weekday evenings")&amp;", "&amp;IF(AD116&lt;&gt;"","£"&amp;IF(AD116=INT(AD116),TEXT(AD116,"0"),TEXT(AD116,"0.00")),"[PRICE PER PLAYER]")&amp;" a player. We handle booking, sign-ups and payments. Fancy "&amp;IF(ISNUMBER(SEARCH(LEFT(F116,1),"AEIOU")),"an ","a ")&amp;F116&amp;" team game? "&amp;IF(AL116&lt;&gt;"",AL116,IF(Offer!$C$5&lt;&gt;"",Offer!$C$5,"[NAME]")))&lt;=300,"Hi"&amp;IF(O116&lt;&gt;""," "&amp;O116,"")&amp;","&amp;" FC Urban runs after-work football for "&amp;IF(D116="Canary Wharf","Canary Wharf","City")&amp;" teams. We have a "&amp;AC116&amp;" pitch at "&amp;X116&amp;", "&amp;Y116&amp;" min from your office, "&amp;IF(ISNUMBER(AB116),TEXT(AB116,"ddd d mmm")&amp;", "&amp;TEXT(AB116,"hh:mm"),"weekday evenings")&amp;", "&amp;IF(AD116&lt;&gt;"","£"&amp;IF(AD116=INT(AD116),TEXT(AD116,"0"),TEXT(AD116,"0.00")),"[PRICE PER PLAYER]")&amp;" a player. We handle booking, sign-ups and payments. Fancy "&amp;IF(ISNUMBER(SEARCH(LEFT(F116,1),"AEIOU")),"an ","a ")&amp;F116&amp;" team game? "&amp;IF(AL116&lt;&gt;"",AL116,IF(Offer!$C$5&lt;&gt;"",Offer!$C$5,"[NAME]")),LEFT("Hi"&amp;IF(O116&lt;&gt;""," "&amp;O116,"")&amp;","&amp;" FC Urban runs after-work football for "&amp;IF(D116="Canary Wharf","Canary Wharf","City")&amp;" teams: "&amp;AC116&amp;" at "&amp;X116&amp;", "&amp;Y116&amp;" min from your office, "&amp;IF(ISNUMBER(AB116),TEXT(AB116,"ddd d mmm")&amp;", "&amp;TEXT(AB116,"hh:mm"),"weekday evenings")&amp;", "&amp;IF(AD116&lt;&gt;"","£"&amp;IF(AD116=INT(AD116),TEXT(AD116,"0"),TEXT(AD116,"0.00")),"[PRICE PER PLAYER]")&amp;" pp. We handle booking and payments. Up for a team game? "&amp;IF(AL116&lt;&gt;"",AL116,IF(Offer!$C$5&lt;&gt;"",Offer!$C$5,"[NAME]")),300))</f>
        <v/>
      </c>
      <c r="AI116" s="14">
        <f>LEN(AH116)</f>
        <v/>
      </c>
      <c r="AJ116" s="14">
        <f>"Thanks for connecting"&amp;IF(O116&lt;&gt;"",", "&amp;O116,"")&amp;". "&amp;IF(ISNUMBER(AB116),"The "&amp;AC116&amp;" slot at "&amp;X116&amp;" is "&amp;IF(ISNUMBER(AB116),TEXT(AB116,"ddd d mmm")&amp;", "&amp;TEXT(AB116,"hh:mm"),"weekday evenings"),"We can book "&amp;AC116&amp;" at "&amp;X116&amp;" on a weekday evening that suits you")&amp;" and it's "&amp;IF(AD116&lt;&gt;"","£"&amp;IF(AD116=INT(AD116),TEXT(AD116,"0"),TEXT(AD116,"0.00")),"[PRICE PER PLAYER]")&amp;" a player, all booked and paid through one link. If football isn't your thing, who at "&amp;F116&amp;" would be the right person to organise a team game?"&amp;IF(Offer!$C$7&lt;&gt;""," Spots are held until "&amp;TEXT(Offer!$C$7,"dddd d mmmm")&amp;".","")&amp;" "&amp;IF(Offer!$C$6&lt;&gt;"",Offer!$C$6,"[JOINING LINK]")</f>
        <v/>
      </c>
      <c r="AK116" s="14">
        <f>IF(OR(ISNUMBER(SEARCH("[",AG116)),ISNUMBER(SEARCH("[",AJ116))),"Fill placeholders",IF(ISNUMBER(AB116),"Ready to send","Ready · no fixed slot"))</f>
        <v/>
      </c>
      <c r="AN116" s="17" t="n"/>
    </row>
    <row r="117">
      <c r="A117" s="11" t="n">
        <v>115</v>
      </c>
      <c r="B117" s="11" t="n">
        <v>2</v>
      </c>
      <c r="C117" s="11" t="inlineStr">
        <is>
          <t>Fund / asset manager</t>
        </is>
      </c>
      <c r="D117" s="11" t="inlineStr">
        <is>
          <t>City of London</t>
        </is>
      </c>
      <c r="E117" s="11" t="inlineStr">
        <is>
          <t>Montanaro Asset Management Limited</t>
        </is>
      </c>
      <c r="F117" s="11" t="inlineStr">
        <is>
          <t>Montanaro Asset Management</t>
        </is>
      </c>
      <c r="G117" s="11" t="inlineStr">
        <is>
          <t>03246931</t>
        </is>
      </c>
      <c r="H117" s="12" t="inlineStr">
        <is>
          <t>Open</t>
        </is>
      </c>
      <c r="I117" s="12" t="inlineStr">
        <is>
          <t>Search</t>
        </is>
      </c>
      <c r="J117" s="11" t="inlineStr">
        <is>
          <t>Group</t>
        </is>
      </c>
      <c r="K117" s="13" t="n">
        <v>35314</v>
      </c>
      <c r="L117" s="11" t="inlineStr">
        <is>
          <t>53 Threadneedle Street, London</t>
        </is>
      </c>
      <c r="M117" s="11" t="inlineStr">
        <is>
          <t>EC2R 8AR</t>
        </is>
      </c>
      <c r="N117" s="11" t="inlineStr">
        <is>
          <t>Yes</t>
        </is>
      </c>
      <c r="U117" s="11" t="inlineStr">
        <is>
          <t>Liverpool St - Attlee Centre</t>
        </is>
      </c>
      <c r="V117" s="11" t="n">
        <v>16</v>
      </c>
      <c r="W117" s="11" t="n"/>
      <c r="X117" s="11" t="inlineStr">
        <is>
          <t>Liverpool St - Attlee Centre</t>
        </is>
      </c>
      <c r="Y117" s="11" t="n">
        <v>16</v>
      </c>
      <c r="Z117" s="14">
        <f>IFERROR(INDEX(Venues!$E$2:$E$15,MATCH(X117,Venues!$A$2:$A$15,0)),"Not checked")</f>
        <v/>
      </c>
      <c r="AA117" s="14">
        <f>IFERROR(INDEX(Venues!$F$2:$F$15,MATCH(X117,Venues!$A$2:$A$15,0)),0)</f>
        <v/>
      </c>
      <c r="AB117" s="15">
        <f>IFERROR(INDEX(Venues!$M$2:$M$15,MATCH(X117,Venues!$A$2:$A$15,0)),"")</f>
        <v/>
      </c>
      <c r="AC117" s="14">
        <f>IFERROR(INDEX(Venues!$N$2:$N$15,MATCH(X117,Venues!$A$2:$A$15,0)),"5-a-side")</f>
        <v/>
      </c>
      <c r="AD117" s="16">
        <f>IF(Offer!$C$4="","",Offer!$C$4)</f>
        <v/>
      </c>
      <c r="AE117" s="14">
        <f>X117&amp;" ("&amp;Y117&amp;" min walk) · "&amp;IF(ISNUMBER(AB117),TEXT(AB117,"ddd d mmm, hh:mm"),"slot to confirm with venue")&amp;" · "&amp;AC117&amp;" · "&amp;IF(AD117&lt;&gt;"","£"&amp;TEXT(AD117,"0.00")&amp;" pp","price TBC")</f>
        <v/>
      </c>
      <c r="AF117" s="14">
        <f>"After-work football for "&amp;F117&amp;" · "&amp;X117&amp;", "&amp;Y117&amp;" min from your office"</f>
        <v/>
      </c>
      <c r="AG117" s="14">
        <f>"Hi"&amp;IF(O117&lt;&gt;""," "&amp;O117,"")&amp;","&amp;CHAR(10)&amp;CHAR(10)&amp;"I'm "&amp;IF(AL117&lt;&gt;"",AL117,IF(Offer!$C$5&lt;&gt;"",Offer!$C$5,"[NAME]"))&amp;" from FC Urban. We organise after-work football for teams in the City and Canary Wharf."&amp;CHAR(10)&amp;CHAR(10)&amp;"We have a "&amp;AC117&amp;" pitch at "&amp;X117&amp;", "&amp;IF(OR(Y117=8,Y117=11,Y117=18),"an ","a ")&amp;Y117&amp;"-minute walk from your "&amp;M117&amp;" office, "&amp;IF(ISNUMBER(AB117),"on "&amp;TEXT(AB117,"dddd d mmmm")&amp;" at "&amp;TEXT(AB117,"hh:mm"),"on a weekday evening that suits your team")&amp;". It's "&amp;IF(AD117&lt;&gt;"","£"&amp;IF(AD117=INT(AD117),TEXT(AD117,"0"),TEXT(AD117,"0.00")),"[PRICE PER PLAYER]")&amp;" a player and we handle the pitch booking, sign-ups and payments, so all it takes is one person sharing a link with the team."&amp;CHAR(10)&amp;CHAR(10)&amp;"It works well as a team social or "&amp;IF(ISNUMBER(SEARCH(LEFT(F117,1),"AEIOU")),"an ","a ")&amp;F117&amp;"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LINK]")&amp;CHAR(10)&amp;CHAR(10)&amp;"Best,"&amp;CHAR(10)&amp;IF(AL117&lt;&gt;"",AL117,IF(Offer!$C$5&lt;&gt;"",Offer!$C$5,"[NAME]"))&amp;CHAR(10)&amp;"FC Urban"</f>
        <v/>
      </c>
      <c r="AH117" s="14">
        <f>IF(LEN("Hi"&amp;IF(O117&lt;&gt;""," "&amp;O117,"")&amp;","&amp;" FC Urban runs after-work football for "&amp;IF(D117="Canary Wharf","Canary Wharf","City")&amp;" teams. We have a "&amp;AC117&amp;" pitch at "&amp;X117&amp;", "&amp;Y117&amp;" min from your office, "&amp;IF(ISNUMBER(AB117),TEXT(AB117,"ddd d mmm")&amp;", "&amp;TEXT(AB117,"hh:mm"),"weekday evenings")&amp;", "&amp;IF(AD117&lt;&gt;"","£"&amp;IF(AD117=INT(AD117),TEXT(AD117,"0"),TEXT(AD117,"0.00")),"[PRICE PER PLAYER]")&amp;" a player. We handle booking, sign-ups and payments. Fancy "&amp;IF(ISNUMBER(SEARCH(LEFT(F117,1),"AEIOU")),"an ","a ")&amp;F117&amp;" team game? "&amp;IF(AL117&lt;&gt;"",AL117,IF(Offer!$C$5&lt;&gt;"",Offer!$C$5,"[NAME]")))&lt;=300,"Hi"&amp;IF(O117&lt;&gt;""," "&amp;O117,"")&amp;","&amp;" FC Urban runs after-work football for "&amp;IF(D117="Canary Wharf","Canary Wharf","City")&amp;" teams. We have a "&amp;AC117&amp;" pitch at "&amp;X117&amp;", "&amp;Y117&amp;" min from your office, "&amp;IF(ISNUMBER(AB117),TEXT(AB117,"ddd d mmm")&amp;", "&amp;TEXT(AB117,"hh:mm"),"weekday evenings")&amp;", "&amp;IF(AD117&lt;&gt;"","£"&amp;IF(AD117=INT(AD117),TEXT(AD117,"0"),TEXT(AD117,"0.00")),"[PRICE PER PLAYER]")&amp;" a player. We handle booking, sign-ups and payments. Fancy "&amp;IF(ISNUMBER(SEARCH(LEFT(F117,1),"AEIOU")),"an ","a ")&amp;F117&amp;" team game? "&amp;IF(AL117&lt;&gt;"",AL117,IF(Offer!$C$5&lt;&gt;"",Offer!$C$5,"[NAME]")),LEFT("Hi"&amp;IF(O117&lt;&gt;""," "&amp;O117,"")&amp;","&amp;" FC Urban runs after-work football for "&amp;IF(D117="Canary Wharf","Canary Wharf","City")&amp;" teams: "&amp;AC117&amp;" at "&amp;X117&amp;", "&amp;Y117&amp;" min from your office, "&amp;IF(ISNUMBER(AB117),TEXT(AB117,"ddd d mmm")&amp;", "&amp;TEXT(AB117,"hh:mm"),"weekday evenings")&amp;", "&amp;IF(AD117&lt;&gt;"","£"&amp;IF(AD117=INT(AD117),TEXT(AD117,"0"),TEXT(AD117,"0.00")),"[PRICE PER PLAYER]")&amp;" pp. We handle booking and payments. Up for a team game? "&amp;IF(AL117&lt;&gt;"",AL117,IF(Offer!$C$5&lt;&gt;"",Offer!$C$5,"[NAME]")),300))</f>
        <v/>
      </c>
      <c r="AI117" s="14">
        <f>LEN(AH117)</f>
        <v/>
      </c>
      <c r="AJ117" s="14">
        <f>"Thanks for connecting"&amp;IF(O117&lt;&gt;"",", "&amp;O117,"")&amp;". "&amp;IF(ISNUMBER(AB117),"The "&amp;AC117&amp;" slot at "&amp;X117&amp;" is "&amp;IF(ISNUMBER(AB117),TEXT(AB117,"ddd d mmm")&amp;", "&amp;TEXT(AB117,"hh:mm"),"weekday evenings"),"We can book "&amp;AC117&amp;" at "&amp;X117&amp;" on a weekday evening that suits you")&amp;" and it's "&amp;IF(AD117&lt;&gt;"","£"&amp;IF(AD117=INT(AD117),TEXT(AD117,"0"),TEXT(AD117,"0.00")),"[PRICE PER PLAYER]")&amp;" a player, all booked and paid through one link. If football isn't your thing, who at "&amp;F117&amp;" would be the right person to organise a team game?"&amp;IF(Offer!$C$7&lt;&gt;""," Spots are held until "&amp;TEXT(Offer!$C$7,"dddd d mmmm")&amp;".","")&amp;" "&amp;IF(Offer!$C$6&lt;&gt;"",Offer!$C$6,"[JOINING LINK]")</f>
        <v/>
      </c>
      <c r="AK117" s="14">
        <f>IF(OR(ISNUMBER(SEARCH("[",AG117)),ISNUMBER(SEARCH("[",AJ117))),"Fill placeholders",IF(ISNUMBER(AB117),"Ready to send","Ready · no fixed slot"))</f>
        <v/>
      </c>
      <c r="AN117" s="17" t="n"/>
    </row>
    <row r="118">
      <c r="A118" s="11" t="n">
        <v>116</v>
      </c>
      <c r="B118" s="11" t="n">
        <v>2</v>
      </c>
      <c r="C118" s="11" t="inlineStr">
        <is>
          <t>Fund / asset manager</t>
        </is>
      </c>
      <c r="D118" s="11" t="inlineStr">
        <is>
          <t>City of London</t>
        </is>
      </c>
      <c r="E118" s="11" t="inlineStr">
        <is>
          <t>Apposite Capital LLP</t>
        </is>
      </c>
      <c r="F118" s="11" t="inlineStr">
        <is>
          <t>Apposite Capital</t>
        </is>
      </c>
      <c r="G118" s="11" t="inlineStr">
        <is>
          <t>OC318626</t>
        </is>
      </c>
      <c r="H118" s="12" t="inlineStr">
        <is>
          <t>Open</t>
        </is>
      </c>
      <c r="I118" s="12" t="inlineStr">
        <is>
          <t>Search</t>
        </is>
      </c>
      <c r="J118" s="11" t="inlineStr">
        <is>
          <t>Group</t>
        </is>
      </c>
      <c r="K118" s="13" t="n">
        <v>38799</v>
      </c>
      <c r="L118" s="11" t="inlineStr">
        <is>
          <t>89 Charterhouse Street, Second Floor, London</t>
        </is>
      </c>
      <c r="M118" s="11" t="inlineStr">
        <is>
          <t>EC1M 6HR</t>
        </is>
      </c>
      <c r="N118" s="11" t="inlineStr">
        <is>
          <t>No</t>
        </is>
      </c>
      <c r="U118" s="11" t="inlineStr">
        <is>
          <t>Old St - Moreland Primary School</t>
        </is>
      </c>
      <c r="V118" s="11" t="n">
        <v>16</v>
      </c>
      <c r="W118" s="11" t="n"/>
      <c r="X118" s="11" t="inlineStr">
        <is>
          <t>Old St - Moreland Primary School</t>
        </is>
      </c>
      <c r="Y118" s="11" t="n">
        <v>16</v>
      </c>
      <c r="Z118" s="14">
        <f>IFERROR(INDEX(Venues!$E$2:$E$15,MATCH(X118,Venues!$A$2:$A$15,0)),"Not checked")</f>
        <v/>
      </c>
      <c r="AA118" s="14">
        <f>IFERROR(INDEX(Venues!$F$2:$F$15,MATCH(X118,Venues!$A$2:$A$15,0)),0)</f>
        <v/>
      </c>
      <c r="AB118" s="15">
        <f>IFERROR(INDEX(Venues!$M$2:$M$15,MATCH(X118,Venues!$A$2:$A$15,0)),"")</f>
        <v/>
      </c>
      <c r="AC118" s="14">
        <f>IFERROR(INDEX(Venues!$N$2:$N$15,MATCH(X118,Venues!$A$2:$A$15,0)),"5-a-side")</f>
        <v/>
      </c>
      <c r="AD118" s="16">
        <f>IF(Offer!$C$4="","",Offer!$C$4)</f>
        <v/>
      </c>
      <c r="AE118" s="14">
        <f>X118&amp;" ("&amp;Y118&amp;" min walk) · "&amp;IF(ISNUMBER(AB118),TEXT(AB118,"ddd d mmm, hh:mm"),"slot to confirm with venue")&amp;" · "&amp;AC118&amp;" · "&amp;IF(AD118&lt;&gt;"","£"&amp;TEXT(AD118,"0.00")&amp;" pp","price TBC")</f>
        <v/>
      </c>
      <c r="AF118" s="14">
        <f>"After-work football for "&amp;F118&amp;" · "&amp;X118&amp;", "&amp;Y118&amp;" min from your office"</f>
        <v/>
      </c>
      <c r="AG118" s="14">
        <f>"Hi"&amp;IF(O118&lt;&gt;""," "&amp;O118,"")&amp;","&amp;CHAR(10)&amp;CHAR(10)&amp;"I'm "&amp;IF(AL118&lt;&gt;"",AL118,IF(Offer!$C$5&lt;&gt;"",Offer!$C$5,"[NAME]"))&amp;" from FC Urban. We organise after-work football for teams in the City and Canary Wharf."&amp;CHAR(10)&amp;CHAR(10)&amp;"We have a "&amp;AC118&amp;" pitch at "&amp;X118&amp;", "&amp;IF(OR(Y118=8,Y118=11,Y118=18),"an ","a ")&amp;Y118&amp;"-minute walk from your "&amp;M118&amp;" office, "&amp;IF(ISNUMBER(AB118),"on "&amp;TEXT(AB118,"dddd d mmmm")&amp;" at "&amp;TEXT(AB118,"hh:mm"),"on a weekday evening that suits your team")&amp;". It's "&amp;IF(AD118&lt;&gt;"","£"&amp;IF(AD118=INT(AD118),TEXT(AD118,"0"),TEXT(AD118,"0.00")),"[PRICE PER PLAYER]")&amp;" a player and we handle the pitch booking, sign-ups and payments, so all it takes is one person sharing a link with the team."&amp;CHAR(10)&amp;CHAR(10)&amp;"It works well as a team social or "&amp;IF(ISNUMBER(SEARCH(LEFT(F118,1),"AEIOU")),"an ","a ")&amp;F118&amp;"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LINK]")&amp;CHAR(10)&amp;CHAR(10)&amp;"Best,"&amp;CHAR(10)&amp;IF(AL118&lt;&gt;"",AL118,IF(Offer!$C$5&lt;&gt;"",Offer!$C$5,"[NAME]"))&amp;CHAR(10)&amp;"FC Urban"</f>
        <v/>
      </c>
      <c r="AH118" s="14">
        <f>IF(LEN("Hi"&amp;IF(O118&lt;&gt;""," "&amp;O118,"")&amp;","&amp;" FC Urban runs after-work football for "&amp;IF(D118="Canary Wharf","Canary Wharf","City")&amp;" teams. We have a "&amp;AC118&amp;" pitch at "&amp;X118&amp;", "&amp;Y118&amp;" min from your office, "&amp;IF(ISNUMBER(AB118),TEXT(AB118,"ddd d mmm")&amp;", "&amp;TEXT(AB118,"hh:mm"),"weekday evenings")&amp;", "&amp;IF(AD118&lt;&gt;"","£"&amp;IF(AD118=INT(AD118),TEXT(AD118,"0"),TEXT(AD118,"0.00")),"[PRICE PER PLAYER]")&amp;" a player. We handle booking, sign-ups and payments. Fancy "&amp;IF(ISNUMBER(SEARCH(LEFT(F118,1),"AEIOU")),"an ","a ")&amp;F118&amp;" team game? "&amp;IF(AL118&lt;&gt;"",AL118,IF(Offer!$C$5&lt;&gt;"",Offer!$C$5,"[NAME]")))&lt;=300,"Hi"&amp;IF(O118&lt;&gt;""," "&amp;O118,"")&amp;","&amp;" FC Urban runs after-work football for "&amp;IF(D118="Canary Wharf","Canary Wharf","City")&amp;" teams. We have a "&amp;AC118&amp;" pitch at "&amp;X118&amp;", "&amp;Y118&amp;" min from your office, "&amp;IF(ISNUMBER(AB118),TEXT(AB118,"ddd d mmm")&amp;", "&amp;TEXT(AB118,"hh:mm"),"weekday evenings")&amp;", "&amp;IF(AD118&lt;&gt;"","£"&amp;IF(AD118=INT(AD118),TEXT(AD118,"0"),TEXT(AD118,"0.00")),"[PRICE PER PLAYER]")&amp;" a player. We handle booking, sign-ups and payments. Fancy "&amp;IF(ISNUMBER(SEARCH(LEFT(F118,1),"AEIOU")),"an ","a ")&amp;F118&amp;" team game? "&amp;IF(AL118&lt;&gt;"",AL118,IF(Offer!$C$5&lt;&gt;"",Offer!$C$5,"[NAME]")),LEFT("Hi"&amp;IF(O118&lt;&gt;""," "&amp;O118,"")&amp;","&amp;" FC Urban runs after-work football for "&amp;IF(D118="Canary Wharf","Canary Wharf","City")&amp;" teams: "&amp;AC118&amp;" at "&amp;X118&amp;", "&amp;Y118&amp;" min from your office, "&amp;IF(ISNUMBER(AB118),TEXT(AB118,"ddd d mmm")&amp;", "&amp;TEXT(AB118,"hh:mm"),"weekday evenings")&amp;", "&amp;IF(AD118&lt;&gt;"","£"&amp;IF(AD118=INT(AD118),TEXT(AD118,"0"),TEXT(AD118,"0.00")),"[PRICE PER PLAYER]")&amp;" pp. We handle booking and payments. Up for a team game? "&amp;IF(AL118&lt;&gt;"",AL118,IF(Offer!$C$5&lt;&gt;"",Offer!$C$5,"[NAME]")),300))</f>
        <v/>
      </c>
      <c r="AI118" s="14">
        <f>LEN(AH118)</f>
        <v/>
      </c>
      <c r="AJ118" s="14">
        <f>"Thanks for connecting"&amp;IF(O118&lt;&gt;"",", "&amp;O118,"")&amp;". "&amp;IF(ISNUMBER(AB118),"The "&amp;AC118&amp;" slot at "&amp;X118&amp;" is "&amp;IF(ISNUMBER(AB118),TEXT(AB118,"ddd d mmm")&amp;", "&amp;TEXT(AB118,"hh:mm"),"weekday evenings"),"We can book "&amp;AC118&amp;" at "&amp;X118&amp;" on a weekday evening that suits you")&amp;" and it's "&amp;IF(AD118&lt;&gt;"","£"&amp;IF(AD118=INT(AD118),TEXT(AD118,"0"),TEXT(AD118,"0.00")),"[PRICE PER PLAYER]")&amp;" a player, all booked and paid through one link. If football isn't your thing, who at "&amp;F118&amp;" would be the right person to organise a team game?"&amp;IF(Offer!$C$7&lt;&gt;""," Spots are held until "&amp;TEXT(Offer!$C$7,"dddd d mmmm")&amp;".","")&amp;" "&amp;IF(Offer!$C$6&lt;&gt;"",Offer!$C$6,"[JOINING LINK]")</f>
        <v/>
      </c>
      <c r="AK118" s="14">
        <f>IF(OR(ISNUMBER(SEARCH("[",AG118)),ISNUMBER(SEARCH("[",AJ118))),"Fill placeholders",IF(ISNUMBER(AB118),"Ready to send","Ready · no fixed slot"))</f>
        <v/>
      </c>
      <c r="AN118" s="17" t="n"/>
    </row>
    <row r="119">
      <c r="A119" s="11" t="n">
        <v>117</v>
      </c>
      <c r="B119" s="11" t="n">
        <v>2</v>
      </c>
      <c r="C119" s="11" t="inlineStr">
        <is>
          <t>Fund / asset manager</t>
        </is>
      </c>
      <c r="D119" s="11" t="inlineStr">
        <is>
          <t>City of London</t>
        </is>
      </c>
      <c r="E119" s="11" t="inlineStr">
        <is>
          <t>True North Partners LLP</t>
        </is>
      </c>
      <c r="F119" s="11" t="inlineStr">
        <is>
          <t>True North Partners</t>
        </is>
      </c>
      <c r="G119" s="11" t="inlineStr">
        <is>
          <t>OC355533</t>
        </is>
      </c>
      <c r="H119" s="12" t="inlineStr">
        <is>
          <t>Open</t>
        </is>
      </c>
      <c r="I119" s="12" t="inlineStr">
        <is>
          <t>Search</t>
        </is>
      </c>
      <c r="J119" s="11" t="inlineStr">
        <is>
          <t>Group</t>
        </is>
      </c>
      <c r="K119" s="13" t="n">
        <v>40338</v>
      </c>
      <c r="L119" s="11" t="inlineStr">
        <is>
          <t>73 Cornhill, London</t>
        </is>
      </c>
      <c r="M119" s="11" t="inlineStr">
        <is>
          <t>EC3V 3QQ</t>
        </is>
      </c>
      <c r="N119" s="11" t="inlineStr">
        <is>
          <t>No</t>
        </is>
      </c>
      <c r="U119" s="11" t="inlineStr">
        <is>
          <t>Liverpool St - Attlee Centre</t>
        </is>
      </c>
      <c r="V119" s="11" t="n">
        <v>16</v>
      </c>
      <c r="W119" s="11" t="n"/>
      <c r="X119" s="11" t="inlineStr">
        <is>
          <t>Liverpool St - Attlee Centre</t>
        </is>
      </c>
      <c r="Y119" s="11" t="n">
        <v>16</v>
      </c>
      <c r="Z119" s="14">
        <f>IFERROR(INDEX(Venues!$E$2:$E$15,MATCH(X119,Venues!$A$2:$A$15,0)),"Not checked")</f>
        <v/>
      </c>
      <c r="AA119" s="14">
        <f>IFERROR(INDEX(Venues!$F$2:$F$15,MATCH(X119,Venues!$A$2:$A$15,0)),0)</f>
        <v/>
      </c>
      <c r="AB119" s="15">
        <f>IFERROR(INDEX(Venues!$M$2:$M$15,MATCH(X119,Venues!$A$2:$A$15,0)),"")</f>
        <v/>
      </c>
      <c r="AC119" s="14">
        <f>IFERROR(INDEX(Venues!$N$2:$N$15,MATCH(X119,Venues!$A$2:$A$15,0)),"5-a-side")</f>
        <v/>
      </c>
      <c r="AD119" s="16">
        <f>IF(Offer!$C$4="","",Offer!$C$4)</f>
        <v/>
      </c>
      <c r="AE119" s="14">
        <f>X119&amp;" ("&amp;Y119&amp;" min walk) · "&amp;IF(ISNUMBER(AB119),TEXT(AB119,"ddd d mmm, hh:mm"),"slot to confirm with venue")&amp;" · "&amp;AC119&amp;" · "&amp;IF(AD119&lt;&gt;"","£"&amp;TEXT(AD119,"0.00")&amp;" pp","price TBC")</f>
        <v/>
      </c>
      <c r="AF119" s="14">
        <f>"After-work football for "&amp;F119&amp;" · "&amp;X119&amp;", "&amp;Y119&amp;" min from your office"</f>
        <v/>
      </c>
      <c r="AG119" s="14">
        <f>"Hi"&amp;IF(O119&lt;&gt;""," "&amp;O119,"")&amp;","&amp;CHAR(10)&amp;CHAR(10)&amp;"I'm "&amp;IF(AL119&lt;&gt;"",AL119,IF(Offer!$C$5&lt;&gt;"",Offer!$C$5,"[NAME]"))&amp;" from FC Urban. We organise after-work football for teams in the City and Canary Wharf."&amp;CHAR(10)&amp;CHAR(10)&amp;"We have a "&amp;AC119&amp;" pitch at "&amp;X119&amp;", "&amp;IF(OR(Y119=8,Y119=11,Y119=18),"an ","a ")&amp;Y119&amp;"-minute walk from your "&amp;M119&amp;" office, "&amp;IF(ISNUMBER(AB119),"on "&amp;TEXT(AB119,"dddd d mmmm")&amp;" at "&amp;TEXT(AB119,"hh:mm"),"on a weekday evening that suits your team")&amp;". It's "&amp;IF(AD119&lt;&gt;"","£"&amp;IF(AD119=INT(AD119),TEXT(AD119,"0"),TEXT(AD119,"0.00")),"[PRICE PER PLAYER]")&amp;" a player and we handle the pitch booking, sign-ups and payments, so all it takes is one person sharing a link with the team."&amp;CHAR(10)&amp;CHAR(10)&amp;"It works well as a team social or "&amp;IF(ISNUMBER(SEARCH(LEFT(F119,1),"AEIOU")),"an ","a ")&amp;F119&amp;"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LINK]")&amp;CHAR(10)&amp;CHAR(10)&amp;"Best,"&amp;CHAR(10)&amp;IF(AL119&lt;&gt;"",AL119,IF(Offer!$C$5&lt;&gt;"",Offer!$C$5,"[NAME]"))&amp;CHAR(10)&amp;"FC Urban"</f>
        <v/>
      </c>
      <c r="AH119" s="14">
        <f>IF(LEN("Hi"&amp;IF(O119&lt;&gt;""," "&amp;O119,"")&amp;","&amp;" FC Urban runs after-work football for "&amp;IF(D119="Canary Wharf","Canary Wharf","City")&amp;" teams. We have a "&amp;AC119&amp;" pitch at "&amp;X119&amp;", "&amp;Y119&amp;" min from your office, "&amp;IF(ISNUMBER(AB119),TEXT(AB119,"ddd d mmm")&amp;", "&amp;TEXT(AB119,"hh:mm"),"weekday evenings")&amp;", "&amp;IF(AD119&lt;&gt;"","£"&amp;IF(AD119=INT(AD119),TEXT(AD119,"0"),TEXT(AD119,"0.00")),"[PRICE PER PLAYER]")&amp;" a player. We handle booking, sign-ups and payments. Fancy "&amp;IF(ISNUMBER(SEARCH(LEFT(F119,1),"AEIOU")),"an ","a ")&amp;F119&amp;" team game? "&amp;IF(AL119&lt;&gt;"",AL119,IF(Offer!$C$5&lt;&gt;"",Offer!$C$5,"[NAME]")))&lt;=300,"Hi"&amp;IF(O119&lt;&gt;""," "&amp;O119,"")&amp;","&amp;" FC Urban runs after-work football for "&amp;IF(D119="Canary Wharf","Canary Wharf","City")&amp;" teams. We have a "&amp;AC119&amp;" pitch at "&amp;X119&amp;", "&amp;Y119&amp;" min from your office, "&amp;IF(ISNUMBER(AB119),TEXT(AB119,"ddd d mmm")&amp;", "&amp;TEXT(AB119,"hh:mm"),"weekday evenings")&amp;", "&amp;IF(AD119&lt;&gt;"","£"&amp;IF(AD119=INT(AD119),TEXT(AD119,"0"),TEXT(AD119,"0.00")),"[PRICE PER PLAYER]")&amp;" a player. We handle booking, sign-ups and payments. Fancy "&amp;IF(ISNUMBER(SEARCH(LEFT(F119,1),"AEIOU")),"an ","a ")&amp;F119&amp;" team game? "&amp;IF(AL119&lt;&gt;"",AL119,IF(Offer!$C$5&lt;&gt;"",Offer!$C$5,"[NAME]")),LEFT("Hi"&amp;IF(O119&lt;&gt;""," "&amp;O119,"")&amp;","&amp;" FC Urban runs after-work football for "&amp;IF(D119="Canary Wharf","Canary Wharf","City")&amp;" teams: "&amp;AC119&amp;" at "&amp;X119&amp;", "&amp;Y119&amp;" min from your office, "&amp;IF(ISNUMBER(AB119),TEXT(AB119,"ddd d mmm")&amp;", "&amp;TEXT(AB119,"hh:mm"),"weekday evenings")&amp;", "&amp;IF(AD119&lt;&gt;"","£"&amp;IF(AD119=INT(AD119),TEXT(AD119,"0"),TEXT(AD119,"0.00")),"[PRICE PER PLAYER]")&amp;" pp. We handle booking and payments. Up for a team game? "&amp;IF(AL119&lt;&gt;"",AL119,IF(Offer!$C$5&lt;&gt;"",Offer!$C$5,"[NAME]")),300))</f>
        <v/>
      </c>
      <c r="AI119" s="14">
        <f>LEN(AH119)</f>
        <v/>
      </c>
      <c r="AJ119" s="14">
        <f>"Thanks for connecting"&amp;IF(O119&lt;&gt;"",", "&amp;O119,"")&amp;". "&amp;IF(ISNUMBER(AB119),"The "&amp;AC119&amp;" slot at "&amp;X119&amp;" is "&amp;IF(ISNUMBER(AB119),TEXT(AB119,"ddd d mmm")&amp;", "&amp;TEXT(AB119,"hh:mm"),"weekday evenings"),"We can book "&amp;AC119&amp;" at "&amp;X119&amp;" on a weekday evening that suits you")&amp;" and it's "&amp;IF(AD119&lt;&gt;"","£"&amp;IF(AD119=INT(AD119),TEXT(AD119,"0"),TEXT(AD119,"0.00")),"[PRICE PER PLAYER]")&amp;" a player, all booked and paid through one link. If football isn't your thing, who at "&amp;F119&amp;" would be the right person to organise a team game?"&amp;IF(Offer!$C$7&lt;&gt;""," Spots are held until "&amp;TEXT(Offer!$C$7,"dddd d mmmm")&amp;".","")&amp;" "&amp;IF(Offer!$C$6&lt;&gt;"",Offer!$C$6,"[JOINING LINK]")</f>
        <v/>
      </c>
      <c r="AK119" s="14">
        <f>IF(OR(ISNUMBER(SEARCH("[",AG119)),ISNUMBER(SEARCH("[",AJ119))),"Fill placeholders",IF(ISNUMBER(AB119),"Ready to send","Ready · no fixed slot"))</f>
        <v/>
      </c>
      <c r="AN119" s="17" t="n"/>
    </row>
    <row r="120">
      <c r="A120" s="11" t="n">
        <v>118</v>
      </c>
      <c r="B120" s="11" t="n">
        <v>2</v>
      </c>
      <c r="C120" s="11" t="inlineStr">
        <is>
          <t>Insurance / broker</t>
        </is>
      </c>
      <c r="D120" s="11" t="inlineStr">
        <is>
          <t>City of London</t>
        </is>
      </c>
      <c r="E120" s="11" t="inlineStr">
        <is>
          <t>International Risk Solutions Limited</t>
        </is>
      </c>
      <c r="F120" s="11" t="inlineStr">
        <is>
          <t>International Risk Solutions</t>
        </is>
      </c>
      <c r="G120" s="11" t="inlineStr">
        <is>
          <t>03978143</t>
        </is>
      </c>
      <c r="H120" s="12" t="inlineStr">
        <is>
          <t>Open</t>
        </is>
      </c>
      <c r="I120" s="12" t="inlineStr">
        <is>
          <t>Search</t>
        </is>
      </c>
      <c r="J120" s="11" t="inlineStr">
        <is>
          <t>Group</t>
        </is>
      </c>
      <c r="K120" s="13" t="n">
        <v>36636</v>
      </c>
      <c r="L120" s="11" t="inlineStr">
        <is>
          <t>33 4Th Floor, Creechurch Lane, London</t>
        </is>
      </c>
      <c r="M120" s="11" t="inlineStr">
        <is>
          <t>EC3A 5EB</t>
        </is>
      </c>
      <c r="N120" s="11" t="inlineStr">
        <is>
          <t>Yes</t>
        </is>
      </c>
      <c r="U120" s="11" t="inlineStr">
        <is>
          <t>Liverpool St - Attlee Centre</t>
        </is>
      </c>
      <c r="V120" s="11" t="n">
        <v>9</v>
      </c>
      <c r="W120" s="11" t="inlineStr">
        <is>
          <t>Shoreditch Powerleague (16.4)</t>
        </is>
      </c>
      <c r="X120" s="11" t="inlineStr">
        <is>
          <t>Shoreditch Powerleague</t>
        </is>
      </c>
      <c r="Y120" s="11" t="n">
        <v>16</v>
      </c>
      <c r="Z120" s="14">
        <f>IFERROR(INDEX(Venues!$E$2:$E$15,MATCH(X120,Venues!$A$2:$A$15,0)),"Not checked")</f>
        <v/>
      </c>
      <c r="AA120" s="14">
        <f>IFERROR(INDEX(Venues!$F$2:$F$15,MATCH(X120,Venues!$A$2:$A$15,0)),0)</f>
        <v/>
      </c>
      <c r="AB120" s="15">
        <f>IFERROR(INDEX(Venues!$M$2:$M$15,MATCH(X120,Venues!$A$2:$A$15,0)),"")</f>
        <v/>
      </c>
      <c r="AC120" s="14">
        <f>IFERROR(INDEX(Venues!$N$2:$N$15,MATCH(X120,Venues!$A$2:$A$15,0)),"5-a-side")</f>
        <v/>
      </c>
      <c r="AD120" s="16">
        <f>IF(Offer!$C$4="","",Offer!$C$4)</f>
        <v/>
      </c>
      <c r="AE120" s="14">
        <f>X120&amp;" ("&amp;Y120&amp;" min walk) · "&amp;IF(ISNUMBER(AB120),TEXT(AB120,"ddd d mmm, hh:mm"),"slot to confirm with venue")&amp;" · "&amp;AC120&amp;" · "&amp;IF(AD120&lt;&gt;"","£"&amp;TEXT(AD120,"0.00")&amp;" pp","price TBC")</f>
        <v/>
      </c>
      <c r="AF120" s="14">
        <f>"After-work football for "&amp;F120&amp;" · "&amp;X120&amp;", "&amp;Y120&amp;" min from your office"</f>
        <v/>
      </c>
      <c r="AG120" s="14">
        <f>"Hi"&amp;IF(O120&lt;&gt;""," "&amp;O120,"")&amp;","&amp;CHAR(10)&amp;CHAR(10)&amp;"I'm "&amp;IF(AL120&lt;&gt;"",AL120,IF(Offer!$C$5&lt;&gt;"",Offer!$C$5,"[NAME]"))&amp;" from FC Urban. We organise after-work football for teams in the City and Canary Wharf."&amp;CHAR(10)&amp;CHAR(10)&amp;"We have a "&amp;AC120&amp;" pitch at "&amp;X120&amp;", "&amp;IF(OR(Y120=8,Y120=11,Y120=18),"an ","a ")&amp;Y120&amp;"-minute walk from your "&amp;M120&amp;" office, "&amp;IF(ISNUMBER(AB120),"on "&amp;TEXT(AB120,"dddd d mmmm")&amp;" at "&amp;TEXT(AB120,"hh:mm"),"on a weekday evening that suits your team")&amp;". It's "&amp;IF(AD120&lt;&gt;"","£"&amp;IF(AD120=INT(AD120),TEXT(AD120,"0"),TEXT(AD120,"0.00")),"[PRICE PER PLAYER]")&amp;" a player and we handle the pitch booking, sign-ups and payments, so all it takes is one person sharing a link with the team."&amp;CHAR(10)&amp;CHAR(10)&amp;"It works well as a team social or "&amp;IF(ISNUMBER(SEARCH(LEFT(F120,1),"AEIOU")),"an ","a ")&amp;F120&amp;"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LINK]")&amp;CHAR(10)&amp;CHAR(10)&amp;"Best,"&amp;CHAR(10)&amp;IF(AL120&lt;&gt;"",AL120,IF(Offer!$C$5&lt;&gt;"",Offer!$C$5,"[NAME]"))&amp;CHAR(10)&amp;"FC Urban"</f>
        <v/>
      </c>
      <c r="AH120" s="14">
        <f>IF(LEN("Hi"&amp;IF(O120&lt;&gt;""," "&amp;O120,"")&amp;","&amp;" FC Urban runs after-work football for "&amp;IF(D120="Canary Wharf","Canary Wharf","City")&amp;" teams. We have a "&amp;AC120&amp;" pitch at "&amp;X120&amp;", "&amp;Y120&amp;" min from your office, "&amp;IF(ISNUMBER(AB120),TEXT(AB120,"ddd d mmm")&amp;", "&amp;TEXT(AB120,"hh:mm"),"weekday evenings")&amp;", "&amp;IF(AD120&lt;&gt;"","£"&amp;IF(AD120=INT(AD120),TEXT(AD120,"0"),TEXT(AD120,"0.00")),"[PRICE PER PLAYER]")&amp;" a player. We handle booking, sign-ups and payments. Fancy "&amp;IF(ISNUMBER(SEARCH(LEFT(F120,1),"AEIOU")),"an ","a ")&amp;F120&amp;" team game? "&amp;IF(AL120&lt;&gt;"",AL120,IF(Offer!$C$5&lt;&gt;"",Offer!$C$5,"[NAME]")))&lt;=300,"Hi"&amp;IF(O120&lt;&gt;""," "&amp;O120,"")&amp;","&amp;" FC Urban runs after-work football for "&amp;IF(D120="Canary Wharf","Canary Wharf","City")&amp;" teams. We have a "&amp;AC120&amp;" pitch at "&amp;X120&amp;", "&amp;Y120&amp;" min from your office, "&amp;IF(ISNUMBER(AB120),TEXT(AB120,"ddd d mmm")&amp;", "&amp;TEXT(AB120,"hh:mm"),"weekday evenings")&amp;", "&amp;IF(AD120&lt;&gt;"","£"&amp;IF(AD120=INT(AD120),TEXT(AD120,"0"),TEXT(AD120,"0.00")),"[PRICE PER PLAYER]")&amp;" a player. We handle booking, sign-ups and payments. Fancy "&amp;IF(ISNUMBER(SEARCH(LEFT(F120,1),"AEIOU")),"an ","a ")&amp;F120&amp;" team game? "&amp;IF(AL120&lt;&gt;"",AL120,IF(Offer!$C$5&lt;&gt;"",Offer!$C$5,"[NAME]")),LEFT("Hi"&amp;IF(O120&lt;&gt;""," "&amp;O120,"")&amp;","&amp;" FC Urban runs after-work football for "&amp;IF(D120="Canary Wharf","Canary Wharf","City")&amp;" teams: "&amp;AC120&amp;" at "&amp;X120&amp;", "&amp;Y120&amp;" min from your office, "&amp;IF(ISNUMBER(AB120),TEXT(AB120,"ddd d mmm")&amp;", "&amp;TEXT(AB120,"hh:mm"),"weekday evenings")&amp;", "&amp;IF(AD120&lt;&gt;"","£"&amp;IF(AD120=INT(AD120),TEXT(AD120,"0"),TEXT(AD120,"0.00")),"[PRICE PER PLAYER]")&amp;" pp. We handle booking and payments. Up for a team game? "&amp;IF(AL120&lt;&gt;"",AL120,IF(Offer!$C$5&lt;&gt;"",Offer!$C$5,"[NAME]")),300))</f>
        <v/>
      </c>
      <c r="AI120" s="14">
        <f>LEN(AH120)</f>
        <v/>
      </c>
      <c r="AJ120" s="14">
        <f>"Thanks for connecting"&amp;IF(O120&lt;&gt;"",", "&amp;O120,"")&amp;". "&amp;IF(ISNUMBER(AB120),"The "&amp;AC120&amp;" slot at "&amp;X120&amp;" is "&amp;IF(ISNUMBER(AB120),TEXT(AB120,"ddd d mmm")&amp;", "&amp;TEXT(AB120,"hh:mm"),"weekday evenings"),"We can book "&amp;AC120&amp;" at "&amp;X120&amp;" on a weekday evening that suits you")&amp;" and it's "&amp;IF(AD120&lt;&gt;"","£"&amp;IF(AD120=INT(AD120),TEXT(AD120,"0"),TEXT(AD120,"0.00")),"[PRICE PER PLAYER]")&amp;" a player, all booked and paid through one link. If football isn't your thing, who at "&amp;F120&amp;" would be the right person to organise a team game?"&amp;IF(Offer!$C$7&lt;&gt;""," Spots are held until "&amp;TEXT(Offer!$C$7,"dddd d mmmm")&amp;".","")&amp;" "&amp;IF(Offer!$C$6&lt;&gt;"",Offer!$C$6,"[JOINING LINK]")</f>
        <v/>
      </c>
      <c r="AK120" s="14">
        <f>IF(OR(ISNUMBER(SEARCH("[",AG120)),ISNUMBER(SEARCH("[",AJ120))),"Fill placeholders",IF(ISNUMBER(AB120),"Ready to send","Ready · no fixed slot"))</f>
        <v/>
      </c>
      <c r="AN120" s="17" t="n"/>
    </row>
    <row r="121">
      <c r="A121" s="11" t="n">
        <v>119</v>
      </c>
      <c r="B121" s="11" t="n">
        <v>2</v>
      </c>
      <c r="C121" s="11" t="inlineStr">
        <is>
          <t>Fund / asset manager</t>
        </is>
      </c>
      <c r="D121" s="11" t="inlineStr">
        <is>
          <t>City of London</t>
        </is>
      </c>
      <c r="E121" s="11" t="inlineStr">
        <is>
          <t>Panmure Liberum Capital Limited</t>
        </is>
      </c>
      <c r="F121" s="11" t="inlineStr">
        <is>
          <t>Panmure Liberum Capital</t>
        </is>
      </c>
      <c r="G121" s="11" t="inlineStr">
        <is>
          <t>05912554</t>
        </is>
      </c>
      <c r="H121" s="12" t="inlineStr">
        <is>
          <t>Open</t>
        </is>
      </c>
      <c r="I121" s="12" t="inlineStr">
        <is>
          <t>Search</t>
        </is>
      </c>
      <c r="J121" s="11" t="inlineStr">
        <is>
          <t>Group</t>
        </is>
      </c>
      <c r="K121" s="13" t="n">
        <v>38951</v>
      </c>
      <c r="L121" s="11" t="inlineStr">
        <is>
          <t>Ropemaker Place Level 12, 25 Ropemaker Street, London</t>
        </is>
      </c>
      <c r="M121" s="11" t="inlineStr">
        <is>
          <t>EC2Y 9LY</t>
        </is>
      </c>
      <c r="N121" s="11" t="inlineStr">
        <is>
          <t>Yes</t>
        </is>
      </c>
      <c r="U121" s="11" t="inlineStr">
        <is>
          <t>Shoreditch Powerleague</t>
        </is>
      </c>
      <c r="V121" s="11" t="n">
        <v>16</v>
      </c>
      <c r="W121" s="11" t="inlineStr">
        <is>
          <t>Old St - Moreland Primary School (18.7); Liverpool St - Attlee Centre (18.9)</t>
        </is>
      </c>
      <c r="X121" s="11" t="inlineStr">
        <is>
          <t>Shoreditch Powerleague</t>
        </is>
      </c>
      <c r="Y121" s="11" t="n">
        <v>16</v>
      </c>
      <c r="Z121" s="14">
        <f>IFERROR(INDEX(Venues!$E$2:$E$15,MATCH(X121,Venues!$A$2:$A$15,0)),"Not checked")</f>
        <v/>
      </c>
      <c r="AA121" s="14">
        <f>IFERROR(INDEX(Venues!$F$2:$F$15,MATCH(X121,Venues!$A$2:$A$15,0)),0)</f>
        <v/>
      </c>
      <c r="AB121" s="15">
        <f>IFERROR(INDEX(Venues!$M$2:$M$15,MATCH(X121,Venues!$A$2:$A$15,0)),"")</f>
        <v/>
      </c>
      <c r="AC121" s="14">
        <f>IFERROR(INDEX(Venues!$N$2:$N$15,MATCH(X121,Venues!$A$2:$A$15,0)),"5-a-side")</f>
        <v/>
      </c>
      <c r="AD121" s="16">
        <f>IF(Offer!$C$4="","",Offer!$C$4)</f>
        <v/>
      </c>
      <c r="AE121" s="14">
        <f>X121&amp;" ("&amp;Y121&amp;" min walk) · "&amp;IF(ISNUMBER(AB121),TEXT(AB121,"ddd d mmm, hh:mm"),"slot to confirm with venue")&amp;" · "&amp;AC121&amp;" · "&amp;IF(AD121&lt;&gt;"","£"&amp;TEXT(AD121,"0.00")&amp;" pp","price TBC")</f>
        <v/>
      </c>
      <c r="AF121" s="14">
        <f>"After-work football for "&amp;F121&amp;" · "&amp;X121&amp;", "&amp;Y121&amp;" min from your office"</f>
        <v/>
      </c>
      <c r="AG121" s="14">
        <f>"Hi"&amp;IF(O121&lt;&gt;""," "&amp;O121,"")&amp;","&amp;CHAR(10)&amp;CHAR(10)&amp;"I'm "&amp;IF(AL121&lt;&gt;"",AL121,IF(Offer!$C$5&lt;&gt;"",Offer!$C$5,"[NAME]"))&amp;" from FC Urban. We organise after-work football for teams in the City and Canary Wharf."&amp;CHAR(10)&amp;CHAR(10)&amp;"We have a "&amp;AC121&amp;" pitch at "&amp;X121&amp;", "&amp;IF(OR(Y121=8,Y121=11,Y121=18),"an ","a ")&amp;Y121&amp;"-minute walk from your "&amp;M121&amp;" office, "&amp;IF(ISNUMBER(AB121),"on "&amp;TEXT(AB121,"dddd d mmmm")&amp;" at "&amp;TEXT(AB121,"hh:mm"),"on a weekday evening that suits your team")&amp;". It's "&amp;IF(AD121&lt;&gt;"","£"&amp;IF(AD121=INT(AD121),TEXT(AD121,"0"),TEXT(AD121,"0.00")),"[PRICE PER PLAYER]")&amp;" a player and we handle the pitch booking, sign-ups and payments, so all it takes is one person sharing a link with the team."&amp;CHAR(10)&amp;CHAR(10)&amp;"It works well as a team social or "&amp;IF(ISNUMBER(SEARCH(LEFT(F121,1),"AEIOU")),"an ","a ")&amp;F121&amp;"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LINK]")&amp;CHAR(10)&amp;CHAR(10)&amp;"Best,"&amp;CHAR(10)&amp;IF(AL121&lt;&gt;"",AL121,IF(Offer!$C$5&lt;&gt;"",Offer!$C$5,"[NAME]"))&amp;CHAR(10)&amp;"FC Urban"</f>
        <v/>
      </c>
      <c r="AH121" s="14">
        <f>IF(LEN("Hi"&amp;IF(O121&lt;&gt;""," "&amp;O121,"")&amp;","&amp;" FC Urban runs after-work football for "&amp;IF(D121="Canary Wharf","Canary Wharf","City")&amp;" teams. We have a "&amp;AC121&amp;" pitch at "&amp;X121&amp;", "&amp;Y121&amp;" min from your office, "&amp;IF(ISNUMBER(AB121),TEXT(AB121,"ddd d mmm")&amp;", "&amp;TEXT(AB121,"hh:mm"),"weekday evenings")&amp;", "&amp;IF(AD121&lt;&gt;"","£"&amp;IF(AD121=INT(AD121),TEXT(AD121,"0"),TEXT(AD121,"0.00")),"[PRICE PER PLAYER]")&amp;" a player. We handle booking, sign-ups and payments. Fancy "&amp;IF(ISNUMBER(SEARCH(LEFT(F121,1),"AEIOU")),"an ","a ")&amp;F121&amp;" team game? "&amp;IF(AL121&lt;&gt;"",AL121,IF(Offer!$C$5&lt;&gt;"",Offer!$C$5,"[NAME]")))&lt;=300,"Hi"&amp;IF(O121&lt;&gt;""," "&amp;O121,"")&amp;","&amp;" FC Urban runs after-work football for "&amp;IF(D121="Canary Wharf","Canary Wharf","City")&amp;" teams. We have a "&amp;AC121&amp;" pitch at "&amp;X121&amp;", "&amp;Y121&amp;" min from your office, "&amp;IF(ISNUMBER(AB121),TEXT(AB121,"ddd d mmm")&amp;", "&amp;TEXT(AB121,"hh:mm"),"weekday evenings")&amp;", "&amp;IF(AD121&lt;&gt;"","£"&amp;IF(AD121=INT(AD121),TEXT(AD121,"0"),TEXT(AD121,"0.00")),"[PRICE PER PLAYER]")&amp;" a player. We handle booking, sign-ups and payments. Fancy "&amp;IF(ISNUMBER(SEARCH(LEFT(F121,1),"AEIOU")),"an ","a ")&amp;F121&amp;" team game? "&amp;IF(AL121&lt;&gt;"",AL121,IF(Offer!$C$5&lt;&gt;"",Offer!$C$5,"[NAME]")),LEFT("Hi"&amp;IF(O121&lt;&gt;""," "&amp;O121,"")&amp;","&amp;" FC Urban runs after-work football for "&amp;IF(D121="Canary Wharf","Canary Wharf","City")&amp;" teams: "&amp;AC121&amp;" at "&amp;X121&amp;", "&amp;Y121&amp;" min from your office, "&amp;IF(ISNUMBER(AB121),TEXT(AB121,"ddd d mmm")&amp;", "&amp;TEXT(AB121,"hh:mm"),"weekday evenings")&amp;", "&amp;IF(AD121&lt;&gt;"","£"&amp;IF(AD121=INT(AD121),TEXT(AD121,"0"),TEXT(AD121,"0.00")),"[PRICE PER PLAYER]")&amp;" pp. We handle booking and payments. Up for a team game? "&amp;IF(AL121&lt;&gt;"",AL121,IF(Offer!$C$5&lt;&gt;"",Offer!$C$5,"[NAME]")),300))</f>
        <v/>
      </c>
      <c r="AI121" s="14">
        <f>LEN(AH121)</f>
        <v/>
      </c>
      <c r="AJ121" s="14">
        <f>"Thanks for connecting"&amp;IF(O121&lt;&gt;"",", "&amp;O121,"")&amp;". "&amp;IF(ISNUMBER(AB121),"The "&amp;AC121&amp;" slot at "&amp;X121&amp;" is "&amp;IF(ISNUMBER(AB121),TEXT(AB121,"ddd d mmm")&amp;", "&amp;TEXT(AB121,"hh:mm"),"weekday evenings"),"We can book "&amp;AC121&amp;" at "&amp;X121&amp;" on a weekday evening that suits you")&amp;" and it's "&amp;IF(AD121&lt;&gt;"","£"&amp;IF(AD121=INT(AD121),TEXT(AD121,"0"),TEXT(AD121,"0.00")),"[PRICE PER PLAYER]")&amp;" a player, all booked and paid through one link. If football isn't your thing, who at "&amp;F121&amp;" would be the right person to organise a team game?"&amp;IF(Offer!$C$7&lt;&gt;""," Spots are held until "&amp;TEXT(Offer!$C$7,"dddd d mmmm")&amp;".","")&amp;" "&amp;IF(Offer!$C$6&lt;&gt;"",Offer!$C$6,"[JOINING LINK]")</f>
        <v/>
      </c>
      <c r="AK121" s="14">
        <f>IF(OR(ISNUMBER(SEARCH("[",AG121)),ISNUMBER(SEARCH("[",AJ121))),"Fill placeholders",IF(ISNUMBER(AB121),"Ready to send","Ready · no fixed slot"))</f>
        <v/>
      </c>
      <c r="AN121" s="17" t="n"/>
    </row>
    <row r="122">
      <c r="A122" s="11" t="n">
        <v>120</v>
      </c>
      <c r="B122" s="11" t="n">
        <v>2</v>
      </c>
      <c r="C122" s="11" t="inlineStr">
        <is>
          <t>Insurance / broker</t>
        </is>
      </c>
      <c r="D122" s="11" t="inlineStr">
        <is>
          <t>City of London</t>
        </is>
      </c>
      <c r="E122" s="11" t="inlineStr">
        <is>
          <t>Howden Group Holdings Limited</t>
        </is>
      </c>
      <c r="F122" s="11" t="inlineStr">
        <is>
          <t>Howden</t>
        </is>
      </c>
      <c r="G122" s="11" t="inlineStr">
        <is>
          <t>02937398</t>
        </is>
      </c>
      <c r="H122" s="12" t="inlineStr">
        <is>
          <t>Open</t>
        </is>
      </c>
      <c r="I122" s="12" t="inlineStr">
        <is>
          <t>Search</t>
        </is>
      </c>
      <c r="J122" s="11" t="inlineStr">
        <is>
          <t>Group</t>
        </is>
      </c>
      <c r="K122" s="13" t="n">
        <v>34494</v>
      </c>
      <c r="L122" s="11" t="inlineStr">
        <is>
          <t>One Creechurch Place, London</t>
        </is>
      </c>
      <c r="M122" s="11" t="inlineStr">
        <is>
          <t>EC3A 5AF</t>
        </is>
      </c>
      <c r="N122" s="11" t="inlineStr">
        <is>
          <t>No</t>
        </is>
      </c>
      <c r="U122" s="11" t="inlineStr">
        <is>
          <t>Liverpool St - Attlee Centre</t>
        </is>
      </c>
      <c r="V122" s="11" t="n">
        <v>9</v>
      </c>
      <c r="W122" s="11" t="inlineStr">
        <is>
          <t>Shoreditch Powerleague (16.6)</t>
        </is>
      </c>
      <c r="X122" s="11" t="inlineStr">
        <is>
          <t>Shoreditch Powerleague</t>
        </is>
      </c>
      <c r="Y122" s="11" t="n">
        <v>17</v>
      </c>
      <c r="Z122" s="14">
        <f>IFERROR(INDEX(Venues!$E$2:$E$15,MATCH(X122,Venues!$A$2:$A$15,0)),"Not checked")</f>
        <v/>
      </c>
      <c r="AA122" s="14">
        <f>IFERROR(INDEX(Venues!$F$2:$F$15,MATCH(X122,Venues!$A$2:$A$15,0)),0)</f>
        <v/>
      </c>
      <c r="AB122" s="15">
        <f>IFERROR(INDEX(Venues!$M$2:$M$15,MATCH(X122,Venues!$A$2:$A$15,0)),"")</f>
        <v/>
      </c>
      <c r="AC122" s="14">
        <f>IFERROR(INDEX(Venues!$N$2:$N$15,MATCH(X122,Venues!$A$2:$A$15,0)),"5-a-side")</f>
        <v/>
      </c>
      <c r="AD122" s="16">
        <f>IF(Offer!$C$4="","",Offer!$C$4)</f>
        <v/>
      </c>
      <c r="AE122" s="14">
        <f>X122&amp;" ("&amp;Y122&amp;" min walk) · "&amp;IF(ISNUMBER(AB122),TEXT(AB122,"ddd d mmm, hh:mm"),"slot to confirm with venue")&amp;" · "&amp;AC122&amp;" · "&amp;IF(AD122&lt;&gt;"","£"&amp;TEXT(AD122,"0.00")&amp;" pp","price TBC")</f>
        <v/>
      </c>
      <c r="AF122" s="14">
        <f>"After-work football for "&amp;F122&amp;" · "&amp;X122&amp;", "&amp;Y122&amp;" min from your office"</f>
        <v/>
      </c>
      <c r="AG122" s="14">
        <f>"Hi"&amp;IF(O122&lt;&gt;""," "&amp;O122,"")&amp;","&amp;CHAR(10)&amp;CHAR(10)&amp;"I'm "&amp;IF(AL122&lt;&gt;"",AL122,IF(Offer!$C$5&lt;&gt;"",Offer!$C$5,"[NAME]"))&amp;" from FC Urban. We organise after-work football for teams in the City and Canary Wharf."&amp;CHAR(10)&amp;CHAR(10)&amp;"We have a "&amp;AC122&amp;" pitch at "&amp;X122&amp;", "&amp;IF(OR(Y122=8,Y122=11,Y122=18),"an ","a ")&amp;Y122&amp;"-minute walk from your "&amp;M122&amp;" office, "&amp;IF(ISNUMBER(AB122),"on "&amp;TEXT(AB122,"dddd d mmmm")&amp;" at "&amp;TEXT(AB122,"hh:mm"),"on a weekday evening that suits your team")&amp;". It's "&amp;IF(AD122&lt;&gt;"","£"&amp;IF(AD122=INT(AD122),TEXT(AD122,"0"),TEXT(AD122,"0.00")),"[PRICE PER PLAYER]")&amp;" a player and we handle the pitch booking, sign-ups and payments, so all it takes is one person sharing a link with the team."&amp;CHAR(10)&amp;CHAR(10)&amp;"It works well as a team social or "&amp;IF(ISNUMBER(SEARCH(LEFT(F122,1),"AEIOU")),"an ","a ")&amp;F122&amp;"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LINK]")&amp;CHAR(10)&amp;CHAR(10)&amp;"Best,"&amp;CHAR(10)&amp;IF(AL122&lt;&gt;"",AL122,IF(Offer!$C$5&lt;&gt;"",Offer!$C$5,"[NAME]"))&amp;CHAR(10)&amp;"FC Urban"</f>
        <v/>
      </c>
      <c r="AH122" s="14">
        <f>IF(LEN("Hi"&amp;IF(O122&lt;&gt;""," "&amp;O122,"")&amp;","&amp;" FC Urban runs after-work football for "&amp;IF(D122="Canary Wharf","Canary Wharf","City")&amp;" teams. We have a "&amp;AC122&amp;" pitch at "&amp;X122&amp;", "&amp;Y122&amp;" min from your office, "&amp;IF(ISNUMBER(AB122),TEXT(AB122,"ddd d mmm")&amp;", "&amp;TEXT(AB122,"hh:mm"),"weekday evenings")&amp;", "&amp;IF(AD122&lt;&gt;"","£"&amp;IF(AD122=INT(AD122),TEXT(AD122,"0"),TEXT(AD122,"0.00")),"[PRICE PER PLAYER]")&amp;" a player. We handle booking, sign-ups and payments. Fancy "&amp;IF(ISNUMBER(SEARCH(LEFT(F122,1),"AEIOU")),"an ","a ")&amp;F122&amp;" team game? "&amp;IF(AL122&lt;&gt;"",AL122,IF(Offer!$C$5&lt;&gt;"",Offer!$C$5,"[NAME]")))&lt;=300,"Hi"&amp;IF(O122&lt;&gt;""," "&amp;O122,"")&amp;","&amp;" FC Urban runs after-work football for "&amp;IF(D122="Canary Wharf","Canary Wharf","City")&amp;" teams. We have a "&amp;AC122&amp;" pitch at "&amp;X122&amp;", "&amp;Y122&amp;" min from your office, "&amp;IF(ISNUMBER(AB122),TEXT(AB122,"ddd d mmm")&amp;", "&amp;TEXT(AB122,"hh:mm"),"weekday evenings")&amp;", "&amp;IF(AD122&lt;&gt;"","£"&amp;IF(AD122=INT(AD122),TEXT(AD122,"0"),TEXT(AD122,"0.00")),"[PRICE PER PLAYER]")&amp;" a player. We handle booking, sign-ups and payments. Fancy "&amp;IF(ISNUMBER(SEARCH(LEFT(F122,1),"AEIOU")),"an ","a ")&amp;F122&amp;" team game? "&amp;IF(AL122&lt;&gt;"",AL122,IF(Offer!$C$5&lt;&gt;"",Offer!$C$5,"[NAME]")),LEFT("Hi"&amp;IF(O122&lt;&gt;""," "&amp;O122,"")&amp;","&amp;" FC Urban runs after-work football for "&amp;IF(D122="Canary Wharf","Canary Wharf","City")&amp;" teams: "&amp;AC122&amp;" at "&amp;X122&amp;", "&amp;Y122&amp;" min from your office, "&amp;IF(ISNUMBER(AB122),TEXT(AB122,"ddd d mmm")&amp;", "&amp;TEXT(AB122,"hh:mm"),"weekday evenings")&amp;", "&amp;IF(AD122&lt;&gt;"","£"&amp;IF(AD122=INT(AD122),TEXT(AD122,"0"),TEXT(AD122,"0.00")),"[PRICE PER PLAYER]")&amp;" pp. We handle booking and payments. Up for a team game? "&amp;IF(AL122&lt;&gt;"",AL122,IF(Offer!$C$5&lt;&gt;"",Offer!$C$5,"[NAME]")),300))</f>
        <v/>
      </c>
      <c r="AI122" s="14">
        <f>LEN(AH122)</f>
        <v/>
      </c>
      <c r="AJ122" s="14">
        <f>"Thanks for connecting"&amp;IF(O122&lt;&gt;"",", "&amp;O122,"")&amp;". "&amp;IF(ISNUMBER(AB122),"The "&amp;AC122&amp;" slot at "&amp;X122&amp;" is "&amp;IF(ISNUMBER(AB122),TEXT(AB122,"ddd d mmm")&amp;", "&amp;TEXT(AB122,"hh:mm"),"weekday evenings"),"We can book "&amp;AC122&amp;" at "&amp;X122&amp;" on a weekday evening that suits you")&amp;" and it's "&amp;IF(AD122&lt;&gt;"","£"&amp;IF(AD122=INT(AD122),TEXT(AD122,"0"),TEXT(AD122,"0.00")),"[PRICE PER PLAYER]")&amp;" a player, all booked and paid through one link. If football isn't your thing, who at "&amp;F122&amp;" would be the right person to organise a team game?"&amp;IF(Offer!$C$7&lt;&gt;""," Spots are held until "&amp;TEXT(Offer!$C$7,"dddd d mmmm")&amp;".","")&amp;" "&amp;IF(Offer!$C$6&lt;&gt;"",Offer!$C$6,"[JOINING LINK]")</f>
        <v/>
      </c>
      <c r="AK122" s="14">
        <f>IF(OR(ISNUMBER(SEARCH("[",AG122)),ISNUMBER(SEARCH("[",AJ122))),"Fill placeholders",IF(ISNUMBER(AB122),"Ready to send","Ready · no fixed slot"))</f>
        <v/>
      </c>
      <c r="AN122" s="17" t="n"/>
    </row>
    <row r="123">
      <c r="A123" s="11" t="n">
        <v>121</v>
      </c>
      <c r="B123" s="11" t="n">
        <v>2</v>
      </c>
      <c r="C123" s="11" t="inlineStr">
        <is>
          <t>Insurance / broker</t>
        </is>
      </c>
      <c r="D123" s="11" t="inlineStr">
        <is>
          <t>City of London</t>
        </is>
      </c>
      <c r="E123" s="11" t="inlineStr">
        <is>
          <t>Meacock Capital PLC</t>
        </is>
      </c>
      <c r="F123" s="11" t="inlineStr">
        <is>
          <t>Meacock Capital</t>
        </is>
      </c>
      <c r="G123" s="11" t="inlineStr">
        <is>
          <t>03600178</t>
        </is>
      </c>
      <c r="H123" s="12" t="inlineStr">
        <is>
          <t>Open</t>
        </is>
      </c>
      <c r="I123" s="12" t="inlineStr">
        <is>
          <t>Search</t>
        </is>
      </c>
      <c r="J123" s="11" t="inlineStr">
        <is>
          <t>Group</t>
        </is>
      </c>
      <c r="K123" s="13" t="n">
        <v>35990</v>
      </c>
      <c r="L123" s="11" t="inlineStr">
        <is>
          <t>Hasilwood House, 60 Bishopsgate, London</t>
        </is>
      </c>
      <c r="M123" s="11" t="inlineStr">
        <is>
          <t>EC2N 4AW</t>
        </is>
      </c>
      <c r="N123" s="11" t="inlineStr">
        <is>
          <t>Yes</t>
        </is>
      </c>
      <c r="U123" s="11" t="inlineStr">
        <is>
          <t>Liverpool St - Attlee Centre</t>
        </is>
      </c>
      <c r="V123" s="11" t="n">
        <v>12</v>
      </c>
      <c r="W123" s="11" t="inlineStr">
        <is>
          <t>Shoreditch Powerleague (16.6)</t>
        </is>
      </c>
      <c r="X123" s="11" t="inlineStr">
        <is>
          <t>Shoreditch Powerleague</t>
        </is>
      </c>
      <c r="Y123" s="11" t="n">
        <v>17</v>
      </c>
      <c r="Z123" s="14">
        <f>IFERROR(INDEX(Venues!$E$2:$E$15,MATCH(X123,Venues!$A$2:$A$15,0)),"Not checked")</f>
        <v/>
      </c>
      <c r="AA123" s="14">
        <f>IFERROR(INDEX(Venues!$F$2:$F$15,MATCH(X123,Venues!$A$2:$A$15,0)),0)</f>
        <v/>
      </c>
      <c r="AB123" s="15">
        <f>IFERROR(INDEX(Venues!$M$2:$M$15,MATCH(X123,Venues!$A$2:$A$15,0)),"")</f>
        <v/>
      </c>
      <c r="AC123" s="14">
        <f>IFERROR(INDEX(Venues!$N$2:$N$15,MATCH(X123,Venues!$A$2:$A$15,0)),"5-a-side")</f>
        <v/>
      </c>
      <c r="AD123" s="16">
        <f>IF(Offer!$C$4="","",Offer!$C$4)</f>
        <v/>
      </c>
      <c r="AE123" s="14">
        <f>X123&amp;" ("&amp;Y123&amp;" min walk) · "&amp;IF(ISNUMBER(AB123),TEXT(AB123,"ddd d mmm, hh:mm"),"slot to confirm with venue")&amp;" · "&amp;AC123&amp;" · "&amp;IF(AD123&lt;&gt;"","£"&amp;TEXT(AD123,"0.00")&amp;" pp","price TBC")</f>
        <v/>
      </c>
      <c r="AF123" s="14">
        <f>"After-work football for "&amp;F123&amp;" · "&amp;X123&amp;", "&amp;Y123&amp;" min from your office"</f>
        <v/>
      </c>
      <c r="AG123" s="14">
        <f>"Hi"&amp;IF(O123&lt;&gt;""," "&amp;O123,"")&amp;","&amp;CHAR(10)&amp;CHAR(10)&amp;"I'm "&amp;IF(AL123&lt;&gt;"",AL123,IF(Offer!$C$5&lt;&gt;"",Offer!$C$5,"[NAME]"))&amp;" from FC Urban. We organise after-work football for teams in the City and Canary Wharf."&amp;CHAR(10)&amp;CHAR(10)&amp;"We have a "&amp;AC123&amp;" pitch at "&amp;X123&amp;", "&amp;IF(OR(Y123=8,Y123=11,Y123=18),"an ","a ")&amp;Y123&amp;"-minute walk from your "&amp;M123&amp;" office, "&amp;IF(ISNUMBER(AB123),"on "&amp;TEXT(AB123,"dddd d mmmm")&amp;" at "&amp;TEXT(AB123,"hh:mm"),"on a weekday evening that suits your team")&amp;". It's "&amp;IF(AD123&lt;&gt;"","£"&amp;IF(AD123=INT(AD123),TEXT(AD123,"0"),TEXT(AD123,"0.00")),"[PRICE PER PLAYER]")&amp;" a player and we handle the pitch booking, sign-ups and payments, so all it takes is one person sharing a link with the team."&amp;CHAR(10)&amp;CHAR(10)&amp;"It works well as a team social or "&amp;IF(ISNUMBER(SEARCH(LEFT(F123,1),"AEIOU")),"an ","a ")&amp;F123&amp;"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LINK]")&amp;CHAR(10)&amp;CHAR(10)&amp;"Best,"&amp;CHAR(10)&amp;IF(AL123&lt;&gt;"",AL123,IF(Offer!$C$5&lt;&gt;"",Offer!$C$5,"[NAME]"))&amp;CHAR(10)&amp;"FC Urban"</f>
        <v/>
      </c>
      <c r="AH123" s="14">
        <f>IF(LEN("Hi"&amp;IF(O123&lt;&gt;""," "&amp;O123,"")&amp;","&amp;" FC Urban runs after-work football for "&amp;IF(D123="Canary Wharf","Canary Wharf","City")&amp;" teams. We have a "&amp;AC123&amp;" pitch at "&amp;X123&amp;", "&amp;Y123&amp;" min from your office, "&amp;IF(ISNUMBER(AB123),TEXT(AB123,"ddd d mmm")&amp;", "&amp;TEXT(AB123,"hh:mm"),"weekday evenings")&amp;", "&amp;IF(AD123&lt;&gt;"","£"&amp;IF(AD123=INT(AD123),TEXT(AD123,"0"),TEXT(AD123,"0.00")),"[PRICE PER PLAYER]")&amp;" a player. We handle booking, sign-ups and payments. Fancy "&amp;IF(ISNUMBER(SEARCH(LEFT(F123,1),"AEIOU")),"an ","a ")&amp;F123&amp;" team game? "&amp;IF(AL123&lt;&gt;"",AL123,IF(Offer!$C$5&lt;&gt;"",Offer!$C$5,"[NAME]")))&lt;=300,"Hi"&amp;IF(O123&lt;&gt;""," "&amp;O123,"")&amp;","&amp;" FC Urban runs after-work football for "&amp;IF(D123="Canary Wharf","Canary Wharf","City")&amp;" teams. We have a "&amp;AC123&amp;" pitch at "&amp;X123&amp;", "&amp;Y123&amp;" min from your office, "&amp;IF(ISNUMBER(AB123),TEXT(AB123,"ddd d mmm")&amp;", "&amp;TEXT(AB123,"hh:mm"),"weekday evenings")&amp;", "&amp;IF(AD123&lt;&gt;"","£"&amp;IF(AD123=INT(AD123),TEXT(AD123,"0"),TEXT(AD123,"0.00")),"[PRICE PER PLAYER]")&amp;" a player. We handle booking, sign-ups and payments. Fancy "&amp;IF(ISNUMBER(SEARCH(LEFT(F123,1),"AEIOU")),"an ","a ")&amp;F123&amp;" team game? "&amp;IF(AL123&lt;&gt;"",AL123,IF(Offer!$C$5&lt;&gt;"",Offer!$C$5,"[NAME]")),LEFT("Hi"&amp;IF(O123&lt;&gt;""," "&amp;O123,"")&amp;","&amp;" FC Urban runs after-work football for "&amp;IF(D123="Canary Wharf","Canary Wharf","City")&amp;" teams: "&amp;AC123&amp;" at "&amp;X123&amp;", "&amp;Y123&amp;" min from your office, "&amp;IF(ISNUMBER(AB123),TEXT(AB123,"ddd d mmm")&amp;", "&amp;TEXT(AB123,"hh:mm"),"weekday evenings")&amp;", "&amp;IF(AD123&lt;&gt;"","£"&amp;IF(AD123=INT(AD123),TEXT(AD123,"0"),TEXT(AD123,"0.00")),"[PRICE PER PLAYER]")&amp;" pp. We handle booking and payments. Up for a team game? "&amp;IF(AL123&lt;&gt;"",AL123,IF(Offer!$C$5&lt;&gt;"",Offer!$C$5,"[NAME]")),300))</f>
        <v/>
      </c>
      <c r="AI123" s="14">
        <f>LEN(AH123)</f>
        <v/>
      </c>
      <c r="AJ123" s="14">
        <f>"Thanks for connecting"&amp;IF(O123&lt;&gt;"",", "&amp;O123,"")&amp;". "&amp;IF(ISNUMBER(AB123),"The "&amp;AC123&amp;" slot at "&amp;X123&amp;" is "&amp;IF(ISNUMBER(AB123),TEXT(AB123,"ddd d mmm")&amp;", "&amp;TEXT(AB123,"hh:mm"),"weekday evenings"),"We can book "&amp;AC123&amp;" at "&amp;X123&amp;" on a weekday evening that suits you")&amp;" and it's "&amp;IF(AD123&lt;&gt;"","£"&amp;IF(AD123=INT(AD123),TEXT(AD123,"0"),TEXT(AD123,"0.00")),"[PRICE PER PLAYER]")&amp;" a player, all booked and paid through one link. If football isn't your thing, who at "&amp;F123&amp;" would be the right person to organise a team game?"&amp;IF(Offer!$C$7&lt;&gt;""," Spots are held until "&amp;TEXT(Offer!$C$7,"dddd d mmmm")&amp;".","")&amp;" "&amp;IF(Offer!$C$6&lt;&gt;"",Offer!$C$6,"[JOINING LINK]")</f>
        <v/>
      </c>
      <c r="AK123" s="14">
        <f>IF(OR(ISNUMBER(SEARCH("[",AG123)),ISNUMBER(SEARCH("[",AJ123))),"Fill placeholders",IF(ISNUMBER(AB123),"Ready to send","Ready · no fixed slot"))</f>
        <v/>
      </c>
      <c r="AN123" s="17" t="n"/>
    </row>
    <row r="124">
      <c r="A124" s="11" t="n">
        <v>122</v>
      </c>
      <c r="B124" s="11" t="n">
        <v>2</v>
      </c>
      <c r="C124" s="11" t="inlineStr">
        <is>
          <t>Fund / asset manager</t>
        </is>
      </c>
      <c r="D124" s="11" t="inlineStr">
        <is>
          <t>City of London</t>
        </is>
      </c>
      <c r="E124" s="11" t="inlineStr">
        <is>
          <t>TT International Asset Management Ltd</t>
        </is>
      </c>
      <c r="F124" s="11" t="inlineStr">
        <is>
          <t>TT International Asset Management</t>
        </is>
      </c>
      <c r="G124" s="11" t="inlineStr">
        <is>
          <t>12093921</t>
        </is>
      </c>
      <c r="H124" s="12" t="inlineStr">
        <is>
          <t>Open</t>
        </is>
      </c>
      <c r="I124" s="12" t="inlineStr">
        <is>
          <t>Search</t>
        </is>
      </c>
      <c r="J124" s="11" t="inlineStr">
        <is>
          <t>Group</t>
        </is>
      </c>
      <c r="K124" s="13" t="n">
        <v>43655</v>
      </c>
      <c r="L124" s="11" t="inlineStr">
        <is>
          <t>62 Threadneedle Street, London</t>
        </is>
      </c>
      <c r="M124" s="11" t="inlineStr">
        <is>
          <t>EC2R 8HP</t>
        </is>
      </c>
      <c r="N124" s="11" t="inlineStr">
        <is>
          <t>Yes</t>
        </is>
      </c>
      <c r="U124" s="11" t="inlineStr">
        <is>
          <t>Liverpool St - Attlee Centre</t>
        </is>
      </c>
      <c r="V124" s="11" t="n">
        <v>17</v>
      </c>
      <c r="W124" s="11" t="n"/>
      <c r="X124" s="11" t="inlineStr">
        <is>
          <t>Liverpool St - Attlee Centre</t>
        </is>
      </c>
      <c r="Y124" s="11" t="n">
        <v>17</v>
      </c>
      <c r="Z124" s="14">
        <f>IFERROR(INDEX(Venues!$E$2:$E$15,MATCH(X124,Venues!$A$2:$A$15,0)),"Not checked")</f>
        <v/>
      </c>
      <c r="AA124" s="14">
        <f>IFERROR(INDEX(Venues!$F$2:$F$15,MATCH(X124,Venues!$A$2:$A$15,0)),0)</f>
        <v/>
      </c>
      <c r="AB124" s="15">
        <f>IFERROR(INDEX(Venues!$M$2:$M$15,MATCH(X124,Venues!$A$2:$A$15,0)),"")</f>
        <v/>
      </c>
      <c r="AC124" s="14">
        <f>IFERROR(INDEX(Venues!$N$2:$N$15,MATCH(X124,Venues!$A$2:$A$15,0)),"5-a-side")</f>
        <v/>
      </c>
      <c r="AD124" s="16">
        <f>IF(Offer!$C$4="","",Offer!$C$4)</f>
        <v/>
      </c>
      <c r="AE124" s="14">
        <f>X124&amp;" ("&amp;Y124&amp;" min walk) · "&amp;IF(ISNUMBER(AB124),TEXT(AB124,"ddd d mmm, hh:mm"),"slot to confirm with venue")&amp;" · "&amp;AC124&amp;" · "&amp;IF(AD124&lt;&gt;"","£"&amp;TEXT(AD124,"0.00")&amp;" pp","price TBC")</f>
        <v/>
      </c>
      <c r="AF124" s="14">
        <f>"After-work football for "&amp;F124&amp;" · "&amp;X124&amp;", "&amp;Y124&amp;" min from your office"</f>
        <v/>
      </c>
      <c r="AG124" s="14">
        <f>"Hi"&amp;IF(O124&lt;&gt;""," "&amp;O124,"")&amp;","&amp;CHAR(10)&amp;CHAR(10)&amp;"I'm "&amp;IF(AL124&lt;&gt;"",AL124,IF(Offer!$C$5&lt;&gt;"",Offer!$C$5,"[NAME]"))&amp;" from FC Urban. We organise after-work football for teams in the City and Canary Wharf."&amp;CHAR(10)&amp;CHAR(10)&amp;"We have a "&amp;AC124&amp;" pitch at "&amp;X124&amp;", "&amp;IF(OR(Y124=8,Y124=11,Y124=18),"an ","a ")&amp;Y124&amp;"-minute walk from your "&amp;M124&amp;" office, "&amp;IF(ISNUMBER(AB124),"on "&amp;TEXT(AB124,"dddd d mmmm")&amp;" at "&amp;TEXT(AB124,"hh:mm"),"on a weekday evening that suits your team")&amp;". It's "&amp;IF(AD124&lt;&gt;"","£"&amp;IF(AD124=INT(AD124),TEXT(AD124,"0"),TEXT(AD124,"0.00")),"[PRICE PER PLAYER]")&amp;" a player and we handle the pitch booking, sign-ups and payments, so all it takes is one person sharing a link with the team."&amp;CHAR(10)&amp;CHAR(10)&amp;"It works well as a team social or "&amp;IF(ISNUMBER(SEARCH(LEFT(F124,1),"AEIOU")),"an ","a ")&amp;F124&amp;"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LINK]")&amp;CHAR(10)&amp;CHAR(10)&amp;"Best,"&amp;CHAR(10)&amp;IF(AL124&lt;&gt;"",AL124,IF(Offer!$C$5&lt;&gt;"",Offer!$C$5,"[NAME]"))&amp;CHAR(10)&amp;"FC Urban"</f>
        <v/>
      </c>
      <c r="AH124" s="14">
        <f>IF(LEN("Hi"&amp;IF(O124&lt;&gt;""," "&amp;O124,"")&amp;","&amp;" FC Urban runs after-work football for "&amp;IF(D124="Canary Wharf","Canary Wharf","City")&amp;" teams. We have a "&amp;AC124&amp;" pitch at "&amp;X124&amp;", "&amp;Y124&amp;" min from your office, "&amp;IF(ISNUMBER(AB124),TEXT(AB124,"ddd d mmm")&amp;", "&amp;TEXT(AB124,"hh:mm"),"weekday evenings")&amp;", "&amp;IF(AD124&lt;&gt;"","£"&amp;IF(AD124=INT(AD124),TEXT(AD124,"0"),TEXT(AD124,"0.00")),"[PRICE PER PLAYER]")&amp;" a player. We handle booking, sign-ups and payments. Fancy "&amp;IF(ISNUMBER(SEARCH(LEFT(F124,1),"AEIOU")),"an ","a ")&amp;F124&amp;" team game? "&amp;IF(AL124&lt;&gt;"",AL124,IF(Offer!$C$5&lt;&gt;"",Offer!$C$5,"[NAME]")))&lt;=300,"Hi"&amp;IF(O124&lt;&gt;""," "&amp;O124,"")&amp;","&amp;" FC Urban runs after-work football for "&amp;IF(D124="Canary Wharf","Canary Wharf","City")&amp;" teams. We have a "&amp;AC124&amp;" pitch at "&amp;X124&amp;", "&amp;Y124&amp;" min from your office, "&amp;IF(ISNUMBER(AB124),TEXT(AB124,"ddd d mmm")&amp;", "&amp;TEXT(AB124,"hh:mm"),"weekday evenings")&amp;", "&amp;IF(AD124&lt;&gt;"","£"&amp;IF(AD124=INT(AD124),TEXT(AD124,"0"),TEXT(AD124,"0.00")),"[PRICE PER PLAYER]")&amp;" a player. We handle booking, sign-ups and payments. Fancy "&amp;IF(ISNUMBER(SEARCH(LEFT(F124,1),"AEIOU")),"an ","a ")&amp;F124&amp;" team game? "&amp;IF(AL124&lt;&gt;"",AL124,IF(Offer!$C$5&lt;&gt;"",Offer!$C$5,"[NAME]")),LEFT("Hi"&amp;IF(O124&lt;&gt;""," "&amp;O124,"")&amp;","&amp;" FC Urban runs after-work football for "&amp;IF(D124="Canary Wharf","Canary Wharf","City")&amp;" teams: "&amp;AC124&amp;" at "&amp;X124&amp;", "&amp;Y124&amp;" min from your office, "&amp;IF(ISNUMBER(AB124),TEXT(AB124,"ddd d mmm")&amp;", "&amp;TEXT(AB124,"hh:mm"),"weekday evenings")&amp;", "&amp;IF(AD124&lt;&gt;"","£"&amp;IF(AD124=INT(AD124),TEXT(AD124,"0"),TEXT(AD124,"0.00")),"[PRICE PER PLAYER]")&amp;" pp. We handle booking and payments. Up for a team game? "&amp;IF(AL124&lt;&gt;"",AL124,IF(Offer!$C$5&lt;&gt;"",Offer!$C$5,"[NAME]")),300))</f>
        <v/>
      </c>
      <c r="AI124" s="14">
        <f>LEN(AH124)</f>
        <v/>
      </c>
      <c r="AJ124" s="14">
        <f>"Thanks for connecting"&amp;IF(O124&lt;&gt;"",", "&amp;O124,"")&amp;". "&amp;IF(ISNUMBER(AB124),"The "&amp;AC124&amp;" slot at "&amp;X124&amp;" is "&amp;IF(ISNUMBER(AB124),TEXT(AB124,"ddd d mmm")&amp;", "&amp;TEXT(AB124,"hh:mm"),"weekday evenings"),"We can book "&amp;AC124&amp;" at "&amp;X124&amp;" on a weekday evening that suits you")&amp;" and it's "&amp;IF(AD124&lt;&gt;"","£"&amp;IF(AD124=INT(AD124),TEXT(AD124,"0"),TEXT(AD124,"0.00")),"[PRICE PER PLAYER]")&amp;" a player, all booked and paid through one link. If football isn't your thing, who at "&amp;F124&amp;" would be the right person to organise a team game?"&amp;IF(Offer!$C$7&lt;&gt;""," Spots are held until "&amp;TEXT(Offer!$C$7,"dddd d mmmm")&amp;".","")&amp;" "&amp;IF(Offer!$C$6&lt;&gt;"",Offer!$C$6,"[JOINING LINK]")</f>
        <v/>
      </c>
      <c r="AK124" s="14">
        <f>IF(OR(ISNUMBER(SEARCH("[",AG124)),ISNUMBER(SEARCH("[",AJ124))),"Fill placeholders",IF(ISNUMBER(AB124),"Ready to send","Ready · no fixed slot"))</f>
        <v/>
      </c>
      <c r="AN124" s="17" t="n"/>
    </row>
    <row r="125">
      <c r="A125" s="11" t="n">
        <v>123</v>
      </c>
      <c r="B125" s="11" t="n">
        <v>2</v>
      </c>
      <c r="C125" s="11" t="inlineStr">
        <is>
          <t>Fund / asset manager</t>
        </is>
      </c>
      <c r="D125" s="11" t="inlineStr">
        <is>
          <t>City of London</t>
        </is>
      </c>
      <c r="E125" s="11" t="inlineStr">
        <is>
          <t>Montagu Private Equity LLP</t>
        </is>
      </c>
      <c r="F125" s="11" t="inlineStr">
        <is>
          <t>Montagu</t>
        </is>
      </c>
      <c r="G125" s="11" t="inlineStr">
        <is>
          <t>OC319972</t>
        </is>
      </c>
      <c r="H125" s="12" t="inlineStr">
        <is>
          <t>Open</t>
        </is>
      </c>
      <c r="I125" s="12" t="inlineStr">
        <is>
          <t>Search</t>
        </is>
      </c>
      <c r="J125" s="11" t="inlineStr">
        <is>
          <t>Group</t>
        </is>
      </c>
      <c r="K125" s="13" t="n">
        <v>38862</v>
      </c>
      <c r="L125" s="11" t="inlineStr">
        <is>
          <t>5Th Floor, 2 More London Riverside, London</t>
        </is>
      </c>
      <c r="M125" s="11" t="inlineStr">
        <is>
          <t>SE1 2AP</t>
        </is>
      </c>
      <c r="N125" s="11" t="inlineStr">
        <is>
          <t>No</t>
        </is>
      </c>
      <c r="U125" s="11" t="inlineStr">
        <is>
          <t>Bermondsey Riverside</t>
        </is>
      </c>
      <c r="V125" s="11" t="n">
        <v>17</v>
      </c>
      <c r="W125" s="11" t="n"/>
      <c r="X125" s="11" t="inlineStr">
        <is>
          <t>Bermondsey Riverside</t>
        </is>
      </c>
      <c r="Y125" s="11" t="n">
        <v>17</v>
      </c>
      <c r="Z125" s="14">
        <f>IFERROR(INDEX(Venues!$E$2:$E$15,MATCH(X125,Venues!$A$2:$A$15,0)),"Not checked")</f>
        <v/>
      </c>
      <c r="AA125" s="14">
        <f>IFERROR(INDEX(Venues!$F$2:$F$15,MATCH(X125,Venues!$A$2:$A$15,0)),0)</f>
        <v/>
      </c>
      <c r="AB125" s="15">
        <f>IFERROR(INDEX(Venues!$M$2:$M$15,MATCH(X125,Venues!$A$2:$A$15,0)),"")</f>
        <v/>
      </c>
      <c r="AC125" s="14">
        <f>IFERROR(INDEX(Venues!$N$2:$N$15,MATCH(X125,Venues!$A$2:$A$15,0)),"5-a-side")</f>
        <v/>
      </c>
      <c r="AD125" s="16">
        <f>IF(Offer!$C$4="","",Offer!$C$4)</f>
        <v/>
      </c>
      <c r="AE125" s="14">
        <f>X125&amp;" ("&amp;Y125&amp;" min walk) · "&amp;IF(ISNUMBER(AB125),TEXT(AB125,"ddd d mmm, hh:mm"),"slot to confirm with venue")&amp;" · "&amp;AC125&amp;" · "&amp;IF(AD125&lt;&gt;"","£"&amp;TEXT(AD125,"0.00")&amp;" pp","price TBC")</f>
        <v/>
      </c>
      <c r="AF125" s="14">
        <f>"After-work football for "&amp;F125&amp;" · "&amp;X125&amp;", "&amp;Y125&amp;" min from your office"</f>
        <v/>
      </c>
      <c r="AG125" s="14">
        <f>"Hi"&amp;IF(O125&lt;&gt;""," "&amp;O125,"")&amp;","&amp;CHAR(10)&amp;CHAR(10)&amp;"I'm "&amp;IF(AL125&lt;&gt;"",AL125,IF(Offer!$C$5&lt;&gt;"",Offer!$C$5,"[NAME]"))&amp;" from FC Urban. We organise after-work football for teams in the City and Canary Wharf."&amp;CHAR(10)&amp;CHAR(10)&amp;"We have a "&amp;AC125&amp;" pitch at "&amp;X125&amp;", "&amp;IF(OR(Y125=8,Y125=11,Y125=18),"an ","a ")&amp;Y125&amp;"-minute walk from your "&amp;M125&amp;" office, "&amp;IF(ISNUMBER(AB125),"on "&amp;TEXT(AB125,"dddd d mmmm")&amp;" at "&amp;TEXT(AB125,"hh:mm"),"on a weekday evening that suits your team")&amp;". It's "&amp;IF(AD125&lt;&gt;"","£"&amp;IF(AD125=INT(AD125),TEXT(AD125,"0"),TEXT(AD125,"0.00")),"[PRICE PER PLAYER]")&amp;" a player and we handle the pitch booking, sign-ups and payments, so all it takes is one person sharing a link with the team."&amp;CHAR(10)&amp;CHAR(10)&amp;"It works well as a team social or "&amp;IF(ISNUMBER(SEARCH(LEFT(F125,1),"AEIOU")),"an ","a ")&amp;F125&amp;"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LINK]")&amp;CHAR(10)&amp;CHAR(10)&amp;"Best,"&amp;CHAR(10)&amp;IF(AL125&lt;&gt;"",AL125,IF(Offer!$C$5&lt;&gt;"",Offer!$C$5,"[NAME]"))&amp;CHAR(10)&amp;"FC Urban"</f>
        <v/>
      </c>
      <c r="AH125" s="14">
        <f>IF(LEN("Hi"&amp;IF(O125&lt;&gt;""," "&amp;O125,"")&amp;","&amp;" FC Urban runs after-work football for "&amp;IF(D125="Canary Wharf","Canary Wharf","City")&amp;" teams. We have a "&amp;AC125&amp;" pitch at "&amp;X125&amp;", "&amp;Y125&amp;" min from your office, "&amp;IF(ISNUMBER(AB125),TEXT(AB125,"ddd d mmm")&amp;", "&amp;TEXT(AB125,"hh:mm"),"weekday evenings")&amp;", "&amp;IF(AD125&lt;&gt;"","£"&amp;IF(AD125=INT(AD125),TEXT(AD125,"0"),TEXT(AD125,"0.00")),"[PRICE PER PLAYER]")&amp;" a player. We handle booking, sign-ups and payments. Fancy "&amp;IF(ISNUMBER(SEARCH(LEFT(F125,1),"AEIOU")),"an ","a ")&amp;F125&amp;" team game? "&amp;IF(AL125&lt;&gt;"",AL125,IF(Offer!$C$5&lt;&gt;"",Offer!$C$5,"[NAME]")))&lt;=300,"Hi"&amp;IF(O125&lt;&gt;""," "&amp;O125,"")&amp;","&amp;" FC Urban runs after-work football for "&amp;IF(D125="Canary Wharf","Canary Wharf","City")&amp;" teams. We have a "&amp;AC125&amp;" pitch at "&amp;X125&amp;", "&amp;Y125&amp;" min from your office, "&amp;IF(ISNUMBER(AB125),TEXT(AB125,"ddd d mmm")&amp;", "&amp;TEXT(AB125,"hh:mm"),"weekday evenings")&amp;", "&amp;IF(AD125&lt;&gt;"","£"&amp;IF(AD125=INT(AD125),TEXT(AD125,"0"),TEXT(AD125,"0.00")),"[PRICE PER PLAYER]")&amp;" a player. We handle booking, sign-ups and payments. Fancy "&amp;IF(ISNUMBER(SEARCH(LEFT(F125,1),"AEIOU")),"an ","a ")&amp;F125&amp;" team game? "&amp;IF(AL125&lt;&gt;"",AL125,IF(Offer!$C$5&lt;&gt;"",Offer!$C$5,"[NAME]")),LEFT("Hi"&amp;IF(O125&lt;&gt;""," "&amp;O125,"")&amp;","&amp;" FC Urban runs after-work football for "&amp;IF(D125="Canary Wharf","Canary Wharf","City")&amp;" teams: "&amp;AC125&amp;" at "&amp;X125&amp;", "&amp;Y125&amp;" min from your office, "&amp;IF(ISNUMBER(AB125),TEXT(AB125,"ddd d mmm")&amp;", "&amp;TEXT(AB125,"hh:mm"),"weekday evenings")&amp;", "&amp;IF(AD125&lt;&gt;"","£"&amp;IF(AD125=INT(AD125),TEXT(AD125,"0"),TEXT(AD125,"0.00")),"[PRICE PER PLAYER]")&amp;" pp. We handle booking and payments. Up for a team game? "&amp;IF(AL125&lt;&gt;"",AL125,IF(Offer!$C$5&lt;&gt;"",Offer!$C$5,"[NAME]")),300))</f>
        <v/>
      </c>
      <c r="AI125" s="14">
        <f>LEN(AH125)</f>
        <v/>
      </c>
      <c r="AJ125" s="14">
        <f>"Thanks for connecting"&amp;IF(O125&lt;&gt;"",", "&amp;O125,"")&amp;". "&amp;IF(ISNUMBER(AB125),"The "&amp;AC125&amp;" slot at "&amp;X125&amp;" is "&amp;IF(ISNUMBER(AB125),TEXT(AB125,"ddd d mmm")&amp;", "&amp;TEXT(AB125,"hh:mm"),"weekday evenings"),"We can book "&amp;AC125&amp;" at "&amp;X125&amp;" on a weekday evening that suits you")&amp;" and it's "&amp;IF(AD125&lt;&gt;"","£"&amp;IF(AD125=INT(AD125),TEXT(AD125,"0"),TEXT(AD125,"0.00")),"[PRICE PER PLAYER]")&amp;" a player, all booked and paid through one link. If football isn't your thing, who at "&amp;F125&amp;" would be the right person to organise a team game?"&amp;IF(Offer!$C$7&lt;&gt;""," Spots are held until "&amp;TEXT(Offer!$C$7,"dddd d mmmm")&amp;".","")&amp;" "&amp;IF(Offer!$C$6&lt;&gt;"",Offer!$C$6,"[JOINING LINK]")</f>
        <v/>
      </c>
      <c r="AK125" s="14">
        <f>IF(OR(ISNUMBER(SEARCH("[",AG125)),ISNUMBER(SEARCH("[",AJ125))),"Fill placeholders",IF(ISNUMBER(AB125),"Ready to send","Ready · no fixed slot"))</f>
        <v/>
      </c>
      <c r="AN125" s="17" t="n"/>
    </row>
    <row r="126">
      <c r="A126" s="11" t="n">
        <v>124</v>
      </c>
      <c r="B126" s="11" t="n">
        <v>2</v>
      </c>
      <c r="C126" s="11" t="inlineStr">
        <is>
          <t>Fund / asset manager</t>
        </is>
      </c>
      <c r="D126" s="11" t="inlineStr">
        <is>
          <t>City of London</t>
        </is>
      </c>
      <c r="E126" s="11" t="inlineStr">
        <is>
          <t>AT Global Markets (UK) Limited</t>
        </is>
      </c>
      <c r="F126" s="11" t="inlineStr">
        <is>
          <t>AT Global Markets</t>
        </is>
      </c>
      <c r="G126" s="11" t="inlineStr">
        <is>
          <t>09827091</t>
        </is>
      </c>
      <c r="H126" s="12" t="inlineStr">
        <is>
          <t>Open</t>
        </is>
      </c>
      <c r="I126" s="12" t="inlineStr">
        <is>
          <t>Search</t>
        </is>
      </c>
      <c r="J126" s="11" t="inlineStr">
        <is>
          <t>Group</t>
        </is>
      </c>
      <c r="K126" s="13" t="n">
        <v>42293</v>
      </c>
      <c r="L126" s="11" t="inlineStr">
        <is>
          <t>Leaf C, 35Th Floor, Tower 42, 25, Old Broad Street, London</t>
        </is>
      </c>
      <c r="M126" s="11" t="inlineStr">
        <is>
          <t>EC2N 1HQ</t>
        </is>
      </c>
      <c r="N126" s="11" t="inlineStr">
        <is>
          <t>Yes</t>
        </is>
      </c>
      <c r="U126" s="11" t="inlineStr">
        <is>
          <t>Liverpool St - Attlee Centre</t>
        </is>
      </c>
      <c r="V126" s="11" t="n">
        <v>13</v>
      </c>
      <c r="W126" s="11" t="inlineStr">
        <is>
          <t>Shoreditch Powerleague (17.2)</t>
        </is>
      </c>
      <c r="X126" s="11" t="inlineStr">
        <is>
          <t>Shoreditch Powerleague</t>
        </is>
      </c>
      <c r="Y126" s="11" t="n">
        <v>17</v>
      </c>
      <c r="Z126" s="14">
        <f>IFERROR(INDEX(Venues!$E$2:$E$15,MATCH(X126,Venues!$A$2:$A$15,0)),"Not checked")</f>
        <v/>
      </c>
      <c r="AA126" s="14">
        <f>IFERROR(INDEX(Venues!$F$2:$F$15,MATCH(X126,Venues!$A$2:$A$15,0)),0)</f>
        <v/>
      </c>
      <c r="AB126" s="15">
        <f>IFERROR(INDEX(Venues!$M$2:$M$15,MATCH(X126,Venues!$A$2:$A$15,0)),"")</f>
        <v/>
      </c>
      <c r="AC126" s="14">
        <f>IFERROR(INDEX(Venues!$N$2:$N$15,MATCH(X126,Venues!$A$2:$A$15,0)),"5-a-side")</f>
        <v/>
      </c>
      <c r="AD126" s="16">
        <f>IF(Offer!$C$4="","",Offer!$C$4)</f>
        <v/>
      </c>
      <c r="AE126" s="14">
        <f>X126&amp;" ("&amp;Y126&amp;" min walk) · "&amp;IF(ISNUMBER(AB126),TEXT(AB126,"ddd d mmm, hh:mm"),"slot to confirm with venue")&amp;" · "&amp;AC126&amp;" · "&amp;IF(AD126&lt;&gt;"","£"&amp;TEXT(AD126,"0.00")&amp;" pp","price TBC")</f>
        <v/>
      </c>
      <c r="AF126" s="14">
        <f>"After-work football for "&amp;F126&amp;" · "&amp;X126&amp;", "&amp;Y126&amp;" min from your office"</f>
        <v/>
      </c>
      <c r="AG126" s="14">
        <f>"Hi"&amp;IF(O126&lt;&gt;""," "&amp;O126,"")&amp;","&amp;CHAR(10)&amp;CHAR(10)&amp;"I'm "&amp;IF(AL126&lt;&gt;"",AL126,IF(Offer!$C$5&lt;&gt;"",Offer!$C$5,"[NAME]"))&amp;" from FC Urban. We organise after-work football for teams in the City and Canary Wharf."&amp;CHAR(10)&amp;CHAR(10)&amp;"We have a "&amp;AC126&amp;" pitch at "&amp;X126&amp;", "&amp;IF(OR(Y126=8,Y126=11,Y126=18),"an ","a ")&amp;Y126&amp;"-minute walk from your "&amp;M126&amp;" office, "&amp;IF(ISNUMBER(AB126),"on "&amp;TEXT(AB126,"dddd d mmmm")&amp;" at "&amp;TEXT(AB126,"hh:mm"),"on a weekday evening that suits your team")&amp;". It's "&amp;IF(AD126&lt;&gt;"","£"&amp;IF(AD126=INT(AD126),TEXT(AD126,"0"),TEXT(AD126,"0.00")),"[PRICE PER PLAYER]")&amp;" a player and we handle the pitch booking, sign-ups and payments, so all it takes is one person sharing a link with the team."&amp;CHAR(10)&amp;CHAR(10)&amp;"It works well as a team social or "&amp;IF(ISNUMBER(SEARCH(LEFT(F126,1),"AEIOU")),"an ","a ")&amp;F126&amp;"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LINK]")&amp;CHAR(10)&amp;CHAR(10)&amp;"Best,"&amp;CHAR(10)&amp;IF(AL126&lt;&gt;"",AL126,IF(Offer!$C$5&lt;&gt;"",Offer!$C$5,"[NAME]"))&amp;CHAR(10)&amp;"FC Urban"</f>
        <v/>
      </c>
      <c r="AH126" s="14">
        <f>IF(LEN("Hi"&amp;IF(O126&lt;&gt;""," "&amp;O126,"")&amp;","&amp;" FC Urban runs after-work football for "&amp;IF(D126="Canary Wharf","Canary Wharf","City")&amp;" teams. We have a "&amp;AC126&amp;" pitch at "&amp;X126&amp;", "&amp;Y126&amp;" min from your office, "&amp;IF(ISNUMBER(AB126),TEXT(AB126,"ddd d mmm")&amp;", "&amp;TEXT(AB126,"hh:mm"),"weekday evenings")&amp;", "&amp;IF(AD126&lt;&gt;"","£"&amp;IF(AD126=INT(AD126),TEXT(AD126,"0"),TEXT(AD126,"0.00")),"[PRICE PER PLAYER]")&amp;" a player. We handle booking, sign-ups and payments. Fancy "&amp;IF(ISNUMBER(SEARCH(LEFT(F126,1),"AEIOU")),"an ","a ")&amp;F126&amp;" team game? "&amp;IF(AL126&lt;&gt;"",AL126,IF(Offer!$C$5&lt;&gt;"",Offer!$C$5,"[NAME]")))&lt;=300,"Hi"&amp;IF(O126&lt;&gt;""," "&amp;O126,"")&amp;","&amp;" FC Urban runs after-work football for "&amp;IF(D126="Canary Wharf","Canary Wharf","City")&amp;" teams. We have a "&amp;AC126&amp;" pitch at "&amp;X126&amp;", "&amp;Y126&amp;" min from your office, "&amp;IF(ISNUMBER(AB126),TEXT(AB126,"ddd d mmm")&amp;", "&amp;TEXT(AB126,"hh:mm"),"weekday evenings")&amp;", "&amp;IF(AD126&lt;&gt;"","£"&amp;IF(AD126=INT(AD126),TEXT(AD126,"0"),TEXT(AD126,"0.00")),"[PRICE PER PLAYER]")&amp;" a player. We handle booking, sign-ups and payments. Fancy "&amp;IF(ISNUMBER(SEARCH(LEFT(F126,1),"AEIOU")),"an ","a ")&amp;F126&amp;" team game? "&amp;IF(AL126&lt;&gt;"",AL126,IF(Offer!$C$5&lt;&gt;"",Offer!$C$5,"[NAME]")),LEFT("Hi"&amp;IF(O126&lt;&gt;""," "&amp;O126,"")&amp;","&amp;" FC Urban runs after-work football for "&amp;IF(D126="Canary Wharf","Canary Wharf","City")&amp;" teams: "&amp;AC126&amp;" at "&amp;X126&amp;", "&amp;Y126&amp;" min from your office, "&amp;IF(ISNUMBER(AB126),TEXT(AB126,"ddd d mmm")&amp;", "&amp;TEXT(AB126,"hh:mm"),"weekday evenings")&amp;", "&amp;IF(AD126&lt;&gt;"","£"&amp;IF(AD126=INT(AD126),TEXT(AD126,"0"),TEXT(AD126,"0.00")),"[PRICE PER PLAYER]")&amp;" pp. We handle booking and payments. Up for a team game? "&amp;IF(AL126&lt;&gt;"",AL126,IF(Offer!$C$5&lt;&gt;"",Offer!$C$5,"[NAME]")),300))</f>
        <v/>
      </c>
      <c r="AI126" s="14">
        <f>LEN(AH126)</f>
        <v/>
      </c>
      <c r="AJ126" s="14">
        <f>"Thanks for connecting"&amp;IF(O126&lt;&gt;"",", "&amp;O126,"")&amp;". "&amp;IF(ISNUMBER(AB126),"The "&amp;AC126&amp;" slot at "&amp;X126&amp;" is "&amp;IF(ISNUMBER(AB126),TEXT(AB126,"ddd d mmm")&amp;", "&amp;TEXT(AB126,"hh:mm"),"weekday evenings"),"We can book "&amp;AC126&amp;" at "&amp;X126&amp;" on a weekday evening that suits you")&amp;" and it's "&amp;IF(AD126&lt;&gt;"","£"&amp;IF(AD126=INT(AD126),TEXT(AD126,"0"),TEXT(AD126,"0.00")),"[PRICE PER PLAYER]")&amp;" a player, all booked and paid through one link. If football isn't your thing, who at "&amp;F126&amp;" would be the right person to organise a team game?"&amp;IF(Offer!$C$7&lt;&gt;""," Spots are held until "&amp;TEXT(Offer!$C$7,"dddd d mmmm")&amp;".","")&amp;" "&amp;IF(Offer!$C$6&lt;&gt;"",Offer!$C$6,"[JOINING LINK]")</f>
        <v/>
      </c>
      <c r="AK126" s="14">
        <f>IF(OR(ISNUMBER(SEARCH("[",AG126)),ISNUMBER(SEARCH("[",AJ126))),"Fill placeholders",IF(ISNUMBER(AB126),"Ready to send","Ready · no fixed slot"))</f>
        <v/>
      </c>
      <c r="AN126" s="17" t="n"/>
    </row>
    <row r="127">
      <c r="A127" s="11" t="n">
        <v>125</v>
      </c>
      <c r="B127" s="11" t="n">
        <v>2</v>
      </c>
      <c r="C127" s="11" t="inlineStr">
        <is>
          <t>Insurance / broker</t>
        </is>
      </c>
      <c r="D127" s="11" t="inlineStr">
        <is>
          <t>City of London</t>
        </is>
      </c>
      <c r="E127" s="11" t="inlineStr">
        <is>
          <t>Euclid Transactional UK Limited</t>
        </is>
      </c>
      <c r="F127" s="11" t="inlineStr">
        <is>
          <t>Euclid Transactional</t>
        </is>
      </c>
      <c r="G127" s="11" t="inlineStr">
        <is>
          <t>11237103</t>
        </is>
      </c>
      <c r="H127" s="12" t="inlineStr">
        <is>
          <t>Open</t>
        </is>
      </c>
      <c r="I127" s="12" t="inlineStr">
        <is>
          <t>Search</t>
        </is>
      </c>
      <c r="J127" s="11" t="inlineStr">
        <is>
          <t>Group</t>
        </is>
      </c>
      <c r="K127" s="13" t="n">
        <v>43165</v>
      </c>
      <c r="L127" s="11" t="inlineStr">
        <is>
          <t>41 Eastcheap, Eastcheap, London</t>
        </is>
      </c>
      <c r="M127" s="11" t="inlineStr">
        <is>
          <t>EC3M 1DT</t>
        </is>
      </c>
      <c r="N127" s="11" t="inlineStr">
        <is>
          <t>Yes</t>
        </is>
      </c>
      <c r="U127" s="11" t="inlineStr">
        <is>
          <t>Liverpool St - Attlee Centre</t>
        </is>
      </c>
      <c r="V127" s="11" t="n">
        <v>17</v>
      </c>
      <c r="W127" s="11" t="n"/>
      <c r="X127" s="11" t="inlineStr">
        <is>
          <t>Liverpool St - Attlee Centre</t>
        </is>
      </c>
      <c r="Y127" s="11" t="n">
        <v>17</v>
      </c>
      <c r="Z127" s="14">
        <f>IFERROR(INDEX(Venues!$E$2:$E$15,MATCH(X127,Venues!$A$2:$A$15,0)),"Not checked")</f>
        <v/>
      </c>
      <c r="AA127" s="14">
        <f>IFERROR(INDEX(Venues!$F$2:$F$15,MATCH(X127,Venues!$A$2:$A$15,0)),0)</f>
        <v/>
      </c>
      <c r="AB127" s="15">
        <f>IFERROR(INDEX(Venues!$M$2:$M$15,MATCH(X127,Venues!$A$2:$A$15,0)),"")</f>
        <v/>
      </c>
      <c r="AC127" s="14">
        <f>IFERROR(INDEX(Venues!$N$2:$N$15,MATCH(X127,Venues!$A$2:$A$15,0)),"5-a-side")</f>
        <v/>
      </c>
      <c r="AD127" s="16">
        <f>IF(Offer!$C$4="","",Offer!$C$4)</f>
        <v/>
      </c>
      <c r="AE127" s="14">
        <f>X127&amp;" ("&amp;Y127&amp;" min walk) · "&amp;IF(ISNUMBER(AB127),TEXT(AB127,"ddd d mmm, hh:mm"),"slot to confirm with venue")&amp;" · "&amp;AC127&amp;" · "&amp;IF(AD127&lt;&gt;"","£"&amp;TEXT(AD127,"0.00")&amp;" pp","price TBC")</f>
        <v/>
      </c>
      <c r="AF127" s="14">
        <f>"After-work football for "&amp;F127&amp;" · "&amp;X127&amp;", "&amp;Y127&amp;" min from your office"</f>
        <v/>
      </c>
      <c r="AG127" s="14">
        <f>"Hi"&amp;IF(O127&lt;&gt;""," "&amp;O127,"")&amp;","&amp;CHAR(10)&amp;CHAR(10)&amp;"I'm "&amp;IF(AL127&lt;&gt;"",AL127,IF(Offer!$C$5&lt;&gt;"",Offer!$C$5,"[NAME]"))&amp;" from FC Urban. We organise after-work football for teams in the City and Canary Wharf."&amp;CHAR(10)&amp;CHAR(10)&amp;"We have a "&amp;AC127&amp;" pitch at "&amp;X127&amp;", "&amp;IF(OR(Y127=8,Y127=11,Y127=18),"an ","a ")&amp;Y127&amp;"-minute walk from your "&amp;M127&amp;" office, "&amp;IF(ISNUMBER(AB127),"on "&amp;TEXT(AB127,"dddd d mmmm")&amp;" at "&amp;TEXT(AB127,"hh:mm"),"on a weekday evening that suits your team")&amp;". It's "&amp;IF(AD127&lt;&gt;"","£"&amp;IF(AD127=INT(AD127),TEXT(AD127,"0"),TEXT(AD127,"0.00")),"[PRICE PER PLAYER]")&amp;" a player and we handle the pitch booking, sign-ups and payments, so all it takes is one person sharing a link with the team."&amp;CHAR(10)&amp;CHAR(10)&amp;"It works well as a team social or "&amp;IF(ISNUMBER(SEARCH(LEFT(F127,1),"AEIOU")),"an ","a ")&amp;F127&amp;"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LINK]")&amp;CHAR(10)&amp;CHAR(10)&amp;"Best,"&amp;CHAR(10)&amp;IF(AL127&lt;&gt;"",AL127,IF(Offer!$C$5&lt;&gt;"",Offer!$C$5,"[NAME]"))&amp;CHAR(10)&amp;"FC Urban"</f>
        <v/>
      </c>
      <c r="AH127" s="14">
        <f>IF(LEN("Hi"&amp;IF(O127&lt;&gt;""," "&amp;O127,"")&amp;","&amp;" FC Urban runs after-work football for "&amp;IF(D127="Canary Wharf","Canary Wharf","City")&amp;" teams. We have a "&amp;AC127&amp;" pitch at "&amp;X127&amp;", "&amp;Y127&amp;" min from your office, "&amp;IF(ISNUMBER(AB127),TEXT(AB127,"ddd d mmm")&amp;", "&amp;TEXT(AB127,"hh:mm"),"weekday evenings")&amp;", "&amp;IF(AD127&lt;&gt;"","£"&amp;IF(AD127=INT(AD127),TEXT(AD127,"0"),TEXT(AD127,"0.00")),"[PRICE PER PLAYER]")&amp;" a player. We handle booking, sign-ups and payments. Fancy "&amp;IF(ISNUMBER(SEARCH(LEFT(F127,1),"AEIOU")),"an ","a ")&amp;F127&amp;" team game? "&amp;IF(AL127&lt;&gt;"",AL127,IF(Offer!$C$5&lt;&gt;"",Offer!$C$5,"[NAME]")))&lt;=300,"Hi"&amp;IF(O127&lt;&gt;""," "&amp;O127,"")&amp;","&amp;" FC Urban runs after-work football for "&amp;IF(D127="Canary Wharf","Canary Wharf","City")&amp;" teams. We have a "&amp;AC127&amp;" pitch at "&amp;X127&amp;", "&amp;Y127&amp;" min from your office, "&amp;IF(ISNUMBER(AB127),TEXT(AB127,"ddd d mmm")&amp;", "&amp;TEXT(AB127,"hh:mm"),"weekday evenings")&amp;", "&amp;IF(AD127&lt;&gt;"","£"&amp;IF(AD127=INT(AD127),TEXT(AD127,"0"),TEXT(AD127,"0.00")),"[PRICE PER PLAYER]")&amp;" a player. We handle booking, sign-ups and payments. Fancy "&amp;IF(ISNUMBER(SEARCH(LEFT(F127,1),"AEIOU")),"an ","a ")&amp;F127&amp;" team game? "&amp;IF(AL127&lt;&gt;"",AL127,IF(Offer!$C$5&lt;&gt;"",Offer!$C$5,"[NAME]")),LEFT("Hi"&amp;IF(O127&lt;&gt;""," "&amp;O127,"")&amp;","&amp;" FC Urban runs after-work football for "&amp;IF(D127="Canary Wharf","Canary Wharf","City")&amp;" teams: "&amp;AC127&amp;" at "&amp;X127&amp;", "&amp;Y127&amp;" min from your office, "&amp;IF(ISNUMBER(AB127),TEXT(AB127,"ddd d mmm")&amp;", "&amp;TEXT(AB127,"hh:mm"),"weekday evenings")&amp;", "&amp;IF(AD127&lt;&gt;"","£"&amp;IF(AD127=INT(AD127),TEXT(AD127,"0"),TEXT(AD127,"0.00")),"[PRICE PER PLAYER]")&amp;" pp. We handle booking and payments. Up for a team game? "&amp;IF(AL127&lt;&gt;"",AL127,IF(Offer!$C$5&lt;&gt;"",Offer!$C$5,"[NAME]")),300))</f>
        <v/>
      </c>
      <c r="AI127" s="14">
        <f>LEN(AH127)</f>
        <v/>
      </c>
      <c r="AJ127" s="14">
        <f>"Thanks for connecting"&amp;IF(O127&lt;&gt;"",", "&amp;O127,"")&amp;". "&amp;IF(ISNUMBER(AB127),"The "&amp;AC127&amp;" slot at "&amp;X127&amp;" is "&amp;IF(ISNUMBER(AB127),TEXT(AB127,"ddd d mmm")&amp;", "&amp;TEXT(AB127,"hh:mm"),"weekday evenings"),"We can book "&amp;AC127&amp;" at "&amp;X127&amp;" on a weekday evening that suits you")&amp;" and it's "&amp;IF(AD127&lt;&gt;"","£"&amp;IF(AD127=INT(AD127),TEXT(AD127,"0"),TEXT(AD127,"0.00")),"[PRICE PER PLAYER]")&amp;" a player, all booked and paid through one link. If football isn't your thing, who at "&amp;F127&amp;" would be the right person to organise a team game?"&amp;IF(Offer!$C$7&lt;&gt;""," Spots are held until "&amp;TEXT(Offer!$C$7,"dddd d mmmm")&amp;".","")&amp;" "&amp;IF(Offer!$C$6&lt;&gt;"",Offer!$C$6,"[JOINING LINK]")</f>
        <v/>
      </c>
      <c r="AK127" s="14">
        <f>IF(OR(ISNUMBER(SEARCH("[",AG127)),ISNUMBER(SEARCH("[",AJ127))),"Fill placeholders",IF(ISNUMBER(AB127),"Ready to send","Ready · no fixed slot"))</f>
        <v/>
      </c>
      <c r="AN127" s="17" t="n"/>
    </row>
    <row r="128">
      <c r="A128" s="11" t="n">
        <v>126</v>
      </c>
      <c r="B128" s="11" t="n">
        <v>2</v>
      </c>
      <c r="C128" s="11" t="inlineStr">
        <is>
          <t>Fund / asset manager</t>
        </is>
      </c>
      <c r="D128" s="11" t="inlineStr">
        <is>
          <t>City of London</t>
        </is>
      </c>
      <c r="E128" s="11" t="inlineStr">
        <is>
          <t>SGM - Foreign Exchange Limited</t>
        </is>
      </c>
      <c r="F128" s="11" t="inlineStr">
        <is>
          <t>SGM - Foreign Exchange</t>
        </is>
      </c>
      <c r="G128" s="11" t="inlineStr">
        <is>
          <t>04529539</t>
        </is>
      </c>
      <c r="H128" s="12" t="inlineStr">
        <is>
          <t>Open</t>
        </is>
      </c>
      <c r="I128" s="12" t="inlineStr">
        <is>
          <t>Search</t>
        </is>
      </c>
      <c r="J128" s="11" t="inlineStr">
        <is>
          <t>Group</t>
        </is>
      </c>
      <c r="K128" s="13" t="n">
        <v>37508</v>
      </c>
      <c r="L128" s="11" t="inlineStr">
        <is>
          <t>41 Eastcheap, London</t>
        </is>
      </c>
      <c r="M128" s="11" t="inlineStr">
        <is>
          <t>EC3M 1DT</t>
        </is>
      </c>
      <c r="N128" s="11" t="inlineStr">
        <is>
          <t>Yes</t>
        </is>
      </c>
      <c r="U128" s="11" t="inlineStr">
        <is>
          <t>Liverpool St - Attlee Centre</t>
        </is>
      </c>
      <c r="V128" s="11" t="n">
        <v>17</v>
      </c>
      <c r="W128" s="11" t="n"/>
      <c r="X128" s="11" t="inlineStr">
        <is>
          <t>Liverpool St - Attlee Centre</t>
        </is>
      </c>
      <c r="Y128" s="11" t="n">
        <v>17</v>
      </c>
      <c r="Z128" s="14">
        <f>IFERROR(INDEX(Venues!$E$2:$E$15,MATCH(X128,Venues!$A$2:$A$15,0)),"Not checked")</f>
        <v/>
      </c>
      <c r="AA128" s="14">
        <f>IFERROR(INDEX(Venues!$F$2:$F$15,MATCH(X128,Venues!$A$2:$A$15,0)),0)</f>
        <v/>
      </c>
      <c r="AB128" s="15">
        <f>IFERROR(INDEX(Venues!$M$2:$M$15,MATCH(X128,Venues!$A$2:$A$15,0)),"")</f>
        <v/>
      </c>
      <c r="AC128" s="14">
        <f>IFERROR(INDEX(Venues!$N$2:$N$15,MATCH(X128,Venues!$A$2:$A$15,0)),"5-a-side")</f>
        <v/>
      </c>
      <c r="AD128" s="16">
        <f>IF(Offer!$C$4="","",Offer!$C$4)</f>
        <v/>
      </c>
      <c r="AE128" s="14">
        <f>X128&amp;" ("&amp;Y128&amp;" min walk) · "&amp;IF(ISNUMBER(AB128),TEXT(AB128,"ddd d mmm, hh:mm"),"slot to confirm with venue")&amp;" · "&amp;AC128&amp;" · "&amp;IF(AD128&lt;&gt;"","£"&amp;TEXT(AD128,"0.00")&amp;" pp","price TBC")</f>
        <v/>
      </c>
      <c r="AF128" s="14">
        <f>"After-work football for "&amp;F128&amp;" · "&amp;X128&amp;", "&amp;Y128&amp;" min from your office"</f>
        <v/>
      </c>
      <c r="AG128" s="14">
        <f>"Hi"&amp;IF(O128&lt;&gt;""," "&amp;O128,"")&amp;","&amp;CHAR(10)&amp;CHAR(10)&amp;"I'm "&amp;IF(AL128&lt;&gt;"",AL128,IF(Offer!$C$5&lt;&gt;"",Offer!$C$5,"[NAME]"))&amp;" from FC Urban. We organise after-work football for teams in the City and Canary Wharf."&amp;CHAR(10)&amp;CHAR(10)&amp;"We have a "&amp;AC128&amp;" pitch at "&amp;X128&amp;", "&amp;IF(OR(Y128=8,Y128=11,Y128=18),"an ","a ")&amp;Y128&amp;"-minute walk from your "&amp;M128&amp;" office, "&amp;IF(ISNUMBER(AB128),"on "&amp;TEXT(AB128,"dddd d mmmm")&amp;" at "&amp;TEXT(AB128,"hh:mm"),"on a weekday evening that suits your team")&amp;". It's "&amp;IF(AD128&lt;&gt;"","£"&amp;IF(AD128=INT(AD128),TEXT(AD128,"0"),TEXT(AD128,"0.00")),"[PRICE PER PLAYER]")&amp;" a player and we handle the pitch booking, sign-ups and payments, so all it takes is one person sharing a link with the team."&amp;CHAR(10)&amp;CHAR(10)&amp;"It works well as a team social or "&amp;IF(ISNUMBER(SEARCH(LEFT(F128,1),"AEIOU")),"an ","a ")&amp;F128&amp;"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LINK]")&amp;CHAR(10)&amp;CHAR(10)&amp;"Best,"&amp;CHAR(10)&amp;IF(AL128&lt;&gt;"",AL128,IF(Offer!$C$5&lt;&gt;"",Offer!$C$5,"[NAME]"))&amp;CHAR(10)&amp;"FC Urban"</f>
        <v/>
      </c>
      <c r="AH128" s="14">
        <f>IF(LEN("Hi"&amp;IF(O128&lt;&gt;""," "&amp;O128,"")&amp;","&amp;" FC Urban runs after-work football for "&amp;IF(D128="Canary Wharf","Canary Wharf","City")&amp;" teams. We have a "&amp;AC128&amp;" pitch at "&amp;X128&amp;", "&amp;Y128&amp;" min from your office, "&amp;IF(ISNUMBER(AB128),TEXT(AB128,"ddd d mmm")&amp;", "&amp;TEXT(AB128,"hh:mm"),"weekday evenings")&amp;", "&amp;IF(AD128&lt;&gt;"","£"&amp;IF(AD128=INT(AD128),TEXT(AD128,"0"),TEXT(AD128,"0.00")),"[PRICE PER PLAYER]")&amp;" a player. We handle booking, sign-ups and payments. Fancy "&amp;IF(ISNUMBER(SEARCH(LEFT(F128,1),"AEIOU")),"an ","a ")&amp;F128&amp;" team game? "&amp;IF(AL128&lt;&gt;"",AL128,IF(Offer!$C$5&lt;&gt;"",Offer!$C$5,"[NAME]")))&lt;=300,"Hi"&amp;IF(O128&lt;&gt;""," "&amp;O128,"")&amp;","&amp;" FC Urban runs after-work football for "&amp;IF(D128="Canary Wharf","Canary Wharf","City")&amp;" teams. We have a "&amp;AC128&amp;" pitch at "&amp;X128&amp;", "&amp;Y128&amp;" min from your office, "&amp;IF(ISNUMBER(AB128),TEXT(AB128,"ddd d mmm")&amp;", "&amp;TEXT(AB128,"hh:mm"),"weekday evenings")&amp;", "&amp;IF(AD128&lt;&gt;"","£"&amp;IF(AD128=INT(AD128),TEXT(AD128,"0"),TEXT(AD128,"0.00")),"[PRICE PER PLAYER]")&amp;" a player. We handle booking, sign-ups and payments. Fancy "&amp;IF(ISNUMBER(SEARCH(LEFT(F128,1),"AEIOU")),"an ","a ")&amp;F128&amp;" team game? "&amp;IF(AL128&lt;&gt;"",AL128,IF(Offer!$C$5&lt;&gt;"",Offer!$C$5,"[NAME]")),LEFT("Hi"&amp;IF(O128&lt;&gt;""," "&amp;O128,"")&amp;","&amp;" FC Urban runs after-work football for "&amp;IF(D128="Canary Wharf","Canary Wharf","City")&amp;" teams: "&amp;AC128&amp;" at "&amp;X128&amp;", "&amp;Y128&amp;" min from your office, "&amp;IF(ISNUMBER(AB128),TEXT(AB128,"ddd d mmm")&amp;", "&amp;TEXT(AB128,"hh:mm"),"weekday evenings")&amp;", "&amp;IF(AD128&lt;&gt;"","£"&amp;IF(AD128=INT(AD128),TEXT(AD128,"0"),TEXT(AD128,"0.00")),"[PRICE PER PLAYER]")&amp;" pp. We handle booking and payments. Up for a team game? "&amp;IF(AL128&lt;&gt;"",AL128,IF(Offer!$C$5&lt;&gt;"",Offer!$C$5,"[NAME]")),300))</f>
        <v/>
      </c>
      <c r="AI128" s="14">
        <f>LEN(AH128)</f>
        <v/>
      </c>
      <c r="AJ128" s="14">
        <f>"Thanks for connecting"&amp;IF(O128&lt;&gt;"",", "&amp;O128,"")&amp;". "&amp;IF(ISNUMBER(AB128),"The "&amp;AC128&amp;" slot at "&amp;X128&amp;" is "&amp;IF(ISNUMBER(AB128),TEXT(AB128,"ddd d mmm")&amp;", "&amp;TEXT(AB128,"hh:mm"),"weekday evenings"),"We can book "&amp;AC128&amp;" at "&amp;X128&amp;" on a weekday evening that suits you")&amp;" and it's "&amp;IF(AD128&lt;&gt;"","£"&amp;IF(AD128=INT(AD128),TEXT(AD128,"0"),TEXT(AD128,"0.00")),"[PRICE PER PLAYER]")&amp;" a player, all booked and paid through one link. If football isn't your thing, who at "&amp;F128&amp;" would be the right person to organise a team game?"&amp;IF(Offer!$C$7&lt;&gt;""," Spots are held until "&amp;TEXT(Offer!$C$7,"dddd d mmmm")&amp;".","")&amp;" "&amp;IF(Offer!$C$6&lt;&gt;"",Offer!$C$6,"[JOINING LINK]")</f>
        <v/>
      </c>
      <c r="AK128" s="14">
        <f>IF(OR(ISNUMBER(SEARCH("[",AG128)),ISNUMBER(SEARCH("[",AJ128))),"Fill placeholders",IF(ISNUMBER(AB128),"Ready to send","Ready · no fixed slot"))</f>
        <v/>
      </c>
      <c r="AN128" s="17" t="n"/>
    </row>
    <row r="129">
      <c r="A129" s="11" t="n">
        <v>127</v>
      </c>
      <c r="B129" s="11" t="n">
        <v>2</v>
      </c>
      <c r="C129" s="11" t="inlineStr">
        <is>
          <t>Insurance / broker</t>
        </is>
      </c>
      <c r="D129" s="11" t="inlineStr">
        <is>
          <t>City of London</t>
        </is>
      </c>
      <c r="E129" s="11" t="inlineStr">
        <is>
          <t>Global Aerospace Underwriting Managers Limited</t>
        </is>
      </c>
      <c r="F129" s="11" t="inlineStr">
        <is>
          <t>Global Aerospace Underwriting Managers</t>
        </is>
      </c>
      <c r="G129" s="11" t="inlineStr">
        <is>
          <t>02512067</t>
        </is>
      </c>
      <c r="H129" s="12" t="inlineStr">
        <is>
          <t>Open</t>
        </is>
      </c>
      <c r="I129" s="12" t="inlineStr">
        <is>
          <t>Search</t>
        </is>
      </c>
      <c r="J129" s="11" t="inlineStr">
        <is>
          <t>Group</t>
        </is>
      </c>
      <c r="K129" s="13" t="n">
        <v>33038</v>
      </c>
      <c r="L129" s="11" t="inlineStr">
        <is>
          <t>Fitzwilliam House, 10 St Mary Axe, London</t>
        </is>
      </c>
      <c r="M129" s="11" t="inlineStr">
        <is>
          <t>EC3A 8EQ</t>
        </is>
      </c>
      <c r="N129" s="11" t="inlineStr">
        <is>
          <t>Yes</t>
        </is>
      </c>
      <c r="U129" s="11" t="inlineStr">
        <is>
          <t>Liverpool St - Attlee Centre</t>
        </is>
      </c>
      <c r="V129" s="11" t="n">
        <v>11</v>
      </c>
      <c r="W129" s="11" t="inlineStr">
        <is>
          <t>Shoreditch Powerleague (17.5)</t>
        </is>
      </c>
      <c r="X129" s="11" t="inlineStr">
        <is>
          <t>Shoreditch Powerleague</t>
        </is>
      </c>
      <c r="Y129" s="11" t="n">
        <v>18</v>
      </c>
      <c r="Z129" s="14">
        <f>IFERROR(INDEX(Venues!$E$2:$E$15,MATCH(X129,Venues!$A$2:$A$15,0)),"Not checked")</f>
        <v/>
      </c>
      <c r="AA129" s="14">
        <f>IFERROR(INDEX(Venues!$F$2:$F$15,MATCH(X129,Venues!$A$2:$A$15,0)),0)</f>
        <v/>
      </c>
      <c r="AB129" s="15">
        <f>IFERROR(INDEX(Venues!$M$2:$M$15,MATCH(X129,Venues!$A$2:$A$15,0)),"")</f>
        <v/>
      </c>
      <c r="AC129" s="14">
        <f>IFERROR(INDEX(Venues!$N$2:$N$15,MATCH(X129,Venues!$A$2:$A$15,0)),"5-a-side")</f>
        <v/>
      </c>
      <c r="AD129" s="16">
        <f>IF(Offer!$C$4="","",Offer!$C$4)</f>
        <v/>
      </c>
      <c r="AE129" s="14">
        <f>X129&amp;" ("&amp;Y129&amp;" min walk) · "&amp;IF(ISNUMBER(AB129),TEXT(AB129,"ddd d mmm, hh:mm"),"slot to confirm with venue")&amp;" · "&amp;AC129&amp;" · "&amp;IF(AD129&lt;&gt;"","£"&amp;TEXT(AD129,"0.00")&amp;" pp","price TBC")</f>
        <v/>
      </c>
      <c r="AF129" s="14">
        <f>"After-work football for "&amp;F129&amp;" · "&amp;X129&amp;", "&amp;Y129&amp;" min from your office"</f>
        <v/>
      </c>
      <c r="AG129" s="14">
        <f>"Hi"&amp;IF(O129&lt;&gt;""," "&amp;O129,"")&amp;","&amp;CHAR(10)&amp;CHAR(10)&amp;"I'm "&amp;IF(AL129&lt;&gt;"",AL129,IF(Offer!$C$5&lt;&gt;"",Offer!$C$5,"[NAME]"))&amp;" from FC Urban. We organise after-work football for teams in the City and Canary Wharf."&amp;CHAR(10)&amp;CHAR(10)&amp;"We have a "&amp;AC129&amp;" pitch at "&amp;X129&amp;", "&amp;IF(OR(Y129=8,Y129=11,Y129=18),"an ","a ")&amp;Y129&amp;"-minute walk from your "&amp;M129&amp;" office, "&amp;IF(ISNUMBER(AB129),"on "&amp;TEXT(AB129,"dddd d mmmm")&amp;" at "&amp;TEXT(AB129,"hh:mm"),"on a weekday evening that suits your team")&amp;". It's "&amp;IF(AD129&lt;&gt;"","£"&amp;IF(AD129=INT(AD129),TEXT(AD129,"0"),TEXT(AD129,"0.00")),"[PRICE PER PLAYER]")&amp;" a player and we handle the pitch booking, sign-ups and payments, so all it takes is one person sharing a link with the team."&amp;CHAR(10)&amp;CHAR(10)&amp;"It works well as a team social or "&amp;IF(ISNUMBER(SEARCH(LEFT(F129,1),"AEIOU")),"an ","a ")&amp;F129&amp;"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LINK]")&amp;CHAR(10)&amp;CHAR(10)&amp;"Best,"&amp;CHAR(10)&amp;IF(AL129&lt;&gt;"",AL129,IF(Offer!$C$5&lt;&gt;"",Offer!$C$5,"[NAME]"))&amp;CHAR(10)&amp;"FC Urban"</f>
        <v/>
      </c>
      <c r="AH129" s="14">
        <f>IF(LEN("Hi"&amp;IF(O129&lt;&gt;""," "&amp;O129,"")&amp;","&amp;" FC Urban runs after-work football for "&amp;IF(D129="Canary Wharf","Canary Wharf","City")&amp;" teams. We have a "&amp;AC129&amp;" pitch at "&amp;X129&amp;", "&amp;Y129&amp;" min from your office, "&amp;IF(ISNUMBER(AB129),TEXT(AB129,"ddd d mmm")&amp;", "&amp;TEXT(AB129,"hh:mm"),"weekday evenings")&amp;", "&amp;IF(AD129&lt;&gt;"","£"&amp;IF(AD129=INT(AD129),TEXT(AD129,"0"),TEXT(AD129,"0.00")),"[PRICE PER PLAYER]")&amp;" a player. We handle booking, sign-ups and payments. Fancy "&amp;IF(ISNUMBER(SEARCH(LEFT(F129,1),"AEIOU")),"an ","a ")&amp;F129&amp;" team game? "&amp;IF(AL129&lt;&gt;"",AL129,IF(Offer!$C$5&lt;&gt;"",Offer!$C$5,"[NAME]")))&lt;=300,"Hi"&amp;IF(O129&lt;&gt;""," "&amp;O129,"")&amp;","&amp;" FC Urban runs after-work football for "&amp;IF(D129="Canary Wharf","Canary Wharf","City")&amp;" teams. We have a "&amp;AC129&amp;" pitch at "&amp;X129&amp;", "&amp;Y129&amp;" min from your office, "&amp;IF(ISNUMBER(AB129),TEXT(AB129,"ddd d mmm")&amp;", "&amp;TEXT(AB129,"hh:mm"),"weekday evenings")&amp;", "&amp;IF(AD129&lt;&gt;"","£"&amp;IF(AD129=INT(AD129),TEXT(AD129,"0"),TEXT(AD129,"0.00")),"[PRICE PER PLAYER]")&amp;" a player. We handle booking, sign-ups and payments. Fancy "&amp;IF(ISNUMBER(SEARCH(LEFT(F129,1),"AEIOU")),"an ","a ")&amp;F129&amp;" team game? "&amp;IF(AL129&lt;&gt;"",AL129,IF(Offer!$C$5&lt;&gt;"",Offer!$C$5,"[NAME]")),LEFT("Hi"&amp;IF(O129&lt;&gt;""," "&amp;O129,"")&amp;","&amp;" FC Urban runs after-work football for "&amp;IF(D129="Canary Wharf","Canary Wharf","City")&amp;" teams: "&amp;AC129&amp;" at "&amp;X129&amp;", "&amp;Y129&amp;" min from your office, "&amp;IF(ISNUMBER(AB129),TEXT(AB129,"ddd d mmm")&amp;", "&amp;TEXT(AB129,"hh:mm"),"weekday evenings")&amp;", "&amp;IF(AD129&lt;&gt;"","£"&amp;IF(AD129=INT(AD129),TEXT(AD129,"0"),TEXT(AD129,"0.00")),"[PRICE PER PLAYER]")&amp;" pp. We handle booking and payments. Up for a team game? "&amp;IF(AL129&lt;&gt;"",AL129,IF(Offer!$C$5&lt;&gt;"",Offer!$C$5,"[NAME]")),300))</f>
        <v/>
      </c>
      <c r="AI129" s="14">
        <f>LEN(AH129)</f>
        <v/>
      </c>
      <c r="AJ129" s="14">
        <f>"Thanks for connecting"&amp;IF(O129&lt;&gt;"",", "&amp;O129,"")&amp;". "&amp;IF(ISNUMBER(AB129),"The "&amp;AC129&amp;" slot at "&amp;X129&amp;" is "&amp;IF(ISNUMBER(AB129),TEXT(AB129,"ddd d mmm")&amp;", "&amp;TEXT(AB129,"hh:mm"),"weekday evenings"),"We can book "&amp;AC129&amp;" at "&amp;X129&amp;" on a weekday evening that suits you")&amp;" and it's "&amp;IF(AD129&lt;&gt;"","£"&amp;IF(AD129=INT(AD129),TEXT(AD129,"0"),TEXT(AD129,"0.00")),"[PRICE PER PLAYER]")&amp;" a player, all booked and paid through one link. If football isn't your thing, who at "&amp;F129&amp;" would be the right person to organise a team game?"&amp;IF(Offer!$C$7&lt;&gt;""," Spots are held until "&amp;TEXT(Offer!$C$7,"dddd d mmmm")&amp;".","")&amp;" "&amp;IF(Offer!$C$6&lt;&gt;"",Offer!$C$6,"[JOINING LINK]")</f>
        <v/>
      </c>
      <c r="AK129" s="14">
        <f>IF(OR(ISNUMBER(SEARCH("[",AG129)),ISNUMBER(SEARCH("[",AJ129))),"Fill placeholders",IF(ISNUMBER(AB129),"Ready to send","Ready · no fixed slot"))</f>
        <v/>
      </c>
      <c r="AN129" s="17" t="n"/>
    </row>
    <row r="130">
      <c r="A130" s="11" t="n">
        <v>128</v>
      </c>
      <c r="B130" s="11" t="n">
        <v>2</v>
      </c>
      <c r="C130" s="11" t="inlineStr">
        <is>
          <t>Fund / asset manager</t>
        </is>
      </c>
      <c r="D130" s="11" t="inlineStr">
        <is>
          <t>City of London</t>
        </is>
      </c>
      <c r="E130" s="11" t="inlineStr">
        <is>
          <t>Polen Capital UK LLP</t>
        </is>
      </c>
      <c r="F130" s="11" t="inlineStr">
        <is>
          <t>Polen Capital</t>
        </is>
      </c>
      <c r="G130" s="11" t="inlineStr">
        <is>
          <t>OC428634</t>
        </is>
      </c>
      <c r="H130" s="12" t="inlineStr">
        <is>
          <t>Open</t>
        </is>
      </c>
      <c r="I130" s="12" t="inlineStr">
        <is>
          <t>Search</t>
        </is>
      </c>
      <c r="J130" s="11" t="inlineStr">
        <is>
          <t>Group</t>
        </is>
      </c>
      <c r="K130" s="13" t="n">
        <v>43705</v>
      </c>
      <c r="L130" s="11" t="inlineStr">
        <is>
          <t>First Floor Offices, 15 Austin Friars, London</t>
        </is>
      </c>
      <c r="M130" s="11" t="inlineStr">
        <is>
          <t>EC2N 2HE</t>
        </is>
      </c>
      <c r="N130" s="11" t="inlineStr">
        <is>
          <t>Yes</t>
        </is>
      </c>
      <c r="U130" s="11" t="inlineStr">
        <is>
          <t>Liverpool St - Attlee Centre</t>
        </is>
      </c>
      <c r="V130" s="11" t="n">
        <v>15</v>
      </c>
      <c r="W130" s="11" t="inlineStr">
        <is>
          <t>Shoreditch Powerleague (17.5)</t>
        </is>
      </c>
      <c r="X130" s="11" t="inlineStr">
        <is>
          <t>Shoreditch Powerleague</t>
        </is>
      </c>
      <c r="Y130" s="11" t="n">
        <v>18</v>
      </c>
      <c r="Z130" s="14">
        <f>IFERROR(INDEX(Venues!$E$2:$E$15,MATCH(X130,Venues!$A$2:$A$15,0)),"Not checked")</f>
        <v/>
      </c>
      <c r="AA130" s="14">
        <f>IFERROR(INDEX(Venues!$F$2:$F$15,MATCH(X130,Venues!$A$2:$A$15,0)),0)</f>
        <v/>
      </c>
      <c r="AB130" s="15">
        <f>IFERROR(INDEX(Venues!$M$2:$M$15,MATCH(X130,Venues!$A$2:$A$15,0)),"")</f>
        <v/>
      </c>
      <c r="AC130" s="14">
        <f>IFERROR(INDEX(Venues!$N$2:$N$15,MATCH(X130,Venues!$A$2:$A$15,0)),"5-a-side")</f>
        <v/>
      </c>
      <c r="AD130" s="16">
        <f>IF(Offer!$C$4="","",Offer!$C$4)</f>
        <v/>
      </c>
      <c r="AE130" s="14">
        <f>X130&amp;" ("&amp;Y130&amp;" min walk) · "&amp;IF(ISNUMBER(AB130),TEXT(AB130,"ddd d mmm, hh:mm"),"slot to confirm with venue")&amp;" · "&amp;AC130&amp;" · "&amp;IF(AD130&lt;&gt;"","£"&amp;TEXT(AD130,"0.00")&amp;" pp","price TBC")</f>
        <v/>
      </c>
      <c r="AF130" s="14">
        <f>"After-work football for "&amp;F130&amp;" · "&amp;X130&amp;", "&amp;Y130&amp;" min from your office"</f>
        <v/>
      </c>
      <c r="AG130" s="14">
        <f>"Hi"&amp;IF(O130&lt;&gt;""," "&amp;O130,"")&amp;","&amp;CHAR(10)&amp;CHAR(10)&amp;"I'm "&amp;IF(AL130&lt;&gt;"",AL130,IF(Offer!$C$5&lt;&gt;"",Offer!$C$5,"[NAME]"))&amp;" from FC Urban. We organise after-work football for teams in the City and Canary Wharf."&amp;CHAR(10)&amp;CHAR(10)&amp;"We have a "&amp;AC130&amp;" pitch at "&amp;X130&amp;", "&amp;IF(OR(Y130=8,Y130=11,Y130=18),"an ","a ")&amp;Y130&amp;"-minute walk from your "&amp;M130&amp;" office, "&amp;IF(ISNUMBER(AB130),"on "&amp;TEXT(AB130,"dddd d mmmm")&amp;" at "&amp;TEXT(AB130,"hh:mm"),"on a weekday evening that suits your team")&amp;". It's "&amp;IF(AD130&lt;&gt;"","£"&amp;IF(AD130=INT(AD130),TEXT(AD130,"0"),TEXT(AD130,"0.00")),"[PRICE PER PLAYER]")&amp;" a player and we handle the pitch booking, sign-ups and payments, so all it takes is one person sharing a link with the team."&amp;CHAR(10)&amp;CHAR(10)&amp;"It works well as a team social or "&amp;IF(ISNUMBER(SEARCH(LEFT(F130,1),"AEIOU")),"an ","a ")&amp;F130&amp;"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LINK]")&amp;CHAR(10)&amp;CHAR(10)&amp;"Best,"&amp;CHAR(10)&amp;IF(AL130&lt;&gt;"",AL130,IF(Offer!$C$5&lt;&gt;"",Offer!$C$5,"[NAME]"))&amp;CHAR(10)&amp;"FC Urban"</f>
        <v/>
      </c>
      <c r="AH130" s="14">
        <f>IF(LEN("Hi"&amp;IF(O130&lt;&gt;""," "&amp;O130,"")&amp;","&amp;" FC Urban runs after-work football for "&amp;IF(D130="Canary Wharf","Canary Wharf","City")&amp;" teams. We have a "&amp;AC130&amp;" pitch at "&amp;X130&amp;", "&amp;Y130&amp;" min from your office, "&amp;IF(ISNUMBER(AB130),TEXT(AB130,"ddd d mmm")&amp;", "&amp;TEXT(AB130,"hh:mm"),"weekday evenings")&amp;", "&amp;IF(AD130&lt;&gt;"","£"&amp;IF(AD130=INT(AD130),TEXT(AD130,"0"),TEXT(AD130,"0.00")),"[PRICE PER PLAYER]")&amp;" a player. We handle booking, sign-ups and payments. Fancy "&amp;IF(ISNUMBER(SEARCH(LEFT(F130,1),"AEIOU")),"an ","a ")&amp;F130&amp;" team game? "&amp;IF(AL130&lt;&gt;"",AL130,IF(Offer!$C$5&lt;&gt;"",Offer!$C$5,"[NAME]")))&lt;=300,"Hi"&amp;IF(O130&lt;&gt;""," "&amp;O130,"")&amp;","&amp;" FC Urban runs after-work football for "&amp;IF(D130="Canary Wharf","Canary Wharf","City")&amp;" teams. We have a "&amp;AC130&amp;" pitch at "&amp;X130&amp;", "&amp;Y130&amp;" min from your office, "&amp;IF(ISNUMBER(AB130),TEXT(AB130,"ddd d mmm")&amp;", "&amp;TEXT(AB130,"hh:mm"),"weekday evenings")&amp;", "&amp;IF(AD130&lt;&gt;"","£"&amp;IF(AD130=INT(AD130),TEXT(AD130,"0"),TEXT(AD130,"0.00")),"[PRICE PER PLAYER]")&amp;" a player. We handle booking, sign-ups and payments. Fancy "&amp;IF(ISNUMBER(SEARCH(LEFT(F130,1),"AEIOU")),"an ","a ")&amp;F130&amp;" team game? "&amp;IF(AL130&lt;&gt;"",AL130,IF(Offer!$C$5&lt;&gt;"",Offer!$C$5,"[NAME]")),LEFT("Hi"&amp;IF(O130&lt;&gt;""," "&amp;O130,"")&amp;","&amp;" FC Urban runs after-work football for "&amp;IF(D130="Canary Wharf","Canary Wharf","City")&amp;" teams: "&amp;AC130&amp;" at "&amp;X130&amp;", "&amp;Y130&amp;" min from your office, "&amp;IF(ISNUMBER(AB130),TEXT(AB130,"ddd d mmm")&amp;", "&amp;TEXT(AB130,"hh:mm"),"weekday evenings")&amp;", "&amp;IF(AD130&lt;&gt;"","£"&amp;IF(AD130=INT(AD130),TEXT(AD130,"0"),TEXT(AD130,"0.00")),"[PRICE PER PLAYER]")&amp;" pp. We handle booking and payments. Up for a team game? "&amp;IF(AL130&lt;&gt;"",AL130,IF(Offer!$C$5&lt;&gt;"",Offer!$C$5,"[NAME]")),300))</f>
        <v/>
      </c>
      <c r="AI130" s="14">
        <f>LEN(AH130)</f>
        <v/>
      </c>
      <c r="AJ130" s="14">
        <f>"Thanks for connecting"&amp;IF(O130&lt;&gt;"",", "&amp;O130,"")&amp;". "&amp;IF(ISNUMBER(AB130),"The "&amp;AC130&amp;" slot at "&amp;X130&amp;" is "&amp;IF(ISNUMBER(AB130),TEXT(AB130,"ddd d mmm")&amp;", "&amp;TEXT(AB130,"hh:mm"),"weekday evenings"),"We can book "&amp;AC130&amp;" at "&amp;X130&amp;" on a weekday evening that suits you")&amp;" and it's "&amp;IF(AD130&lt;&gt;"","£"&amp;IF(AD130=INT(AD130),TEXT(AD130,"0"),TEXT(AD130,"0.00")),"[PRICE PER PLAYER]")&amp;" a player, all booked and paid through one link. If football isn't your thing, who at "&amp;F130&amp;" would be the right person to organise a team game?"&amp;IF(Offer!$C$7&lt;&gt;""," Spots are held until "&amp;TEXT(Offer!$C$7,"dddd d mmmm")&amp;".","")&amp;" "&amp;IF(Offer!$C$6&lt;&gt;"",Offer!$C$6,"[JOINING LINK]")</f>
        <v/>
      </c>
      <c r="AK130" s="14">
        <f>IF(OR(ISNUMBER(SEARCH("[",AG130)),ISNUMBER(SEARCH("[",AJ130))),"Fill placeholders",IF(ISNUMBER(AB130),"Ready to send","Ready · no fixed slot"))</f>
        <v/>
      </c>
      <c r="AN130" s="17" t="n"/>
    </row>
    <row r="131">
      <c r="A131" s="11" t="n">
        <v>129</v>
      </c>
      <c r="B131" s="11" t="n">
        <v>2</v>
      </c>
      <c r="C131" s="11" t="inlineStr">
        <is>
          <t>Fund / asset manager</t>
        </is>
      </c>
      <c r="D131" s="11" t="inlineStr">
        <is>
          <t>City of London</t>
        </is>
      </c>
      <c r="E131" s="11" t="inlineStr">
        <is>
          <t>Arcus Infrastructure Partners LLP</t>
        </is>
      </c>
      <c r="F131" s="11" t="inlineStr">
        <is>
          <t>Arcus Infrastructure Partners</t>
        </is>
      </c>
      <c r="G131" s="11" t="inlineStr">
        <is>
          <t>OC343340</t>
        </is>
      </c>
      <c r="H131" s="12" t="inlineStr">
        <is>
          <t>Open</t>
        </is>
      </c>
      <c r="I131" s="12" t="inlineStr">
        <is>
          <t>Search</t>
        </is>
      </c>
      <c r="J131" s="11" t="inlineStr">
        <is>
          <t>Group</t>
        </is>
      </c>
      <c r="K131" s="13" t="n">
        <v>39857</v>
      </c>
      <c r="L131" s="11" t="inlineStr">
        <is>
          <t>101 Moorgate, London</t>
        </is>
      </c>
      <c r="M131" s="11" t="inlineStr">
        <is>
          <t>EC2M 6SA</t>
        </is>
      </c>
      <c r="N131" s="11" t="inlineStr">
        <is>
          <t>No</t>
        </is>
      </c>
      <c r="U131" s="11" t="inlineStr">
        <is>
          <t>Liverpool St - Attlee Centre</t>
        </is>
      </c>
      <c r="V131" s="11" t="n">
        <v>18</v>
      </c>
      <c r="W131" s="11" t="inlineStr">
        <is>
          <t>Shoreditch Powerleague (17.8)</t>
        </is>
      </c>
      <c r="X131" s="11" t="inlineStr">
        <is>
          <t>Shoreditch Powerleague</t>
        </is>
      </c>
      <c r="Y131" s="11" t="n">
        <v>18</v>
      </c>
      <c r="Z131" s="14">
        <f>IFERROR(INDEX(Venues!$E$2:$E$15,MATCH(X131,Venues!$A$2:$A$15,0)),"Not checked")</f>
        <v/>
      </c>
      <c r="AA131" s="14">
        <f>IFERROR(INDEX(Venues!$F$2:$F$15,MATCH(X131,Venues!$A$2:$A$15,0)),0)</f>
        <v/>
      </c>
      <c r="AB131" s="15">
        <f>IFERROR(INDEX(Venues!$M$2:$M$15,MATCH(X131,Venues!$A$2:$A$15,0)),"")</f>
        <v/>
      </c>
      <c r="AC131" s="14">
        <f>IFERROR(INDEX(Venues!$N$2:$N$15,MATCH(X131,Venues!$A$2:$A$15,0)),"5-a-side")</f>
        <v/>
      </c>
      <c r="AD131" s="16">
        <f>IF(Offer!$C$4="","",Offer!$C$4)</f>
        <v/>
      </c>
      <c r="AE131" s="14">
        <f>X131&amp;" ("&amp;Y131&amp;" min walk) · "&amp;IF(ISNUMBER(AB131),TEXT(AB131,"ddd d mmm, hh:mm"),"slot to confirm with venue")&amp;" · "&amp;AC131&amp;" · "&amp;IF(AD131&lt;&gt;"","£"&amp;TEXT(AD131,"0.00")&amp;" pp","price TBC")</f>
        <v/>
      </c>
      <c r="AF131" s="14">
        <f>"After-work football for "&amp;F131&amp;" · "&amp;X131&amp;", "&amp;Y131&amp;" min from your office"</f>
        <v/>
      </c>
      <c r="AG131" s="14">
        <f>"Hi"&amp;IF(O131&lt;&gt;""," "&amp;O131,"")&amp;","&amp;CHAR(10)&amp;CHAR(10)&amp;"I'm "&amp;IF(AL131&lt;&gt;"",AL131,IF(Offer!$C$5&lt;&gt;"",Offer!$C$5,"[NAME]"))&amp;" from FC Urban. We organise after-work football for teams in the City and Canary Wharf."&amp;CHAR(10)&amp;CHAR(10)&amp;"We have a "&amp;AC131&amp;" pitch at "&amp;X131&amp;", "&amp;IF(OR(Y131=8,Y131=11,Y131=18),"an ","a ")&amp;Y131&amp;"-minute walk from your "&amp;M131&amp;" office, "&amp;IF(ISNUMBER(AB131),"on "&amp;TEXT(AB131,"dddd d mmmm")&amp;" at "&amp;TEXT(AB131,"hh:mm"),"on a weekday evening that suits your team")&amp;". It's "&amp;IF(AD131&lt;&gt;"","£"&amp;IF(AD131=INT(AD131),TEXT(AD131,"0"),TEXT(AD131,"0.00")),"[PRICE PER PLAYER]")&amp;" a player and we handle the pitch booking, sign-ups and payments, so all it takes is one person sharing a link with the team."&amp;CHAR(10)&amp;CHAR(10)&amp;"It works well as a team social or "&amp;IF(ISNUMBER(SEARCH(LEFT(F131,1),"AEIOU")),"an ","a ")&amp;F131&amp;"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LINK]")&amp;CHAR(10)&amp;CHAR(10)&amp;"Best,"&amp;CHAR(10)&amp;IF(AL131&lt;&gt;"",AL131,IF(Offer!$C$5&lt;&gt;"",Offer!$C$5,"[NAME]"))&amp;CHAR(10)&amp;"FC Urban"</f>
        <v/>
      </c>
      <c r="AH131" s="14">
        <f>IF(LEN("Hi"&amp;IF(O131&lt;&gt;""," "&amp;O131,"")&amp;","&amp;" FC Urban runs after-work football for "&amp;IF(D131="Canary Wharf","Canary Wharf","City")&amp;" teams. We have a "&amp;AC131&amp;" pitch at "&amp;X131&amp;", "&amp;Y131&amp;" min from your office, "&amp;IF(ISNUMBER(AB131),TEXT(AB131,"ddd d mmm")&amp;", "&amp;TEXT(AB131,"hh:mm"),"weekday evenings")&amp;", "&amp;IF(AD131&lt;&gt;"","£"&amp;IF(AD131=INT(AD131),TEXT(AD131,"0"),TEXT(AD131,"0.00")),"[PRICE PER PLAYER]")&amp;" a player. We handle booking, sign-ups and payments. Fancy "&amp;IF(ISNUMBER(SEARCH(LEFT(F131,1),"AEIOU")),"an ","a ")&amp;F131&amp;" team game? "&amp;IF(AL131&lt;&gt;"",AL131,IF(Offer!$C$5&lt;&gt;"",Offer!$C$5,"[NAME]")))&lt;=300,"Hi"&amp;IF(O131&lt;&gt;""," "&amp;O131,"")&amp;","&amp;" FC Urban runs after-work football for "&amp;IF(D131="Canary Wharf","Canary Wharf","City")&amp;" teams. We have a "&amp;AC131&amp;" pitch at "&amp;X131&amp;", "&amp;Y131&amp;" min from your office, "&amp;IF(ISNUMBER(AB131),TEXT(AB131,"ddd d mmm")&amp;", "&amp;TEXT(AB131,"hh:mm"),"weekday evenings")&amp;", "&amp;IF(AD131&lt;&gt;"","£"&amp;IF(AD131=INT(AD131),TEXT(AD131,"0"),TEXT(AD131,"0.00")),"[PRICE PER PLAYER]")&amp;" a player. We handle booking, sign-ups and payments. Fancy "&amp;IF(ISNUMBER(SEARCH(LEFT(F131,1),"AEIOU")),"an ","a ")&amp;F131&amp;" team game? "&amp;IF(AL131&lt;&gt;"",AL131,IF(Offer!$C$5&lt;&gt;"",Offer!$C$5,"[NAME]")),LEFT("Hi"&amp;IF(O131&lt;&gt;""," "&amp;O131,"")&amp;","&amp;" FC Urban runs after-work football for "&amp;IF(D131="Canary Wharf","Canary Wharf","City")&amp;" teams: "&amp;AC131&amp;" at "&amp;X131&amp;", "&amp;Y131&amp;" min from your office, "&amp;IF(ISNUMBER(AB131),TEXT(AB131,"ddd d mmm")&amp;", "&amp;TEXT(AB131,"hh:mm"),"weekday evenings")&amp;", "&amp;IF(AD131&lt;&gt;"","£"&amp;IF(AD131=INT(AD131),TEXT(AD131,"0"),TEXT(AD131,"0.00")),"[PRICE PER PLAYER]")&amp;" pp. We handle booking and payments. Up for a team game? "&amp;IF(AL131&lt;&gt;"",AL131,IF(Offer!$C$5&lt;&gt;"",Offer!$C$5,"[NAME]")),300))</f>
        <v/>
      </c>
      <c r="AI131" s="14">
        <f>LEN(AH131)</f>
        <v/>
      </c>
      <c r="AJ131" s="14">
        <f>"Thanks for connecting"&amp;IF(O131&lt;&gt;"",", "&amp;O131,"")&amp;". "&amp;IF(ISNUMBER(AB131),"The "&amp;AC131&amp;" slot at "&amp;X131&amp;" is "&amp;IF(ISNUMBER(AB131),TEXT(AB131,"ddd d mmm")&amp;", "&amp;TEXT(AB131,"hh:mm"),"weekday evenings"),"We can book "&amp;AC131&amp;" at "&amp;X131&amp;" on a weekday evening that suits you")&amp;" and it's "&amp;IF(AD131&lt;&gt;"","£"&amp;IF(AD131=INT(AD131),TEXT(AD131,"0"),TEXT(AD131,"0.00")),"[PRICE PER PLAYER]")&amp;" a player, all booked and paid through one link. If football isn't your thing, who at "&amp;F131&amp;" would be the right person to organise a team game?"&amp;IF(Offer!$C$7&lt;&gt;""," Spots are held until "&amp;TEXT(Offer!$C$7,"dddd d mmmm")&amp;".","")&amp;" "&amp;IF(Offer!$C$6&lt;&gt;"",Offer!$C$6,"[JOINING LINK]")</f>
        <v/>
      </c>
      <c r="AK131" s="14">
        <f>IF(OR(ISNUMBER(SEARCH("[",AG131)),ISNUMBER(SEARCH("[",AJ131))),"Fill placeholders",IF(ISNUMBER(AB131),"Ready to send","Ready · no fixed slot"))</f>
        <v/>
      </c>
      <c r="AN131" s="17" t="n"/>
    </row>
    <row r="132">
      <c r="A132" s="11" t="n">
        <v>130</v>
      </c>
      <c r="B132" s="11" t="n">
        <v>2</v>
      </c>
      <c r="C132" s="11" t="inlineStr">
        <is>
          <t>Fund / asset manager</t>
        </is>
      </c>
      <c r="D132" s="11" t="inlineStr">
        <is>
          <t>City of London</t>
        </is>
      </c>
      <c r="E132" s="11" t="inlineStr">
        <is>
          <t>Primary Capital Partners LLP</t>
        </is>
      </c>
      <c r="F132" s="11" t="inlineStr">
        <is>
          <t>Primary Capital Partners</t>
        </is>
      </c>
      <c r="G132" s="11" t="inlineStr">
        <is>
          <t>OC390504</t>
        </is>
      </c>
      <c r="H132" s="12" t="inlineStr">
        <is>
          <t>Open</t>
        </is>
      </c>
      <c r="I132" s="12" t="inlineStr">
        <is>
          <t>Search</t>
        </is>
      </c>
      <c r="J132" s="11" t="inlineStr">
        <is>
          <t>Group</t>
        </is>
      </c>
      <c r="K132" s="13" t="n">
        <v>41660</v>
      </c>
      <c r="L132" s="11" t="inlineStr">
        <is>
          <t>Augustine House, 6A Austin Friars, London</t>
        </is>
      </c>
      <c r="M132" s="11" t="inlineStr">
        <is>
          <t>EC2N 2HA</t>
        </is>
      </c>
      <c r="N132" s="11" t="inlineStr">
        <is>
          <t>No</t>
        </is>
      </c>
      <c r="U132" s="11" t="inlineStr">
        <is>
          <t>Liverpool St - Attlee Centre</t>
        </is>
      </c>
      <c r="V132" s="11" t="n">
        <v>15</v>
      </c>
      <c r="W132" s="11" t="inlineStr">
        <is>
          <t>Shoreditch Powerleague (17.8)</t>
        </is>
      </c>
      <c r="X132" s="11" t="inlineStr">
        <is>
          <t>Shoreditch Powerleague</t>
        </is>
      </c>
      <c r="Y132" s="11" t="n">
        <v>18</v>
      </c>
      <c r="Z132" s="14">
        <f>IFERROR(INDEX(Venues!$E$2:$E$15,MATCH(X132,Venues!$A$2:$A$15,0)),"Not checked")</f>
        <v/>
      </c>
      <c r="AA132" s="14">
        <f>IFERROR(INDEX(Venues!$F$2:$F$15,MATCH(X132,Venues!$A$2:$A$15,0)),0)</f>
        <v/>
      </c>
      <c r="AB132" s="15">
        <f>IFERROR(INDEX(Venues!$M$2:$M$15,MATCH(X132,Venues!$A$2:$A$15,0)),"")</f>
        <v/>
      </c>
      <c r="AC132" s="14">
        <f>IFERROR(INDEX(Venues!$N$2:$N$15,MATCH(X132,Venues!$A$2:$A$15,0)),"5-a-side")</f>
        <v/>
      </c>
      <c r="AD132" s="16">
        <f>IF(Offer!$C$4="","",Offer!$C$4)</f>
        <v/>
      </c>
      <c r="AE132" s="14">
        <f>X132&amp;" ("&amp;Y132&amp;" min walk) · "&amp;IF(ISNUMBER(AB132),TEXT(AB132,"ddd d mmm, hh:mm"),"slot to confirm with venue")&amp;" · "&amp;AC132&amp;" · "&amp;IF(AD132&lt;&gt;"","£"&amp;TEXT(AD132,"0.00")&amp;" pp","price TBC")</f>
        <v/>
      </c>
      <c r="AF132" s="14">
        <f>"After-work football for "&amp;F132&amp;" · "&amp;X132&amp;", "&amp;Y132&amp;" min from your office"</f>
        <v/>
      </c>
      <c r="AG132" s="14">
        <f>"Hi"&amp;IF(O132&lt;&gt;""," "&amp;O132,"")&amp;","&amp;CHAR(10)&amp;CHAR(10)&amp;"I'm "&amp;IF(AL132&lt;&gt;"",AL132,IF(Offer!$C$5&lt;&gt;"",Offer!$C$5,"[NAME]"))&amp;" from FC Urban. We organise after-work football for teams in the City and Canary Wharf."&amp;CHAR(10)&amp;CHAR(10)&amp;"We have a "&amp;AC132&amp;" pitch at "&amp;X132&amp;", "&amp;IF(OR(Y132=8,Y132=11,Y132=18),"an ","a ")&amp;Y132&amp;"-minute walk from your "&amp;M132&amp;" office, "&amp;IF(ISNUMBER(AB132),"on "&amp;TEXT(AB132,"dddd d mmmm")&amp;" at "&amp;TEXT(AB132,"hh:mm"),"on a weekday evening that suits your team")&amp;". It's "&amp;IF(AD132&lt;&gt;"","£"&amp;IF(AD132=INT(AD132),TEXT(AD132,"0"),TEXT(AD132,"0.00")),"[PRICE PER PLAYER]")&amp;" a player and we handle the pitch booking, sign-ups and payments, so all it takes is one person sharing a link with the team."&amp;CHAR(10)&amp;CHAR(10)&amp;"It works well as a team social or "&amp;IF(ISNUMBER(SEARCH(LEFT(F132,1),"AEIOU")),"an ","a ")&amp;F132&amp;"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LINK]")&amp;CHAR(10)&amp;CHAR(10)&amp;"Best,"&amp;CHAR(10)&amp;IF(AL132&lt;&gt;"",AL132,IF(Offer!$C$5&lt;&gt;"",Offer!$C$5,"[NAME]"))&amp;CHAR(10)&amp;"FC Urban"</f>
        <v/>
      </c>
      <c r="AH132" s="14">
        <f>IF(LEN("Hi"&amp;IF(O132&lt;&gt;""," "&amp;O132,"")&amp;","&amp;" FC Urban runs after-work football for "&amp;IF(D132="Canary Wharf","Canary Wharf","City")&amp;" teams. We have a "&amp;AC132&amp;" pitch at "&amp;X132&amp;", "&amp;Y132&amp;" min from your office, "&amp;IF(ISNUMBER(AB132),TEXT(AB132,"ddd d mmm")&amp;", "&amp;TEXT(AB132,"hh:mm"),"weekday evenings")&amp;", "&amp;IF(AD132&lt;&gt;"","£"&amp;IF(AD132=INT(AD132),TEXT(AD132,"0"),TEXT(AD132,"0.00")),"[PRICE PER PLAYER]")&amp;" a player. We handle booking, sign-ups and payments. Fancy "&amp;IF(ISNUMBER(SEARCH(LEFT(F132,1),"AEIOU")),"an ","a ")&amp;F132&amp;" team game? "&amp;IF(AL132&lt;&gt;"",AL132,IF(Offer!$C$5&lt;&gt;"",Offer!$C$5,"[NAME]")))&lt;=300,"Hi"&amp;IF(O132&lt;&gt;""," "&amp;O132,"")&amp;","&amp;" FC Urban runs after-work football for "&amp;IF(D132="Canary Wharf","Canary Wharf","City")&amp;" teams. We have a "&amp;AC132&amp;" pitch at "&amp;X132&amp;", "&amp;Y132&amp;" min from your office, "&amp;IF(ISNUMBER(AB132),TEXT(AB132,"ddd d mmm")&amp;", "&amp;TEXT(AB132,"hh:mm"),"weekday evenings")&amp;", "&amp;IF(AD132&lt;&gt;"","£"&amp;IF(AD132=INT(AD132),TEXT(AD132,"0"),TEXT(AD132,"0.00")),"[PRICE PER PLAYER]")&amp;" a player. We handle booking, sign-ups and payments. Fancy "&amp;IF(ISNUMBER(SEARCH(LEFT(F132,1),"AEIOU")),"an ","a ")&amp;F132&amp;" team game? "&amp;IF(AL132&lt;&gt;"",AL132,IF(Offer!$C$5&lt;&gt;"",Offer!$C$5,"[NAME]")),LEFT("Hi"&amp;IF(O132&lt;&gt;""," "&amp;O132,"")&amp;","&amp;" FC Urban runs after-work football for "&amp;IF(D132="Canary Wharf","Canary Wharf","City")&amp;" teams: "&amp;AC132&amp;" at "&amp;X132&amp;", "&amp;Y132&amp;" min from your office, "&amp;IF(ISNUMBER(AB132),TEXT(AB132,"ddd d mmm")&amp;", "&amp;TEXT(AB132,"hh:mm"),"weekday evenings")&amp;", "&amp;IF(AD132&lt;&gt;"","£"&amp;IF(AD132=INT(AD132),TEXT(AD132,"0"),TEXT(AD132,"0.00")),"[PRICE PER PLAYER]")&amp;" pp. We handle booking and payments. Up for a team game? "&amp;IF(AL132&lt;&gt;"",AL132,IF(Offer!$C$5&lt;&gt;"",Offer!$C$5,"[NAME]")),300))</f>
        <v/>
      </c>
      <c r="AI132" s="14">
        <f>LEN(AH132)</f>
        <v/>
      </c>
      <c r="AJ132" s="14">
        <f>"Thanks for connecting"&amp;IF(O132&lt;&gt;"",", "&amp;O132,"")&amp;". "&amp;IF(ISNUMBER(AB132),"The "&amp;AC132&amp;" slot at "&amp;X132&amp;" is "&amp;IF(ISNUMBER(AB132),TEXT(AB132,"ddd d mmm")&amp;", "&amp;TEXT(AB132,"hh:mm"),"weekday evenings"),"We can book "&amp;AC132&amp;" at "&amp;X132&amp;" on a weekday evening that suits you")&amp;" and it's "&amp;IF(AD132&lt;&gt;"","£"&amp;IF(AD132=INT(AD132),TEXT(AD132,"0"),TEXT(AD132,"0.00")),"[PRICE PER PLAYER]")&amp;" a player, all booked and paid through one link. If football isn't your thing, who at "&amp;F132&amp;" would be the right person to organise a team game?"&amp;IF(Offer!$C$7&lt;&gt;""," Spots are held until "&amp;TEXT(Offer!$C$7,"dddd d mmmm")&amp;".","")&amp;" "&amp;IF(Offer!$C$6&lt;&gt;"",Offer!$C$6,"[JOINING LINK]")</f>
        <v/>
      </c>
      <c r="AK132" s="14">
        <f>IF(OR(ISNUMBER(SEARCH("[",AG132)),ISNUMBER(SEARCH("[",AJ132))),"Fill placeholders",IF(ISNUMBER(AB132),"Ready to send","Ready · no fixed slot"))</f>
        <v/>
      </c>
      <c r="AN132" s="17" t="n"/>
    </row>
    <row r="133">
      <c r="A133" s="11" t="n">
        <v>131</v>
      </c>
      <c r="B133" s="11" t="n">
        <v>2</v>
      </c>
      <c r="C133" s="11" t="inlineStr">
        <is>
          <t>Fund / asset manager</t>
        </is>
      </c>
      <c r="D133" s="11" t="inlineStr">
        <is>
          <t>City of London</t>
        </is>
      </c>
      <c r="E133" s="11" t="inlineStr">
        <is>
          <t>Robus Capital Management Limited</t>
        </is>
      </c>
      <c r="F133" s="11" t="inlineStr">
        <is>
          <t>Robus Capital Management</t>
        </is>
      </c>
      <c r="G133" s="11" t="inlineStr">
        <is>
          <t>07745735</t>
        </is>
      </c>
      <c r="H133" s="12" t="inlineStr">
        <is>
          <t>Open</t>
        </is>
      </c>
      <c r="I133" s="12" t="inlineStr">
        <is>
          <t>Search</t>
        </is>
      </c>
      <c r="J133" s="11" t="inlineStr">
        <is>
          <t>Group</t>
        </is>
      </c>
      <c r="K133" s="13" t="n">
        <v>40773</v>
      </c>
      <c r="L133" s="11" t="inlineStr">
        <is>
          <t>Central Court, 25 Southampton Buildings, London</t>
        </is>
      </c>
      <c r="M133" s="11" t="inlineStr">
        <is>
          <t>WC2A 1AL</t>
        </is>
      </c>
      <c r="N133" s="11" t="inlineStr">
        <is>
          <t>No</t>
        </is>
      </c>
      <c r="U133" s="11" t="inlineStr">
        <is>
          <t>St Pancras - Coram's Fields 3G</t>
        </is>
      </c>
      <c r="V133" s="11" t="n">
        <v>18</v>
      </c>
      <c r="W133" s="11" t="n"/>
      <c r="X133" s="11" t="inlineStr">
        <is>
          <t>St Pancras - Coram's Fields 3G</t>
        </is>
      </c>
      <c r="Y133" s="11" t="n">
        <v>18</v>
      </c>
      <c r="Z133" s="14">
        <f>IFERROR(INDEX(Venues!$E$2:$E$15,MATCH(X133,Venues!$A$2:$A$15,0)),"Not checked")</f>
        <v/>
      </c>
      <c r="AA133" s="14">
        <f>IFERROR(INDEX(Venues!$F$2:$F$15,MATCH(X133,Venues!$A$2:$A$15,0)),0)</f>
        <v/>
      </c>
      <c r="AB133" s="15">
        <f>IFERROR(INDEX(Venues!$M$2:$M$15,MATCH(X133,Venues!$A$2:$A$15,0)),"")</f>
        <v/>
      </c>
      <c r="AC133" s="14">
        <f>IFERROR(INDEX(Venues!$N$2:$N$15,MATCH(X133,Venues!$A$2:$A$15,0)),"5-a-side")</f>
        <v/>
      </c>
      <c r="AD133" s="16">
        <f>IF(Offer!$C$4="","",Offer!$C$4)</f>
        <v/>
      </c>
      <c r="AE133" s="14">
        <f>X133&amp;" ("&amp;Y133&amp;" min walk) · "&amp;IF(ISNUMBER(AB133),TEXT(AB133,"ddd d mmm, hh:mm"),"slot to confirm with venue")&amp;" · "&amp;AC133&amp;" · "&amp;IF(AD133&lt;&gt;"","£"&amp;TEXT(AD133,"0.00")&amp;" pp","price TBC")</f>
        <v/>
      </c>
      <c r="AF133" s="14">
        <f>"After-work football for "&amp;F133&amp;" · "&amp;X133&amp;", "&amp;Y133&amp;" min from your office"</f>
        <v/>
      </c>
      <c r="AG133" s="14">
        <f>"Hi"&amp;IF(O133&lt;&gt;""," "&amp;O133,"")&amp;","&amp;CHAR(10)&amp;CHAR(10)&amp;"I'm "&amp;IF(AL133&lt;&gt;"",AL133,IF(Offer!$C$5&lt;&gt;"",Offer!$C$5,"[NAME]"))&amp;" from FC Urban. We organise after-work football for teams in the City and Canary Wharf."&amp;CHAR(10)&amp;CHAR(10)&amp;"We have a "&amp;AC133&amp;" pitch at "&amp;X133&amp;", "&amp;IF(OR(Y133=8,Y133=11,Y133=18),"an ","a ")&amp;Y133&amp;"-minute walk from your "&amp;M133&amp;" office, "&amp;IF(ISNUMBER(AB133),"on "&amp;TEXT(AB133,"dddd d mmmm")&amp;" at "&amp;TEXT(AB133,"hh:mm"),"on a weekday evening that suits your team")&amp;". It's "&amp;IF(AD133&lt;&gt;"","£"&amp;IF(AD133=INT(AD133),TEXT(AD133,"0"),TEXT(AD133,"0.00")),"[PRICE PER PLAYER]")&amp;" a player and we handle the pitch booking, sign-ups and payments, so all it takes is one person sharing a link with the team."&amp;CHAR(10)&amp;CHAR(10)&amp;"It works well as a team social or "&amp;IF(ISNUMBER(SEARCH(LEFT(F133,1),"AEIOU")),"an ","a ")&amp;F133&amp;"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LINK]")&amp;CHAR(10)&amp;CHAR(10)&amp;"Best,"&amp;CHAR(10)&amp;IF(AL133&lt;&gt;"",AL133,IF(Offer!$C$5&lt;&gt;"",Offer!$C$5,"[NAME]"))&amp;CHAR(10)&amp;"FC Urban"</f>
        <v/>
      </c>
      <c r="AH133" s="14">
        <f>IF(LEN("Hi"&amp;IF(O133&lt;&gt;""," "&amp;O133,"")&amp;","&amp;" FC Urban runs after-work football for "&amp;IF(D133="Canary Wharf","Canary Wharf","City")&amp;" teams. We have a "&amp;AC133&amp;" pitch at "&amp;X133&amp;", "&amp;Y133&amp;" min from your office, "&amp;IF(ISNUMBER(AB133),TEXT(AB133,"ddd d mmm")&amp;", "&amp;TEXT(AB133,"hh:mm"),"weekday evenings")&amp;", "&amp;IF(AD133&lt;&gt;"","£"&amp;IF(AD133=INT(AD133),TEXT(AD133,"0"),TEXT(AD133,"0.00")),"[PRICE PER PLAYER]")&amp;" a player. We handle booking, sign-ups and payments. Fancy "&amp;IF(ISNUMBER(SEARCH(LEFT(F133,1),"AEIOU")),"an ","a ")&amp;F133&amp;" team game? "&amp;IF(AL133&lt;&gt;"",AL133,IF(Offer!$C$5&lt;&gt;"",Offer!$C$5,"[NAME]")))&lt;=300,"Hi"&amp;IF(O133&lt;&gt;""," "&amp;O133,"")&amp;","&amp;" FC Urban runs after-work football for "&amp;IF(D133="Canary Wharf","Canary Wharf","City")&amp;" teams. We have a "&amp;AC133&amp;" pitch at "&amp;X133&amp;", "&amp;Y133&amp;" min from your office, "&amp;IF(ISNUMBER(AB133),TEXT(AB133,"ddd d mmm")&amp;", "&amp;TEXT(AB133,"hh:mm"),"weekday evenings")&amp;", "&amp;IF(AD133&lt;&gt;"","£"&amp;IF(AD133=INT(AD133),TEXT(AD133,"0"),TEXT(AD133,"0.00")),"[PRICE PER PLAYER]")&amp;" a player. We handle booking, sign-ups and payments. Fancy "&amp;IF(ISNUMBER(SEARCH(LEFT(F133,1),"AEIOU")),"an ","a ")&amp;F133&amp;" team game? "&amp;IF(AL133&lt;&gt;"",AL133,IF(Offer!$C$5&lt;&gt;"",Offer!$C$5,"[NAME]")),LEFT("Hi"&amp;IF(O133&lt;&gt;""," "&amp;O133,"")&amp;","&amp;" FC Urban runs after-work football for "&amp;IF(D133="Canary Wharf","Canary Wharf","City")&amp;" teams: "&amp;AC133&amp;" at "&amp;X133&amp;", "&amp;Y133&amp;" min from your office, "&amp;IF(ISNUMBER(AB133),TEXT(AB133,"ddd d mmm")&amp;", "&amp;TEXT(AB133,"hh:mm"),"weekday evenings")&amp;", "&amp;IF(AD133&lt;&gt;"","£"&amp;IF(AD133=INT(AD133),TEXT(AD133,"0"),TEXT(AD133,"0.00")),"[PRICE PER PLAYER]")&amp;" pp. We handle booking and payments. Up for a team game? "&amp;IF(AL133&lt;&gt;"",AL133,IF(Offer!$C$5&lt;&gt;"",Offer!$C$5,"[NAME]")),300))</f>
        <v/>
      </c>
      <c r="AI133" s="14">
        <f>LEN(AH133)</f>
        <v/>
      </c>
      <c r="AJ133" s="14">
        <f>"Thanks for connecting"&amp;IF(O133&lt;&gt;"",", "&amp;O133,"")&amp;". "&amp;IF(ISNUMBER(AB133),"The "&amp;AC133&amp;" slot at "&amp;X133&amp;" is "&amp;IF(ISNUMBER(AB133),TEXT(AB133,"ddd d mmm")&amp;", "&amp;TEXT(AB133,"hh:mm"),"weekday evenings"),"We can book "&amp;AC133&amp;" at "&amp;X133&amp;" on a weekday evening that suits you")&amp;" and it's "&amp;IF(AD133&lt;&gt;"","£"&amp;IF(AD133=INT(AD133),TEXT(AD133,"0"),TEXT(AD133,"0.00")),"[PRICE PER PLAYER]")&amp;" a player, all booked and paid through one link. If football isn't your thing, who at "&amp;F133&amp;" would be the right person to organise a team game?"&amp;IF(Offer!$C$7&lt;&gt;""," Spots are held until "&amp;TEXT(Offer!$C$7,"dddd d mmmm")&amp;".","")&amp;" "&amp;IF(Offer!$C$6&lt;&gt;"",Offer!$C$6,"[JOINING LINK]")</f>
        <v/>
      </c>
      <c r="AK133" s="14">
        <f>IF(OR(ISNUMBER(SEARCH("[",AG133)),ISNUMBER(SEARCH("[",AJ133))),"Fill placeholders",IF(ISNUMBER(AB133),"Ready to send","Ready · no fixed slot"))</f>
        <v/>
      </c>
      <c r="AN133" s="17" t="n"/>
    </row>
    <row r="134">
      <c r="A134" s="11" t="n">
        <v>132</v>
      </c>
      <c r="B134" s="11" t="n">
        <v>2</v>
      </c>
      <c r="C134" s="11" t="inlineStr">
        <is>
          <t>Fund / asset manager</t>
        </is>
      </c>
      <c r="D134" s="11" t="inlineStr">
        <is>
          <t>City of London</t>
        </is>
      </c>
      <c r="E134" s="11" t="inlineStr">
        <is>
          <t>Sharegain Ltd</t>
        </is>
      </c>
      <c r="F134" s="11" t="inlineStr">
        <is>
          <t>Sharegain</t>
        </is>
      </c>
      <c r="G134" s="11" t="inlineStr">
        <is>
          <t>09600298</t>
        </is>
      </c>
      <c r="H134" s="12" t="inlineStr">
        <is>
          <t>Open</t>
        </is>
      </c>
      <c r="I134" s="12" t="inlineStr">
        <is>
          <t>Search</t>
        </is>
      </c>
      <c r="J134" s="11" t="inlineStr">
        <is>
          <t>Group</t>
        </is>
      </c>
      <c r="K134" s="13" t="n">
        <v>42144</v>
      </c>
      <c r="L134" s="11" t="inlineStr">
        <is>
          <t>77 Leadenhall Street, London</t>
        </is>
      </c>
      <c r="M134" s="11" t="inlineStr">
        <is>
          <t>EC3A 3DE</t>
        </is>
      </c>
      <c r="N134" s="11" t="inlineStr">
        <is>
          <t>Yes</t>
        </is>
      </c>
      <c r="U134" s="11" t="inlineStr">
        <is>
          <t>Liverpool St - Attlee Centre</t>
        </is>
      </c>
      <c r="V134" s="11" t="n">
        <v>10</v>
      </c>
      <c r="W134" s="11" t="inlineStr">
        <is>
          <t>Shoreditch Powerleague (18.1)</t>
        </is>
      </c>
      <c r="X134" s="11" t="inlineStr">
        <is>
          <t>Shoreditch Powerleague</t>
        </is>
      </c>
      <c r="Y134" s="11" t="n">
        <v>18</v>
      </c>
      <c r="Z134" s="14">
        <f>IFERROR(INDEX(Venues!$E$2:$E$15,MATCH(X134,Venues!$A$2:$A$15,0)),"Not checked")</f>
        <v/>
      </c>
      <c r="AA134" s="14">
        <f>IFERROR(INDEX(Venues!$F$2:$F$15,MATCH(X134,Venues!$A$2:$A$15,0)),0)</f>
        <v/>
      </c>
      <c r="AB134" s="15">
        <f>IFERROR(INDEX(Venues!$M$2:$M$15,MATCH(X134,Venues!$A$2:$A$15,0)),"")</f>
        <v/>
      </c>
      <c r="AC134" s="14">
        <f>IFERROR(INDEX(Venues!$N$2:$N$15,MATCH(X134,Venues!$A$2:$A$15,0)),"5-a-side")</f>
        <v/>
      </c>
      <c r="AD134" s="16">
        <f>IF(Offer!$C$4="","",Offer!$C$4)</f>
        <v/>
      </c>
      <c r="AE134" s="14">
        <f>X134&amp;" ("&amp;Y134&amp;" min walk) · "&amp;IF(ISNUMBER(AB134),TEXT(AB134,"ddd d mmm, hh:mm"),"slot to confirm with venue")&amp;" · "&amp;AC134&amp;" · "&amp;IF(AD134&lt;&gt;"","£"&amp;TEXT(AD134,"0.00")&amp;" pp","price TBC")</f>
        <v/>
      </c>
      <c r="AF134" s="14">
        <f>"After-work football for "&amp;F134&amp;" · "&amp;X134&amp;", "&amp;Y134&amp;" min from your office"</f>
        <v/>
      </c>
      <c r="AG134" s="14">
        <f>"Hi"&amp;IF(O134&lt;&gt;""," "&amp;O134,"")&amp;","&amp;CHAR(10)&amp;CHAR(10)&amp;"I'm "&amp;IF(AL134&lt;&gt;"",AL134,IF(Offer!$C$5&lt;&gt;"",Offer!$C$5,"[NAME]"))&amp;" from FC Urban. We organise after-work football for teams in the City and Canary Wharf."&amp;CHAR(10)&amp;CHAR(10)&amp;"We have a "&amp;AC134&amp;" pitch at "&amp;X134&amp;", "&amp;IF(OR(Y134=8,Y134=11,Y134=18),"an ","a ")&amp;Y134&amp;"-minute walk from your "&amp;M134&amp;" office, "&amp;IF(ISNUMBER(AB134),"on "&amp;TEXT(AB134,"dddd d mmmm")&amp;" at "&amp;TEXT(AB134,"hh:mm"),"on a weekday evening that suits your team")&amp;". It's "&amp;IF(AD134&lt;&gt;"","£"&amp;IF(AD134=INT(AD134),TEXT(AD134,"0"),TEXT(AD134,"0.00")),"[PRICE PER PLAYER]")&amp;" a player and we handle the pitch booking, sign-ups and payments, so all it takes is one person sharing a link with the team."&amp;CHAR(10)&amp;CHAR(10)&amp;"It works well as a team social or "&amp;IF(ISNUMBER(SEARCH(LEFT(F134,1),"AEIOU")),"an ","a ")&amp;F134&amp;"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LINK]")&amp;CHAR(10)&amp;CHAR(10)&amp;"Best,"&amp;CHAR(10)&amp;IF(AL134&lt;&gt;"",AL134,IF(Offer!$C$5&lt;&gt;"",Offer!$C$5,"[NAME]"))&amp;CHAR(10)&amp;"FC Urban"</f>
        <v/>
      </c>
      <c r="AH134" s="14">
        <f>IF(LEN("Hi"&amp;IF(O134&lt;&gt;""," "&amp;O134,"")&amp;","&amp;" FC Urban runs after-work football for "&amp;IF(D134="Canary Wharf","Canary Wharf","City")&amp;" teams. We have a "&amp;AC134&amp;" pitch at "&amp;X134&amp;", "&amp;Y134&amp;" min from your office, "&amp;IF(ISNUMBER(AB134),TEXT(AB134,"ddd d mmm")&amp;", "&amp;TEXT(AB134,"hh:mm"),"weekday evenings")&amp;", "&amp;IF(AD134&lt;&gt;"","£"&amp;IF(AD134=INT(AD134),TEXT(AD134,"0"),TEXT(AD134,"0.00")),"[PRICE PER PLAYER]")&amp;" a player. We handle booking, sign-ups and payments. Fancy "&amp;IF(ISNUMBER(SEARCH(LEFT(F134,1),"AEIOU")),"an ","a ")&amp;F134&amp;" team game? "&amp;IF(AL134&lt;&gt;"",AL134,IF(Offer!$C$5&lt;&gt;"",Offer!$C$5,"[NAME]")))&lt;=300,"Hi"&amp;IF(O134&lt;&gt;""," "&amp;O134,"")&amp;","&amp;" FC Urban runs after-work football for "&amp;IF(D134="Canary Wharf","Canary Wharf","City")&amp;" teams. We have a "&amp;AC134&amp;" pitch at "&amp;X134&amp;", "&amp;Y134&amp;" min from your office, "&amp;IF(ISNUMBER(AB134),TEXT(AB134,"ddd d mmm")&amp;", "&amp;TEXT(AB134,"hh:mm"),"weekday evenings")&amp;", "&amp;IF(AD134&lt;&gt;"","£"&amp;IF(AD134=INT(AD134),TEXT(AD134,"0"),TEXT(AD134,"0.00")),"[PRICE PER PLAYER]")&amp;" a player. We handle booking, sign-ups and payments. Fancy "&amp;IF(ISNUMBER(SEARCH(LEFT(F134,1),"AEIOU")),"an ","a ")&amp;F134&amp;" team game? "&amp;IF(AL134&lt;&gt;"",AL134,IF(Offer!$C$5&lt;&gt;"",Offer!$C$5,"[NAME]")),LEFT("Hi"&amp;IF(O134&lt;&gt;""," "&amp;O134,"")&amp;","&amp;" FC Urban runs after-work football for "&amp;IF(D134="Canary Wharf","Canary Wharf","City")&amp;" teams: "&amp;AC134&amp;" at "&amp;X134&amp;", "&amp;Y134&amp;" min from your office, "&amp;IF(ISNUMBER(AB134),TEXT(AB134,"ddd d mmm")&amp;", "&amp;TEXT(AB134,"hh:mm"),"weekday evenings")&amp;", "&amp;IF(AD134&lt;&gt;"","£"&amp;IF(AD134=INT(AD134),TEXT(AD134,"0"),TEXT(AD134,"0.00")),"[PRICE PER PLAYER]")&amp;" pp. We handle booking and payments. Up for a team game? "&amp;IF(AL134&lt;&gt;"",AL134,IF(Offer!$C$5&lt;&gt;"",Offer!$C$5,"[NAME]")),300))</f>
        <v/>
      </c>
      <c r="AI134" s="14">
        <f>LEN(AH134)</f>
        <v/>
      </c>
      <c r="AJ134" s="14">
        <f>"Thanks for connecting"&amp;IF(O134&lt;&gt;"",", "&amp;O134,"")&amp;". "&amp;IF(ISNUMBER(AB134),"The "&amp;AC134&amp;" slot at "&amp;X134&amp;" is "&amp;IF(ISNUMBER(AB134),TEXT(AB134,"ddd d mmm")&amp;", "&amp;TEXT(AB134,"hh:mm"),"weekday evenings"),"We can book "&amp;AC134&amp;" at "&amp;X134&amp;" on a weekday evening that suits you")&amp;" and it's "&amp;IF(AD134&lt;&gt;"","£"&amp;IF(AD134=INT(AD134),TEXT(AD134,"0"),TEXT(AD134,"0.00")),"[PRICE PER PLAYER]")&amp;" a player, all booked and paid through one link. If football isn't your thing, who at "&amp;F134&amp;" would be the right person to organise a team game?"&amp;IF(Offer!$C$7&lt;&gt;""," Spots are held until "&amp;TEXT(Offer!$C$7,"dddd d mmmm")&amp;".","")&amp;" "&amp;IF(Offer!$C$6&lt;&gt;"",Offer!$C$6,"[JOINING LINK]")</f>
        <v/>
      </c>
      <c r="AK134" s="14">
        <f>IF(OR(ISNUMBER(SEARCH("[",AG134)),ISNUMBER(SEARCH("[",AJ134))),"Fill placeholders",IF(ISNUMBER(AB134),"Ready to send","Ready · no fixed slot"))</f>
        <v/>
      </c>
      <c r="AN134" s="17" t="n"/>
    </row>
    <row r="135">
      <c r="A135" s="11" t="n">
        <v>133</v>
      </c>
      <c r="B135" s="11" t="n">
        <v>2</v>
      </c>
      <c r="C135" s="11" t="inlineStr">
        <is>
          <t>Fund / asset manager</t>
        </is>
      </c>
      <c r="D135" s="11" t="inlineStr">
        <is>
          <t>City of London</t>
        </is>
      </c>
      <c r="E135" s="11" t="inlineStr">
        <is>
          <t>Shackleton Ventures Limited</t>
        </is>
      </c>
      <c r="F135" s="11" t="inlineStr">
        <is>
          <t>Shackleton Ventures</t>
        </is>
      </c>
      <c r="G135" s="11" t="inlineStr">
        <is>
          <t>06010019</t>
        </is>
      </c>
      <c r="H135" s="12" t="inlineStr">
        <is>
          <t>Open</t>
        </is>
      </c>
      <c r="I135" s="12" t="inlineStr">
        <is>
          <t>Search</t>
        </is>
      </c>
      <c r="J135" s="11" t="inlineStr">
        <is>
          <t>Group</t>
        </is>
      </c>
      <c r="K135" s="13" t="n">
        <v>39048</v>
      </c>
      <c r="L135" s="11" t="inlineStr">
        <is>
          <t>1St Floor, 48 Chancery Lane, Chancery Lane, London</t>
        </is>
      </c>
      <c r="M135" s="11" t="inlineStr">
        <is>
          <t>WC2A 1JF</t>
        </is>
      </c>
      <c r="N135" s="11" t="inlineStr">
        <is>
          <t>No</t>
        </is>
      </c>
      <c r="U135" s="11" t="inlineStr">
        <is>
          <t>St Pancras - Coram's Fields 3G</t>
        </is>
      </c>
      <c r="V135" s="11" t="n">
        <v>18</v>
      </c>
      <c r="W135" s="11" t="n"/>
      <c r="X135" s="11" t="inlineStr">
        <is>
          <t>St Pancras - Coram's Fields 3G</t>
        </is>
      </c>
      <c r="Y135" s="11" t="n">
        <v>18</v>
      </c>
      <c r="Z135" s="14">
        <f>IFERROR(INDEX(Venues!$E$2:$E$15,MATCH(X135,Venues!$A$2:$A$15,0)),"Not checked")</f>
        <v/>
      </c>
      <c r="AA135" s="14">
        <f>IFERROR(INDEX(Venues!$F$2:$F$15,MATCH(X135,Venues!$A$2:$A$15,0)),0)</f>
        <v/>
      </c>
      <c r="AB135" s="15">
        <f>IFERROR(INDEX(Venues!$M$2:$M$15,MATCH(X135,Venues!$A$2:$A$15,0)),"")</f>
        <v/>
      </c>
      <c r="AC135" s="14">
        <f>IFERROR(INDEX(Venues!$N$2:$N$15,MATCH(X135,Venues!$A$2:$A$15,0)),"5-a-side")</f>
        <v/>
      </c>
      <c r="AD135" s="16">
        <f>IF(Offer!$C$4="","",Offer!$C$4)</f>
        <v/>
      </c>
      <c r="AE135" s="14">
        <f>X135&amp;" ("&amp;Y135&amp;" min walk) · "&amp;IF(ISNUMBER(AB135),TEXT(AB135,"ddd d mmm, hh:mm"),"slot to confirm with venue")&amp;" · "&amp;AC135&amp;" · "&amp;IF(AD135&lt;&gt;"","£"&amp;TEXT(AD135,"0.00")&amp;" pp","price TBC")</f>
        <v/>
      </c>
      <c r="AF135" s="14">
        <f>"After-work football for "&amp;F135&amp;" · "&amp;X135&amp;", "&amp;Y135&amp;" min from your office"</f>
        <v/>
      </c>
      <c r="AG135" s="14">
        <f>"Hi"&amp;IF(O135&lt;&gt;""," "&amp;O135,"")&amp;","&amp;CHAR(10)&amp;CHAR(10)&amp;"I'm "&amp;IF(AL135&lt;&gt;"",AL135,IF(Offer!$C$5&lt;&gt;"",Offer!$C$5,"[NAME]"))&amp;" from FC Urban. We organise after-work football for teams in the City and Canary Wharf."&amp;CHAR(10)&amp;CHAR(10)&amp;"We have a "&amp;AC135&amp;" pitch at "&amp;X135&amp;", "&amp;IF(OR(Y135=8,Y135=11,Y135=18),"an ","a ")&amp;Y135&amp;"-minute walk from your "&amp;M135&amp;" office, "&amp;IF(ISNUMBER(AB135),"on "&amp;TEXT(AB135,"dddd d mmmm")&amp;" at "&amp;TEXT(AB135,"hh:mm"),"on a weekday evening that suits your team")&amp;". It's "&amp;IF(AD135&lt;&gt;"","£"&amp;IF(AD135=INT(AD135),TEXT(AD135,"0"),TEXT(AD135,"0.00")),"[PRICE PER PLAYER]")&amp;" a player and we handle the pitch booking, sign-ups and payments, so all it takes is one person sharing a link with the team."&amp;CHAR(10)&amp;CHAR(10)&amp;"It works well as a team social or "&amp;IF(ISNUMBER(SEARCH(LEFT(F135,1),"AEIOU")),"an ","a ")&amp;F135&amp;"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LINK]")&amp;CHAR(10)&amp;CHAR(10)&amp;"Best,"&amp;CHAR(10)&amp;IF(AL135&lt;&gt;"",AL135,IF(Offer!$C$5&lt;&gt;"",Offer!$C$5,"[NAME]"))&amp;CHAR(10)&amp;"FC Urban"</f>
        <v/>
      </c>
      <c r="AH135" s="14">
        <f>IF(LEN("Hi"&amp;IF(O135&lt;&gt;""," "&amp;O135,"")&amp;","&amp;" FC Urban runs after-work football for "&amp;IF(D135="Canary Wharf","Canary Wharf","City")&amp;" teams. We have a "&amp;AC135&amp;" pitch at "&amp;X135&amp;", "&amp;Y135&amp;" min from your office, "&amp;IF(ISNUMBER(AB135),TEXT(AB135,"ddd d mmm")&amp;", "&amp;TEXT(AB135,"hh:mm"),"weekday evenings")&amp;", "&amp;IF(AD135&lt;&gt;"","£"&amp;IF(AD135=INT(AD135),TEXT(AD135,"0"),TEXT(AD135,"0.00")),"[PRICE PER PLAYER]")&amp;" a player. We handle booking, sign-ups and payments. Fancy "&amp;IF(ISNUMBER(SEARCH(LEFT(F135,1),"AEIOU")),"an ","a ")&amp;F135&amp;" team game? "&amp;IF(AL135&lt;&gt;"",AL135,IF(Offer!$C$5&lt;&gt;"",Offer!$C$5,"[NAME]")))&lt;=300,"Hi"&amp;IF(O135&lt;&gt;""," "&amp;O135,"")&amp;","&amp;" FC Urban runs after-work football for "&amp;IF(D135="Canary Wharf","Canary Wharf","City")&amp;" teams. We have a "&amp;AC135&amp;" pitch at "&amp;X135&amp;", "&amp;Y135&amp;" min from your office, "&amp;IF(ISNUMBER(AB135),TEXT(AB135,"ddd d mmm")&amp;", "&amp;TEXT(AB135,"hh:mm"),"weekday evenings")&amp;", "&amp;IF(AD135&lt;&gt;"","£"&amp;IF(AD135=INT(AD135),TEXT(AD135,"0"),TEXT(AD135,"0.00")),"[PRICE PER PLAYER]")&amp;" a player. We handle booking, sign-ups and payments. Fancy "&amp;IF(ISNUMBER(SEARCH(LEFT(F135,1),"AEIOU")),"an ","a ")&amp;F135&amp;" team game? "&amp;IF(AL135&lt;&gt;"",AL135,IF(Offer!$C$5&lt;&gt;"",Offer!$C$5,"[NAME]")),LEFT("Hi"&amp;IF(O135&lt;&gt;""," "&amp;O135,"")&amp;","&amp;" FC Urban runs after-work football for "&amp;IF(D135="Canary Wharf","Canary Wharf","City")&amp;" teams: "&amp;AC135&amp;" at "&amp;X135&amp;", "&amp;Y135&amp;" min from your office, "&amp;IF(ISNUMBER(AB135),TEXT(AB135,"ddd d mmm")&amp;", "&amp;TEXT(AB135,"hh:mm"),"weekday evenings")&amp;", "&amp;IF(AD135&lt;&gt;"","£"&amp;IF(AD135=INT(AD135),TEXT(AD135,"0"),TEXT(AD135,"0.00")),"[PRICE PER PLAYER]")&amp;" pp. We handle booking and payments. Up for a team game? "&amp;IF(AL135&lt;&gt;"",AL135,IF(Offer!$C$5&lt;&gt;"",Offer!$C$5,"[NAME]")),300))</f>
        <v/>
      </c>
      <c r="AI135" s="14">
        <f>LEN(AH135)</f>
        <v/>
      </c>
      <c r="AJ135" s="14">
        <f>"Thanks for connecting"&amp;IF(O135&lt;&gt;"",", "&amp;O135,"")&amp;". "&amp;IF(ISNUMBER(AB135),"The "&amp;AC135&amp;" slot at "&amp;X135&amp;" is "&amp;IF(ISNUMBER(AB135),TEXT(AB135,"ddd d mmm")&amp;", "&amp;TEXT(AB135,"hh:mm"),"weekday evenings"),"We can book "&amp;AC135&amp;" at "&amp;X135&amp;" on a weekday evening that suits you")&amp;" and it's "&amp;IF(AD135&lt;&gt;"","£"&amp;IF(AD135=INT(AD135),TEXT(AD135,"0"),TEXT(AD135,"0.00")),"[PRICE PER PLAYER]")&amp;" a player, all booked and paid through one link. If football isn't your thing, who at "&amp;F135&amp;" would be the right person to organise a team game?"&amp;IF(Offer!$C$7&lt;&gt;""," Spots are held until "&amp;TEXT(Offer!$C$7,"dddd d mmmm")&amp;".","")&amp;" "&amp;IF(Offer!$C$6&lt;&gt;"",Offer!$C$6,"[JOINING LINK]")</f>
        <v/>
      </c>
      <c r="AK135" s="14">
        <f>IF(OR(ISNUMBER(SEARCH("[",AG135)),ISNUMBER(SEARCH("[",AJ135))),"Fill placeholders",IF(ISNUMBER(AB135),"Ready to send","Ready · no fixed slot"))</f>
        <v/>
      </c>
      <c r="AN135" s="17" t="n"/>
    </row>
    <row r="136">
      <c r="A136" s="11" t="n">
        <v>134</v>
      </c>
      <c r="B136" s="11" t="n">
        <v>2</v>
      </c>
      <c r="C136" s="11" t="inlineStr">
        <is>
          <t>Insurance / broker</t>
        </is>
      </c>
      <c r="D136" s="11" t="inlineStr">
        <is>
          <t>City of London</t>
        </is>
      </c>
      <c r="E136" s="11" t="inlineStr">
        <is>
          <t>International Transport Intermediaries Club Limited</t>
        </is>
      </c>
      <c r="F136" s="11" t="inlineStr">
        <is>
          <t>International Transport Intermediaries Club</t>
        </is>
      </c>
      <c r="G136" s="11" t="inlineStr">
        <is>
          <t>02725312</t>
        </is>
      </c>
      <c r="H136" s="12" t="inlineStr">
        <is>
          <t>Open</t>
        </is>
      </c>
      <c r="I136" s="12" t="inlineStr">
        <is>
          <t>Search</t>
        </is>
      </c>
      <c r="J136" s="11" t="inlineStr">
        <is>
          <t>Group</t>
        </is>
      </c>
      <c r="K136" s="13" t="n">
        <v>33773</v>
      </c>
      <c r="L136" s="11" t="inlineStr">
        <is>
          <t>90 Fenchurch Street, London</t>
        </is>
      </c>
      <c r="M136" s="11" t="inlineStr">
        <is>
          <t>EC3M 4ST</t>
        </is>
      </c>
      <c r="N136" s="11" t="inlineStr">
        <is>
          <t>No</t>
        </is>
      </c>
      <c r="U136" s="11" t="inlineStr">
        <is>
          <t>Liverpool St - Attlee Centre</t>
        </is>
      </c>
      <c r="V136" s="11" t="n">
        <v>10</v>
      </c>
      <c r="W136" s="11" t="inlineStr">
        <is>
          <t>Shoreditch Powerleague (18.4)</t>
        </is>
      </c>
      <c r="X136" s="11" t="inlineStr">
        <is>
          <t>Shoreditch Powerleague</t>
        </is>
      </c>
      <c r="Y136" s="11" t="n">
        <v>18</v>
      </c>
      <c r="Z136" s="14">
        <f>IFERROR(INDEX(Venues!$E$2:$E$15,MATCH(X136,Venues!$A$2:$A$15,0)),"Not checked")</f>
        <v/>
      </c>
      <c r="AA136" s="14">
        <f>IFERROR(INDEX(Venues!$F$2:$F$15,MATCH(X136,Venues!$A$2:$A$15,0)),0)</f>
        <v/>
      </c>
      <c r="AB136" s="15">
        <f>IFERROR(INDEX(Venues!$M$2:$M$15,MATCH(X136,Venues!$A$2:$A$15,0)),"")</f>
        <v/>
      </c>
      <c r="AC136" s="14">
        <f>IFERROR(INDEX(Venues!$N$2:$N$15,MATCH(X136,Venues!$A$2:$A$15,0)),"5-a-side")</f>
        <v/>
      </c>
      <c r="AD136" s="16">
        <f>IF(Offer!$C$4="","",Offer!$C$4)</f>
        <v/>
      </c>
      <c r="AE136" s="14">
        <f>X136&amp;" ("&amp;Y136&amp;" min walk) · "&amp;IF(ISNUMBER(AB136),TEXT(AB136,"ddd d mmm, hh:mm"),"slot to confirm with venue")&amp;" · "&amp;AC136&amp;" · "&amp;IF(AD136&lt;&gt;"","£"&amp;TEXT(AD136,"0.00")&amp;" pp","price TBC")</f>
        <v/>
      </c>
      <c r="AF136" s="14">
        <f>"After-work football for "&amp;F136&amp;" · "&amp;X136&amp;", "&amp;Y136&amp;" min from your office"</f>
        <v/>
      </c>
      <c r="AG136" s="14">
        <f>"Hi"&amp;IF(O136&lt;&gt;""," "&amp;O136,"")&amp;","&amp;CHAR(10)&amp;CHAR(10)&amp;"I'm "&amp;IF(AL136&lt;&gt;"",AL136,IF(Offer!$C$5&lt;&gt;"",Offer!$C$5,"[NAME]"))&amp;" from FC Urban. We organise after-work football for teams in the City and Canary Wharf."&amp;CHAR(10)&amp;CHAR(10)&amp;"We have a "&amp;AC136&amp;" pitch at "&amp;X136&amp;", "&amp;IF(OR(Y136=8,Y136=11,Y136=18),"an ","a ")&amp;Y136&amp;"-minute walk from your "&amp;M136&amp;" office, "&amp;IF(ISNUMBER(AB136),"on "&amp;TEXT(AB136,"dddd d mmmm")&amp;" at "&amp;TEXT(AB136,"hh:mm"),"on a weekday evening that suits your team")&amp;". It's "&amp;IF(AD136&lt;&gt;"","£"&amp;IF(AD136=INT(AD136),TEXT(AD136,"0"),TEXT(AD136,"0.00")),"[PRICE PER PLAYER]")&amp;" a player and we handle the pitch booking, sign-ups and payments, so all it takes is one person sharing a link with the team."&amp;CHAR(10)&amp;CHAR(10)&amp;"It works well as a team social or "&amp;IF(ISNUMBER(SEARCH(LEFT(F136,1),"AEIOU")),"an ","a ")&amp;F136&amp;"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LINK]")&amp;CHAR(10)&amp;CHAR(10)&amp;"Best,"&amp;CHAR(10)&amp;IF(AL136&lt;&gt;"",AL136,IF(Offer!$C$5&lt;&gt;"",Offer!$C$5,"[NAME]"))&amp;CHAR(10)&amp;"FC Urban"</f>
        <v/>
      </c>
      <c r="AH136" s="14">
        <f>IF(LEN("Hi"&amp;IF(O136&lt;&gt;""," "&amp;O136,"")&amp;","&amp;" FC Urban runs after-work football for "&amp;IF(D136="Canary Wharf","Canary Wharf","City")&amp;" teams. We have a "&amp;AC136&amp;" pitch at "&amp;X136&amp;", "&amp;Y136&amp;" min from your office, "&amp;IF(ISNUMBER(AB136),TEXT(AB136,"ddd d mmm")&amp;", "&amp;TEXT(AB136,"hh:mm"),"weekday evenings")&amp;", "&amp;IF(AD136&lt;&gt;"","£"&amp;IF(AD136=INT(AD136),TEXT(AD136,"0"),TEXT(AD136,"0.00")),"[PRICE PER PLAYER]")&amp;" a player. We handle booking, sign-ups and payments. Fancy "&amp;IF(ISNUMBER(SEARCH(LEFT(F136,1),"AEIOU")),"an ","a ")&amp;F136&amp;" team game? "&amp;IF(AL136&lt;&gt;"",AL136,IF(Offer!$C$5&lt;&gt;"",Offer!$C$5,"[NAME]")))&lt;=300,"Hi"&amp;IF(O136&lt;&gt;""," "&amp;O136,"")&amp;","&amp;" FC Urban runs after-work football for "&amp;IF(D136="Canary Wharf","Canary Wharf","City")&amp;" teams. We have a "&amp;AC136&amp;" pitch at "&amp;X136&amp;", "&amp;Y136&amp;" min from your office, "&amp;IF(ISNUMBER(AB136),TEXT(AB136,"ddd d mmm")&amp;", "&amp;TEXT(AB136,"hh:mm"),"weekday evenings")&amp;", "&amp;IF(AD136&lt;&gt;"","£"&amp;IF(AD136=INT(AD136),TEXT(AD136,"0"),TEXT(AD136,"0.00")),"[PRICE PER PLAYER]")&amp;" a player. We handle booking, sign-ups and payments. Fancy "&amp;IF(ISNUMBER(SEARCH(LEFT(F136,1),"AEIOU")),"an ","a ")&amp;F136&amp;" team game? "&amp;IF(AL136&lt;&gt;"",AL136,IF(Offer!$C$5&lt;&gt;"",Offer!$C$5,"[NAME]")),LEFT("Hi"&amp;IF(O136&lt;&gt;""," "&amp;O136,"")&amp;","&amp;" FC Urban runs after-work football for "&amp;IF(D136="Canary Wharf","Canary Wharf","City")&amp;" teams: "&amp;AC136&amp;" at "&amp;X136&amp;", "&amp;Y136&amp;" min from your office, "&amp;IF(ISNUMBER(AB136),TEXT(AB136,"ddd d mmm")&amp;", "&amp;TEXT(AB136,"hh:mm"),"weekday evenings")&amp;", "&amp;IF(AD136&lt;&gt;"","£"&amp;IF(AD136=INT(AD136),TEXT(AD136,"0"),TEXT(AD136,"0.00")),"[PRICE PER PLAYER]")&amp;" pp. We handle booking and payments. Up for a team game? "&amp;IF(AL136&lt;&gt;"",AL136,IF(Offer!$C$5&lt;&gt;"",Offer!$C$5,"[NAME]")),300))</f>
        <v/>
      </c>
      <c r="AI136" s="14">
        <f>LEN(AH136)</f>
        <v/>
      </c>
      <c r="AJ136" s="14">
        <f>"Thanks for connecting"&amp;IF(O136&lt;&gt;"",", "&amp;O136,"")&amp;". "&amp;IF(ISNUMBER(AB136),"The "&amp;AC136&amp;" slot at "&amp;X136&amp;" is "&amp;IF(ISNUMBER(AB136),TEXT(AB136,"ddd d mmm")&amp;", "&amp;TEXT(AB136,"hh:mm"),"weekday evenings"),"We can book "&amp;AC136&amp;" at "&amp;X136&amp;" on a weekday evening that suits you")&amp;" and it's "&amp;IF(AD136&lt;&gt;"","£"&amp;IF(AD136=INT(AD136),TEXT(AD136,"0"),TEXT(AD136,"0.00")),"[PRICE PER PLAYER]")&amp;" a player, all booked and paid through one link. If football isn't your thing, who at "&amp;F136&amp;" would be the right person to organise a team game?"&amp;IF(Offer!$C$7&lt;&gt;""," Spots are held until "&amp;TEXT(Offer!$C$7,"dddd d mmmm")&amp;".","")&amp;" "&amp;IF(Offer!$C$6&lt;&gt;"",Offer!$C$6,"[JOINING LINK]")</f>
        <v/>
      </c>
      <c r="AK136" s="14">
        <f>IF(OR(ISNUMBER(SEARCH("[",AG136)),ISNUMBER(SEARCH("[",AJ136))),"Fill placeholders",IF(ISNUMBER(AB136),"Ready to send","Ready · no fixed slot"))</f>
        <v/>
      </c>
      <c r="AN136" s="17" t="n"/>
    </row>
    <row r="137">
      <c r="A137" s="11" t="n">
        <v>135</v>
      </c>
      <c r="B137" s="11" t="n">
        <v>2</v>
      </c>
      <c r="C137" s="11" t="inlineStr">
        <is>
          <t>Insurance / broker</t>
        </is>
      </c>
      <c r="D137" s="11" t="inlineStr">
        <is>
          <t>City of London</t>
        </is>
      </c>
      <c r="E137" s="11" t="inlineStr">
        <is>
          <t>The United Kingdom Mutual Steam Ship Assurance Association Limited</t>
        </is>
      </c>
      <c r="F137" s="11" t="inlineStr">
        <is>
          <t>United Kingdom Mutual Steam Ship Assurance Association</t>
        </is>
      </c>
      <c r="G137" s="11" t="inlineStr">
        <is>
          <t>00022215</t>
        </is>
      </c>
      <c r="H137" s="12" t="inlineStr">
        <is>
          <t>Open</t>
        </is>
      </c>
      <c r="I137" s="12" t="inlineStr">
        <is>
          <t>Search</t>
        </is>
      </c>
      <c r="J137" s="11" t="inlineStr">
        <is>
          <t>Group</t>
        </is>
      </c>
      <c r="K137" s="13" t="n">
        <v>-5063</v>
      </c>
      <c r="L137" s="11" t="inlineStr">
        <is>
          <t>90 Fenchurch Street, London</t>
        </is>
      </c>
      <c r="M137" s="11" t="inlineStr">
        <is>
          <t>EC3M 4ST</t>
        </is>
      </c>
      <c r="N137" s="11" t="inlineStr">
        <is>
          <t>No</t>
        </is>
      </c>
      <c r="U137" s="11" t="inlineStr">
        <is>
          <t>Liverpool St - Attlee Centre</t>
        </is>
      </c>
      <c r="V137" s="11" t="n">
        <v>10</v>
      </c>
      <c r="W137" s="11" t="inlineStr">
        <is>
          <t>Shoreditch Powerleague (18.4)</t>
        </is>
      </c>
      <c r="X137" s="11" t="inlineStr">
        <is>
          <t>Shoreditch Powerleague</t>
        </is>
      </c>
      <c r="Y137" s="11" t="n">
        <v>18</v>
      </c>
      <c r="Z137" s="14">
        <f>IFERROR(INDEX(Venues!$E$2:$E$15,MATCH(X137,Venues!$A$2:$A$15,0)),"Not checked")</f>
        <v/>
      </c>
      <c r="AA137" s="14">
        <f>IFERROR(INDEX(Venues!$F$2:$F$15,MATCH(X137,Venues!$A$2:$A$15,0)),0)</f>
        <v/>
      </c>
      <c r="AB137" s="15">
        <f>IFERROR(INDEX(Venues!$M$2:$M$15,MATCH(X137,Venues!$A$2:$A$15,0)),"")</f>
        <v/>
      </c>
      <c r="AC137" s="14">
        <f>IFERROR(INDEX(Venues!$N$2:$N$15,MATCH(X137,Venues!$A$2:$A$15,0)),"5-a-side")</f>
        <v/>
      </c>
      <c r="AD137" s="16">
        <f>IF(Offer!$C$4="","",Offer!$C$4)</f>
        <v/>
      </c>
      <c r="AE137" s="14">
        <f>X137&amp;" ("&amp;Y137&amp;" min walk) · "&amp;IF(ISNUMBER(AB137),TEXT(AB137,"ddd d mmm, hh:mm"),"slot to confirm with venue")&amp;" · "&amp;AC137&amp;" · "&amp;IF(AD137&lt;&gt;"","£"&amp;TEXT(AD137,"0.00")&amp;" pp","price TBC")</f>
        <v/>
      </c>
      <c r="AF137" s="14">
        <f>"After-work football for "&amp;F137&amp;" · "&amp;X137&amp;", "&amp;Y137&amp;" min from your office"</f>
        <v/>
      </c>
      <c r="AG137" s="14">
        <f>"Hi"&amp;IF(O137&lt;&gt;""," "&amp;O137,"")&amp;","&amp;CHAR(10)&amp;CHAR(10)&amp;"I'm "&amp;IF(AL137&lt;&gt;"",AL137,IF(Offer!$C$5&lt;&gt;"",Offer!$C$5,"[NAME]"))&amp;" from FC Urban. We organise after-work football for teams in the City and Canary Wharf."&amp;CHAR(10)&amp;CHAR(10)&amp;"We have a "&amp;AC137&amp;" pitch at "&amp;X137&amp;", "&amp;IF(OR(Y137=8,Y137=11,Y137=18),"an ","a ")&amp;Y137&amp;"-minute walk from your "&amp;M137&amp;" office, "&amp;IF(ISNUMBER(AB137),"on "&amp;TEXT(AB137,"dddd d mmmm")&amp;" at "&amp;TEXT(AB137,"hh:mm"),"on a weekday evening that suits your team")&amp;". It's "&amp;IF(AD137&lt;&gt;"","£"&amp;IF(AD137=INT(AD137),TEXT(AD137,"0"),TEXT(AD137,"0.00")),"[PRICE PER PLAYER]")&amp;" a player and we handle the pitch booking, sign-ups and payments, so all it takes is one person sharing a link with the team."&amp;CHAR(10)&amp;CHAR(10)&amp;"It works well as a team social or "&amp;IF(ISNUMBER(SEARCH(LEFT(F137,1),"AEIOU")),"an ","a ")&amp;F137&amp;"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LINK]")&amp;CHAR(10)&amp;CHAR(10)&amp;"Best,"&amp;CHAR(10)&amp;IF(AL137&lt;&gt;"",AL137,IF(Offer!$C$5&lt;&gt;"",Offer!$C$5,"[NAME]"))&amp;CHAR(10)&amp;"FC Urban"</f>
        <v/>
      </c>
      <c r="AH137" s="14">
        <f>IF(LEN("Hi"&amp;IF(O137&lt;&gt;""," "&amp;O137,"")&amp;","&amp;" FC Urban runs after-work football for "&amp;IF(D137="Canary Wharf","Canary Wharf","City")&amp;" teams. We have a "&amp;AC137&amp;" pitch at "&amp;X137&amp;", "&amp;Y137&amp;" min from your office, "&amp;IF(ISNUMBER(AB137),TEXT(AB137,"ddd d mmm")&amp;", "&amp;TEXT(AB137,"hh:mm"),"weekday evenings")&amp;", "&amp;IF(AD137&lt;&gt;"","£"&amp;IF(AD137=INT(AD137),TEXT(AD137,"0"),TEXT(AD137,"0.00")),"[PRICE PER PLAYER]")&amp;" a player. We handle booking, sign-ups and payments. Fancy "&amp;IF(ISNUMBER(SEARCH(LEFT(F137,1),"AEIOU")),"an ","a ")&amp;F137&amp;" team game? "&amp;IF(AL137&lt;&gt;"",AL137,IF(Offer!$C$5&lt;&gt;"",Offer!$C$5,"[NAME]")))&lt;=300,"Hi"&amp;IF(O137&lt;&gt;""," "&amp;O137,"")&amp;","&amp;" FC Urban runs after-work football for "&amp;IF(D137="Canary Wharf","Canary Wharf","City")&amp;" teams. We have a "&amp;AC137&amp;" pitch at "&amp;X137&amp;", "&amp;Y137&amp;" min from your office, "&amp;IF(ISNUMBER(AB137),TEXT(AB137,"ddd d mmm")&amp;", "&amp;TEXT(AB137,"hh:mm"),"weekday evenings")&amp;", "&amp;IF(AD137&lt;&gt;"","£"&amp;IF(AD137=INT(AD137),TEXT(AD137,"0"),TEXT(AD137,"0.00")),"[PRICE PER PLAYER]")&amp;" a player. We handle booking, sign-ups and payments. Fancy "&amp;IF(ISNUMBER(SEARCH(LEFT(F137,1),"AEIOU")),"an ","a ")&amp;F137&amp;" team game? "&amp;IF(AL137&lt;&gt;"",AL137,IF(Offer!$C$5&lt;&gt;"",Offer!$C$5,"[NAME]")),LEFT("Hi"&amp;IF(O137&lt;&gt;""," "&amp;O137,"")&amp;","&amp;" FC Urban runs after-work football for "&amp;IF(D137="Canary Wharf","Canary Wharf","City")&amp;" teams: "&amp;AC137&amp;" at "&amp;X137&amp;", "&amp;Y137&amp;" min from your office, "&amp;IF(ISNUMBER(AB137),TEXT(AB137,"ddd d mmm")&amp;", "&amp;TEXT(AB137,"hh:mm"),"weekday evenings")&amp;", "&amp;IF(AD137&lt;&gt;"","£"&amp;IF(AD137=INT(AD137),TEXT(AD137,"0"),TEXT(AD137,"0.00")),"[PRICE PER PLAYER]")&amp;" pp. We handle booking and payments. Up for a team game? "&amp;IF(AL137&lt;&gt;"",AL137,IF(Offer!$C$5&lt;&gt;"",Offer!$C$5,"[NAME]")),300))</f>
        <v/>
      </c>
      <c r="AI137" s="14">
        <f>LEN(AH137)</f>
        <v/>
      </c>
      <c r="AJ137" s="14">
        <f>"Thanks for connecting"&amp;IF(O137&lt;&gt;"",", "&amp;O137,"")&amp;". "&amp;IF(ISNUMBER(AB137),"The "&amp;AC137&amp;" slot at "&amp;X137&amp;" is "&amp;IF(ISNUMBER(AB137),TEXT(AB137,"ddd d mmm")&amp;", "&amp;TEXT(AB137,"hh:mm"),"weekday evenings"),"We can book "&amp;AC137&amp;" at "&amp;X137&amp;" on a weekday evening that suits you")&amp;" and it's "&amp;IF(AD137&lt;&gt;"","£"&amp;IF(AD137=INT(AD137),TEXT(AD137,"0"),TEXT(AD137,"0.00")),"[PRICE PER PLAYER]")&amp;" a player, all booked and paid through one link. If football isn't your thing, who at "&amp;F137&amp;" would be the right person to organise a team game?"&amp;IF(Offer!$C$7&lt;&gt;""," Spots are held until "&amp;TEXT(Offer!$C$7,"dddd d mmmm")&amp;".","")&amp;" "&amp;IF(Offer!$C$6&lt;&gt;"",Offer!$C$6,"[JOINING LINK]")</f>
        <v/>
      </c>
      <c r="AK137" s="14">
        <f>IF(OR(ISNUMBER(SEARCH("[",AG137)),ISNUMBER(SEARCH("[",AJ137))),"Fill placeholders",IF(ISNUMBER(AB137),"Ready to send","Ready · no fixed slot"))</f>
        <v/>
      </c>
      <c r="AN137" s="17" t="n"/>
    </row>
    <row r="138">
      <c r="A138" s="11" t="n">
        <v>136</v>
      </c>
      <c r="B138" s="11" t="n">
        <v>2</v>
      </c>
      <c r="C138" s="11" t="inlineStr">
        <is>
          <t>Insurance / broker</t>
        </is>
      </c>
      <c r="D138" s="11" t="inlineStr">
        <is>
          <t>City of London</t>
        </is>
      </c>
      <c r="E138" s="11" t="inlineStr">
        <is>
          <t>The London Steam-Ship Owners' Mutual Insurance Association Limited</t>
        </is>
      </c>
      <c r="F138" s="11" t="inlineStr">
        <is>
          <t>London Steam-Ship Owners' Mutual Insurance Association</t>
        </is>
      </c>
      <c r="G138" s="11" t="inlineStr">
        <is>
          <t>00010341</t>
        </is>
      </c>
      <c r="H138" s="12" t="inlineStr">
        <is>
          <t>Open</t>
        </is>
      </c>
      <c r="I138" s="12" t="inlineStr">
        <is>
          <t>Search</t>
        </is>
      </c>
      <c r="J138" s="11" t="inlineStr">
        <is>
          <t>Group</t>
        </is>
      </c>
      <c r="K138" s="13" t="n">
        <v>-8715</v>
      </c>
      <c r="L138" s="11" t="inlineStr">
        <is>
          <t>50 Leman Street, London</t>
        </is>
      </c>
      <c r="M138" s="11" t="inlineStr">
        <is>
          <t>E1 8HQ</t>
        </is>
      </c>
      <c r="N138" s="11" t="inlineStr">
        <is>
          <t>No</t>
        </is>
      </c>
      <c r="U138" s="11" t="inlineStr">
        <is>
          <t>Liverpool St - Attlee Centre</t>
        </is>
      </c>
      <c r="V138" s="11" t="n">
        <v>8</v>
      </c>
      <c r="W138" s="11" t="inlineStr">
        <is>
          <t>Whitechapel (11.8); Shoreditch Powerleague (18.5)</t>
        </is>
      </c>
      <c r="X138" s="11" t="inlineStr">
        <is>
          <t>Shoreditch Powerleague</t>
        </is>
      </c>
      <c r="Y138" s="11" t="n">
        <v>18</v>
      </c>
      <c r="Z138" s="14">
        <f>IFERROR(INDEX(Venues!$E$2:$E$15,MATCH(X138,Venues!$A$2:$A$15,0)),"Not checked")</f>
        <v/>
      </c>
      <c r="AA138" s="14">
        <f>IFERROR(INDEX(Venues!$F$2:$F$15,MATCH(X138,Venues!$A$2:$A$15,0)),0)</f>
        <v/>
      </c>
      <c r="AB138" s="15">
        <f>IFERROR(INDEX(Venues!$M$2:$M$15,MATCH(X138,Venues!$A$2:$A$15,0)),"")</f>
        <v/>
      </c>
      <c r="AC138" s="14">
        <f>IFERROR(INDEX(Venues!$N$2:$N$15,MATCH(X138,Venues!$A$2:$A$15,0)),"5-a-side")</f>
        <v/>
      </c>
      <c r="AD138" s="16">
        <f>IF(Offer!$C$4="","",Offer!$C$4)</f>
        <v/>
      </c>
      <c r="AE138" s="14">
        <f>X138&amp;" ("&amp;Y138&amp;" min walk) · "&amp;IF(ISNUMBER(AB138),TEXT(AB138,"ddd d mmm, hh:mm"),"slot to confirm with venue")&amp;" · "&amp;AC138&amp;" · "&amp;IF(AD138&lt;&gt;"","£"&amp;TEXT(AD138,"0.00")&amp;" pp","price TBC")</f>
        <v/>
      </c>
      <c r="AF138" s="14">
        <f>"After-work football for "&amp;F138&amp;" · "&amp;X138&amp;", "&amp;Y138&amp;" min from your office"</f>
        <v/>
      </c>
      <c r="AG138" s="14">
        <f>"Hi"&amp;IF(O138&lt;&gt;""," "&amp;O138,"")&amp;","&amp;CHAR(10)&amp;CHAR(10)&amp;"I'm "&amp;IF(AL138&lt;&gt;"",AL138,IF(Offer!$C$5&lt;&gt;"",Offer!$C$5,"[NAME]"))&amp;" from FC Urban. We organise after-work football for teams in the City and Canary Wharf."&amp;CHAR(10)&amp;CHAR(10)&amp;"We have a "&amp;AC138&amp;" pitch at "&amp;X138&amp;", "&amp;IF(OR(Y138=8,Y138=11,Y138=18),"an ","a ")&amp;Y138&amp;"-minute walk from your "&amp;M138&amp;" office, "&amp;IF(ISNUMBER(AB138),"on "&amp;TEXT(AB138,"dddd d mmmm")&amp;" at "&amp;TEXT(AB138,"hh:mm"),"on a weekday evening that suits your team")&amp;". It's "&amp;IF(AD138&lt;&gt;"","£"&amp;IF(AD138=INT(AD138),TEXT(AD138,"0"),TEXT(AD138,"0.00")),"[PRICE PER PLAYER]")&amp;" a player and we handle the pitch booking, sign-ups and payments, so all it takes is one person sharing a link with the team."&amp;CHAR(10)&amp;CHAR(10)&amp;"It works well as a team social or "&amp;IF(ISNUMBER(SEARCH(LEFT(F138,1),"AEIOU")),"an ","a ")&amp;F138&amp;"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LINK]")&amp;CHAR(10)&amp;CHAR(10)&amp;"Best,"&amp;CHAR(10)&amp;IF(AL138&lt;&gt;"",AL138,IF(Offer!$C$5&lt;&gt;"",Offer!$C$5,"[NAME]"))&amp;CHAR(10)&amp;"FC Urban"</f>
        <v/>
      </c>
      <c r="AH138" s="14">
        <f>IF(LEN("Hi"&amp;IF(O138&lt;&gt;""," "&amp;O138,"")&amp;","&amp;" FC Urban runs after-work football for "&amp;IF(D138="Canary Wharf","Canary Wharf","City")&amp;" teams. We have a "&amp;AC138&amp;" pitch at "&amp;X138&amp;", "&amp;Y138&amp;" min from your office, "&amp;IF(ISNUMBER(AB138),TEXT(AB138,"ddd d mmm")&amp;", "&amp;TEXT(AB138,"hh:mm"),"weekday evenings")&amp;", "&amp;IF(AD138&lt;&gt;"","£"&amp;IF(AD138=INT(AD138),TEXT(AD138,"0"),TEXT(AD138,"0.00")),"[PRICE PER PLAYER]")&amp;" a player. We handle booking, sign-ups and payments. Fancy "&amp;IF(ISNUMBER(SEARCH(LEFT(F138,1),"AEIOU")),"an ","a ")&amp;F138&amp;" team game? "&amp;IF(AL138&lt;&gt;"",AL138,IF(Offer!$C$5&lt;&gt;"",Offer!$C$5,"[NAME]")))&lt;=300,"Hi"&amp;IF(O138&lt;&gt;""," "&amp;O138,"")&amp;","&amp;" FC Urban runs after-work football for "&amp;IF(D138="Canary Wharf","Canary Wharf","City")&amp;" teams. We have a "&amp;AC138&amp;" pitch at "&amp;X138&amp;", "&amp;Y138&amp;" min from your office, "&amp;IF(ISNUMBER(AB138),TEXT(AB138,"ddd d mmm")&amp;", "&amp;TEXT(AB138,"hh:mm"),"weekday evenings")&amp;", "&amp;IF(AD138&lt;&gt;"","£"&amp;IF(AD138=INT(AD138),TEXT(AD138,"0"),TEXT(AD138,"0.00")),"[PRICE PER PLAYER]")&amp;" a player. We handle booking, sign-ups and payments. Fancy "&amp;IF(ISNUMBER(SEARCH(LEFT(F138,1),"AEIOU")),"an ","a ")&amp;F138&amp;" team game? "&amp;IF(AL138&lt;&gt;"",AL138,IF(Offer!$C$5&lt;&gt;"",Offer!$C$5,"[NAME]")),LEFT("Hi"&amp;IF(O138&lt;&gt;""," "&amp;O138,"")&amp;","&amp;" FC Urban runs after-work football for "&amp;IF(D138="Canary Wharf","Canary Wharf","City")&amp;" teams: "&amp;AC138&amp;" at "&amp;X138&amp;", "&amp;Y138&amp;" min from your office, "&amp;IF(ISNUMBER(AB138),TEXT(AB138,"ddd d mmm")&amp;", "&amp;TEXT(AB138,"hh:mm"),"weekday evenings")&amp;", "&amp;IF(AD138&lt;&gt;"","£"&amp;IF(AD138=INT(AD138),TEXT(AD138,"0"),TEXT(AD138,"0.00")),"[PRICE PER PLAYER]")&amp;" pp. We handle booking and payments. Up for a team game? "&amp;IF(AL138&lt;&gt;"",AL138,IF(Offer!$C$5&lt;&gt;"",Offer!$C$5,"[NAME]")),300))</f>
        <v/>
      </c>
      <c r="AI138" s="14">
        <f>LEN(AH138)</f>
        <v/>
      </c>
      <c r="AJ138" s="14">
        <f>"Thanks for connecting"&amp;IF(O138&lt;&gt;"",", "&amp;O138,"")&amp;". "&amp;IF(ISNUMBER(AB138),"The "&amp;AC138&amp;" slot at "&amp;X138&amp;" is "&amp;IF(ISNUMBER(AB138),TEXT(AB138,"ddd d mmm")&amp;", "&amp;TEXT(AB138,"hh:mm"),"weekday evenings"),"We can book "&amp;AC138&amp;" at "&amp;X138&amp;" on a weekday evening that suits you")&amp;" and it's "&amp;IF(AD138&lt;&gt;"","£"&amp;IF(AD138=INT(AD138),TEXT(AD138,"0"),TEXT(AD138,"0.00")),"[PRICE PER PLAYER]")&amp;" a player, all booked and paid through one link. If football isn't your thing, who at "&amp;F138&amp;" would be the right person to organise a team game?"&amp;IF(Offer!$C$7&lt;&gt;""," Spots are held until "&amp;TEXT(Offer!$C$7,"dddd d mmmm")&amp;".","")&amp;" "&amp;IF(Offer!$C$6&lt;&gt;"",Offer!$C$6,"[JOINING LINK]")</f>
        <v/>
      </c>
      <c r="AK138" s="14">
        <f>IF(OR(ISNUMBER(SEARCH("[",AG138)),ISNUMBER(SEARCH("[",AJ138))),"Fill placeholders",IF(ISNUMBER(AB138),"Ready to send","Ready · no fixed slot"))</f>
        <v/>
      </c>
      <c r="AN138" s="17" t="n"/>
    </row>
    <row r="139">
      <c r="A139" s="11" t="n">
        <v>137</v>
      </c>
      <c r="B139" s="11" t="n">
        <v>2</v>
      </c>
      <c r="C139" s="11" t="inlineStr">
        <is>
          <t>Fund / asset manager</t>
        </is>
      </c>
      <c r="D139" s="11" t="inlineStr">
        <is>
          <t>City of London</t>
        </is>
      </c>
      <c r="E139" s="11" t="inlineStr">
        <is>
          <t>Hearthstone Investments Limited</t>
        </is>
      </c>
      <c r="F139" s="11" t="inlineStr">
        <is>
          <t>Hearthstone Investments</t>
        </is>
      </c>
      <c r="G139" s="11" t="inlineStr">
        <is>
          <t>06379066</t>
        </is>
      </c>
      <c r="H139" s="12" t="inlineStr">
        <is>
          <t>Open</t>
        </is>
      </c>
      <c r="I139" s="12" t="inlineStr">
        <is>
          <t>Search</t>
        </is>
      </c>
      <c r="J139" s="11" t="inlineStr">
        <is>
          <t>Group</t>
        </is>
      </c>
      <c r="K139" s="13" t="n">
        <v>39349</v>
      </c>
      <c r="L139" s="11" t="inlineStr">
        <is>
          <t>Suite 2.06, Bridge House, 181 Queen Victoria Street, London</t>
        </is>
      </c>
      <c r="M139" s="11" t="inlineStr">
        <is>
          <t>EC4V 4EG</t>
        </is>
      </c>
      <c r="N139" s="11" t="inlineStr">
        <is>
          <t>Yes</t>
        </is>
      </c>
      <c r="U139" s="11" t="inlineStr">
        <is>
          <t>Borough Academy</t>
        </is>
      </c>
      <c r="V139" s="11" t="n">
        <v>19</v>
      </c>
      <c r="W139" s="11" t="n"/>
      <c r="X139" s="11" t="inlineStr">
        <is>
          <t>Borough Academy</t>
        </is>
      </c>
      <c r="Y139" s="11" t="n">
        <v>19</v>
      </c>
      <c r="Z139" s="14">
        <f>IFERROR(INDEX(Venues!$E$2:$E$15,MATCH(X139,Venues!$A$2:$A$15,0)),"Not checked")</f>
        <v/>
      </c>
      <c r="AA139" s="14">
        <f>IFERROR(INDEX(Venues!$F$2:$F$15,MATCH(X139,Venues!$A$2:$A$15,0)),0)</f>
        <v/>
      </c>
      <c r="AB139" s="15">
        <f>IFERROR(INDEX(Venues!$M$2:$M$15,MATCH(X139,Venues!$A$2:$A$15,0)),"")</f>
        <v/>
      </c>
      <c r="AC139" s="14">
        <f>IFERROR(INDEX(Venues!$N$2:$N$15,MATCH(X139,Venues!$A$2:$A$15,0)),"5-a-side")</f>
        <v/>
      </c>
      <c r="AD139" s="16">
        <f>IF(Offer!$C$4="","",Offer!$C$4)</f>
        <v/>
      </c>
      <c r="AE139" s="14">
        <f>X139&amp;" ("&amp;Y139&amp;" min walk) · "&amp;IF(ISNUMBER(AB139),TEXT(AB139,"ddd d mmm, hh:mm"),"slot to confirm with venue")&amp;" · "&amp;AC139&amp;" · "&amp;IF(AD139&lt;&gt;"","£"&amp;TEXT(AD139,"0.00")&amp;" pp","price TBC")</f>
        <v/>
      </c>
      <c r="AF139" s="14">
        <f>"After-work football for "&amp;F139&amp;" · "&amp;X139&amp;", "&amp;Y139&amp;" min from your office"</f>
        <v/>
      </c>
      <c r="AG139" s="14">
        <f>"Hi"&amp;IF(O139&lt;&gt;""," "&amp;O139,"")&amp;","&amp;CHAR(10)&amp;CHAR(10)&amp;"I'm "&amp;IF(AL139&lt;&gt;"",AL139,IF(Offer!$C$5&lt;&gt;"",Offer!$C$5,"[NAME]"))&amp;" from FC Urban. We organise after-work football for teams in the City and Canary Wharf."&amp;CHAR(10)&amp;CHAR(10)&amp;"We have a "&amp;AC139&amp;" pitch at "&amp;X139&amp;", "&amp;IF(OR(Y139=8,Y139=11,Y139=18),"an ","a ")&amp;Y139&amp;"-minute walk from your "&amp;M139&amp;" office, "&amp;IF(ISNUMBER(AB139),"on "&amp;TEXT(AB139,"dddd d mmmm")&amp;" at "&amp;TEXT(AB139,"hh:mm"),"on a weekday evening that suits your team")&amp;". It's "&amp;IF(AD139&lt;&gt;"","£"&amp;IF(AD139=INT(AD139),TEXT(AD139,"0"),TEXT(AD139,"0.00")),"[PRICE PER PLAYER]")&amp;" a player and we handle the pitch booking, sign-ups and payments, so all it takes is one person sharing a link with the team."&amp;CHAR(10)&amp;CHAR(10)&amp;"It works well as a team social or "&amp;IF(ISNUMBER(SEARCH(LEFT(F139,1),"AEIOU")),"an ","a ")&amp;F139&amp;"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LINK]")&amp;CHAR(10)&amp;CHAR(10)&amp;"Best,"&amp;CHAR(10)&amp;IF(AL139&lt;&gt;"",AL139,IF(Offer!$C$5&lt;&gt;"",Offer!$C$5,"[NAME]"))&amp;CHAR(10)&amp;"FC Urban"</f>
        <v/>
      </c>
      <c r="AH139" s="14">
        <f>IF(LEN("Hi"&amp;IF(O139&lt;&gt;""," "&amp;O139,"")&amp;","&amp;" FC Urban runs after-work football for "&amp;IF(D139="Canary Wharf","Canary Wharf","City")&amp;" teams. We have a "&amp;AC139&amp;" pitch at "&amp;X139&amp;", "&amp;Y139&amp;" min from your office, "&amp;IF(ISNUMBER(AB139),TEXT(AB139,"ddd d mmm")&amp;", "&amp;TEXT(AB139,"hh:mm"),"weekday evenings")&amp;", "&amp;IF(AD139&lt;&gt;"","£"&amp;IF(AD139=INT(AD139),TEXT(AD139,"0"),TEXT(AD139,"0.00")),"[PRICE PER PLAYER]")&amp;" a player. We handle booking, sign-ups and payments. Fancy "&amp;IF(ISNUMBER(SEARCH(LEFT(F139,1),"AEIOU")),"an ","a ")&amp;F139&amp;" team game? "&amp;IF(AL139&lt;&gt;"",AL139,IF(Offer!$C$5&lt;&gt;"",Offer!$C$5,"[NAME]")))&lt;=300,"Hi"&amp;IF(O139&lt;&gt;""," "&amp;O139,"")&amp;","&amp;" FC Urban runs after-work football for "&amp;IF(D139="Canary Wharf","Canary Wharf","City")&amp;" teams. We have a "&amp;AC139&amp;" pitch at "&amp;X139&amp;", "&amp;Y139&amp;" min from your office, "&amp;IF(ISNUMBER(AB139),TEXT(AB139,"ddd d mmm")&amp;", "&amp;TEXT(AB139,"hh:mm"),"weekday evenings")&amp;", "&amp;IF(AD139&lt;&gt;"","£"&amp;IF(AD139=INT(AD139),TEXT(AD139,"0"),TEXT(AD139,"0.00")),"[PRICE PER PLAYER]")&amp;" a player. We handle booking, sign-ups and payments. Fancy "&amp;IF(ISNUMBER(SEARCH(LEFT(F139,1),"AEIOU")),"an ","a ")&amp;F139&amp;" team game? "&amp;IF(AL139&lt;&gt;"",AL139,IF(Offer!$C$5&lt;&gt;"",Offer!$C$5,"[NAME]")),LEFT("Hi"&amp;IF(O139&lt;&gt;""," "&amp;O139,"")&amp;","&amp;" FC Urban runs after-work football for "&amp;IF(D139="Canary Wharf","Canary Wharf","City")&amp;" teams: "&amp;AC139&amp;" at "&amp;X139&amp;", "&amp;Y139&amp;" min from your office, "&amp;IF(ISNUMBER(AB139),TEXT(AB139,"ddd d mmm")&amp;", "&amp;TEXT(AB139,"hh:mm"),"weekday evenings")&amp;", "&amp;IF(AD139&lt;&gt;"","£"&amp;IF(AD139=INT(AD139),TEXT(AD139,"0"),TEXT(AD139,"0.00")),"[PRICE PER PLAYER]")&amp;" pp. We handle booking and payments. Up for a team game? "&amp;IF(AL139&lt;&gt;"",AL139,IF(Offer!$C$5&lt;&gt;"",Offer!$C$5,"[NAME]")),300))</f>
        <v/>
      </c>
      <c r="AI139" s="14">
        <f>LEN(AH139)</f>
        <v/>
      </c>
      <c r="AJ139" s="14">
        <f>"Thanks for connecting"&amp;IF(O139&lt;&gt;"",", "&amp;O139,"")&amp;". "&amp;IF(ISNUMBER(AB139),"The "&amp;AC139&amp;" slot at "&amp;X139&amp;" is "&amp;IF(ISNUMBER(AB139),TEXT(AB139,"ddd d mmm")&amp;", "&amp;TEXT(AB139,"hh:mm"),"weekday evenings"),"We can book "&amp;AC139&amp;" at "&amp;X139&amp;" on a weekday evening that suits you")&amp;" and it's "&amp;IF(AD139&lt;&gt;"","£"&amp;IF(AD139=INT(AD139),TEXT(AD139,"0"),TEXT(AD139,"0.00")),"[PRICE PER PLAYER]")&amp;" a player, all booked and paid through one link. If football isn't your thing, who at "&amp;F139&amp;" would be the right person to organise a team game?"&amp;IF(Offer!$C$7&lt;&gt;""," Spots are held until "&amp;TEXT(Offer!$C$7,"dddd d mmmm")&amp;".","")&amp;" "&amp;IF(Offer!$C$6&lt;&gt;"",Offer!$C$6,"[JOINING LINK]")</f>
        <v/>
      </c>
      <c r="AK139" s="14">
        <f>IF(OR(ISNUMBER(SEARCH("[",AG139)),ISNUMBER(SEARCH("[",AJ139))),"Fill placeholders",IF(ISNUMBER(AB139),"Ready to send","Ready · no fixed slot"))</f>
        <v/>
      </c>
      <c r="AN139" s="17" t="n"/>
    </row>
    <row r="140">
      <c r="A140" s="11" t="n">
        <v>138</v>
      </c>
      <c r="B140" s="11" t="n">
        <v>2</v>
      </c>
      <c r="C140" s="11" t="inlineStr">
        <is>
          <t>Fund / asset manager</t>
        </is>
      </c>
      <c r="D140" s="11" t="inlineStr">
        <is>
          <t>City of London</t>
        </is>
      </c>
      <c r="E140" s="11" t="inlineStr">
        <is>
          <t>Resonance Asset Management Limited</t>
        </is>
      </c>
      <c r="F140" s="11" t="inlineStr">
        <is>
          <t>Resonance Asset Management</t>
        </is>
      </c>
      <c r="G140" s="11" t="inlineStr">
        <is>
          <t>09028327</t>
        </is>
      </c>
      <c r="H140" s="12" t="inlineStr">
        <is>
          <t>Open</t>
        </is>
      </c>
      <c r="I140" s="12" t="inlineStr">
        <is>
          <t>Search</t>
        </is>
      </c>
      <c r="J140" s="11" t="inlineStr">
        <is>
          <t>Group</t>
        </is>
      </c>
      <c r="K140" s="13" t="n">
        <v>41766</v>
      </c>
      <c r="L140" s="11" t="inlineStr">
        <is>
          <t>Beaumont Bridge House, 181 Queen Victoria Street, London</t>
        </is>
      </c>
      <c r="M140" s="11" t="inlineStr">
        <is>
          <t>EC4V 4EG</t>
        </is>
      </c>
      <c r="N140" s="11" t="inlineStr">
        <is>
          <t>Yes</t>
        </is>
      </c>
      <c r="U140" s="11" t="inlineStr">
        <is>
          <t>Borough Academy</t>
        </is>
      </c>
      <c r="V140" s="11" t="n">
        <v>19</v>
      </c>
      <c r="W140" s="11" t="n"/>
      <c r="X140" s="11" t="inlineStr">
        <is>
          <t>Borough Academy</t>
        </is>
      </c>
      <c r="Y140" s="11" t="n">
        <v>19</v>
      </c>
      <c r="Z140" s="14">
        <f>IFERROR(INDEX(Venues!$E$2:$E$15,MATCH(X140,Venues!$A$2:$A$15,0)),"Not checked")</f>
        <v/>
      </c>
      <c r="AA140" s="14">
        <f>IFERROR(INDEX(Venues!$F$2:$F$15,MATCH(X140,Venues!$A$2:$A$15,0)),0)</f>
        <v/>
      </c>
      <c r="AB140" s="15">
        <f>IFERROR(INDEX(Venues!$M$2:$M$15,MATCH(X140,Venues!$A$2:$A$15,0)),"")</f>
        <v/>
      </c>
      <c r="AC140" s="14">
        <f>IFERROR(INDEX(Venues!$N$2:$N$15,MATCH(X140,Venues!$A$2:$A$15,0)),"5-a-side")</f>
        <v/>
      </c>
      <c r="AD140" s="16">
        <f>IF(Offer!$C$4="","",Offer!$C$4)</f>
        <v/>
      </c>
      <c r="AE140" s="14">
        <f>X140&amp;" ("&amp;Y140&amp;" min walk) · "&amp;IF(ISNUMBER(AB140),TEXT(AB140,"ddd d mmm, hh:mm"),"slot to confirm with venue")&amp;" · "&amp;AC140&amp;" · "&amp;IF(AD140&lt;&gt;"","£"&amp;TEXT(AD140,"0.00")&amp;" pp","price TBC")</f>
        <v/>
      </c>
      <c r="AF140" s="14">
        <f>"After-work football for "&amp;F140&amp;" · "&amp;X140&amp;", "&amp;Y140&amp;" min from your office"</f>
        <v/>
      </c>
      <c r="AG140" s="14">
        <f>"Hi"&amp;IF(O140&lt;&gt;""," "&amp;O140,"")&amp;","&amp;CHAR(10)&amp;CHAR(10)&amp;"I'm "&amp;IF(AL140&lt;&gt;"",AL140,IF(Offer!$C$5&lt;&gt;"",Offer!$C$5,"[NAME]"))&amp;" from FC Urban. We organise after-work football for teams in the City and Canary Wharf."&amp;CHAR(10)&amp;CHAR(10)&amp;"We have a "&amp;AC140&amp;" pitch at "&amp;X140&amp;", "&amp;IF(OR(Y140=8,Y140=11,Y140=18),"an ","a ")&amp;Y140&amp;"-minute walk from your "&amp;M140&amp;" office, "&amp;IF(ISNUMBER(AB140),"on "&amp;TEXT(AB140,"dddd d mmmm")&amp;" at "&amp;TEXT(AB140,"hh:mm"),"on a weekday evening that suits your team")&amp;". It's "&amp;IF(AD140&lt;&gt;"","£"&amp;IF(AD140=INT(AD140),TEXT(AD140,"0"),TEXT(AD140,"0.00")),"[PRICE PER PLAYER]")&amp;" a player and we handle the pitch booking, sign-ups and payments, so all it takes is one person sharing a link with the team."&amp;CHAR(10)&amp;CHAR(10)&amp;"It works well as a team social or "&amp;IF(ISNUMBER(SEARCH(LEFT(F140,1),"AEIOU")),"an ","a ")&amp;F140&amp;"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LINK]")&amp;CHAR(10)&amp;CHAR(10)&amp;"Best,"&amp;CHAR(10)&amp;IF(AL140&lt;&gt;"",AL140,IF(Offer!$C$5&lt;&gt;"",Offer!$C$5,"[NAME]"))&amp;CHAR(10)&amp;"FC Urban"</f>
        <v/>
      </c>
      <c r="AH140" s="14">
        <f>IF(LEN("Hi"&amp;IF(O140&lt;&gt;""," "&amp;O140,"")&amp;","&amp;" FC Urban runs after-work football for "&amp;IF(D140="Canary Wharf","Canary Wharf","City")&amp;" teams. We have a "&amp;AC140&amp;" pitch at "&amp;X140&amp;", "&amp;Y140&amp;" min from your office, "&amp;IF(ISNUMBER(AB140),TEXT(AB140,"ddd d mmm")&amp;", "&amp;TEXT(AB140,"hh:mm"),"weekday evenings")&amp;", "&amp;IF(AD140&lt;&gt;"","£"&amp;IF(AD140=INT(AD140),TEXT(AD140,"0"),TEXT(AD140,"0.00")),"[PRICE PER PLAYER]")&amp;" a player. We handle booking, sign-ups and payments. Fancy "&amp;IF(ISNUMBER(SEARCH(LEFT(F140,1),"AEIOU")),"an ","a ")&amp;F140&amp;" team game? "&amp;IF(AL140&lt;&gt;"",AL140,IF(Offer!$C$5&lt;&gt;"",Offer!$C$5,"[NAME]")))&lt;=300,"Hi"&amp;IF(O140&lt;&gt;""," "&amp;O140,"")&amp;","&amp;" FC Urban runs after-work football for "&amp;IF(D140="Canary Wharf","Canary Wharf","City")&amp;" teams. We have a "&amp;AC140&amp;" pitch at "&amp;X140&amp;", "&amp;Y140&amp;" min from your office, "&amp;IF(ISNUMBER(AB140),TEXT(AB140,"ddd d mmm")&amp;", "&amp;TEXT(AB140,"hh:mm"),"weekday evenings")&amp;", "&amp;IF(AD140&lt;&gt;"","£"&amp;IF(AD140=INT(AD140),TEXT(AD140,"0"),TEXT(AD140,"0.00")),"[PRICE PER PLAYER]")&amp;" a player. We handle booking, sign-ups and payments. Fancy "&amp;IF(ISNUMBER(SEARCH(LEFT(F140,1),"AEIOU")),"an ","a ")&amp;F140&amp;" team game? "&amp;IF(AL140&lt;&gt;"",AL140,IF(Offer!$C$5&lt;&gt;"",Offer!$C$5,"[NAME]")),LEFT("Hi"&amp;IF(O140&lt;&gt;""," "&amp;O140,"")&amp;","&amp;" FC Urban runs after-work football for "&amp;IF(D140="Canary Wharf","Canary Wharf","City")&amp;" teams: "&amp;AC140&amp;" at "&amp;X140&amp;", "&amp;Y140&amp;" min from your office, "&amp;IF(ISNUMBER(AB140),TEXT(AB140,"ddd d mmm")&amp;", "&amp;TEXT(AB140,"hh:mm"),"weekday evenings")&amp;", "&amp;IF(AD140&lt;&gt;"","£"&amp;IF(AD140=INT(AD140),TEXT(AD140,"0"),TEXT(AD140,"0.00")),"[PRICE PER PLAYER]")&amp;" pp. We handle booking and payments. Up for a team game? "&amp;IF(AL140&lt;&gt;"",AL140,IF(Offer!$C$5&lt;&gt;"",Offer!$C$5,"[NAME]")),300))</f>
        <v/>
      </c>
      <c r="AI140" s="14">
        <f>LEN(AH140)</f>
        <v/>
      </c>
      <c r="AJ140" s="14">
        <f>"Thanks for connecting"&amp;IF(O140&lt;&gt;"",", "&amp;O140,"")&amp;". "&amp;IF(ISNUMBER(AB140),"The "&amp;AC140&amp;" slot at "&amp;X140&amp;" is "&amp;IF(ISNUMBER(AB140),TEXT(AB140,"ddd d mmm")&amp;", "&amp;TEXT(AB140,"hh:mm"),"weekday evenings"),"We can book "&amp;AC140&amp;" at "&amp;X140&amp;" on a weekday evening that suits you")&amp;" and it's "&amp;IF(AD140&lt;&gt;"","£"&amp;IF(AD140=INT(AD140),TEXT(AD140,"0"),TEXT(AD140,"0.00")),"[PRICE PER PLAYER]")&amp;" a player, all booked and paid through one link. If football isn't your thing, who at "&amp;F140&amp;" would be the right person to organise a team game?"&amp;IF(Offer!$C$7&lt;&gt;""," Spots are held until "&amp;TEXT(Offer!$C$7,"dddd d mmmm")&amp;".","")&amp;" "&amp;IF(Offer!$C$6&lt;&gt;"",Offer!$C$6,"[JOINING LINK]")</f>
        <v/>
      </c>
      <c r="AK140" s="14">
        <f>IF(OR(ISNUMBER(SEARCH("[",AG140)),ISNUMBER(SEARCH("[",AJ140))),"Fill placeholders",IF(ISNUMBER(AB140),"Ready to send","Ready · no fixed slot"))</f>
        <v/>
      </c>
      <c r="AN140" s="17" t="n"/>
    </row>
    <row r="141">
      <c r="A141" s="11" t="n">
        <v>139</v>
      </c>
      <c r="B141" s="11" t="n">
        <v>2</v>
      </c>
      <c r="C141" s="11" t="inlineStr">
        <is>
          <t>Insurance / broker</t>
        </is>
      </c>
      <c r="D141" s="11" t="inlineStr">
        <is>
          <t>City of London</t>
        </is>
      </c>
      <c r="E141" s="11" t="inlineStr">
        <is>
          <t>Brit Group Holdings Limited</t>
        </is>
      </c>
      <c r="F141" s="11" t="inlineStr">
        <is>
          <t>Brit</t>
        </is>
      </c>
      <c r="G141" s="11" t="inlineStr">
        <is>
          <t>15884169</t>
        </is>
      </c>
      <c r="H141" s="12" t="inlineStr">
        <is>
          <t>Open</t>
        </is>
      </c>
      <c r="I141" s="12" t="inlineStr">
        <is>
          <t>Search</t>
        </is>
      </c>
      <c r="J141" s="11" t="inlineStr">
        <is>
          <t>Group</t>
        </is>
      </c>
      <c r="K141" s="13" t="n">
        <v>45511</v>
      </c>
      <c r="L141" s="11" t="inlineStr">
        <is>
          <t>122 Leadenhall Street, London</t>
        </is>
      </c>
      <c r="M141" s="11" t="inlineStr">
        <is>
          <t>EC3V 4AB</t>
        </is>
      </c>
      <c r="N141" s="11" t="inlineStr">
        <is>
          <t>No</t>
        </is>
      </c>
      <c r="U141" s="11" t="inlineStr">
        <is>
          <t>Liverpool St - Attlee Centre</t>
        </is>
      </c>
      <c r="V141" s="11" t="n">
        <v>13</v>
      </c>
      <c r="W141" s="11" t="inlineStr">
        <is>
          <t>Shoreditch Powerleague (18.7)</t>
        </is>
      </c>
      <c r="X141" s="11" t="inlineStr">
        <is>
          <t>Shoreditch Powerleague</t>
        </is>
      </c>
      <c r="Y141" s="11" t="n">
        <v>19</v>
      </c>
      <c r="Z141" s="14">
        <f>IFERROR(INDEX(Venues!$E$2:$E$15,MATCH(X141,Venues!$A$2:$A$15,0)),"Not checked")</f>
        <v/>
      </c>
      <c r="AA141" s="14">
        <f>IFERROR(INDEX(Venues!$F$2:$F$15,MATCH(X141,Venues!$A$2:$A$15,0)),0)</f>
        <v/>
      </c>
      <c r="AB141" s="15">
        <f>IFERROR(INDEX(Venues!$M$2:$M$15,MATCH(X141,Venues!$A$2:$A$15,0)),"")</f>
        <v/>
      </c>
      <c r="AC141" s="14">
        <f>IFERROR(INDEX(Venues!$N$2:$N$15,MATCH(X141,Venues!$A$2:$A$15,0)),"5-a-side")</f>
        <v/>
      </c>
      <c r="AD141" s="16">
        <f>IF(Offer!$C$4="","",Offer!$C$4)</f>
        <v/>
      </c>
      <c r="AE141" s="14">
        <f>X141&amp;" ("&amp;Y141&amp;" min walk) · "&amp;IF(ISNUMBER(AB141),TEXT(AB141,"ddd d mmm, hh:mm"),"slot to confirm with venue")&amp;" · "&amp;AC141&amp;" · "&amp;IF(AD141&lt;&gt;"","£"&amp;TEXT(AD141,"0.00")&amp;" pp","price TBC")</f>
        <v/>
      </c>
      <c r="AF141" s="14">
        <f>"After-work football for "&amp;F141&amp;" · "&amp;X141&amp;", "&amp;Y141&amp;" min from your office"</f>
        <v/>
      </c>
      <c r="AG141" s="14">
        <f>"Hi"&amp;IF(O141&lt;&gt;""," "&amp;O141,"")&amp;","&amp;CHAR(10)&amp;CHAR(10)&amp;"I'm "&amp;IF(AL141&lt;&gt;"",AL141,IF(Offer!$C$5&lt;&gt;"",Offer!$C$5,"[NAME]"))&amp;" from FC Urban. We organise after-work football for teams in the City and Canary Wharf."&amp;CHAR(10)&amp;CHAR(10)&amp;"We have a "&amp;AC141&amp;" pitch at "&amp;X141&amp;", "&amp;IF(OR(Y141=8,Y141=11,Y141=18),"an ","a ")&amp;Y141&amp;"-minute walk from your "&amp;M141&amp;" office, "&amp;IF(ISNUMBER(AB141),"on "&amp;TEXT(AB141,"dddd d mmmm")&amp;" at "&amp;TEXT(AB141,"hh:mm"),"on a weekday evening that suits your team")&amp;". It's "&amp;IF(AD141&lt;&gt;"","£"&amp;IF(AD141=INT(AD141),TEXT(AD141,"0"),TEXT(AD141,"0.00")),"[PRICE PER PLAYER]")&amp;" a player and we handle the pitch booking, sign-ups and payments, so all it takes is one person sharing a link with the team."&amp;CHAR(10)&amp;CHAR(10)&amp;"It works well as a team social or "&amp;IF(ISNUMBER(SEARCH(LEFT(F141,1),"AEIOU")),"an ","a ")&amp;F141&amp;"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LINK]")&amp;CHAR(10)&amp;CHAR(10)&amp;"Best,"&amp;CHAR(10)&amp;IF(AL141&lt;&gt;"",AL141,IF(Offer!$C$5&lt;&gt;"",Offer!$C$5,"[NAME]"))&amp;CHAR(10)&amp;"FC Urban"</f>
        <v/>
      </c>
      <c r="AH141" s="14">
        <f>IF(LEN("Hi"&amp;IF(O141&lt;&gt;""," "&amp;O141,"")&amp;","&amp;" FC Urban runs after-work football for "&amp;IF(D141="Canary Wharf","Canary Wharf","City")&amp;" teams. We have a "&amp;AC141&amp;" pitch at "&amp;X141&amp;", "&amp;Y141&amp;" min from your office, "&amp;IF(ISNUMBER(AB141),TEXT(AB141,"ddd d mmm")&amp;", "&amp;TEXT(AB141,"hh:mm"),"weekday evenings")&amp;", "&amp;IF(AD141&lt;&gt;"","£"&amp;IF(AD141=INT(AD141),TEXT(AD141,"0"),TEXT(AD141,"0.00")),"[PRICE PER PLAYER]")&amp;" a player. We handle booking, sign-ups and payments. Fancy "&amp;IF(ISNUMBER(SEARCH(LEFT(F141,1),"AEIOU")),"an ","a ")&amp;F141&amp;" team game? "&amp;IF(AL141&lt;&gt;"",AL141,IF(Offer!$C$5&lt;&gt;"",Offer!$C$5,"[NAME]")))&lt;=300,"Hi"&amp;IF(O141&lt;&gt;""," "&amp;O141,"")&amp;","&amp;" FC Urban runs after-work football for "&amp;IF(D141="Canary Wharf","Canary Wharf","City")&amp;" teams. We have a "&amp;AC141&amp;" pitch at "&amp;X141&amp;", "&amp;Y141&amp;" min from your office, "&amp;IF(ISNUMBER(AB141),TEXT(AB141,"ddd d mmm")&amp;", "&amp;TEXT(AB141,"hh:mm"),"weekday evenings")&amp;", "&amp;IF(AD141&lt;&gt;"","£"&amp;IF(AD141=INT(AD141),TEXT(AD141,"0"),TEXT(AD141,"0.00")),"[PRICE PER PLAYER]")&amp;" a player. We handle booking, sign-ups and payments. Fancy "&amp;IF(ISNUMBER(SEARCH(LEFT(F141,1),"AEIOU")),"an ","a ")&amp;F141&amp;" team game? "&amp;IF(AL141&lt;&gt;"",AL141,IF(Offer!$C$5&lt;&gt;"",Offer!$C$5,"[NAME]")),LEFT("Hi"&amp;IF(O141&lt;&gt;""," "&amp;O141,"")&amp;","&amp;" FC Urban runs after-work football for "&amp;IF(D141="Canary Wharf","Canary Wharf","City")&amp;" teams: "&amp;AC141&amp;" at "&amp;X141&amp;", "&amp;Y141&amp;" min from your office, "&amp;IF(ISNUMBER(AB141),TEXT(AB141,"ddd d mmm")&amp;", "&amp;TEXT(AB141,"hh:mm"),"weekday evenings")&amp;", "&amp;IF(AD141&lt;&gt;"","£"&amp;IF(AD141=INT(AD141),TEXT(AD141,"0"),TEXT(AD141,"0.00")),"[PRICE PER PLAYER]")&amp;" pp. We handle booking and payments. Up for a team game? "&amp;IF(AL141&lt;&gt;"",AL141,IF(Offer!$C$5&lt;&gt;"",Offer!$C$5,"[NAME]")),300))</f>
        <v/>
      </c>
      <c r="AI141" s="14">
        <f>LEN(AH141)</f>
        <v/>
      </c>
      <c r="AJ141" s="14">
        <f>"Thanks for connecting"&amp;IF(O141&lt;&gt;"",", "&amp;O141,"")&amp;". "&amp;IF(ISNUMBER(AB141),"The "&amp;AC141&amp;" slot at "&amp;X141&amp;" is "&amp;IF(ISNUMBER(AB141),TEXT(AB141,"ddd d mmm")&amp;", "&amp;TEXT(AB141,"hh:mm"),"weekday evenings"),"We can book "&amp;AC141&amp;" at "&amp;X141&amp;" on a weekday evening that suits you")&amp;" and it's "&amp;IF(AD141&lt;&gt;"","£"&amp;IF(AD141=INT(AD141),TEXT(AD141,"0"),TEXT(AD141,"0.00")),"[PRICE PER PLAYER]")&amp;" a player, all booked and paid through one link. If football isn't your thing, who at "&amp;F141&amp;" would be the right person to organise a team game?"&amp;IF(Offer!$C$7&lt;&gt;""," Spots are held until "&amp;TEXT(Offer!$C$7,"dddd d mmmm")&amp;".","")&amp;" "&amp;IF(Offer!$C$6&lt;&gt;"",Offer!$C$6,"[JOINING LINK]")</f>
        <v/>
      </c>
      <c r="AK141" s="14">
        <f>IF(OR(ISNUMBER(SEARCH("[",AG141)),ISNUMBER(SEARCH("[",AJ141))),"Fill placeholders",IF(ISNUMBER(AB141),"Ready to send","Ready · no fixed slot"))</f>
        <v/>
      </c>
      <c r="AN141" s="17" t="n"/>
    </row>
    <row r="142">
      <c r="A142" s="11" t="n">
        <v>140</v>
      </c>
      <c r="B142" s="11" t="n">
        <v>2</v>
      </c>
      <c r="C142" s="11" t="inlineStr">
        <is>
          <t>Insurance / broker</t>
        </is>
      </c>
      <c r="D142" s="11" t="inlineStr">
        <is>
          <t>City of London</t>
        </is>
      </c>
      <c r="E142" s="11" t="inlineStr">
        <is>
          <t>Pine Walk Capital Limited</t>
        </is>
      </c>
      <c r="F142" s="11" t="inlineStr">
        <is>
          <t>Pine Walk Capital</t>
        </is>
      </c>
      <c r="G142" s="11" t="inlineStr">
        <is>
          <t>10846939</t>
        </is>
      </c>
      <c r="H142" s="12" t="inlineStr">
        <is>
          <t>Open</t>
        </is>
      </c>
      <c r="I142" s="12" t="inlineStr">
        <is>
          <t>Search</t>
        </is>
      </c>
      <c r="J142" s="11" t="inlineStr">
        <is>
          <t>Group</t>
        </is>
      </c>
      <c r="K142" s="13" t="n">
        <v>42919</v>
      </c>
      <c r="L142" s="11" t="inlineStr">
        <is>
          <t>22 Bishopsgate Level 42, London</t>
        </is>
      </c>
      <c r="M142" s="11" t="inlineStr">
        <is>
          <t>EC2N 4BQ</t>
        </is>
      </c>
      <c r="N142" s="11" t="inlineStr">
        <is>
          <t>Yes</t>
        </is>
      </c>
      <c r="U142" s="11" t="inlineStr">
        <is>
          <t>Liverpool St - Attlee Centre</t>
        </is>
      </c>
      <c r="V142" s="11" t="n">
        <v>14</v>
      </c>
      <c r="W142" s="11" t="inlineStr">
        <is>
          <t>Shoreditch Powerleague (18.7)</t>
        </is>
      </c>
      <c r="X142" s="11" t="inlineStr">
        <is>
          <t>Shoreditch Powerleague</t>
        </is>
      </c>
      <c r="Y142" s="11" t="n">
        <v>19</v>
      </c>
      <c r="Z142" s="14">
        <f>IFERROR(INDEX(Venues!$E$2:$E$15,MATCH(X142,Venues!$A$2:$A$15,0)),"Not checked")</f>
        <v/>
      </c>
      <c r="AA142" s="14">
        <f>IFERROR(INDEX(Venues!$F$2:$F$15,MATCH(X142,Venues!$A$2:$A$15,0)),0)</f>
        <v/>
      </c>
      <c r="AB142" s="15">
        <f>IFERROR(INDEX(Venues!$M$2:$M$15,MATCH(X142,Venues!$A$2:$A$15,0)),"")</f>
        <v/>
      </c>
      <c r="AC142" s="14">
        <f>IFERROR(INDEX(Venues!$N$2:$N$15,MATCH(X142,Venues!$A$2:$A$15,0)),"5-a-side")</f>
        <v/>
      </c>
      <c r="AD142" s="16">
        <f>IF(Offer!$C$4="","",Offer!$C$4)</f>
        <v/>
      </c>
      <c r="AE142" s="14">
        <f>X142&amp;" ("&amp;Y142&amp;" min walk) · "&amp;IF(ISNUMBER(AB142),TEXT(AB142,"ddd d mmm, hh:mm"),"slot to confirm with venue")&amp;" · "&amp;AC142&amp;" · "&amp;IF(AD142&lt;&gt;"","£"&amp;TEXT(AD142,"0.00")&amp;" pp","price TBC")</f>
        <v/>
      </c>
      <c r="AF142" s="14">
        <f>"After-work football for "&amp;F142&amp;" · "&amp;X142&amp;", "&amp;Y142&amp;" min from your office"</f>
        <v/>
      </c>
      <c r="AG142" s="14">
        <f>"Hi"&amp;IF(O142&lt;&gt;""," "&amp;O142,"")&amp;","&amp;CHAR(10)&amp;CHAR(10)&amp;"I'm "&amp;IF(AL142&lt;&gt;"",AL142,IF(Offer!$C$5&lt;&gt;"",Offer!$C$5,"[NAME]"))&amp;" from FC Urban. We organise after-work football for teams in the City and Canary Wharf."&amp;CHAR(10)&amp;CHAR(10)&amp;"We have a "&amp;AC142&amp;" pitch at "&amp;X142&amp;", "&amp;IF(OR(Y142=8,Y142=11,Y142=18),"an ","a ")&amp;Y142&amp;"-minute walk from your "&amp;M142&amp;" office, "&amp;IF(ISNUMBER(AB142),"on "&amp;TEXT(AB142,"dddd d mmmm")&amp;" at "&amp;TEXT(AB142,"hh:mm"),"on a weekday evening that suits your team")&amp;". It's "&amp;IF(AD142&lt;&gt;"","£"&amp;IF(AD142=INT(AD142),TEXT(AD142,"0"),TEXT(AD142,"0.00")),"[PRICE PER PLAYER]")&amp;" a player and we handle the pitch booking, sign-ups and payments, so all it takes is one person sharing a link with the team."&amp;CHAR(10)&amp;CHAR(10)&amp;"It works well as a team social or "&amp;IF(ISNUMBER(SEARCH(LEFT(F142,1),"AEIOU")),"an ","a ")&amp;F142&amp;"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LINK]")&amp;CHAR(10)&amp;CHAR(10)&amp;"Best,"&amp;CHAR(10)&amp;IF(AL142&lt;&gt;"",AL142,IF(Offer!$C$5&lt;&gt;"",Offer!$C$5,"[NAME]"))&amp;CHAR(10)&amp;"FC Urban"</f>
        <v/>
      </c>
      <c r="AH142" s="14">
        <f>IF(LEN("Hi"&amp;IF(O142&lt;&gt;""," "&amp;O142,"")&amp;","&amp;" FC Urban runs after-work football for "&amp;IF(D142="Canary Wharf","Canary Wharf","City")&amp;" teams. We have a "&amp;AC142&amp;" pitch at "&amp;X142&amp;", "&amp;Y142&amp;" min from your office, "&amp;IF(ISNUMBER(AB142),TEXT(AB142,"ddd d mmm")&amp;", "&amp;TEXT(AB142,"hh:mm"),"weekday evenings")&amp;", "&amp;IF(AD142&lt;&gt;"","£"&amp;IF(AD142=INT(AD142),TEXT(AD142,"0"),TEXT(AD142,"0.00")),"[PRICE PER PLAYER]")&amp;" a player. We handle booking, sign-ups and payments. Fancy "&amp;IF(ISNUMBER(SEARCH(LEFT(F142,1),"AEIOU")),"an ","a ")&amp;F142&amp;" team game? "&amp;IF(AL142&lt;&gt;"",AL142,IF(Offer!$C$5&lt;&gt;"",Offer!$C$5,"[NAME]")))&lt;=300,"Hi"&amp;IF(O142&lt;&gt;""," "&amp;O142,"")&amp;","&amp;" FC Urban runs after-work football for "&amp;IF(D142="Canary Wharf","Canary Wharf","City")&amp;" teams. We have a "&amp;AC142&amp;" pitch at "&amp;X142&amp;", "&amp;Y142&amp;" min from your office, "&amp;IF(ISNUMBER(AB142),TEXT(AB142,"ddd d mmm")&amp;", "&amp;TEXT(AB142,"hh:mm"),"weekday evenings")&amp;", "&amp;IF(AD142&lt;&gt;"","£"&amp;IF(AD142=INT(AD142),TEXT(AD142,"0"),TEXT(AD142,"0.00")),"[PRICE PER PLAYER]")&amp;" a player. We handle booking, sign-ups and payments. Fancy "&amp;IF(ISNUMBER(SEARCH(LEFT(F142,1),"AEIOU")),"an ","a ")&amp;F142&amp;" team game? "&amp;IF(AL142&lt;&gt;"",AL142,IF(Offer!$C$5&lt;&gt;"",Offer!$C$5,"[NAME]")),LEFT("Hi"&amp;IF(O142&lt;&gt;""," "&amp;O142,"")&amp;","&amp;" FC Urban runs after-work football for "&amp;IF(D142="Canary Wharf","Canary Wharf","City")&amp;" teams: "&amp;AC142&amp;" at "&amp;X142&amp;", "&amp;Y142&amp;" min from your office, "&amp;IF(ISNUMBER(AB142),TEXT(AB142,"ddd d mmm")&amp;", "&amp;TEXT(AB142,"hh:mm"),"weekday evenings")&amp;", "&amp;IF(AD142&lt;&gt;"","£"&amp;IF(AD142=INT(AD142),TEXT(AD142,"0"),TEXT(AD142,"0.00")),"[PRICE PER PLAYER]")&amp;" pp. We handle booking and payments. Up for a team game? "&amp;IF(AL142&lt;&gt;"",AL142,IF(Offer!$C$5&lt;&gt;"",Offer!$C$5,"[NAME]")),300))</f>
        <v/>
      </c>
      <c r="AI142" s="14">
        <f>LEN(AH142)</f>
        <v/>
      </c>
      <c r="AJ142" s="14">
        <f>"Thanks for connecting"&amp;IF(O142&lt;&gt;"",", "&amp;O142,"")&amp;". "&amp;IF(ISNUMBER(AB142),"The "&amp;AC142&amp;" slot at "&amp;X142&amp;" is "&amp;IF(ISNUMBER(AB142),TEXT(AB142,"ddd d mmm")&amp;", "&amp;TEXT(AB142,"hh:mm"),"weekday evenings"),"We can book "&amp;AC142&amp;" at "&amp;X142&amp;" on a weekday evening that suits you")&amp;" and it's "&amp;IF(AD142&lt;&gt;"","£"&amp;IF(AD142=INT(AD142),TEXT(AD142,"0"),TEXT(AD142,"0.00")),"[PRICE PER PLAYER]")&amp;" a player, all booked and paid through one link. If football isn't your thing, who at "&amp;F142&amp;" would be the right person to organise a team game?"&amp;IF(Offer!$C$7&lt;&gt;""," Spots are held until "&amp;TEXT(Offer!$C$7,"dddd d mmmm")&amp;".","")&amp;" "&amp;IF(Offer!$C$6&lt;&gt;"",Offer!$C$6,"[JOINING LINK]")</f>
        <v/>
      </c>
      <c r="AK142" s="14">
        <f>IF(OR(ISNUMBER(SEARCH("[",AG142)),ISNUMBER(SEARCH("[",AJ142))),"Fill placeholders",IF(ISNUMBER(AB142),"Ready to send","Ready · no fixed slot"))</f>
        <v/>
      </c>
      <c r="AN142" s="17" t="n"/>
    </row>
    <row r="143">
      <c r="A143" s="11" t="n">
        <v>141</v>
      </c>
      <c r="B143" s="11" t="n">
        <v>2</v>
      </c>
      <c r="C143" s="11" t="inlineStr">
        <is>
          <t>Insurance / broker</t>
        </is>
      </c>
      <c r="D143" s="11" t="inlineStr">
        <is>
          <t>City of London</t>
        </is>
      </c>
      <c r="E143" s="11" t="inlineStr">
        <is>
          <t>Wealth Wizards Limited</t>
        </is>
      </c>
      <c r="F143" s="11" t="inlineStr">
        <is>
          <t>Wealth Wizards</t>
        </is>
      </c>
      <c r="G143" s="11" t="inlineStr">
        <is>
          <t>07014133</t>
        </is>
      </c>
      <c r="H143" s="12" t="inlineStr">
        <is>
          <t>Open</t>
        </is>
      </c>
      <c r="I143" s="12" t="inlineStr">
        <is>
          <t>Search</t>
        </is>
      </c>
      <c r="J143" s="11" t="inlineStr">
        <is>
          <t>Group</t>
        </is>
      </c>
      <c r="K143" s="13" t="n">
        <v>40065</v>
      </c>
      <c r="L143" s="11" t="inlineStr">
        <is>
          <t>80 Fenchurch Street, London</t>
        </is>
      </c>
      <c r="M143" s="11" t="inlineStr">
        <is>
          <t>EC3M 4BY</t>
        </is>
      </c>
      <c r="N143" s="11" t="inlineStr">
        <is>
          <t>No</t>
        </is>
      </c>
      <c r="U143" s="11" t="inlineStr">
        <is>
          <t>Liverpool St - Attlee Centre</t>
        </is>
      </c>
      <c r="V143" s="11" t="n">
        <v>10</v>
      </c>
      <c r="W143" s="11" t="inlineStr">
        <is>
          <t>Shoreditch Powerleague (18.7)</t>
        </is>
      </c>
      <c r="X143" s="11" t="inlineStr">
        <is>
          <t>Shoreditch Powerleague</t>
        </is>
      </c>
      <c r="Y143" s="11" t="n">
        <v>19</v>
      </c>
      <c r="Z143" s="14">
        <f>IFERROR(INDEX(Venues!$E$2:$E$15,MATCH(X143,Venues!$A$2:$A$15,0)),"Not checked")</f>
        <v/>
      </c>
      <c r="AA143" s="14">
        <f>IFERROR(INDEX(Venues!$F$2:$F$15,MATCH(X143,Venues!$A$2:$A$15,0)),0)</f>
        <v/>
      </c>
      <c r="AB143" s="15">
        <f>IFERROR(INDEX(Venues!$M$2:$M$15,MATCH(X143,Venues!$A$2:$A$15,0)),"")</f>
        <v/>
      </c>
      <c r="AC143" s="14">
        <f>IFERROR(INDEX(Venues!$N$2:$N$15,MATCH(X143,Venues!$A$2:$A$15,0)),"5-a-side")</f>
        <v/>
      </c>
      <c r="AD143" s="16">
        <f>IF(Offer!$C$4="","",Offer!$C$4)</f>
        <v/>
      </c>
      <c r="AE143" s="14">
        <f>X143&amp;" ("&amp;Y143&amp;" min walk) · "&amp;IF(ISNUMBER(AB143),TEXT(AB143,"ddd d mmm, hh:mm"),"slot to confirm with venue")&amp;" · "&amp;AC143&amp;" · "&amp;IF(AD143&lt;&gt;"","£"&amp;TEXT(AD143,"0.00")&amp;" pp","price TBC")</f>
        <v/>
      </c>
      <c r="AF143" s="14">
        <f>"After-work football for "&amp;F143&amp;" · "&amp;X143&amp;", "&amp;Y143&amp;" min from your office"</f>
        <v/>
      </c>
      <c r="AG143" s="14">
        <f>"Hi"&amp;IF(O143&lt;&gt;""," "&amp;O143,"")&amp;","&amp;CHAR(10)&amp;CHAR(10)&amp;"I'm "&amp;IF(AL143&lt;&gt;"",AL143,IF(Offer!$C$5&lt;&gt;"",Offer!$C$5,"[NAME]"))&amp;" from FC Urban. We organise after-work football for teams in the City and Canary Wharf."&amp;CHAR(10)&amp;CHAR(10)&amp;"We have a "&amp;AC143&amp;" pitch at "&amp;X143&amp;", "&amp;IF(OR(Y143=8,Y143=11,Y143=18),"an ","a ")&amp;Y143&amp;"-minute walk from your "&amp;M143&amp;" office, "&amp;IF(ISNUMBER(AB143),"on "&amp;TEXT(AB143,"dddd d mmmm")&amp;" at "&amp;TEXT(AB143,"hh:mm"),"on a weekday evening that suits your team")&amp;". It's "&amp;IF(AD143&lt;&gt;"","£"&amp;IF(AD143=INT(AD143),TEXT(AD143,"0"),TEXT(AD143,"0.00")),"[PRICE PER PLAYER]")&amp;" a player and we handle the pitch booking, sign-ups and payments, so all it takes is one person sharing a link with the team."&amp;CHAR(10)&amp;CHAR(10)&amp;"It works well as a team social or "&amp;IF(ISNUMBER(SEARCH(LEFT(F143,1),"AEIOU")),"an ","a ")&amp;F143&amp;"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LINK]")&amp;CHAR(10)&amp;CHAR(10)&amp;"Best,"&amp;CHAR(10)&amp;IF(AL143&lt;&gt;"",AL143,IF(Offer!$C$5&lt;&gt;"",Offer!$C$5,"[NAME]"))&amp;CHAR(10)&amp;"FC Urban"</f>
        <v/>
      </c>
      <c r="AH143" s="14">
        <f>IF(LEN("Hi"&amp;IF(O143&lt;&gt;""," "&amp;O143,"")&amp;","&amp;" FC Urban runs after-work football for "&amp;IF(D143="Canary Wharf","Canary Wharf","City")&amp;" teams. We have a "&amp;AC143&amp;" pitch at "&amp;X143&amp;", "&amp;Y143&amp;" min from your office, "&amp;IF(ISNUMBER(AB143),TEXT(AB143,"ddd d mmm")&amp;", "&amp;TEXT(AB143,"hh:mm"),"weekday evenings")&amp;", "&amp;IF(AD143&lt;&gt;"","£"&amp;IF(AD143=INT(AD143),TEXT(AD143,"0"),TEXT(AD143,"0.00")),"[PRICE PER PLAYER]")&amp;" a player. We handle booking, sign-ups and payments. Fancy "&amp;IF(ISNUMBER(SEARCH(LEFT(F143,1),"AEIOU")),"an ","a ")&amp;F143&amp;" team game? "&amp;IF(AL143&lt;&gt;"",AL143,IF(Offer!$C$5&lt;&gt;"",Offer!$C$5,"[NAME]")))&lt;=300,"Hi"&amp;IF(O143&lt;&gt;""," "&amp;O143,"")&amp;","&amp;" FC Urban runs after-work football for "&amp;IF(D143="Canary Wharf","Canary Wharf","City")&amp;" teams. We have a "&amp;AC143&amp;" pitch at "&amp;X143&amp;", "&amp;Y143&amp;" min from your office, "&amp;IF(ISNUMBER(AB143),TEXT(AB143,"ddd d mmm")&amp;", "&amp;TEXT(AB143,"hh:mm"),"weekday evenings")&amp;", "&amp;IF(AD143&lt;&gt;"","£"&amp;IF(AD143=INT(AD143),TEXT(AD143,"0"),TEXT(AD143,"0.00")),"[PRICE PER PLAYER]")&amp;" a player. We handle booking, sign-ups and payments. Fancy "&amp;IF(ISNUMBER(SEARCH(LEFT(F143,1),"AEIOU")),"an ","a ")&amp;F143&amp;" team game? "&amp;IF(AL143&lt;&gt;"",AL143,IF(Offer!$C$5&lt;&gt;"",Offer!$C$5,"[NAME]")),LEFT("Hi"&amp;IF(O143&lt;&gt;""," "&amp;O143,"")&amp;","&amp;" FC Urban runs after-work football for "&amp;IF(D143="Canary Wharf","Canary Wharf","City")&amp;" teams: "&amp;AC143&amp;" at "&amp;X143&amp;", "&amp;Y143&amp;" min from your office, "&amp;IF(ISNUMBER(AB143),TEXT(AB143,"ddd d mmm")&amp;", "&amp;TEXT(AB143,"hh:mm"),"weekday evenings")&amp;", "&amp;IF(AD143&lt;&gt;"","£"&amp;IF(AD143=INT(AD143),TEXT(AD143,"0"),TEXT(AD143,"0.00")),"[PRICE PER PLAYER]")&amp;" pp. We handle booking and payments. Up for a team game? "&amp;IF(AL143&lt;&gt;"",AL143,IF(Offer!$C$5&lt;&gt;"",Offer!$C$5,"[NAME]")),300))</f>
        <v/>
      </c>
      <c r="AI143" s="14">
        <f>LEN(AH143)</f>
        <v/>
      </c>
      <c r="AJ143" s="14">
        <f>"Thanks for connecting"&amp;IF(O143&lt;&gt;"",", "&amp;O143,"")&amp;". "&amp;IF(ISNUMBER(AB143),"The "&amp;AC143&amp;" slot at "&amp;X143&amp;" is "&amp;IF(ISNUMBER(AB143),TEXT(AB143,"ddd d mmm")&amp;", "&amp;TEXT(AB143,"hh:mm"),"weekday evenings"),"We can book "&amp;AC143&amp;" at "&amp;X143&amp;" on a weekday evening that suits you")&amp;" and it's "&amp;IF(AD143&lt;&gt;"","£"&amp;IF(AD143=INT(AD143),TEXT(AD143,"0"),TEXT(AD143,"0.00")),"[PRICE PER PLAYER]")&amp;" a player, all booked and paid through one link. If football isn't your thing, who at "&amp;F143&amp;" would be the right person to organise a team game?"&amp;IF(Offer!$C$7&lt;&gt;""," Spots are held until "&amp;TEXT(Offer!$C$7,"dddd d mmmm")&amp;".","")&amp;" "&amp;IF(Offer!$C$6&lt;&gt;"",Offer!$C$6,"[JOINING LINK]")</f>
        <v/>
      </c>
      <c r="AK143" s="14">
        <f>IF(OR(ISNUMBER(SEARCH("[",AG143)),ISNUMBER(SEARCH("[",AJ143))),"Fill placeholders",IF(ISNUMBER(AB143),"Ready to send","Ready · no fixed slot"))</f>
        <v/>
      </c>
      <c r="AN143" s="17" t="n"/>
    </row>
    <row r="144">
      <c r="A144" s="11" t="n">
        <v>142</v>
      </c>
      <c r="B144" s="11" t="n">
        <v>2</v>
      </c>
      <c r="C144" s="11" t="inlineStr">
        <is>
          <t>Fund / asset manager</t>
        </is>
      </c>
      <c r="D144" s="11" t="inlineStr">
        <is>
          <t>City of London</t>
        </is>
      </c>
      <c r="E144" s="11" t="inlineStr">
        <is>
          <t>Epic Investment Partners LLP</t>
        </is>
      </c>
      <c r="F144" s="11" t="inlineStr">
        <is>
          <t>Epic Investment Partners</t>
        </is>
      </c>
      <c r="G144" s="11" t="inlineStr">
        <is>
          <t>OC318938</t>
        </is>
      </c>
      <c r="H144" s="12" t="inlineStr">
        <is>
          <t>Open</t>
        </is>
      </c>
      <c r="I144" s="12" t="inlineStr">
        <is>
          <t>Search</t>
        </is>
      </c>
      <c r="J144" s="11" t="inlineStr">
        <is>
          <t>Group</t>
        </is>
      </c>
      <c r="K144" s="13" t="n">
        <v>38813</v>
      </c>
      <c r="L144" s="11" t="inlineStr">
        <is>
          <t>Audrey House, 16-20 Ely Place, London</t>
        </is>
      </c>
      <c r="M144" s="11" t="inlineStr">
        <is>
          <t>EC1N 6SN</t>
        </is>
      </c>
      <c r="N144" s="11" t="inlineStr">
        <is>
          <t>No</t>
        </is>
      </c>
      <c r="U144" s="11" t="inlineStr">
        <is>
          <t>St Pancras - Coram's Fields 3G</t>
        </is>
      </c>
      <c r="V144" s="11" t="n">
        <v>19</v>
      </c>
      <c r="W144" s="11" t="n"/>
      <c r="X144" s="11" t="inlineStr">
        <is>
          <t>St Pancras - Coram's Fields 3G</t>
        </is>
      </c>
      <c r="Y144" s="11" t="n">
        <v>19</v>
      </c>
      <c r="Z144" s="14">
        <f>IFERROR(INDEX(Venues!$E$2:$E$15,MATCH(X144,Venues!$A$2:$A$15,0)),"Not checked")</f>
        <v/>
      </c>
      <c r="AA144" s="14">
        <f>IFERROR(INDEX(Venues!$F$2:$F$15,MATCH(X144,Venues!$A$2:$A$15,0)),0)</f>
        <v/>
      </c>
      <c r="AB144" s="15">
        <f>IFERROR(INDEX(Venues!$M$2:$M$15,MATCH(X144,Venues!$A$2:$A$15,0)),"")</f>
        <v/>
      </c>
      <c r="AC144" s="14">
        <f>IFERROR(INDEX(Venues!$N$2:$N$15,MATCH(X144,Venues!$A$2:$A$15,0)),"5-a-side")</f>
        <v/>
      </c>
      <c r="AD144" s="16">
        <f>IF(Offer!$C$4="","",Offer!$C$4)</f>
        <v/>
      </c>
      <c r="AE144" s="14">
        <f>X144&amp;" ("&amp;Y144&amp;" min walk) · "&amp;IF(ISNUMBER(AB144),TEXT(AB144,"ddd d mmm, hh:mm"),"slot to confirm with venue")&amp;" · "&amp;AC144&amp;" · "&amp;IF(AD144&lt;&gt;"","£"&amp;TEXT(AD144,"0.00")&amp;" pp","price TBC")</f>
        <v/>
      </c>
      <c r="AF144" s="14">
        <f>"After-work football for "&amp;F144&amp;" · "&amp;X144&amp;", "&amp;Y144&amp;" min from your office"</f>
        <v/>
      </c>
      <c r="AG144" s="14">
        <f>"Hi"&amp;IF(O144&lt;&gt;""," "&amp;O144,"")&amp;","&amp;CHAR(10)&amp;CHAR(10)&amp;"I'm "&amp;IF(AL144&lt;&gt;"",AL144,IF(Offer!$C$5&lt;&gt;"",Offer!$C$5,"[NAME]"))&amp;" from FC Urban. We organise after-work football for teams in the City and Canary Wharf."&amp;CHAR(10)&amp;CHAR(10)&amp;"We have a "&amp;AC144&amp;" pitch at "&amp;X144&amp;", "&amp;IF(OR(Y144=8,Y144=11,Y144=18),"an ","a ")&amp;Y144&amp;"-minute walk from your "&amp;M144&amp;" office, "&amp;IF(ISNUMBER(AB144),"on "&amp;TEXT(AB144,"dddd d mmmm")&amp;" at "&amp;TEXT(AB144,"hh:mm"),"on a weekday evening that suits your team")&amp;". It's "&amp;IF(AD144&lt;&gt;"","£"&amp;IF(AD144=INT(AD144),TEXT(AD144,"0"),TEXT(AD144,"0.00")),"[PRICE PER PLAYER]")&amp;" a player and we handle the pitch booking, sign-ups and payments, so all it takes is one person sharing a link with the team."&amp;CHAR(10)&amp;CHAR(10)&amp;"It works well as a team social or "&amp;IF(ISNUMBER(SEARCH(LEFT(F144,1),"AEIOU")),"an ","a ")&amp;F144&amp;"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LINK]")&amp;CHAR(10)&amp;CHAR(10)&amp;"Best,"&amp;CHAR(10)&amp;IF(AL144&lt;&gt;"",AL144,IF(Offer!$C$5&lt;&gt;"",Offer!$C$5,"[NAME]"))&amp;CHAR(10)&amp;"FC Urban"</f>
        <v/>
      </c>
      <c r="AH144" s="14">
        <f>IF(LEN("Hi"&amp;IF(O144&lt;&gt;""," "&amp;O144,"")&amp;","&amp;" FC Urban runs after-work football for "&amp;IF(D144="Canary Wharf","Canary Wharf","City")&amp;" teams. We have a "&amp;AC144&amp;" pitch at "&amp;X144&amp;", "&amp;Y144&amp;" min from your office, "&amp;IF(ISNUMBER(AB144),TEXT(AB144,"ddd d mmm")&amp;", "&amp;TEXT(AB144,"hh:mm"),"weekday evenings")&amp;", "&amp;IF(AD144&lt;&gt;"","£"&amp;IF(AD144=INT(AD144),TEXT(AD144,"0"),TEXT(AD144,"0.00")),"[PRICE PER PLAYER]")&amp;" a player. We handle booking, sign-ups and payments. Fancy "&amp;IF(ISNUMBER(SEARCH(LEFT(F144,1),"AEIOU")),"an ","a ")&amp;F144&amp;" team game? "&amp;IF(AL144&lt;&gt;"",AL144,IF(Offer!$C$5&lt;&gt;"",Offer!$C$5,"[NAME]")))&lt;=300,"Hi"&amp;IF(O144&lt;&gt;""," "&amp;O144,"")&amp;","&amp;" FC Urban runs after-work football for "&amp;IF(D144="Canary Wharf","Canary Wharf","City")&amp;" teams. We have a "&amp;AC144&amp;" pitch at "&amp;X144&amp;", "&amp;Y144&amp;" min from your office, "&amp;IF(ISNUMBER(AB144),TEXT(AB144,"ddd d mmm")&amp;", "&amp;TEXT(AB144,"hh:mm"),"weekday evenings")&amp;", "&amp;IF(AD144&lt;&gt;"","£"&amp;IF(AD144=INT(AD144),TEXT(AD144,"0"),TEXT(AD144,"0.00")),"[PRICE PER PLAYER]")&amp;" a player. We handle booking, sign-ups and payments. Fancy "&amp;IF(ISNUMBER(SEARCH(LEFT(F144,1),"AEIOU")),"an ","a ")&amp;F144&amp;" team game? "&amp;IF(AL144&lt;&gt;"",AL144,IF(Offer!$C$5&lt;&gt;"",Offer!$C$5,"[NAME]")),LEFT("Hi"&amp;IF(O144&lt;&gt;""," "&amp;O144,"")&amp;","&amp;" FC Urban runs after-work football for "&amp;IF(D144="Canary Wharf","Canary Wharf","City")&amp;" teams: "&amp;AC144&amp;" at "&amp;X144&amp;", "&amp;Y144&amp;" min from your office, "&amp;IF(ISNUMBER(AB144),TEXT(AB144,"ddd d mmm")&amp;", "&amp;TEXT(AB144,"hh:mm"),"weekday evenings")&amp;", "&amp;IF(AD144&lt;&gt;"","£"&amp;IF(AD144=INT(AD144),TEXT(AD144,"0"),TEXT(AD144,"0.00")),"[PRICE PER PLAYER]")&amp;" pp. We handle booking and payments. Up for a team game? "&amp;IF(AL144&lt;&gt;"",AL144,IF(Offer!$C$5&lt;&gt;"",Offer!$C$5,"[NAME]")),300))</f>
        <v/>
      </c>
      <c r="AI144" s="14">
        <f>LEN(AH144)</f>
        <v/>
      </c>
      <c r="AJ144" s="14">
        <f>"Thanks for connecting"&amp;IF(O144&lt;&gt;"",", "&amp;O144,"")&amp;". "&amp;IF(ISNUMBER(AB144),"The "&amp;AC144&amp;" slot at "&amp;X144&amp;" is "&amp;IF(ISNUMBER(AB144),TEXT(AB144,"ddd d mmm")&amp;", "&amp;TEXT(AB144,"hh:mm"),"weekday evenings"),"We can book "&amp;AC144&amp;" at "&amp;X144&amp;" on a weekday evening that suits you")&amp;" and it's "&amp;IF(AD144&lt;&gt;"","£"&amp;IF(AD144=INT(AD144),TEXT(AD144,"0"),TEXT(AD144,"0.00")),"[PRICE PER PLAYER]")&amp;" a player, all booked and paid through one link. If football isn't your thing, who at "&amp;F144&amp;" would be the right person to organise a team game?"&amp;IF(Offer!$C$7&lt;&gt;""," Spots are held until "&amp;TEXT(Offer!$C$7,"dddd d mmmm")&amp;".","")&amp;" "&amp;IF(Offer!$C$6&lt;&gt;"",Offer!$C$6,"[JOINING LINK]")</f>
        <v/>
      </c>
      <c r="AK144" s="14">
        <f>IF(OR(ISNUMBER(SEARCH("[",AG144)),ISNUMBER(SEARCH("[",AJ144))),"Fill placeholders",IF(ISNUMBER(AB144),"Ready to send","Ready · no fixed slot"))</f>
        <v/>
      </c>
      <c r="AN144" s="17" t="n"/>
    </row>
    <row r="145">
      <c r="A145" s="11" t="n">
        <v>143</v>
      </c>
      <c r="B145" s="11" t="n">
        <v>3</v>
      </c>
      <c r="C145" s="11" t="inlineStr">
        <is>
          <t>Fund / asset manager</t>
        </is>
      </c>
      <c r="D145" s="11" t="inlineStr">
        <is>
          <t>City of London</t>
        </is>
      </c>
      <c r="E145" s="11" t="inlineStr">
        <is>
          <t>Evolution Markets Limited</t>
        </is>
      </c>
      <c r="F145" s="11" t="inlineStr">
        <is>
          <t>Evolution Markets</t>
        </is>
      </c>
      <c r="G145" s="11" t="inlineStr">
        <is>
          <t>04679177</t>
        </is>
      </c>
      <c r="H145" s="12" t="inlineStr">
        <is>
          <t>Open</t>
        </is>
      </c>
      <c r="I145" s="12" t="inlineStr">
        <is>
          <t>Search</t>
        </is>
      </c>
      <c r="J145" s="11" t="inlineStr">
        <is>
          <t>Full</t>
        </is>
      </c>
      <c r="K145" s="13" t="n">
        <v>37678</v>
      </c>
      <c r="L145" s="11" t="inlineStr">
        <is>
          <t>1 Blossom Yard, Fourth Floor, London</t>
        </is>
      </c>
      <c r="M145" s="11" t="inlineStr">
        <is>
          <t>E1 6RS</t>
        </is>
      </c>
      <c r="N145" s="11" t="inlineStr">
        <is>
          <t>No</t>
        </is>
      </c>
      <c r="U145" s="11" t="inlineStr">
        <is>
          <t>Shoreditch Powerleague</t>
        </is>
      </c>
      <c r="V145" s="11" t="n">
        <v>4</v>
      </c>
      <c r="W145" s="11" t="inlineStr">
        <is>
          <t>Liverpool St - Attlee Centre (8.6)</t>
        </is>
      </c>
      <c r="X145" s="11" t="inlineStr">
        <is>
          <t>Shoreditch Powerleague</t>
        </is>
      </c>
      <c r="Y145" s="11" t="n">
        <v>4</v>
      </c>
      <c r="Z145" s="14">
        <f>IFERROR(INDEX(Venues!$E$2:$E$15,MATCH(X145,Venues!$A$2:$A$15,0)),"Not checked")</f>
        <v/>
      </c>
      <c r="AA145" s="14">
        <f>IFERROR(INDEX(Venues!$F$2:$F$15,MATCH(X145,Venues!$A$2:$A$15,0)),0)</f>
        <v/>
      </c>
      <c r="AB145" s="15">
        <f>IFERROR(INDEX(Venues!$M$2:$M$15,MATCH(X145,Venues!$A$2:$A$15,0)),"")</f>
        <v/>
      </c>
      <c r="AC145" s="14">
        <f>IFERROR(INDEX(Venues!$N$2:$N$15,MATCH(X145,Venues!$A$2:$A$15,0)),"5-a-side")</f>
        <v/>
      </c>
      <c r="AD145" s="16">
        <f>IF(Offer!$C$4="","",Offer!$C$4)</f>
        <v/>
      </c>
      <c r="AE145" s="14">
        <f>X145&amp;" ("&amp;Y145&amp;" min walk) · "&amp;IF(ISNUMBER(AB145),TEXT(AB145,"ddd d mmm, hh:mm"),"slot to confirm with venue")&amp;" · "&amp;AC145&amp;" · "&amp;IF(AD145&lt;&gt;"","£"&amp;TEXT(AD145,"0.00")&amp;" pp","price TBC")</f>
        <v/>
      </c>
      <c r="AF145" s="14">
        <f>"After-work football for "&amp;F145&amp;" · "&amp;X145&amp;", "&amp;Y145&amp;" min from your office"</f>
        <v/>
      </c>
      <c r="AG145" s="14">
        <f>"Hi"&amp;IF(O145&lt;&gt;""," "&amp;O145,"")&amp;","&amp;CHAR(10)&amp;CHAR(10)&amp;"I'm "&amp;IF(AL145&lt;&gt;"",AL145,IF(Offer!$C$5&lt;&gt;"",Offer!$C$5,"[NAME]"))&amp;" from FC Urban. We organise after-work football for teams in the City and Canary Wharf."&amp;CHAR(10)&amp;CHAR(10)&amp;"We have a "&amp;AC145&amp;" pitch at "&amp;X145&amp;", "&amp;IF(OR(Y145=8,Y145=11,Y145=18),"an ","a ")&amp;Y145&amp;"-minute walk from your "&amp;M145&amp;" office, "&amp;IF(ISNUMBER(AB145),"on "&amp;TEXT(AB145,"dddd d mmmm")&amp;" at "&amp;TEXT(AB145,"hh:mm"),"on a weekday evening that suits your team")&amp;". It's "&amp;IF(AD145&lt;&gt;"","£"&amp;IF(AD145=INT(AD145),TEXT(AD145,"0"),TEXT(AD145,"0.00")),"[PRICE PER PLAYER]")&amp;" a player and we handle the pitch booking, sign-ups and payments, so all it takes is one person sharing a link with the team."&amp;CHAR(10)&amp;CHAR(10)&amp;"It works well as a team social or "&amp;IF(ISNUMBER(SEARCH(LEFT(F145,1),"AEIOU")),"an ","a ")&amp;F145&amp;"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LINK]")&amp;CHAR(10)&amp;CHAR(10)&amp;"Best,"&amp;CHAR(10)&amp;IF(AL145&lt;&gt;"",AL145,IF(Offer!$C$5&lt;&gt;"",Offer!$C$5,"[NAME]"))&amp;CHAR(10)&amp;"FC Urban"</f>
        <v/>
      </c>
      <c r="AH145" s="14">
        <f>IF(LEN("Hi"&amp;IF(O145&lt;&gt;""," "&amp;O145,"")&amp;","&amp;" FC Urban runs after-work football for "&amp;IF(D145="Canary Wharf","Canary Wharf","City")&amp;" teams. We have a "&amp;AC145&amp;" pitch at "&amp;X145&amp;", "&amp;Y145&amp;" min from your office, "&amp;IF(ISNUMBER(AB145),TEXT(AB145,"ddd d mmm")&amp;", "&amp;TEXT(AB145,"hh:mm"),"weekday evenings")&amp;", "&amp;IF(AD145&lt;&gt;"","£"&amp;IF(AD145=INT(AD145),TEXT(AD145,"0"),TEXT(AD145,"0.00")),"[PRICE PER PLAYER]")&amp;" a player. We handle booking, sign-ups and payments. Fancy "&amp;IF(ISNUMBER(SEARCH(LEFT(F145,1),"AEIOU")),"an ","a ")&amp;F145&amp;" team game? "&amp;IF(AL145&lt;&gt;"",AL145,IF(Offer!$C$5&lt;&gt;"",Offer!$C$5,"[NAME]")))&lt;=300,"Hi"&amp;IF(O145&lt;&gt;""," "&amp;O145,"")&amp;","&amp;" FC Urban runs after-work football for "&amp;IF(D145="Canary Wharf","Canary Wharf","City")&amp;" teams. We have a "&amp;AC145&amp;" pitch at "&amp;X145&amp;", "&amp;Y145&amp;" min from your office, "&amp;IF(ISNUMBER(AB145),TEXT(AB145,"ddd d mmm")&amp;", "&amp;TEXT(AB145,"hh:mm"),"weekday evenings")&amp;", "&amp;IF(AD145&lt;&gt;"","£"&amp;IF(AD145=INT(AD145),TEXT(AD145,"0"),TEXT(AD145,"0.00")),"[PRICE PER PLAYER]")&amp;" a player. We handle booking, sign-ups and payments. Fancy "&amp;IF(ISNUMBER(SEARCH(LEFT(F145,1),"AEIOU")),"an ","a ")&amp;F145&amp;" team game? "&amp;IF(AL145&lt;&gt;"",AL145,IF(Offer!$C$5&lt;&gt;"",Offer!$C$5,"[NAME]")),LEFT("Hi"&amp;IF(O145&lt;&gt;""," "&amp;O145,"")&amp;","&amp;" FC Urban runs after-work football for "&amp;IF(D145="Canary Wharf","Canary Wharf","City")&amp;" teams: "&amp;AC145&amp;" at "&amp;X145&amp;", "&amp;Y145&amp;" min from your office, "&amp;IF(ISNUMBER(AB145),TEXT(AB145,"ddd d mmm")&amp;", "&amp;TEXT(AB145,"hh:mm"),"weekday evenings")&amp;", "&amp;IF(AD145&lt;&gt;"","£"&amp;IF(AD145=INT(AD145),TEXT(AD145,"0"),TEXT(AD145,"0.00")),"[PRICE PER PLAYER]")&amp;" pp. We handle booking and payments. Up for a team game? "&amp;IF(AL145&lt;&gt;"",AL145,IF(Offer!$C$5&lt;&gt;"",Offer!$C$5,"[NAME]")),300))</f>
        <v/>
      </c>
      <c r="AI145" s="14">
        <f>LEN(AH145)</f>
        <v/>
      </c>
      <c r="AJ145" s="14">
        <f>"Thanks for connecting"&amp;IF(O145&lt;&gt;"",", "&amp;O145,"")&amp;". "&amp;IF(ISNUMBER(AB145),"The "&amp;AC145&amp;" slot at "&amp;X145&amp;" is "&amp;IF(ISNUMBER(AB145),TEXT(AB145,"ddd d mmm")&amp;", "&amp;TEXT(AB145,"hh:mm"),"weekday evenings"),"We can book "&amp;AC145&amp;" at "&amp;X145&amp;" on a weekday evening that suits you")&amp;" and it's "&amp;IF(AD145&lt;&gt;"","£"&amp;IF(AD145=INT(AD145),TEXT(AD145,"0"),TEXT(AD145,"0.00")),"[PRICE PER PLAYER]")&amp;" a player, all booked and paid through one link. If football isn't your thing, who at "&amp;F145&amp;" would be the right person to organise a team game?"&amp;IF(Offer!$C$7&lt;&gt;""," Spots are held until "&amp;TEXT(Offer!$C$7,"dddd d mmmm")&amp;".","")&amp;" "&amp;IF(Offer!$C$6&lt;&gt;"",Offer!$C$6,"[JOINING LINK]")</f>
        <v/>
      </c>
      <c r="AK145" s="14">
        <f>IF(OR(ISNUMBER(SEARCH("[",AG145)),ISNUMBER(SEARCH("[",AJ145))),"Fill placeholders",IF(ISNUMBER(AB145),"Ready to send","Ready · no fixed slot"))</f>
        <v/>
      </c>
      <c r="AN145" s="17" t="n"/>
    </row>
    <row r="146">
      <c r="A146" s="11" t="n">
        <v>144</v>
      </c>
      <c r="B146" s="11" t="n">
        <v>3</v>
      </c>
      <c r="C146" s="11" t="inlineStr">
        <is>
          <t>Fund / asset manager</t>
        </is>
      </c>
      <c r="D146" s="11" t="inlineStr">
        <is>
          <t>City of London</t>
        </is>
      </c>
      <c r="E146" s="11" t="inlineStr">
        <is>
          <t>Investengine (UK) Limited</t>
        </is>
      </c>
      <c r="F146" s="11" t="inlineStr">
        <is>
          <t>Investengine</t>
        </is>
      </c>
      <c r="G146" s="11" t="inlineStr">
        <is>
          <t>10438231</t>
        </is>
      </c>
      <c r="H146" s="12" t="inlineStr">
        <is>
          <t>Open</t>
        </is>
      </c>
      <c r="I146" s="12" t="inlineStr">
        <is>
          <t>Search</t>
        </is>
      </c>
      <c r="J146" s="11" t="inlineStr">
        <is>
          <t>Full</t>
        </is>
      </c>
      <c r="K146" s="13" t="n">
        <v>42663</v>
      </c>
      <c r="L146" s="11" t="inlineStr">
        <is>
          <t>3Rd Floor Harling House, 47-51 Great Suffolk Street, London</t>
        </is>
      </c>
      <c r="M146" s="11" t="inlineStr">
        <is>
          <t>SE1 0BS</t>
        </is>
      </c>
      <c r="N146" s="11" t="inlineStr">
        <is>
          <t>No</t>
        </is>
      </c>
      <c r="U146" s="11" t="inlineStr">
        <is>
          <t>Borough Academy</t>
        </is>
      </c>
      <c r="V146" s="11" t="n">
        <v>4</v>
      </c>
      <c r="W146" s="11" t="n"/>
      <c r="X146" s="11" t="inlineStr">
        <is>
          <t>Borough Academy</t>
        </is>
      </c>
      <c r="Y146" s="11" t="n">
        <v>4</v>
      </c>
      <c r="Z146" s="14">
        <f>IFERROR(INDEX(Venues!$E$2:$E$15,MATCH(X146,Venues!$A$2:$A$15,0)),"Not checked")</f>
        <v/>
      </c>
      <c r="AA146" s="14">
        <f>IFERROR(INDEX(Venues!$F$2:$F$15,MATCH(X146,Venues!$A$2:$A$15,0)),0)</f>
        <v/>
      </c>
      <c r="AB146" s="15">
        <f>IFERROR(INDEX(Venues!$M$2:$M$15,MATCH(X146,Venues!$A$2:$A$15,0)),"")</f>
        <v/>
      </c>
      <c r="AC146" s="14">
        <f>IFERROR(INDEX(Venues!$N$2:$N$15,MATCH(X146,Venues!$A$2:$A$15,0)),"5-a-side")</f>
        <v/>
      </c>
      <c r="AD146" s="16">
        <f>IF(Offer!$C$4="","",Offer!$C$4)</f>
        <v/>
      </c>
      <c r="AE146" s="14">
        <f>X146&amp;" ("&amp;Y146&amp;" min walk) · "&amp;IF(ISNUMBER(AB146),TEXT(AB146,"ddd d mmm, hh:mm"),"slot to confirm with venue")&amp;" · "&amp;AC146&amp;" · "&amp;IF(AD146&lt;&gt;"","£"&amp;TEXT(AD146,"0.00")&amp;" pp","price TBC")</f>
        <v/>
      </c>
      <c r="AF146" s="14">
        <f>"After-work football for "&amp;F146&amp;" · "&amp;X146&amp;", "&amp;Y146&amp;" min from your office"</f>
        <v/>
      </c>
      <c r="AG146" s="14">
        <f>"Hi"&amp;IF(O146&lt;&gt;""," "&amp;O146,"")&amp;","&amp;CHAR(10)&amp;CHAR(10)&amp;"I'm "&amp;IF(AL146&lt;&gt;"",AL146,IF(Offer!$C$5&lt;&gt;"",Offer!$C$5,"[NAME]"))&amp;" from FC Urban. We organise after-work football for teams in the City and Canary Wharf."&amp;CHAR(10)&amp;CHAR(10)&amp;"We have a "&amp;AC146&amp;" pitch at "&amp;X146&amp;", "&amp;IF(OR(Y146=8,Y146=11,Y146=18),"an ","a ")&amp;Y146&amp;"-minute walk from your "&amp;M146&amp;" office, "&amp;IF(ISNUMBER(AB146),"on "&amp;TEXT(AB146,"dddd d mmmm")&amp;" at "&amp;TEXT(AB146,"hh:mm"),"on a weekday evening that suits your team")&amp;". It's "&amp;IF(AD146&lt;&gt;"","£"&amp;IF(AD146=INT(AD146),TEXT(AD146,"0"),TEXT(AD146,"0.00")),"[PRICE PER PLAYER]")&amp;" a player and we handle the pitch booking, sign-ups and payments, so all it takes is one person sharing a link with the team."&amp;CHAR(10)&amp;CHAR(10)&amp;"It works well as a team social or "&amp;IF(ISNUMBER(SEARCH(LEFT(F146,1),"AEIOU")),"an ","a ")&amp;F146&amp;"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LINK]")&amp;CHAR(10)&amp;CHAR(10)&amp;"Best,"&amp;CHAR(10)&amp;IF(AL146&lt;&gt;"",AL146,IF(Offer!$C$5&lt;&gt;"",Offer!$C$5,"[NAME]"))&amp;CHAR(10)&amp;"FC Urban"</f>
        <v/>
      </c>
      <c r="AH146" s="14">
        <f>IF(LEN("Hi"&amp;IF(O146&lt;&gt;""," "&amp;O146,"")&amp;","&amp;" FC Urban runs after-work football for "&amp;IF(D146="Canary Wharf","Canary Wharf","City")&amp;" teams. We have a "&amp;AC146&amp;" pitch at "&amp;X146&amp;", "&amp;Y146&amp;" min from your office, "&amp;IF(ISNUMBER(AB146),TEXT(AB146,"ddd d mmm")&amp;", "&amp;TEXT(AB146,"hh:mm"),"weekday evenings")&amp;", "&amp;IF(AD146&lt;&gt;"","£"&amp;IF(AD146=INT(AD146),TEXT(AD146,"0"),TEXT(AD146,"0.00")),"[PRICE PER PLAYER]")&amp;" a player. We handle booking, sign-ups and payments. Fancy "&amp;IF(ISNUMBER(SEARCH(LEFT(F146,1),"AEIOU")),"an ","a ")&amp;F146&amp;" team game? "&amp;IF(AL146&lt;&gt;"",AL146,IF(Offer!$C$5&lt;&gt;"",Offer!$C$5,"[NAME]")))&lt;=300,"Hi"&amp;IF(O146&lt;&gt;""," "&amp;O146,"")&amp;","&amp;" FC Urban runs after-work football for "&amp;IF(D146="Canary Wharf","Canary Wharf","City")&amp;" teams. We have a "&amp;AC146&amp;" pitch at "&amp;X146&amp;", "&amp;Y146&amp;" min from your office, "&amp;IF(ISNUMBER(AB146),TEXT(AB146,"ddd d mmm")&amp;", "&amp;TEXT(AB146,"hh:mm"),"weekday evenings")&amp;", "&amp;IF(AD146&lt;&gt;"","£"&amp;IF(AD146=INT(AD146),TEXT(AD146,"0"),TEXT(AD146,"0.00")),"[PRICE PER PLAYER]")&amp;" a player. We handle booking, sign-ups and payments. Fancy "&amp;IF(ISNUMBER(SEARCH(LEFT(F146,1),"AEIOU")),"an ","a ")&amp;F146&amp;" team game? "&amp;IF(AL146&lt;&gt;"",AL146,IF(Offer!$C$5&lt;&gt;"",Offer!$C$5,"[NAME]")),LEFT("Hi"&amp;IF(O146&lt;&gt;""," "&amp;O146,"")&amp;","&amp;" FC Urban runs after-work football for "&amp;IF(D146="Canary Wharf","Canary Wharf","City")&amp;" teams: "&amp;AC146&amp;" at "&amp;X146&amp;", "&amp;Y146&amp;" min from your office, "&amp;IF(ISNUMBER(AB146),TEXT(AB146,"ddd d mmm")&amp;", "&amp;TEXT(AB146,"hh:mm"),"weekday evenings")&amp;", "&amp;IF(AD146&lt;&gt;"","£"&amp;IF(AD146=INT(AD146),TEXT(AD146,"0"),TEXT(AD146,"0.00")),"[PRICE PER PLAYER]")&amp;" pp. We handle booking and payments. Up for a team game? "&amp;IF(AL146&lt;&gt;"",AL146,IF(Offer!$C$5&lt;&gt;"",Offer!$C$5,"[NAME]")),300))</f>
        <v/>
      </c>
      <c r="AI146" s="14">
        <f>LEN(AH146)</f>
        <v/>
      </c>
      <c r="AJ146" s="14">
        <f>"Thanks for connecting"&amp;IF(O146&lt;&gt;"",", "&amp;O146,"")&amp;". "&amp;IF(ISNUMBER(AB146),"The "&amp;AC146&amp;" slot at "&amp;X146&amp;" is "&amp;IF(ISNUMBER(AB146),TEXT(AB146,"ddd d mmm")&amp;", "&amp;TEXT(AB146,"hh:mm"),"weekday evenings"),"We can book "&amp;AC146&amp;" at "&amp;X146&amp;" on a weekday evening that suits you")&amp;" and it's "&amp;IF(AD146&lt;&gt;"","£"&amp;IF(AD146=INT(AD146),TEXT(AD146,"0"),TEXT(AD146,"0.00")),"[PRICE PER PLAYER]")&amp;" a player, all booked and paid through one link. If football isn't your thing, who at "&amp;F146&amp;" would be the right person to organise a team game?"&amp;IF(Offer!$C$7&lt;&gt;""," Spots are held until "&amp;TEXT(Offer!$C$7,"dddd d mmmm")&amp;".","")&amp;" "&amp;IF(Offer!$C$6&lt;&gt;"",Offer!$C$6,"[JOINING LINK]")</f>
        <v/>
      </c>
      <c r="AK146" s="14">
        <f>IF(OR(ISNUMBER(SEARCH("[",AG146)),ISNUMBER(SEARCH("[",AJ146))),"Fill placeholders",IF(ISNUMBER(AB146),"Ready to send","Ready · no fixed slot"))</f>
        <v/>
      </c>
      <c r="AN146" s="17" t="n"/>
    </row>
    <row r="147">
      <c r="A147" s="11" t="n">
        <v>145</v>
      </c>
      <c r="B147" s="11" t="n">
        <v>3</v>
      </c>
      <c r="C147" s="11" t="inlineStr">
        <is>
          <t>Fund / asset manager</t>
        </is>
      </c>
      <c r="D147" s="11" t="inlineStr">
        <is>
          <t>City of London</t>
        </is>
      </c>
      <c r="E147" s="11" t="inlineStr">
        <is>
          <t>Ultima Markets UK Limited</t>
        </is>
      </c>
      <c r="F147" s="11" t="inlineStr">
        <is>
          <t>Ultima Markets</t>
        </is>
      </c>
      <c r="G147" s="11" t="inlineStr">
        <is>
          <t>06249714</t>
        </is>
      </c>
      <c r="H147" s="12" t="inlineStr">
        <is>
          <t>Open</t>
        </is>
      </c>
      <c r="I147" s="12" t="inlineStr">
        <is>
          <t>Search</t>
        </is>
      </c>
      <c r="J147" s="11" t="inlineStr">
        <is>
          <t>Full</t>
        </is>
      </c>
      <c r="K147" s="13" t="n">
        <v>39218</v>
      </c>
      <c r="L147" s="11" t="inlineStr">
        <is>
          <t>1 Blossom Yard, Fourth Floor, London</t>
        </is>
      </c>
      <c r="M147" s="11" t="inlineStr">
        <is>
          <t>E1 6RS</t>
        </is>
      </c>
      <c r="N147" s="11" t="inlineStr">
        <is>
          <t>No</t>
        </is>
      </c>
      <c r="U147" s="11" t="inlineStr">
        <is>
          <t>Shoreditch Powerleague</t>
        </is>
      </c>
      <c r="V147" s="11" t="n">
        <v>4</v>
      </c>
      <c r="W147" s="11" t="inlineStr">
        <is>
          <t>Liverpool St - Attlee Centre (8.6)</t>
        </is>
      </c>
      <c r="X147" s="11" t="inlineStr">
        <is>
          <t>Shoreditch Powerleague</t>
        </is>
      </c>
      <c r="Y147" s="11" t="n">
        <v>4</v>
      </c>
      <c r="Z147" s="14">
        <f>IFERROR(INDEX(Venues!$E$2:$E$15,MATCH(X147,Venues!$A$2:$A$15,0)),"Not checked")</f>
        <v/>
      </c>
      <c r="AA147" s="14">
        <f>IFERROR(INDEX(Venues!$F$2:$F$15,MATCH(X147,Venues!$A$2:$A$15,0)),0)</f>
        <v/>
      </c>
      <c r="AB147" s="15">
        <f>IFERROR(INDEX(Venues!$M$2:$M$15,MATCH(X147,Venues!$A$2:$A$15,0)),"")</f>
        <v/>
      </c>
      <c r="AC147" s="14">
        <f>IFERROR(INDEX(Venues!$N$2:$N$15,MATCH(X147,Venues!$A$2:$A$15,0)),"5-a-side")</f>
        <v/>
      </c>
      <c r="AD147" s="16">
        <f>IF(Offer!$C$4="","",Offer!$C$4)</f>
        <v/>
      </c>
      <c r="AE147" s="14">
        <f>X147&amp;" ("&amp;Y147&amp;" min walk) · "&amp;IF(ISNUMBER(AB147),TEXT(AB147,"ddd d mmm, hh:mm"),"slot to confirm with venue")&amp;" · "&amp;AC147&amp;" · "&amp;IF(AD147&lt;&gt;"","£"&amp;TEXT(AD147,"0.00")&amp;" pp","price TBC")</f>
        <v/>
      </c>
      <c r="AF147" s="14">
        <f>"After-work football for "&amp;F147&amp;" · "&amp;X147&amp;", "&amp;Y147&amp;" min from your office"</f>
        <v/>
      </c>
      <c r="AG147" s="14">
        <f>"Hi"&amp;IF(O147&lt;&gt;""," "&amp;O147,"")&amp;","&amp;CHAR(10)&amp;CHAR(10)&amp;"I'm "&amp;IF(AL147&lt;&gt;"",AL147,IF(Offer!$C$5&lt;&gt;"",Offer!$C$5,"[NAME]"))&amp;" from FC Urban. We organise after-work football for teams in the City and Canary Wharf."&amp;CHAR(10)&amp;CHAR(10)&amp;"We have a "&amp;AC147&amp;" pitch at "&amp;X147&amp;", "&amp;IF(OR(Y147=8,Y147=11,Y147=18),"an ","a ")&amp;Y147&amp;"-minute walk from your "&amp;M147&amp;" office, "&amp;IF(ISNUMBER(AB147),"on "&amp;TEXT(AB147,"dddd d mmmm")&amp;" at "&amp;TEXT(AB147,"hh:mm"),"on a weekday evening that suits your team")&amp;". It's "&amp;IF(AD147&lt;&gt;"","£"&amp;IF(AD147=INT(AD147),TEXT(AD147,"0"),TEXT(AD147,"0.00")),"[PRICE PER PLAYER]")&amp;" a player and we handle the pitch booking, sign-ups and payments, so all it takes is one person sharing a link with the team."&amp;CHAR(10)&amp;CHAR(10)&amp;"It works well as a team social or "&amp;IF(ISNUMBER(SEARCH(LEFT(F147,1),"AEIOU")),"an ","a ")&amp;F147&amp;"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LINK]")&amp;CHAR(10)&amp;CHAR(10)&amp;"Best,"&amp;CHAR(10)&amp;IF(AL147&lt;&gt;"",AL147,IF(Offer!$C$5&lt;&gt;"",Offer!$C$5,"[NAME]"))&amp;CHAR(10)&amp;"FC Urban"</f>
        <v/>
      </c>
      <c r="AH147" s="14">
        <f>IF(LEN("Hi"&amp;IF(O147&lt;&gt;""," "&amp;O147,"")&amp;","&amp;" FC Urban runs after-work football for "&amp;IF(D147="Canary Wharf","Canary Wharf","City")&amp;" teams. We have a "&amp;AC147&amp;" pitch at "&amp;X147&amp;", "&amp;Y147&amp;" min from your office, "&amp;IF(ISNUMBER(AB147),TEXT(AB147,"ddd d mmm")&amp;", "&amp;TEXT(AB147,"hh:mm"),"weekday evenings")&amp;", "&amp;IF(AD147&lt;&gt;"","£"&amp;IF(AD147=INT(AD147),TEXT(AD147,"0"),TEXT(AD147,"0.00")),"[PRICE PER PLAYER]")&amp;" a player. We handle booking, sign-ups and payments. Fancy "&amp;IF(ISNUMBER(SEARCH(LEFT(F147,1),"AEIOU")),"an ","a ")&amp;F147&amp;" team game? "&amp;IF(AL147&lt;&gt;"",AL147,IF(Offer!$C$5&lt;&gt;"",Offer!$C$5,"[NAME]")))&lt;=300,"Hi"&amp;IF(O147&lt;&gt;""," "&amp;O147,"")&amp;","&amp;" FC Urban runs after-work football for "&amp;IF(D147="Canary Wharf","Canary Wharf","City")&amp;" teams. We have a "&amp;AC147&amp;" pitch at "&amp;X147&amp;", "&amp;Y147&amp;" min from your office, "&amp;IF(ISNUMBER(AB147),TEXT(AB147,"ddd d mmm")&amp;", "&amp;TEXT(AB147,"hh:mm"),"weekday evenings")&amp;", "&amp;IF(AD147&lt;&gt;"","£"&amp;IF(AD147=INT(AD147),TEXT(AD147,"0"),TEXT(AD147,"0.00")),"[PRICE PER PLAYER]")&amp;" a player. We handle booking, sign-ups and payments. Fancy "&amp;IF(ISNUMBER(SEARCH(LEFT(F147,1),"AEIOU")),"an ","a ")&amp;F147&amp;" team game? "&amp;IF(AL147&lt;&gt;"",AL147,IF(Offer!$C$5&lt;&gt;"",Offer!$C$5,"[NAME]")),LEFT("Hi"&amp;IF(O147&lt;&gt;""," "&amp;O147,"")&amp;","&amp;" FC Urban runs after-work football for "&amp;IF(D147="Canary Wharf","Canary Wharf","City")&amp;" teams: "&amp;AC147&amp;" at "&amp;X147&amp;", "&amp;Y147&amp;" min from your office, "&amp;IF(ISNUMBER(AB147),TEXT(AB147,"ddd d mmm")&amp;", "&amp;TEXT(AB147,"hh:mm"),"weekday evenings")&amp;", "&amp;IF(AD147&lt;&gt;"","£"&amp;IF(AD147=INT(AD147),TEXT(AD147,"0"),TEXT(AD147,"0.00")),"[PRICE PER PLAYER]")&amp;" pp. We handle booking and payments. Up for a team game? "&amp;IF(AL147&lt;&gt;"",AL147,IF(Offer!$C$5&lt;&gt;"",Offer!$C$5,"[NAME]")),300))</f>
        <v/>
      </c>
      <c r="AI147" s="14">
        <f>LEN(AH147)</f>
        <v/>
      </c>
      <c r="AJ147" s="14">
        <f>"Thanks for connecting"&amp;IF(O147&lt;&gt;"",", "&amp;O147,"")&amp;". "&amp;IF(ISNUMBER(AB147),"The "&amp;AC147&amp;" slot at "&amp;X147&amp;" is "&amp;IF(ISNUMBER(AB147),TEXT(AB147,"ddd d mmm")&amp;", "&amp;TEXT(AB147,"hh:mm"),"weekday evenings"),"We can book "&amp;AC147&amp;" at "&amp;X147&amp;" on a weekday evening that suits you")&amp;" and it's "&amp;IF(AD147&lt;&gt;"","£"&amp;IF(AD147=INT(AD147),TEXT(AD147,"0"),TEXT(AD147,"0.00")),"[PRICE PER PLAYER]")&amp;" a player, all booked and paid through one link. If football isn't your thing, who at "&amp;F147&amp;" would be the right person to organise a team game?"&amp;IF(Offer!$C$7&lt;&gt;""," Spots are held until "&amp;TEXT(Offer!$C$7,"dddd d mmmm")&amp;".","")&amp;" "&amp;IF(Offer!$C$6&lt;&gt;"",Offer!$C$6,"[JOINING LINK]")</f>
        <v/>
      </c>
      <c r="AK147" s="14">
        <f>IF(OR(ISNUMBER(SEARCH("[",AG147)),ISNUMBER(SEARCH("[",AJ147))),"Fill placeholders",IF(ISNUMBER(AB147),"Ready to send","Ready · no fixed slot"))</f>
        <v/>
      </c>
      <c r="AN147" s="17" t="n"/>
    </row>
    <row r="148">
      <c r="A148" s="11" t="n">
        <v>146</v>
      </c>
      <c r="B148" s="11" t="n">
        <v>3</v>
      </c>
      <c r="C148" s="11" t="inlineStr">
        <is>
          <t>Fund / asset manager</t>
        </is>
      </c>
      <c r="D148" s="11" t="inlineStr">
        <is>
          <t>Canary Wharf</t>
        </is>
      </c>
      <c r="E148" s="11" t="inlineStr">
        <is>
          <t>Refinitiv Transaction Services Limited</t>
        </is>
      </c>
      <c r="F148" s="11" t="inlineStr">
        <is>
          <t>Refinitiv Transaction</t>
        </is>
      </c>
      <c r="G148" s="11" t="inlineStr">
        <is>
          <t>02089076</t>
        </is>
      </c>
      <c r="H148" s="12" t="inlineStr">
        <is>
          <t>Open</t>
        </is>
      </c>
      <c r="I148" s="12" t="inlineStr">
        <is>
          <t>Search</t>
        </is>
      </c>
      <c r="J148" s="11" t="inlineStr">
        <is>
          <t>Full</t>
        </is>
      </c>
      <c r="K148" s="13" t="n">
        <v>31790</v>
      </c>
      <c r="L148" s="11" t="inlineStr">
        <is>
          <t>Five Canada Square, Canary Wharf, London</t>
        </is>
      </c>
      <c r="M148" s="11" t="inlineStr">
        <is>
          <t>E14 5AQ</t>
        </is>
      </c>
      <c r="N148" s="11" t="inlineStr">
        <is>
          <t>No</t>
        </is>
      </c>
      <c r="U148" s="11" t="inlineStr">
        <is>
          <t>Poplar</t>
        </is>
      </c>
      <c r="V148" s="11" t="n">
        <v>6</v>
      </c>
      <c r="W148" s="11" t="inlineStr">
        <is>
          <t>PlayFootball Canary Wharf - Westferry (E14 8HH) (16.1)</t>
        </is>
      </c>
      <c r="X148" s="11" t="inlineStr">
        <is>
          <t>Poplar</t>
        </is>
      </c>
      <c r="Y148" s="11" t="n">
        <v>6</v>
      </c>
      <c r="Z148" s="14">
        <f>IFERROR(INDEX(Venues!$E$2:$E$15,MATCH(X148,Venues!$A$2:$A$15,0)),"Not checked")</f>
        <v/>
      </c>
      <c r="AA148" s="14">
        <f>IFERROR(INDEX(Venues!$F$2:$F$15,MATCH(X148,Venues!$A$2:$A$15,0)),0)</f>
        <v/>
      </c>
      <c r="AB148" s="15">
        <f>IFERROR(INDEX(Venues!$M$2:$M$15,MATCH(X148,Venues!$A$2:$A$15,0)),"")</f>
        <v/>
      </c>
      <c r="AC148" s="14">
        <f>IFERROR(INDEX(Venues!$N$2:$N$15,MATCH(X148,Venues!$A$2:$A$15,0)),"5-a-side")</f>
        <v/>
      </c>
      <c r="AD148" s="16">
        <f>IF(Offer!$C$4="","",Offer!$C$4)</f>
        <v/>
      </c>
      <c r="AE148" s="14">
        <f>X148&amp;" ("&amp;Y148&amp;" min walk) · "&amp;IF(ISNUMBER(AB148),TEXT(AB148,"ddd d mmm, hh:mm"),"slot to confirm with venue")&amp;" · "&amp;AC148&amp;" · "&amp;IF(AD148&lt;&gt;"","£"&amp;TEXT(AD148,"0.00")&amp;" pp","price TBC")</f>
        <v/>
      </c>
      <c r="AF148" s="14">
        <f>"After-work football for "&amp;F148&amp;" · "&amp;X148&amp;", "&amp;Y148&amp;" min from your office"</f>
        <v/>
      </c>
      <c r="AG148" s="14">
        <f>"Hi"&amp;IF(O148&lt;&gt;""," "&amp;O148,"")&amp;","&amp;CHAR(10)&amp;CHAR(10)&amp;"I'm "&amp;IF(AL148&lt;&gt;"",AL148,IF(Offer!$C$5&lt;&gt;"",Offer!$C$5,"[NAME]"))&amp;" from FC Urban. We organise after-work football for teams in the City and Canary Wharf."&amp;CHAR(10)&amp;CHAR(10)&amp;"We have a "&amp;AC148&amp;" pitch at "&amp;X148&amp;", "&amp;IF(OR(Y148=8,Y148=11,Y148=18),"an ","a ")&amp;Y148&amp;"-minute walk from your "&amp;M148&amp;" office, "&amp;IF(ISNUMBER(AB148),"on "&amp;TEXT(AB148,"dddd d mmmm")&amp;" at "&amp;TEXT(AB148,"hh:mm"),"on a weekday evening that suits your team")&amp;". It's "&amp;IF(AD148&lt;&gt;"","£"&amp;IF(AD148=INT(AD148),TEXT(AD148,"0"),TEXT(AD148,"0.00")),"[PRICE PER PLAYER]")&amp;" a player and we handle the pitch booking, sign-ups and payments, so all it takes is one person sharing a link with the team."&amp;CHAR(10)&amp;CHAR(10)&amp;"It works well as a team social or "&amp;IF(ISNUMBER(SEARCH(LEFT(F148,1),"AEIOU")),"an ","a ")&amp;F148&amp;"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LINK]")&amp;CHAR(10)&amp;CHAR(10)&amp;"Best,"&amp;CHAR(10)&amp;IF(AL148&lt;&gt;"",AL148,IF(Offer!$C$5&lt;&gt;"",Offer!$C$5,"[NAME]"))&amp;CHAR(10)&amp;"FC Urban"</f>
        <v/>
      </c>
      <c r="AH148" s="14">
        <f>IF(LEN("Hi"&amp;IF(O148&lt;&gt;""," "&amp;O148,"")&amp;","&amp;" FC Urban runs after-work football for "&amp;IF(D148="Canary Wharf","Canary Wharf","City")&amp;" teams. We have a "&amp;AC148&amp;" pitch at "&amp;X148&amp;", "&amp;Y148&amp;" min from your office, "&amp;IF(ISNUMBER(AB148),TEXT(AB148,"ddd d mmm")&amp;", "&amp;TEXT(AB148,"hh:mm"),"weekday evenings")&amp;", "&amp;IF(AD148&lt;&gt;"","£"&amp;IF(AD148=INT(AD148),TEXT(AD148,"0"),TEXT(AD148,"0.00")),"[PRICE PER PLAYER]")&amp;" a player. We handle booking, sign-ups and payments. Fancy "&amp;IF(ISNUMBER(SEARCH(LEFT(F148,1),"AEIOU")),"an ","a ")&amp;F148&amp;" team game? "&amp;IF(AL148&lt;&gt;"",AL148,IF(Offer!$C$5&lt;&gt;"",Offer!$C$5,"[NAME]")))&lt;=300,"Hi"&amp;IF(O148&lt;&gt;""," "&amp;O148,"")&amp;","&amp;" FC Urban runs after-work football for "&amp;IF(D148="Canary Wharf","Canary Wharf","City")&amp;" teams. We have a "&amp;AC148&amp;" pitch at "&amp;X148&amp;", "&amp;Y148&amp;" min from your office, "&amp;IF(ISNUMBER(AB148),TEXT(AB148,"ddd d mmm")&amp;", "&amp;TEXT(AB148,"hh:mm"),"weekday evenings")&amp;", "&amp;IF(AD148&lt;&gt;"","£"&amp;IF(AD148=INT(AD148),TEXT(AD148,"0"),TEXT(AD148,"0.00")),"[PRICE PER PLAYER]")&amp;" a player. We handle booking, sign-ups and payments. Fancy "&amp;IF(ISNUMBER(SEARCH(LEFT(F148,1),"AEIOU")),"an ","a ")&amp;F148&amp;" team game? "&amp;IF(AL148&lt;&gt;"",AL148,IF(Offer!$C$5&lt;&gt;"",Offer!$C$5,"[NAME]")),LEFT("Hi"&amp;IF(O148&lt;&gt;""," "&amp;O148,"")&amp;","&amp;" FC Urban runs after-work football for "&amp;IF(D148="Canary Wharf","Canary Wharf","City")&amp;" teams: "&amp;AC148&amp;" at "&amp;X148&amp;", "&amp;Y148&amp;" min from your office, "&amp;IF(ISNUMBER(AB148),TEXT(AB148,"ddd d mmm")&amp;", "&amp;TEXT(AB148,"hh:mm"),"weekday evenings")&amp;", "&amp;IF(AD148&lt;&gt;"","£"&amp;IF(AD148=INT(AD148),TEXT(AD148,"0"),TEXT(AD148,"0.00")),"[PRICE PER PLAYER]")&amp;" pp. We handle booking and payments. Up for a team game? "&amp;IF(AL148&lt;&gt;"",AL148,IF(Offer!$C$5&lt;&gt;"",Offer!$C$5,"[NAME]")),300))</f>
        <v/>
      </c>
      <c r="AI148" s="14">
        <f>LEN(AH148)</f>
        <v/>
      </c>
      <c r="AJ148" s="14">
        <f>"Thanks for connecting"&amp;IF(O148&lt;&gt;"",", "&amp;O148,"")&amp;". "&amp;IF(ISNUMBER(AB148),"The "&amp;AC148&amp;" slot at "&amp;X148&amp;" is "&amp;IF(ISNUMBER(AB148),TEXT(AB148,"ddd d mmm")&amp;", "&amp;TEXT(AB148,"hh:mm"),"weekday evenings"),"We can book "&amp;AC148&amp;" at "&amp;X148&amp;" on a weekday evening that suits you")&amp;" and it's "&amp;IF(AD148&lt;&gt;"","£"&amp;IF(AD148=INT(AD148),TEXT(AD148,"0"),TEXT(AD148,"0.00")),"[PRICE PER PLAYER]")&amp;" a player, all booked and paid through one link. If football isn't your thing, who at "&amp;F148&amp;" would be the right person to organise a team game?"&amp;IF(Offer!$C$7&lt;&gt;""," Spots are held until "&amp;TEXT(Offer!$C$7,"dddd d mmmm")&amp;".","")&amp;" "&amp;IF(Offer!$C$6&lt;&gt;"",Offer!$C$6,"[JOINING LINK]")</f>
        <v/>
      </c>
      <c r="AK148" s="14">
        <f>IF(OR(ISNUMBER(SEARCH("[",AG148)),ISNUMBER(SEARCH("[",AJ148))),"Fill placeholders",IF(ISNUMBER(AB148),"Ready to send","Ready · no fixed slot"))</f>
        <v/>
      </c>
      <c r="AN148" s="17" t="n"/>
    </row>
    <row r="149">
      <c r="A149" s="11" t="n">
        <v>147</v>
      </c>
      <c r="B149" s="11" t="n">
        <v>3</v>
      </c>
      <c r="C149" s="11" t="inlineStr">
        <is>
          <t>Fund / asset manager</t>
        </is>
      </c>
      <c r="D149" s="11" t="inlineStr">
        <is>
          <t>City of London</t>
        </is>
      </c>
      <c r="E149" s="11" t="inlineStr">
        <is>
          <t>Clean Energy Partners LLP</t>
        </is>
      </c>
      <c r="F149" s="11" t="inlineStr">
        <is>
          <t>Clean Energy Partners</t>
        </is>
      </c>
      <c r="G149" s="11" t="inlineStr">
        <is>
          <t>OC370282</t>
        </is>
      </c>
      <c r="H149" s="12" t="inlineStr">
        <is>
          <t>Open</t>
        </is>
      </c>
      <c r="I149" s="12" t="inlineStr">
        <is>
          <t>Search</t>
        </is>
      </c>
      <c r="J149" s="11" t="inlineStr">
        <is>
          <t>Full</t>
        </is>
      </c>
      <c r="K149" s="13" t="n">
        <v>40876</v>
      </c>
      <c r="L149" s="11" t="inlineStr">
        <is>
          <t>9Th Floor, 201 Bishopsgate, London</t>
        </is>
      </c>
      <c r="M149" s="11" t="inlineStr">
        <is>
          <t>EC2M 3BN</t>
        </is>
      </c>
      <c r="N149" s="11" t="inlineStr">
        <is>
          <t>No</t>
        </is>
      </c>
      <c r="U149" s="11" t="inlineStr">
        <is>
          <t>Shoreditch Powerleague</t>
        </is>
      </c>
      <c r="V149" s="11" t="n">
        <v>6</v>
      </c>
      <c r="W149" s="11" t="inlineStr">
        <is>
          <t>Liverpool St - Attlee Centre (8.7)</t>
        </is>
      </c>
      <c r="X149" s="11" t="inlineStr">
        <is>
          <t>Shoreditch Powerleague</t>
        </is>
      </c>
      <c r="Y149" s="11" t="n">
        <v>6</v>
      </c>
      <c r="Z149" s="14">
        <f>IFERROR(INDEX(Venues!$E$2:$E$15,MATCH(X149,Venues!$A$2:$A$15,0)),"Not checked")</f>
        <v/>
      </c>
      <c r="AA149" s="14">
        <f>IFERROR(INDEX(Venues!$F$2:$F$15,MATCH(X149,Venues!$A$2:$A$15,0)),0)</f>
        <v/>
      </c>
      <c r="AB149" s="15">
        <f>IFERROR(INDEX(Venues!$M$2:$M$15,MATCH(X149,Venues!$A$2:$A$15,0)),"")</f>
        <v/>
      </c>
      <c r="AC149" s="14">
        <f>IFERROR(INDEX(Venues!$N$2:$N$15,MATCH(X149,Venues!$A$2:$A$15,0)),"5-a-side")</f>
        <v/>
      </c>
      <c r="AD149" s="16">
        <f>IF(Offer!$C$4="","",Offer!$C$4)</f>
        <v/>
      </c>
      <c r="AE149" s="14">
        <f>X149&amp;" ("&amp;Y149&amp;" min walk) · "&amp;IF(ISNUMBER(AB149),TEXT(AB149,"ddd d mmm, hh:mm"),"slot to confirm with venue")&amp;" · "&amp;AC149&amp;" · "&amp;IF(AD149&lt;&gt;"","£"&amp;TEXT(AD149,"0.00")&amp;" pp","price TBC")</f>
        <v/>
      </c>
      <c r="AF149" s="14">
        <f>"After-work football for "&amp;F149&amp;" · "&amp;X149&amp;", "&amp;Y149&amp;" min from your office"</f>
        <v/>
      </c>
      <c r="AG149" s="14">
        <f>"Hi"&amp;IF(O149&lt;&gt;""," "&amp;O149,"")&amp;","&amp;CHAR(10)&amp;CHAR(10)&amp;"I'm "&amp;IF(AL149&lt;&gt;"",AL149,IF(Offer!$C$5&lt;&gt;"",Offer!$C$5,"[NAME]"))&amp;" from FC Urban. We organise after-work football for teams in the City and Canary Wharf."&amp;CHAR(10)&amp;CHAR(10)&amp;"We have a "&amp;AC149&amp;" pitch at "&amp;X149&amp;", "&amp;IF(OR(Y149=8,Y149=11,Y149=18),"an ","a ")&amp;Y149&amp;"-minute walk from your "&amp;M149&amp;" office, "&amp;IF(ISNUMBER(AB149),"on "&amp;TEXT(AB149,"dddd d mmmm")&amp;" at "&amp;TEXT(AB149,"hh:mm"),"on a weekday evening that suits your team")&amp;". It's "&amp;IF(AD149&lt;&gt;"","£"&amp;IF(AD149=INT(AD149),TEXT(AD149,"0"),TEXT(AD149,"0.00")),"[PRICE PER PLAYER]")&amp;" a player and we handle the pitch booking, sign-ups and payments, so all it takes is one person sharing a link with the team."&amp;CHAR(10)&amp;CHAR(10)&amp;"It works well as a team social or "&amp;IF(ISNUMBER(SEARCH(LEFT(F149,1),"AEIOU")),"an ","a ")&amp;F149&amp;"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LINK]")&amp;CHAR(10)&amp;CHAR(10)&amp;"Best,"&amp;CHAR(10)&amp;IF(AL149&lt;&gt;"",AL149,IF(Offer!$C$5&lt;&gt;"",Offer!$C$5,"[NAME]"))&amp;CHAR(10)&amp;"FC Urban"</f>
        <v/>
      </c>
      <c r="AH149" s="14">
        <f>IF(LEN("Hi"&amp;IF(O149&lt;&gt;""," "&amp;O149,"")&amp;","&amp;" FC Urban runs after-work football for "&amp;IF(D149="Canary Wharf","Canary Wharf","City")&amp;" teams. We have a "&amp;AC149&amp;" pitch at "&amp;X149&amp;", "&amp;Y149&amp;" min from your office, "&amp;IF(ISNUMBER(AB149),TEXT(AB149,"ddd d mmm")&amp;", "&amp;TEXT(AB149,"hh:mm"),"weekday evenings")&amp;", "&amp;IF(AD149&lt;&gt;"","£"&amp;IF(AD149=INT(AD149),TEXT(AD149,"0"),TEXT(AD149,"0.00")),"[PRICE PER PLAYER]")&amp;" a player. We handle booking, sign-ups and payments. Fancy "&amp;IF(ISNUMBER(SEARCH(LEFT(F149,1),"AEIOU")),"an ","a ")&amp;F149&amp;" team game? "&amp;IF(AL149&lt;&gt;"",AL149,IF(Offer!$C$5&lt;&gt;"",Offer!$C$5,"[NAME]")))&lt;=300,"Hi"&amp;IF(O149&lt;&gt;""," "&amp;O149,"")&amp;","&amp;" FC Urban runs after-work football for "&amp;IF(D149="Canary Wharf","Canary Wharf","City")&amp;" teams. We have a "&amp;AC149&amp;" pitch at "&amp;X149&amp;", "&amp;Y149&amp;" min from your office, "&amp;IF(ISNUMBER(AB149),TEXT(AB149,"ddd d mmm")&amp;", "&amp;TEXT(AB149,"hh:mm"),"weekday evenings")&amp;", "&amp;IF(AD149&lt;&gt;"","£"&amp;IF(AD149=INT(AD149),TEXT(AD149,"0"),TEXT(AD149,"0.00")),"[PRICE PER PLAYER]")&amp;" a player. We handle booking, sign-ups and payments. Fancy "&amp;IF(ISNUMBER(SEARCH(LEFT(F149,1),"AEIOU")),"an ","a ")&amp;F149&amp;" team game? "&amp;IF(AL149&lt;&gt;"",AL149,IF(Offer!$C$5&lt;&gt;"",Offer!$C$5,"[NAME]")),LEFT("Hi"&amp;IF(O149&lt;&gt;""," "&amp;O149,"")&amp;","&amp;" FC Urban runs after-work football for "&amp;IF(D149="Canary Wharf","Canary Wharf","City")&amp;" teams: "&amp;AC149&amp;" at "&amp;X149&amp;", "&amp;Y149&amp;" min from your office, "&amp;IF(ISNUMBER(AB149),TEXT(AB149,"ddd d mmm")&amp;", "&amp;TEXT(AB149,"hh:mm"),"weekday evenings")&amp;", "&amp;IF(AD149&lt;&gt;"","£"&amp;IF(AD149=INT(AD149),TEXT(AD149,"0"),TEXT(AD149,"0.00")),"[PRICE PER PLAYER]")&amp;" pp. We handle booking and payments. Up for a team game? "&amp;IF(AL149&lt;&gt;"",AL149,IF(Offer!$C$5&lt;&gt;"",Offer!$C$5,"[NAME]")),300))</f>
        <v/>
      </c>
      <c r="AI149" s="14">
        <f>LEN(AH149)</f>
        <v/>
      </c>
      <c r="AJ149" s="14">
        <f>"Thanks for connecting"&amp;IF(O149&lt;&gt;"",", "&amp;O149,"")&amp;". "&amp;IF(ISNUMBER(AB149),"The "&amp;AC149&amp;" slot at "&amp;X149&amp;" is "&amp;IF(ISNUMBER(AB149),TEXT(AB149,"ddd d mmm")&amp;", "&amp;TEXT(AB149,"hh:mm"),"weekday evenings"),"We can book "&amp;AC149&amp;" at "&amp;X149&amp;" on a weekday evening that suits you")&amp;" and it's "&amp;IF(AD149&lt;&gt;"","£"&amp;IF(AD149=INT(AD149),TEXT(AD149,"0"),TEXT(AD149,"0.00")),"[PRICE PER PLAYER]")&amp;" a player, all booked and paid through one link. If football isn't your thing, who at "&amp;F149&amp;" would be the right person to organise a team game?"&amp;IF(Offer!$C$7&lt;&gt;""," Spots are held until "&amp;TEXT(Offer!$C$7,"dddd d mmmm")&amp;".","")&amp;" "&amp;IF(Offer!$C$6&lt;&gt;"",Offer!$C$6,"[JOINING LINK]")</f>
        <v/>
      </c>
      <c r="AK149" s="14">
        <f>IF(OR(ISNUMBER(SEARCH("[",AG149)),ISNUMBER(SEARCH("[",AJ149))),"Fill placeholders",IF(ISNUMBER(AB149),"Ready to send","Ready · no fixed slot"))</f>
        <v/>
      </c>
      <c r="AN149" s="17" t="n"/>
    </row>
    <row r="150">
      <c r="A150" s="11" t="n">
        <v>148</v>
      </c>
      <c r="B150" s="11" t="n">
        <v>3</v>
      </c>
      <c r="C150" s="11" t="inlineStr">
        <is>
          <t>Fund / asset manager</t>
        </is>
      </c>
      <c r="D150" s="11" t="inlineStr">
        <is>
          <t>City of London</t>
        </is>
      </c>
      <c r="E150" s="11" t="inlineStr">
        <is>
          <t>Janus Henderson Investors International Limited</t>
        </is>
      </c>
      <c r="F150" s="11" t="inlineStr">
        <is>
          <t>Janus Henderson</t>
        </is>
      </c>
      <c r="G150" s="11" t="inlineStr">
        <is>
          <t>03594615</t>
        </is>
      </c>
      <c r="H150" s="12" t="inlineStr">
        <is>
          <t>Open</t>
        </is>
      </c>
      <c r="I150" s="12" t="inlineStr">
        <is>
          <t>Search</t>
        </is>
      </c>
      <c r="J150" s="11" t="inlineStr">
        <is>
          <t>Full</t>
        </is>
      </c>
      <c r="K150" s="13" t="n">
        <v>35982</v>
      </c>
      <c r="L150" s="11" t="inlineStr">
        <is>
          <t>201 Bishopsgate, London</t>
        </is>
      </c>
      <c r="M150" s="11" t="inlineStr">
        <is>
          <t>EC2M 3AE</t>
        </is>
      </c>
      <c r="N150" s="11" t="inlineStr">
        <is>
          <t>No</t>
        </is>
      </c>
      <c r="U150" s="11" t="inlineStr">
        <is>
          <t>Shoreditch Powerleague</t>
        </is>
      </c>
      <c r="V150" s="11" t="n">
        <v>6</v>
      </c>
      <c r="W150" s="11" t="inlineStr">
        <is>
          <t>Liverpool St - Attlee Centre (8.7)</t>
        </is>
      </c>
      <c r="X150" s="11" t="inlineStr">
        <is>
          <t>Shoreditch Powerleague</t>
        </is>
      </c>
      <c r="Y150" s="11" t="n">
        <v>6</v>
      </c>
      <c r="Z150" s="14">
        <f>IFERROR(INDEX(Venues!$E$2:$E$15,MATCH(X150,Venues!$A$2:$A$15,0)),"Not checked")</f>
        <v/>
      </c>
      <c r="AA150" s="14">
        <f>IFERROR(INDEX(Venues!$F$2:$F$15,MATCH(X150,Venues!$A$2:$A$15,0)),0)</f>
        <v/>
      </c>
      <c r="AB150" s="15">
        <f>IFERROR(INDEX(Venues!$M$2:$M$15,MATCH(X150,Venues!$A$2:$A$15,0)),"")</f>
        <v/>
      </c>
      <c r="AC150" s="14">
        <f>IFERROR(INDEX(Venues!$N$2:$N$15,MATCH(X150,Venues!$A$2:$A$15,0)),"5-a-side")</f>
        <v/>
      </c>
      <c r="AD150" s="16">
        <f>IF(Offer!$C$4="","",Offer!$C$4)</f>
        <v/>
      </c>
      <c r="AE150" s="14">
        <f>X150&amp;" ("&amp;Y150&amp;" min walk) · "&amp;IF(ISNUMBER(AB150),TEXT(AB150,"ddd d mmm, hh:mm"),"slot to confirm with venue")&amp;" · "&amp;AC150&amp;" · "&amp;IF(AD150&lt;&gt;"","£"&amp;TEXT(AD150,"0.00")&amp;" pp","price TBC")</f>
        <v/>
      </c>
      <c r="AF150" s="14">
        <f>"After-work football for "&amp;F150&amp;" · "&amp;X150&amp;", "&amp;Y150&amp;" min from your office"</f>
        <v/>
      </c>
      <c r="AG150" s="14">
        <f>"Hi"&amp;IF(O150&lt;&gt;""," "&amp;O150,"")&amp;","&amp;CHAR(10)&amp;CHAR(10)&amp;"I'm "&amp;IF(AL150&lt;&gt;"",AL150,IF(Offer!$C$5&lt;&gt;"",Offer!$C$5,"[NAME]"))&amp;" from FC Urban. We organise after-work football for teams in the City and Canary Wharf."&amp;CHAR(10)&amp;CHAR(10)&amp;"We have a "&amp;AC150&amp;" pitch at "&amp;X150&amp;", "&amp;IF(OR(Y150=8,Y150=11,Y150=18),"an ","a ")&amp;Y150&amp;"-minute walk from your "&amp;M150&amp;" office, "&amp;IF(ISNUMBER(AB150),"on "&amp;TEXT(AB150,"dddd d mmmm")&amp;" at "&amp;TEXT(AB150,"hh:mm"),"on a weekday evening that suits your team")&amp;". It's "&amp;IF(AD150&lt;&gt;"","£"&amp;IF(AD150=INT(AD150),TEXT(AD150,"0"),TEXT(AD150,"0.00")),"[PRICE PER PLAYER]")&amp;" a player and we handle the pitch booking, sign-ups and payments, so all it takes is one person sharing a link with the team."&amp;CHAR(10)&amp;CHAR(10)&amp;"It works well as a team social or "&amp;IF(ISNUMBER(SEARCH(LEFT(F150,1),"AEIOU")),"an ","a ")&amp;F150&amp;"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LINK]")&amp;CHAR(10)&amp;CHAR(10)&amp;"Best,"&amp;CHAR(10)&amp;IF(AL150&lt;&gt;"",AL150,IF(Offer!$C$5&lt;&gt;"",Offer!$C$5,"[NAME]"))&amp;CHAR(10)&amp;"FC Urban"</f>
        <v/>
      </c>
      <c r="AH150" s="14">
        <f>IF(LEN("Hi"&amp;IF(O150&lt;&gt;""," "&amp;O150,"")&amp;","&amp;" FC Urban runs after-work football for "&amp;IF(D150="Canary Wharf","Canary Wharf","City")&amp;" teams. We have a "&amp;AC150&amp;" pitch at "&amp;X150&amp;", "&amp;Y150&amp;" min from your office, "&amp;IF(ISNUMBER(AB150),TEXT(AB150,"ddd d mmm")&amp;", "&amp;TEXT(AB150,"hh:mm"),"weekday evenings")&amp;", "&amp;IF(AD150&lt;&gt;"","£"&amp;IF(AD150=INT(AD150),TEXT(AD150,"0"),TEXT(AD150,"0.00")),"[PRICE PER PLAYER]")&amp;" a player. We handle booking, sign-ups and payments. Fancy "&amp;IF(ISNUMBER(SEARCH(LEFT(F150,1),"AEIOU")),"an ","a ")&amp;F150&amp;" team game? "&amp;IF(AL150&lt;&gt;"",AL150,IF(Offer!$C$5&lt;&gt;"",Offer!$C$5,"[NAME]")))&lt;=300,"Hi"&amp;IF(O150&lt;&gt;""," "&amp;O150,"")&amp;","&amp;" FC Urban runs after-work football for "&amp;IF(D150="Canary Wharf","Canary Wharf","City")&amp;" teams. We have a "&amp;AC150&amp;" pitch at "&amp;X150&amp;", "&amp;Y150&amp;" min from your office, "&amp;IF(ISNUMBER(AB150),TEXT(AB150,"ddd d mmm")&amp;", "&amp;TEXT(AB150,"hh:mm"),"weekday evenings")&amp;", "&amp;IF(AD150&lt;&gt;"","£"&amp;IF(AD150=INT(AD150),TEXT(AD150,"0"),TEXT(AD150,"0.00")),"[PRICE PER PLAYER]")&amp;" a player. We handle booking, sign-ups and payments. Fancy "&amp;IF(ISNUMBER(SEARCH(LEFT(F150,1),"AEIOU")),"an ","a ")&amp;F150&amp;" team game? "&amp;IF(AL150&lt;&gt;"",AL150,IF(Offer!$C$5&lt;&gt;"",Offer!$C$5,"[NAME]")),LEFT("Hi"&amp;IF(O150&lt;&gt;""," "&amp;O150,"")&amp;","&amp;" FC Urban runs after-work football for "&amp;IF(D150="Canary Wharf","Canary Wharf","City")&amp;" teams: "&amp;AC150&amp;" at "&amp;X150&amp;", "&amp;Y150&amp;" min from your office, "&amp;IF(ISNUMBER(AB150),TEXT(AB150,"ddd d mmm")&amp;", "&amp;TEXT(AB150,"hh:mm"),"weekday evenings")&amp;", "&amp;IF(AD150&lt;&gt;"","£"&amp;IF(AD150=INT(AD150),TEXT(AD150,"0"),TEXT(AD150,"0.00")),"[PRICE PER PLAYER]")&amp;" pp. We handle booking and payments. Up for a team game? "&amp;IF(AL150&lt;&gt;"",AL150,IF(Offer!$C$5&lt;&gt;"",Offer!$C$5,"[NAME]")),300))</f>
        <v/>
      </c>
      <c r="AI150" s="14">
        <f>LEN(AH150)</f>
        <v/>
      </c>
      <c r="AJ150" s="14">
        <f>"Thanks for connecting"&amp;IF(O150&lt;&gt;"",", "&amp;O150,"")&amp;". "&amp;IF(ISNUMBER(AB150),"The "&amp;AC150&amp;" slot at "&amp;X150&amp;" is "&amp;IF(ISNUMBER(AB150),TEXT(AB150,"ddd d mmm")&amp;", "&amp;TEXT(AB150,"hh:mm"),"weekday evenings"),"We can book "&amp;AC150&amp;" at "&amp;X150&amp;" on a weekday evening that suits you")&amp;" and it's "&amp;IF(AD150&lt;&gt;"","£"&amp;IF(AD150=INT(AD150),TEXT(AD150,"0"),TEXT(AD150,"0.00")),"[PRICE PER PLAYER]")&amp;" a player, all booked and paid through one link. If football isn't your thing, who at "&amp;F150&amp;" would be the right person to organise a team game?"&amp;IF(Offer!$C$7&lt;&gt;""," Spots are held until "&amp;TEXT(Offer!$C$7,"dddd d mmmm")&amp;".","")&amp;" "&amp;IF(Offer!$C$6&lt;&gt;"",Offer!$C$6,"[JOINING LINK]")</f>
        <v/>
      </c>
      <c r="AK150" s="14">
        <f>IF(OR(ISNUMBER(SEARCH("[",AG150)),ISNUMBER(SEARCH("[",AJ150))),"Fill placeholders",IF(ISNUMBER(AB150),"Ready to send","Ready · no fixed slot"))</f>
        <v/>
      </c>
      <c r="AN150" s="17" t="n"/>
    </row>
    <row r="151">
      <c r="A151" s="11" t="n">
        <v>149</v>
      </c>
      <c r="B151" s="11" t="n">
        <v>3</v>
      </c>
      <c r="C151" s="11" t="inlineStr">
        <is>
          <t>Fund / asset manager</t>
        </is>
      </c>
      <c r="D151" s="11" t="inlineStr">
        <is>
          <t>City of London</t>
        </is>
      </c>
      <c r="E151" s="11" t="inlineStr">
        <is>
          <t>Nuveen Investment Management International Limited</t>
        </is>
      </c>
      <c r="F151" s="11" t="inlineStr">
        <is>
          <t>Nuveen</t>
        </is>
      </c>
      <c r="G151" s="11" t="inlineStr">
        <is>
          <t>02137726</t>
        </is>
      </c>
      <c r="H151" s="12" t="inlineStr">
        <is>
          <t>Open</t>
        </is>
      </c>
      <c r="I151" s="12" t="inlineStr">
        <is>
          <t>Search</t>
        </is>
      </c>
      <c r="J151" s="11" t="inlineStr">
        <is>
          <t>Full</t>
        </is>
      </c>
      <c r="K151" s="13" t="n">
        <v>31932</v>
      </c>
      <c r="L151" s="11" t="inlineStr">
        <is>
          <t>9Th Floor 201, Bishopsgate, London</t>
        </is>
      </c>
      <c r="M151" s="11" t="inlineStr">
        <is>
          <t>EC2M 3BN</t>
        </is>
      </c>
      <c r="N151" s="11" t="inlineStr">
        <is>
          <t>Yes</t>
        </is>
      </c>
      <c r="U151" s="11" t="inlineStr">
        <is>
          <t>Shoreditch Powerleague</t>
        </is>
      </c>
      <c r="V151" s="11" t="n">
        <v>6</v>
      </c>
      <c r="W151" s="11" t="inlineStr">
        <is>
          <t>Liverpool St - Attlee Centre (8.7)</t>
        </is>
      </c>
      <c r="X151" s="11" t="inlineStr">
        <is>
          <t>Shoreditch Powerleague</t>
        </is>
      </c>
      <c r="Y151" s="11" t="n">
        <v>6</v>
      </c>
      <c r="Z151" s="14">
        <f>IFERROR(INDEX(Venues!$E$2:$E$15,MATCH(X151,Venues!$A$2:$A$15,0)),"Not checked")</f>
        <v/>
      </c>
      <c r="AA151" s="14">
        <f>IFERROR(INDEX(Venues!$F$2:$F$15,MATCH(X151,Venues!$A$2:$A$15,0)),0)</f>
        <v/>
      </c>
      <c r="AB151" s="15">
        <f>IFERROR(INDEX(Venues!$M$2:$M$15,MATCH(X151,Venues!$A$2:$A$15,0)),"")</f>
        <v/>
      </c>
      <c r="AC151" s="14">
        <f>IFERROR(INDEX(Venues!$N$2:$N$15,MATCH(X151,Venues!$A$2:$A$15,0)),"5-a-side")</f>
        <v/>
      </c>
      <c r="AD151" s="16">
        <f>IF(Offer!$C$4="","",Offer!$C$4)</f>
        <v/>
      </c>
      <c r="AE151" s="14">
        <f>X151&amp;" ("&amp;Y151&amp;" min walk) · "&amp;IF(ISNUMBER(AB151),TEXT(AB151,"ddd d mmm, hh:mm"),"slot to confirm with venue")&amp;" · "&amp;AC151&amp;" · "&amp;IF(AD151&lt;&gt;"","£"&amp;TEXT(AD151,"0.00")&amp;" pp","price TBC")</f>
        <v/>
      </c>
      <c r="AF151" s="14">
        <f>"After-work football for "&amp;F151&amp;" · "&amp;X151&amp;", "&amp;Y151&amp;" min from your office"</f>
        <v/>
      </c>
      <c r="AG151" s="14">
        <f>"Hi"&amp;IF(O151&lt;&gt;""," "&amp;O151,"")&amp;","&amp;CHAR(10)&amp;CHAR(10)&amp;"I'm "&amp;IF(AL151&lt;&gt;"",AL151,IF(Offer!$C$5&lt;&gt;"",Offer!$C$5,"[NAME]"))&amp;" from FC Urban. We organise after-work football for teams in the City and Canary Wharf."&amp;CHAR(10)&amp;CHAR(10)&amp;"We have a "&amp;AC151&amp;" pitch at "&amp;X151&amp;", "&amp;IF(OR(Y151=8,Y151=11,Y151=18),"an ","a ")&amp;Y151&amp;"-minute walk from your "&amp;M151&amp;" office, "&amp;IF(ISNUMBER(AB151),"on "&amp;TEXT(AB151,"dddd d mmmm")&amp;" at "&amp;TEXT(AB151,"hh:mm"),"on a weekday evening that suits your team")&amp;". It's "&amp;IF(AD151&lt;&gt;"","£"&amp;IF(AD151=INT(AD151),TEXT(AD151,"0"),TEXT(AD151,"0.00")),"[PRICE PER PLAYER]")&amp;" a player and we handle the pitch booking, sign-ups and payments, so all it takes is one person sharing a link with the team."&amp;CHAR(10)&amp;CHAR(10)&amp;"It works well as a team social or "&amp;IF(ISNUMBER(SEARCH(LEFT(F151,1),"AEIOU")),"an ","a ")&amp;F151&amp;"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LINK]")&amp;CHAR(10)&amp;CHAR(10)&amp;"Best,"&amp;CHAR(10)&amp;IF(AL151&lt;&gt;"",AL151,IF(Offer!$C$5&lt;&gt;"",Offer!$C$5,"[NAME]"))&amp;CHAR(10)&amp;"FC Urban"</f>
        <v/>
      </c>
      <c r="AH151" s="14">
        <f>IF(LEN("Hi"&amp;IF(O151&lt;&gt;""," "&amp;O151,"")&amp;","&amp;" FC Urban runs after-work football for "&amp;IF(D151="Canary Wharf","Canary Wharf","City")&amp;" teams. We have a "&amp;AC151&amp;" pitch at "&amp;X151&amp;", "&amp;Y151&amp;" min from your office, "&amp;IF(ISNUMBER(AB151),TEXT(AB151,"ddd d mmm")&amp;", "&amp;TEXT(AB151,"hh:mm"),"weekday evenings")&amp;", "&amp;IF(AD151&lt;&gt;"","£"&amp;IF(AD151=INT(AD151),TEXT(AD151,"0"),TEXT(AD151,"0.00")),"[PRICE PER PLAYER]")&amp;" a player. We handle booking, sign-ups and payments. Fancy "&amp;IF(ISNUMBER(SEARCH(LEFT(F151,1),"AEIOU")),"an ","a ")&amp;F151&amp;" team game? "&amp;IF(AL151&lt;&gt;"",AL151,IF(Offer!$C$5&lt;&gt;"",Offer!$C$5,"[NAME]")))&lt;=300,"Hi"&amp;IF(O151&lt;&gt;""," "&amp;O151,"")&amp;","&amp;" FC Urban runs after-work football for "&amp;IF(D151="Canary Wharf","Canary Wharf","City")&amp;" teams. We have a "&amp;AC151&amp;" pitch at "&amp;X151&amp;", "&amp;Y151&amp;" min from your office, "&amp;IF(ISNUMBER(AB151),TEXT(AB151,"ddd d mmm")&amp;", "&amp;TEXT(AB151,"hh:mm"),"weekday evenings")&amp;", "&amp;IF(AD151&lt;&gt;"","£"&amp;IF(AD151=INT(AD151),TEXT(AD151,"0"),TEXT(AD151,"0.00")),"[PRICE PER PLAYER]")&amp;" a player. We handle booking, sign-ups and payments. Fancy "&amp;IF(ISNUMBER(SEARCH(LEFT(F151,1),"AEIOU")),"an ","a ")&amp;F151&amp;" team game? "&amp;IF(AL151&lt;&gt;"",AL151,IF(Offer!$C$5&lt;&gt;"",Offer!$C$5,"[NAME]")),LEFT("Hi"&amp;IF(O151&lt;&gt;""," "&amp;O151,"")&amp;","&amp;" FC Urban runs after-work football for "&amp;IF(D151="Canary Wharf","Canary Wharf","City")&amp;" teams: "&amp;AC151&amp;" at "&amp;X151&amp;", "&amp;Y151&amp;" min from your office, "&amp;IF(ISNUMBER(AB151),TEXT(AB151,"ddd d mmm")&amp;", "&amp;TEXT(AB151,"hh:mm"),"weekday evenings")&amp;", "&amp;IF(AD151&lt;&gt;"","£"&amp;IF(AD151=INT(AD151),TEXT(AD151,"0"),TEXT(AD151,"0.00")),"[PRICE PER PLAYER]")&amp;" pp. We handle booking and payments. Up for a team game? "&amp;IF(AL151&lt;&gt;"",AL151,IF(Offer!$C$5&lt;&gt;"",Offer!$C$5,"[NAME]")),300))</f>
        <v/>
      </c>
      <c r="AI151" s="14">
        <f>LEN(AH151)</f>
        <v/>
      </c>
      <c r="AJ151" s="14">
        <f>"Thanks for connecting"&amp;IF(O151&lt;&gt;"",", "&amp;O151,"")&amp;". "&amp;IF(ISNUMBER(AB151),"The "&amp;AC151&amp;" slot at "&amp;X151&amp;" is "&amp;IF(ISNUMBER(AB151),TEXT(AB151,"ddd d mmm")&amp;", "&amp;TEXT(AB151,"hh:mm"),"weekday evenings"),"We can book "&amp;AC151&amp;" at "&amp;X151&amp;" on a weekday evening that suits you")&amp;" and it's "&amp;IF(AD151&lt;&gt;"","£"&amp;IF(AD151=INT(AD151),TEXT(AD151,"0"),TEXT(AD151,"0.00")),"[PRICE PER PLAYER]")&amp;" a player, all booked and paid through one link. If football isn't your thing, who at "&amp;F151&amp;" would be the right person to organise a team game?"&amp;IF(Offer!$C$7&lt;&gt;""," Spots are held until "&amp;TEXT(Offer!$C$7,"dddd d mmmm")&amp;".","")&amp;" "&amp;IF(Offer!$C$6&lt;&gt;"",Offer!$C$6,"[JOINING LINK]")</f>
        <v/>
      </c>
      <c r="AK151" s="14">
        <f>IF(OR(ISNUMBER(SEARCH("[",AG151)),ISNUMBER(SEARCH("[",AJ151))),"Fill placeholders",IF(ISNUMBER(AB151),"Ready to send","Ready · no fixed slot"))</f>
        <v/>
      </c>
      <c r="AN151" s="17" t="n"/>
    </row>
    <row r="152">
      <c r="A152" s="11" t="n">
        <v>150</v>
      </c>
      <c r="B152" s="11" t="n">
        <v>3</v>
      </c>
      <c r="C152" s="11" t="inlineStr">
        <is>
          <t>Fund / asset manager</t>
        </is>
      </c>
      <c r="D152" s="11" t="inlineStr">
        <is>
          <t>City of London</t>
        </is>
      </c>
      <c r="E152" s="11" t="inlineStr">
        <is>
          <t>Tabula Investment Management Limited</t>
        </is>
      </c>
      <c r="F152" s="11" t="inlineStr">
        <is>
          <t>Tabula Investment Management</t>
        </is>
      </c>
      <c r="G152" s="11" t="inlineStr">
        <is>
          <t>11286661</t>
        </is>
      </c>
      <c r="H152" s="12" t="inlineStr">
        <is>
          <t>Open</t>
        </is>
      </c>
      <c r="I152" s="12" t="inlineStr">
        <is>
          <t>Search</t>
        </is>
      </c>
      <c r="J152" s="11" t="inlineStr">
        <is>
          <t>Full</t>
        </is>
      </c>
      <c r="K152" s="13" t="n">
        <v>43193</v>
      </c>
      <c r="L152" s="11" t="inlineStr">
        <is>
          <t>201 Bishopsgate, London</t>
        </is>
      </c>
      <c r="M152" s="11" t="inlineStr">
        <is>
          <t>EC2M 3AE</t>
        </is>
      </c>
      <c r="N152" s="11" t="inlineStr">
        <is>
          <t>No</t>
        </is>
      </c>
      <c r="U152" s="11" t="inlineStr">
        <is>
          <t>Shoreditch Powerleague</t>
        </is>
      </c>
      <c r="V152" s="11" t="n">
        <v>6</v>
      </c>
      <c r="W152" s="11" t="inlineStr">
        <is>
          <t>Liverpool St - Attlee Centre (8.7)</t>
        </is>
      </c>
      <c r="X152" s="11" t="inlineStr">
        <is>
          <t>Shoreditch Powerleague</t>
        </is>
      </c>
      <c r="Y152" s="11" t="n">
        <v>6</v>
      </c>
      <c r="Z152" s="14">
        <f>IFERROR(INDEX(Venues!$E$2:$E$15,MATCH(X152,Venues!$A$2:$A$15,0)),"Not checked")</f>
        <v/>
      </c>
      <c r="AA152" s="14">
        <f>IFERROR(INDEX(Venues!$F$2:$F$15,MATCH(X152,Venues!$A$2:$A$15,0)),0)</f>
        <v/>
      </c>
      <c r="AB152" s="15">
        <f>IFERROR(INDEX(Venues!$M$2:$M$15,MATCH(X152,Venues!$A$2:$A$15,0)),"")</f>
        <v/>
      </c>
      <c r="AC152" s="14">
        <f>IFERROR(INDEX(Venues!$N$2:$N$15,MATCH(X152,Venues!$A$2:$A$15,0)),"5-a-side")</f>
        <v/>
      </c>
      <c r="AD152" s="16">
        <f>IF(Offer!$C$4="","",Offer!$C$4)</f>
        <v/>
      </c>
      <c r="AE152" s="14">
        <f>X152&amp;" ("&amp;Y152&amp;" min walk) · "&amp;IF(ISNUMBER(AB152),TEXT(AB152,"ddd d mmm, hh:mm"),"slot to confirm with venue")&amp;" · "&amp;AC152&amp;" · "&amp;IF(AD152&lt;&gt;"","£"&amp;TEXT(AD152,"0.00")&amp;" pp","price TBC")</f>
        <v/>
      </c>
      <c r="AF152" s="14">
        <f>"After-work football for "&amp;F152&amp;" · "&amp;X152&amp;", "&amp;Y152&amp;" min from your office"</f>
        <v/>
      </c>
      <c r="AG152" s="14">
        <f>"Hi"&amp;IF(O152&lt;&gt;""," "&amp;O152,"")&amp;","&amp;CHAR(10)&amp;CHAR(10)&amp;"I'm "&amp;IF(AL152&lt;&gt;"",AL152,IF(Offer!$C$5&lt;&gt;"",Offer!$C$5,"[NAME]"))&amp;" from FC Urban. We organise after-work football for teams in the City and Canary Wharf."&amp;CHAR(10)&amp;CHAR(10)&amp;"We have a "&amp;AC152&amp;" pitch at "&amp;X152&amp;", "&amp;IF(OR(Y152=8,Y152=11,Y152=18),"an ","a ")&amp;Y152&amp;"-minute walk from your "&amp;M152&amp;" office, "&amp;IF(ISNUMBER(AB152),"on "&amp;TEXT(AB152,"dddd d mmmm")&amp;" at "&amp;TEXT(AB152,"hh:mm"),"on a weekday evening that suits your team")&amp;". It's "&amp;IF(AD152&lt;&gt;"","£"&amp;IF(AD152=INT(AD152),TEXT(AD152,"0"),TEXT(AD152,"0.00")),"[PRICE PER PLAYER]")&amp;" a player and we handle the pitch booking, sign-ups and payments, so all it takes is one person sharing a link with the team."&amp;CHAR(10)&amp;CHAR(10)&amp;"It works well as a team social or "&amp;IF(ISNUMBER(SEARCH(LEFT(F152,1),"AEIOU")),"an ","a ")&amp;F152&amp;"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LINK]")&amp;CHAR(10)&amp;CHAR(10)&amp;"Best,"&amp;CHAR(10)&amp;IF(AL152&lt;&gt;"",AL152,IF(Offer!$C$5&lt;&gt;"",Offer!$C$5,"[NAME]"))&amp;CHAR(10)&amp;"FC Urban"</f>
        <v/>
      </c>
      <c r="AH152" s="14">
        <f>IF(LEN("Hi"&amp;IF(O152&lt;&gt;""," "&amp;O152,"")&amp;","&amp;" FC Urban runs after-work football for "&amp;IF(D152="Canary Wharf","Canary Wharf","City")&amp;" teams. We have a "&amp;AC152&amp;" pitch at "&amp;X152&amp;", "&amp;Y152&amp;" min from your office, "&amp;IF(ISNUMBER(AB152),TEXT(AB152,"ddd d mmm")&amp;", "&amp;TEXT(AB152,"hh:mm"),"weekday evenings")&amp;", "&amp;IF(AD152&lt;&gt;"","£"&amp;IF(AD152=INT(AD152),TEXT(AD152,"0"),TEXT(AD152,"0.00")),"[PRICE PER PLAYER]")&amp;" a player. We handle booking, sign-ups and payments. Fancy "&amp;IF(ISNUMBER(SEARCH(LEFT(F152,1),"AEIOU")),"an ","a ")&amp;F152&amp;" team game? "&amp;IF(AL152&lt;&gt;"",AL152,IF(Offer!$C$5&lt;&gt;"",Offer!$C$5,"[NAME]")))&lt;=300,"Hi"&amp;IF(O152&lt;&gt;""," "&amp;O152,"")&amp;","&amp;" FC Urban runs after-work football for "&amp;IF(D152="Canary Wharf","Canary Wharf","City")&amp;" teams. We have a "&amp;AC152&amp;" pitch at "&amp;X152&amp;", "&amp;Y152&amp;" min from your office, "&amp;IF(ISNUMBER(AB152),TEXT(AB152,"ddd d mmm")&amp;", "&amp;TEXT(AB152,"hh:mm"),"weekday evenings")&amp;", "&amp;IF(AD152&lt;&gt;"","£"&amp;IF(AD152=INT(AD152),TEXT(AD152,"0"),TEXT(AD152,"0.00")),"[PRICE PER PLAYER]")&amp;" a player. We handle booking, sign-ups and payments. Fancy "&amp;IF(ISNUMBER(SEARCH(LEFT(F152,1),"AEIOU")),"an ","a ")&amp;F152&amp;" team game? "&amp;IF(AL152&lt;&gt;"",AL152,IF(Offer!$C$5&lt;&gt;"",Offer!$C$5,"[NAME]")),LEFT("Hi"&amp;IF(O152&lt;&gt;""," "&amp;O152,"")&amp;","&amp;" FC Urban runs after-work football for "&amp;IF(D152="Canary Wharf","Canary Wharf","City")&amp;" teams: "&amp;AC152&amp;" at "&amp;X152&amp;", "&amp;Y152&amp;" min from your office, "&amp;IF(ISNUMBER(AB152),TEXT(AB152,"ddd d mmm")&amp;", "&amp;TEXT(AB152,"hh:mm"),"weekday evenings")&amp;", "&amp;IF(AD152&lt;&gt;"","£"&amp;IF(AD152=INT(AD152),TEXT(AD152,"0"),TEXT(AD152,"0.00")),"[PRICE PER PLAYER]")&amp;" pp. We handle booking and payments. Up for a team game? "&amp;IF(AL152&lt;&gt;"",AL152,IF(Offer!$C$5&lt;&gt;"",Offer!$C$5,"[NAME]")),300))</f>
        <v/>
      </c>
      <c r="AI152" s="14">
        <f>LEN(AH152)</f>
        <v/>
      </c>
      <c r="AJ152" s="14">
        <f>"Thanks for connecting"&amp;IF(O152&lt;&gt;"",", "&amp;O152,"")&amp;". "&amp;IF(ISNUMBER(AB152),"The "&amp;AC152&amp;" slot at "&amp;X152&amp;" is "&amp;IF(ISNUMBER(AB152),TEXT(AB152,"ddd d mmm")&amp;", "&amp;TEXT(AB152,"hh:mm"),"weekday evenings"),"We can book "&amp;AC152&amp;" at "&amp;X152&amp;" on a weekday evening that suits you")&amp;" and it's "&amp;IF(AD152&lt;&gt;"","£"&amp;IF(AD152=INT(AD152),TEXT(AD152,"0"),TEXT(AD152,"0.00")),"[PRICE PER PLAYER]")&amp;" a player, all booked and paid through one link. If football isn't your thing, who at "&amp;F152&amp;" would be the right person to organise a team game?"&amp;IF(Offer!$C$7&lt;&gt;""," Spots are held until "&amp;TEXT(Offer!$C$7,"dddd d mmmm")&amp;".","")&amp;" "&amp;IF(Offer!$C$6&lt;&gt;"",Offer!$C$6,"[JOINING LINK]")</f>
        <v/>
      </c>
      <c r="AK152" s="14">
        <f>IF(OR(ISNUMBER(SEARCH("[",AG152)),ISNUMBER(SEARCH("[",AJ152))),"Fill placeholders",IF(ISNUMBER(AB152),"Ready to send","Ready · no fixed slot"))</f>
        <v/>
      </c>
      <c r="AN152" s="17" t="n"/>
    </row>
    <row r="153">
      <c r="A153" s="11" t="n">
        <v>151</v>
      </c>
      <c r="B153" s="11" t="n">
        <v>3</v>
      </c>
      <c r="C153" s="11" t="inlineStr">
        <is>
          <t>Fund / asset manager</t>
        </is>
      </c>
      <c r="D153" s="11" t="inlineStr">
        <is>
          <t>City of London</t>
        </is>
      </c>
      <c r="E153" s="11" t="inlineStr">
        <is>
          <t>Finalto Financial Services Limited</t>
        </is>
      </c>
      <c r="F153" s="11" t="inlineStr">
        <is>
          <t>Finalto Financial</t>
        </is>
      </c>
      <c r="G153" s="11" t="inlineStr">
        <is>
          <t>06557752</t>
        </is>
      </c>
      <c r="H153" s="12" t="inlineStr">
        <is>
          <t>Open</t>
        </is>
      </c>
      <c r="I153" s="12" t="inlineStr">
        <is>
          <t>Search</t>
        </is>
      </c>
      <c r="J153" s="11" t="inlineStr">
        <is>
          <t>Full</t>
        </is>
      </c>
      <c r="K153" s="13" t="n">
        <v>39545</v>
      </c>
      <c r="L153" s="11" t="inlineStr">
        <is>
          <t>11Th Floor Broadgate Tower, Primrose Street, London</t>
        </is>
      </c>
      <c r="M153" s="11" t="inlineStr">
        <is>
          <t>EC2A 2EW</t>
        </is>
      </c>
      <c r="N153" s="11" t="inlineStr">
        <is>
          <t>Yes</t>
        </is>
      </c>
      <c r="U153" s="11" t="inlineStr">
        <is>
          <t>Shoreditch Powerleague</t>
        </is>
      </c>
      <c r="V153" s="11" t="n">
        <v>6</v>
      </c>
      <c r="W153" s="11" t="inlineStr">
        <is>
          <t>Liverpool St - Attlee Centre (9.9)</t>
        </is>
      </c>
      <c r="X153" s="11" t="inlineStr">
        <is>
          <t>Shoreditch Powerleague</t>
        </is>
      </c>
      <c r="Y153" s="11" t="n">
        <v>6</v>
      </c>
      <c r="Z153" s="14">
        <f>IFERROR(INDEX(Venues!$E$2:$E$15,MATCH(X153,Venues!$A$2:$A$15,0)),"Not checked")</f>
        <v/>
      </c>
      <c r="AA153" s="14">
        <f>IFERROR(INDEX(Venues!$F$2:$F$15,MATCH(X153,Venues!$A$2:$A$15,0)),0)</f>
        <v/>
      </c>
      <c r="AB153" s="15">
        <f>IFERROR(INDEX(Venues!$M$2:$M$15,MATCH(X153,Venues!$A$2:$A$15,0)),"")</f>
        <v/>
      </c>
      <c r="AC153" s="14">
        <f>IFERROR(INDEX(Venues!$N$2:$N$15,MATCH(X153,Venues!$A$2:$A$15,0)),"5-a-side")</f>
        <v/>
      </c>
      <c r="AD153" s="16">
        <f>IF(Offer!$C$4="","",Offer!$C$4)</f>
        <v/>
      </c>
      <c r="AE153" s="14">
        <f>X153&amp;" ("&amp;Y153&amp;" min walk) · "&amp;IF(ISNUMBER(AB153),TEXT(AB153,"ddd d mmm, hh:mm"),"slot to confirm with venue")&amp;" · "&amp;AC153&amp;" · "&amp;IF(AD153&lt;&gt;"","£"&amp;TEXT(AD153,"0.00")&amp;" pp","price TBC")</f>
        <v/>
      </c>
      <c r="AF153" s="14">
        <f>"After-work football for "&amp;F153&amp;" · "&amp;X153&amp;", "&amp;Y153&amp;" min from your office"</f>
        <v/>
      </c>
      <c r="AG153" s="14">
        <f>"Hi"&amp;IF(O153&lt;&gt;""," "&amp;O153,"")&amp;","&amp;CHAR(10)&amp;CHAR(10)&amp;"I'm "&amp;IF(AL153&lt;&gt;"",AL153,IF(Offer!$C$5&lt;&gt;"",Offer!$C$5,"[NAME]"))&amp;" from FC Urban. We organise after-work football for teams in the City and Canary Wharf."&amp;CHAR(10)&amp;CHAR(10)&amp;"We have a "&amp;AC153&amp;" pitch at "&amp;X153&amp;", "&amp;IF(OR(Y153=8,Y153=11,Y153=18),"an ","a ")&amp;Y153&amp;"-minute walk from your "&amp;M153&amp;" office, "&amp;IF(ISNUMBER(AB153),"on "&amp;TEXT(AB153,"dddd d mmmm")&amp;" at "&amp;TEXT(AB153,"hh:mm"),"on a weekday evening that suits your team")&amp;". It's "&amp;IF(AD153&lt;&gt;"","£"&amp;IF(AD153=INT(AD153),TEXT(AD153,"0"),TEXT(AD153,"0.00")),"[PRICE PER PLAYER]")&amp;" a player and we handle the pitch booking, sign-ups and payments, so all it takes is one person sharing a link with the team."&amp;CHAR(10)&amp;CHAR(10)&amp;"It works well as a team social or "&amp;IF(ISNUMBER(SEARCH(LEFT(F153,1),"AEIOU")),"an ","a ")&amp;F153&amp;"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LINK]")&amp;CHAR(10)&amp;CHAR(10)&amp;"Best,"&amp;CHAR(10)&amp;IF(AL153&lt;&gt;"",AL153,IF(Offer!$C$5&lt;&gt;"",Offer!$C$5,"[NAME]"))&amp;CHAR(10)&amp;"FC Urban"</f>
        <v/>
      </c>
      <c r="AH153" s="14">
        <f>IF(LEN("Hi"&amp;IF(O153&lt;&gt;""," "&amp;O153,"")&amp;","&amp;" FC Urban runs after-work football for "&amp;IF(D153="Canary Wharf","Canary Wharf","City")&amp;" teams. We have a "&amp;AC153&amp;" pitch at "&amp;X153&amp;", "&amp;Y153&amp;" min from your office, "&amp;IF(ISNUMBER(AB153),TEXT(AB153,"ddd d mmm")&amp;", "&amp;TEXT(AB153,"hh:mm"),"weekday evenings")&amp;", "&amp;IF(AD153&lt;&gt;"","£"&amp;IF(AD153=INT(AD153),TEXT(AD153,"0"),TEXT(AD153,"0.00")),"[PRICE PER PLAYER]")&amp;" a player. We handle booking, sign-ups and payments. Fancy "&amp;IF(ISNUMBER(SEARCH(LEFT(F153,1),"AEIOU")),"an ","a ")&amp;F153&amp;" team game? "&amp;IF(AL153&lt;&gt;"",AL153,IF(Offer!$C$5&lt;&gt;"",Offer!$C$5,"[NAME]")))&lt;=300,"Hi"&amp;IF(O153&lt;&gt;""," "&amp;O153,"")&amp;","&amp;" FC Urban runs after-work football for "&amp;IF(D153="Canary Wharf","Canary Wharf","City")&amp;" teams. We have a "&amp;AC153&amp;" pitch at "&amp;X153&amp;", "&amp;Y153&amp;" min from your office, "&amp;IF(ISNUMBER(AB153),TEXT(AB153,"ddd d mmm")&amp;", "&amp;TEXT(AB153,"hh:mm"),"weekday evenings")&amp;", "&amp;IF(AD153&lt;&gt;"","£"&amp;IF(AD153=INT(AD153),TEXT(AD153,"0"),TEXT(AD153,"0.00")),"[PRICE PER PLAYER]")&amp;" a player. We handle booking, sign-ups and payments. Fancy "&amp;IF(ISNUMBER(SEARCH(LEFT(F153,1),"AEIOU")),"an ","a ")&amp;F153&amp;" team game? "&amp;IF(AL153&lt;&gt;"",AL153,IF(Offer!$C$5&lt;&gt;"",Offer!$C$5,"[NAME]")),LEFT("Hi"&amp;IF(O153&lt;&gt;""," "&amp;O153,"")&amp;","&amp;" FC Urban runs after-work football for "&amp;IF(D153="Canary Wharf","Canary Wharf","City")&amp;" teams: "&amp;AC153&amp;" at "&amp;X153&amp;", "&amp;Y153&amp;" min from your office, "&amp;IF(ISNUMBER(AB153),TEXT(AB153,"ddd d mmm")&amp;", "&amp;TEXT(AB153,"hh:mm"),"weekday evenings")&amp;", "&amp;IF(AD153&lt;&gt;"","£"&amp;IF(AD153=INT(AD153),TEXT(AD153,"0"),TEXT(AD153,"0.00")),"[PRICE PER PLAYER]")&amp;" pp. We handle booking and payments. Up for a team game? "&amp;IF(AL153&lt;&gt;"",AL153,IF(Offer!$C$5&lt;&gt;"",Offer!$C$5,"[NAME]")),300))</f>
        <v/>
      </c>
      <c r="AI153" s="14">
        <f>LEN(AH153)</f>
        <v/>
      </c>
      <c r="AJ153" s="14">
        <f>"Thanks for connecting"&amp;IF(O153&lt;&gt;"",", "&amp;O153,"")&amp;". "&amp;IF(ISNUMBER(AB153),"The "&amp;AC153&amp;" slot at "&amp;X153&amp;" is "&amp;IF(ISNUMBER(AB153),TEXT(AB153,"ddd d mmm")&amp;", "&amp;TEXT(AB153,"hh:mm"),"weekday evenings"),"We can book "&amp;AC153&amp;" at "&amp;X153&amp;" on a weekday evening that suits you")&amp;" and it's "&amp;IF(AD153&lt;&gt;"","£"&amp;IF(AD153=INT(AD153),TEXT(AD153,"0"),TEXT(AD153,"0.00")),"[PRICE PER PLAYER]")&amp;" a player, all booked and paid through one link. If football isn't your thing, who at "&amp;F153&amp;" would be the right person to organise a team game?"&amp;IF(Offer!$C$7&lt;&gt;""," Spots are held until "&amp;TEXT(Offer!$C$7,"dddd d mmmm")&amp;".","")&amp;" "&amp;IF(Offer!$C$6&lt;&gt;"",Offer!$C$6,"[JOINING LINK]")</f>
        <v/>
      </c>
      <c r="AK153" s="14">
        <f>IF(OR(ISNUMBER(SEARCH("[",AG153)),ISNUMBER(SEARCH("[",AJ153))),"Fill placeholders",IF(ISNUMBER(AB153),"Ready to send","Ready · no fixed slot"))</f>
        <v/>
      </c>
      <c r="AN153" s="17" t="n"/>
    </row>
    <row r="154">
      <c r="A154" s="11" t="n">
        <v>152</v>
      </c>
      <c r="B154" s="11" t="n">
        <v>3</v>
      </c>
      <c r="C154" s="11" t="inlineStr">
        <is>
          <t>Fund / asset manager</t>
        </is>
      </c>
      <c r="D154" s="11" t="inlineStr">
        <is>
          <t>City of London</t>
        </is>
      </c>
      <c r="E154" s="11" t="inlineStr">
        <is>
          <t>Firstrand Securities Limited</t>
        </is>
      </c>
      <c r="F154" s="11" t="inlineStr">
        <is>
          <t>Firstrand Securities</t>
        </is>
      </c>
      <c r="G154" s="11" t="inlineStr">
        <is>
          <t>10192986</t>
        </is>
      </c>
      <c r="H154" s="12" t="inlineStr">
        <is>
          <t>Open</t>
        </is>
      </c>
      <c r="I154" s="12" t="inlineStr">
        <is>
          <t>Search</t>
        </is>
      </c>
      <c r="J154" s="11" t="inlineStr">
        <is>
          <t>Full</t>
        </is>
      </c>
      <c r="K154" s="13" t="n">
        <v>42511</v>
      </c>
      <c r="L154" s="11" t="inlineStr">
        <is>
          <t>Level 23 The Broadgate Tower, 20 Primrose Street, London</t>
        </is>
      </c>
      <c r="M154" s="11" t="inlineStr">
        <is>
          <t>EC2A 2EW</t>
        </is>
      </c>
      <c r="N154" s="11" t="inlineStr">
        <is>
          <t>Yes</t>
        </is>
      </c>
      <c r="U154" s="11" t="inlineStr">
        <is>
          <t>Shoreditch Powerleague</t>
        </is>
      </c>
      <c r="V154" s="11" t="n">
        <v>6</v>
      </c>
      <c r="W154" s="11" t="inlineStr">
        <is>
          <t>Liverpool St - Attlee Centre (9.9)</t>
        </is>
      </c>
      <c r="X154" s="11" t="inlineStr">
        <is>
          <t>Shoreditch Powerleague</t>
        </is>
      </c>
      <c r="Y154" s="11" t="n">
        <v>6</v>
      </c>
      <c r="Z154" s="14">
        <f>IFERROR(INDEX(Venues!$E$2:$E$15,MATCH(X154,Venues!$A$2:$A$15,0)),"Not checked")</f>
        <v/>
      </c>
      <c r="AA154" s="14">
        <f>IFERROR(INDEX(Venues!$F$2:$F$15,MATCH(X154,Venues!$A$2:$A$15,0)),0)</f>
        <v/>
      </c>
      <c r="AB154" s="15">
        <f>IFERROR(INDEX(Venues!$M$2:$M$15,MATCH(X154,Venues!$A$2:$A$15,0)),"")</f>
        <v/>
      </c>
      <c r="AC154" s="14">
        <f>IFERROR(INDEX(Venues!$N$2:$N$15,MATCH(X154,Venues!$A$2:$A$15,0)),"5-a-side")</f>
        <v/>
      </c>
      <c r="AD154" s="16">
        <f>IF(Offer!$C$4="","",Offer!$C$4)</f>
        <v/>
      </c>
      <c r="AE154" s="14">
        <f>X154&amp;" ("&amp;Y154&amp;" min walk) · "&amp;IF(ISNUMBER(AB154),TEXT(AB154,"ddd d mmm, hh:mm"),"slot to confirm with venue")&amp;" · "&amp;AC154&amp;" · "&amp;IF(AD154&lt;&gt;"","£"&amp;TEXT(AD154,"0.00")&amp;" pp","price TBC")</f>
        <v/>
      </c>
      <c r="AF154" s="14">
        <f>"After-work football for "&amp;F154&amp;" · "&amp;X154&amp;", "&amp;Y154&amp;" min from your office"</f>
        <v/>
      </c>
      <c r="AG154" s="14">
        <f>"Hi"&amp;IF(O154&lt;&gt;""," "&amp;O154,"")&amp;","&amp;CHAR(10)&amp;CHAR(10)&amp;"I'm "&amp;IF(AL154&lt;&gt;"",AL154,IF(Offer!$C$5&lt;&gt;"",Offer!$C$5,"[NAME]"))&amp;" from FC Urban. We organise after-work football for teams in the City and Canary Wharf."&amp;CHAR(10)&amp;CHAR(10)&amp;"We have a "&amp;AC154&amp;" pitch at "&amp;X154&amp;", "&amp;IF(OR(Y154=8,Y154=11,Y154=18),"an ","a ")&amp;Y154&amp;"-minute walk from your "&amp;M154&amp;" office, "&amp;IF(ISNUMBER(AB154),"on "&amp;TEXT(AB154,"dddd d mmmm")&amp;" at "&amp;TEXT(AB154,"hh:mm"),"on a weekday evening that suits your team")&amp;". It's "&amp;IF(AD154&lt;&gt;"","£"&amp;IF(AD154=INT(AD154),TEXT(AD154,"0"),TEXT(AD154,"0.00")),"[PRICE PER PLAYER]")&amp;" a player and we handle the pitch booking, sign-ups and payments, so all it takes is one person sharing a link with the team."&amp;CHAR(10)&amp;CHAR(10)&amp;"It works well as a team social or "&amp;IF(ISNUMBER(SEARCH(LEFT(F154,1),"AEIOU")),"an ","a ")&amp;F154&amp;"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LINK]")&amp;CHAR(10)&amp;CHAR(10)&amp;"Best,"&amp;CHAR(10)&amp;IF(AL154&lt;&gt;"",AL154,IF(Offer!$C$5&lt;&gt;"",Offer!$C$5,"[NAME]"))&amp;CHAR(10)&amp;"FC Urban"</f>
        <v/>
      </c>
      <c r="AH154" s="14">
        <f>IF(LEN("Hi"&amp;IF(O154&lt;&gt;""," "&amp;O154,"")&amp;","&amp;" FC Urban runs after-work football for "&amp;IF(D154="Canary Wharf","Canary Wharf","City")&amp;" teams. We have a "&amp;AC154&amp;" pitch at "&amp;X154&amp;", "&amp;Y154&amp;" min from your office, "&amp;IF(ISNUMBER(AB154),TEXT(AB154,"ddd d mmm")&amp;", "&amp;TEXT(AB154,"hh:mm"),"weekday evenings")&amp;", "&amp;IF(AD154&lt;&gt;"","£"&amp;IF(AD154=INT(AD154),TEXT(AD154,"0"),TEXT(AD154,"0.00")),"[PRICE PER PLAYER]")&amp;" a player. We handle booking, sign-ups and payments. Fancy "&amp;IF(ISNUMBER(SEARCH(LEFT(F154,1),"AEIOU")),"an ","a ")&amp;F154&amp;" team game? "&amp;IF(AL154&lt;&gt;"",AL154,IF(Offer!$C$5&lt;&gt;"",Offer!$C$5,"[NAME]")))&lt;=300,"Hi"&amp;IF(O154&lt;&gt;""," "&amp;O154,"")&amp;","&amp;" FC Urban runs after-work football for "&amp;IF(D154="Canary Wharf","Canary Wharf","City")&amp;" teams. We have a "&amp;AC154&amp;" pitch at "&amp;X154&amp;", "&amp;Y154&amp;" min from your office, "&amp;IF(ISNUMBER(AB154),TEXT(AB154,"ddd d mmm")&amp;", "&amp;TEXT(AB154,"hh:mm"),"weekday evenings")&amp;", "&amp;IF(AD154&lt;&gt;"","£"&amp;IF(AD154=INT(AD154),TEXT(AD154,"0"),TEXT(AD154,"0.00")),"[PRICE PER PLAYER]")&amp;" a player. We handle booking, sign-ups and payments. Fancy "&amp;IF(ISNUMBER(SEARCH(LEFT(F154,1),"AEIOU")),"an ","a ")&amp;F154&amp;" team game? "&amp;IF(AL154&lt;&gt;"",AL154,IF(Offer!$C$5&lt;&gt;"",Offer!$C$5,"[NAME]")),LEFT("Hi"&amp;IF(O154&lt;&gt;""," "&amp;O154,"")&amp;","&amp;" FC Urban runs after-work football for "&amp;IF(D154="Canary Wharf","Canary Wharf","City")&amp;" teams: "&amp;AC154&amp;" at "&amp;X154&amp;", "&amp;Y154&amp;" min from your office, "&amp;IF(ISNUMBER(AB154),TEXT(AB154,"ddd d mmm")&amp;", "&amp;TEXT(AB154,"hh:mm"),"weekday evenings")&amp;", "&amp;IF(AD154&lt;&gt;"","£"&amp;IF(AD154=INT(AD154),TEXT(AD154,"0"),TEXT(AD154,"0.00")),"[PRICE PER PLAYER]")&amp;" pp. We handle booking and payments. Up for a team game? "&amp;IF(AL154&lt;&gt;"",AL154,IF(Offer!$C$5&lt;&gt;"",Offer!$C$5,"[NAME]")),300))</f>
        <v/>
      </c>
      <c r="AI154" s="14">
        <f>LEN(AH154)</f>
        <v/>
      </c>
      <c r="AJ154" s="14">
        <f>"Thanks for connecting"&amp;IF(O154&lt;&gt;"",", "&amp;O154,"")&amp;". "&amp;IF(ISNUMBER(AB154),"The "&amp;AC154&amp;" slot at "&amp;X154&amp;" is "&amp;IF(ISNUMBER(AB154),TEXT(AB154,"ddd d mmm")&amp;", "&amp;TEXT(AB154,"hh:mm"),"weekday evenings"),"We can book "&amp;AC154&amp;" at "&amp;X154&amp;" on a weekday evening that suits you")&amp;" and it's "&amp;IF(AD154&lt;&gt;"","£"&amp;IF(AD154=INT(AD154),TEXT(AD154,"0"),TEXT(AD154,"0.00")),"[PRICE PER PLAYER]")&amp;" a player, all booked and paid through one link. If football isn't your thing, who at "&amp;F154&amp;" would be the right person to organise a team game?"&amp;IF(Offer!$C$7&lt;&gt;""," Spots are held until "&amp;TEXT(Offer!$C$7,"dddd d mmmm")&amp;".","")&amp;" "&amp;IF(Offer!$C$6&lt;&gt;"",Offer!$C$6,"[JOINING LINK]")</f>
        <v/>
      </c>
      <c r="AK154" s="14">
        <f>IF(OR(ISNUMBER(SEARCH("[",AG154)),ISNUMBER(SEARCH("[",AJ154))),"Fill placeholders",IF(ISNUMBER(AB154),"Ready to send","Ready · no fixed slot"))</f>
        <v/>
      </c>
      <c r="AN154" s="17" t="n"/>
    </row>
    <row r="155">
      <c r="A155" s="11" t="n">
        <v>153</v>
      </c>
      <c r="B155" s="11" t="n">
        <v>3</v>
      </c>
      <c r="C155" s="11" t="inlineStr">
        <is>
          <t>Fund / asset manager</t>
        </is>
      </c>
      <c r="D155" s="11" t="inlineStr">
        <is>
          <t>City of London</t>
        </is>
      </c>
      <c r="E155" s="11" t="inlineStr">
        <is>
          <t>Astatine Capital Partners LLP</t>
        </is>
      </c>
      <c r="F155" s="11" t="inlineStr">
        <is>
          <t>Astatine Capital Partners</t>
        </is>
      </c>
      <c r="G155" s="11" t="inlineStr">
        <is>
          <t>OC376508</t>
        </is>
      </c>
      <c r="H155" s="12" t="inlineStr">
        <is>
          <t>Open</t>
        </is>
      </c>
      <c r="I155" s="12" t="inlineStr">
        <is>
          <t>Search</t>
        </is>
      </c>
      <c r="J155" s="11" t="inlineStr">
        <is>
          <t>Full</t>
        </is>
      </c>
      <c r="K155" s="13" t="n">
        <v>41088</v>
      </c>
      <c r="L155" s="11" t="inlineStr">
        <is>
          <t>Duo, Level 6, 280 Bishopsgate, London</t>
        </is>
      </c>
      <c r="M155" s="11" t="inlineStr">
        <is>
          <t>EC2M 4RB</t>
        </is>
      </c>
      <c r="N155" s="11" t="inlineStr">
        <is>
          <t>No</t>
        </is>
      </c>
      <c r="U155" s="11" t="inlineStr">
        <is>
          <t>Shoreditch Powerleague</t>
        </is>
      </c>
      <c r="V155" s="11" t="n">
        <v>7</v>
      </c>
      <c r="W155" s="11" t="inlineStr">
        <is>
          <t>Liverpool St - Attlee Centre (7.1)</t>
        </is>
      </c>
      <c r="X155" s="11" t="inlineStr">
        <is>
          <t>Shoreditch Powerleague</t>
        </is>
      </c>
      <c r="Y155" s="11" t="n">
        <v>7</v>
      </c>
      <c r="Z155" s="14">
        <f>IFERROR(INDEX(Venues!$E$2:$E$15,MATCH(X155,Venues!$A$2:$A$15,0)),"Not checked")</f>
        <v/>
      </c>
      <c r="AA155" s="14">
        <f>IFERROR(INDEX(Venues!$F$2:$F$15,MATCH(X155,Venues!$A$2:$A$15,0)),0)</f>
        <v/>
      </c>
      <c r="AB155" s="15">
        <f>IFERROR(INDEX(Venues!$M$2:$M$15,MATCH(X155,Venues!$A$2:$A$15,0)),"")</f>
        <v/>
      </c>
      <c r="AC155" s="14">
        <f>IFERROR(INDEX(Venues!$N$2:$N$15,MATCH(X155,Venues!$A$2:$A$15,0)),"5-a-side")</f>
        <v/>
      </c>
      <c r="AD155" s="16">
        <f>IF(Offer!$C$4="","",Offer!$C$4)</f>
        <v/>
      </c>
      <c r="AE155" s="14">
        <f>X155&amp;" ("&amp;Y155&amp;" min walk) · "&amp;IF(ISNUMBER(AB155),TEXT(AB155,"ddd d mmm, hh:mm"),"slot to confirm with venue")&amp;" · "&amp;AC155&amp;" · "&amp;IF(AD155&lt;&gt;"","£"&amp;TEXT(AD155,"0.00")&amp;" pp","price TBC")</f>
        <v/>
      </c>
      <c r="AF155" s="14">
        <f>"After-work football for "&amp;F155&amp;" · "&amp;X155&amp;", "&amp;Y155&amp;" min from your office"</f>
        <v/>
      </c>
      <c r="AG155" s="14">
        <f>"Hi"&amp;IF(O155&lt;&gt;""," "&amp;O155,"")&amp;","&amp;CHAR(10)&amp;CHAR(10)&amp;"I'm "&amp;IF(AL155&lt;&gt;"",AL155,IF(Offer!$C$5&lt;&gt;"",Offer!$C$5,"[NAME]"))&amp;" from FC Urban. We organise after-work football for teams in the City and Canary Wharf."&amp;CHAR(10)&amp;CHAR(10)&amp;"We have a "&amp;AC155&amp;" pitch at "&amp;X155&amp;", "&amp;IF(OR(Y155=8,Y155=11,Y155=18),"an ","a ")&amp;Y155&amp;"-minute walk from your "&amp;M155&amp;" office, "&amp;IF(ISNUMBER(AB155),"on "&amp;TEXT(AB155,"dddd d mmmm")&amp;" at "&amp;TEXT(AB155,"hh:mm"),"on a weekday evening that suits your team")&amp;". It's "&amp;IF(AD155&lt;&gt;"","£"&amp;IF(AD155=INT(AD155),TEXT(AD155,"0"),TEXT(AD155,"0.00")),"[PRICE PER PLAYER]")&amp;" a player and we handle the pitch booking, sign-ups and payments, so all it takes is one person sharing a link with the team."&amp;CHAR(10)&amp;CHAR(10)&amp;"It works well as a team social or "&amp;IF(ISNUMBER(SEARCH(LEFT(F155,1),"AEIOU")),"an ","a ")&amp;F155&amp;"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LINK]")&amp;CHAR(10)&amp;CHAR(10)&amp;"Best,"&amp;CHAR(10)&amp;IF(AL155&lt;&gt;"",AL155,IF(Offer!$C$5&lt;&gt;"",Offer!$C$5,"[NAME]"))&amp;CHAR(10)&amp;"FC Urban"</f>
        <v/>
      </c>
      <c r="AH155" s="14">
        <f>IF(LEN("Hi"&amp;IF(O155&lt;&gt;""," "&amp;O155,"")&amp;","&amp;" FC Urban runs after-work football for "&amp;IF(D155="Canary Wharf","Canary Wharf","City")&amp;" teams. We have a "&amp;AC155&amp;" pitch at "&amp;X155&amp;", "&amp;Y155&amp;" min from your office, "&amp;IF(ISNUMBER(AB155),TEXT(AB155,"ddd d mmm")&amp;", "&amp;TEXT(AB155,"hh:mm"),"weekday evenings")&amp;", "&amp;IF(AD155&lt;&gt;"","£"&amp;IF(AD155=INT(AD155),TEXT(AD155,"0"),TEXT(AD155,"0.00")),"[PRICE PER PLAYER]")&amp;" a player. We handle booking, sign-ups and payments. Fancy "&amp;IF(ISNUMBER(SEARCH(LEFT(F155,1),"AEIOU")),"an ","a ")&amp;F155&amp;" team game? "&amp;IF(AL155&lt;&gt;"",AL155,IF(Offer!$C$5&lt;&gt;"",Offer!$C$5,"[NAME]")))&lt;=300,"Hi"&amp;IF(O155&lt;&gt;""," "&amp;O155,"")&amp;","&amp;" FC Urban runs after-work football for "&amp;IF(D155="Canary Wharf","Canary Wharf","City")&amp;" teams. We have a "&amp;AC155&amp;" pitch at "&amp;X155&amp;", "&amp;Y155&amp;" min from your office, "&amp;IF(ISNUMBER(AB155),TEXT(AB155,"ddd d mmm")&amp;", "&amp;TEXT(AB155,"hh:mm"),"weekday evenings")&amp;", "&amp;IF(AD155&lt;&gt;"","£"&amp;IF(AD155=INT(AD155),TEXT(AD155,"0"),TEXT(AD155,"0.00")),"[PRICE PER PLAYER]")&amp;" a player. We handle booking, sign-ups and payments. Fancy "&amp;IF(ISNUMBER(SEARCH(LEFT(F155,1),"AEIOU")),"an ","a ")&amp;F155&amp;" team game? "&amp;IF(AL155&lt;&gt;"",AL155,IF(Offer!$C$5&lt;&gt;"",Offer!$C$5,"[NAME]")),LEFT("Hi"&amp;IF(O155&lt;&gt;""," "&amp;O155,"")&amp;","&amp;" FC Urban runs after-work football for "&amp;IF(D155="Canary Wharf","Canary Wharf","City")&amp;" teams: "&amp;AC155&amp;" at "&amp;X155&amp;", "&amp;Y155&amp;" min from your office, "&amp;IF(ISNUMBER(AB155),TEXT(AB155,"ddd d mmm")&amp;", "&amp;TEXT(AB155,"hh:mm"),"weekday evenings")&amp;", "&amp;IF(AD155&lt;&gt;"","£"&amp;IF(AD155=INT(AD155),TEXT(AD155,"0"),TEXT(AD155,"0.00")),"[PRICE PER PLAYER]")&amp;" pp. We handle booking and payments. Up for a team game? "&amp;IF(AL155&lt;&gt;"",AL155,IF(Offer!$C$5&lt;&gt;"",Offer!$C$5,"[NAME]")),300))</f>
        <v/>
      </c>
      <c r="AI155" s="14">
        <f>LEN(AH155)</f>
        <v/>
      </c>
      <c r="AJ155" s="14">
        <f>"Thanks for connecting"&amp;IF(O155&lt;&gt;"",", "&amp;O155,"")&amp;". "&amp;IF(ISNUMBER(AB155),"The "&amp;AC155&amp;" slot at "&amp;X155&amp;" is "&amp;IF(ISNUMBER(AB155),TEXT(AB155,"ddd d mmm")&amp;", "&amp;TEXT(AB155,"hh:mm"),"weekday evenings"),"We can book "&amp;AC155&amp;" at "&amp;X155&amp;" on a weekday evening that suits you")&amp;" and it's "&amp;IF(AD155&lt;&gt;"","£"&amp;IF(AD155=INT(AD155),TEXT(AD155,"0"),TEXT(AD155,"0.00")),"[PRICE PER PLAYER]")&amp;" a player, all booked and paid through one link. If football isn't your thing, who at "&amp;F155&amp;" would be the right person to organise a team game?"&amp;IF(Offer!$C$7&lt;&gt;""," Spots are held until "&amp;TEXT(Offer!$C$7,"dddd d mmmm")&amp;".","")&amp;" "&amp;IF(Offer!$C$6&lt;&gt;"",Offer!$C$6,"[JOINING LINK]")</f>
        <v/>
      </c>
      <c r="AK155" s="14">
        <f>IF(OR(ISNUMBER(SEARCH("[",AG155)),ISNUMBER(SEARCH("[",AJ155))),"Fill placeholders",IF(ISNUMBER(AB155),"Ready to send","Ready · no fixed slot"))</f>
        <v/>
      </c>
      <c r="AN155" s="17" t="n"/>
    </row>
    <row r="156">
      <c r="A156" s="11" t="n">
        <v>154</v>
      </c>
      <c r="B156" s="11" t="n">
        <v>3</v>
      </c>
      <c r="C156" s="11" t="inlineStr">
        <is>
          <t>Fund / asset manager</t>
        </is>
      </c>
      <c r="D156" s="11" t="inlineStr">
        <is>
          <t>City of London</t>
        </is>
      </c>
      <c r="E156" s="11" t="inlineStr">
        <is>
          <t>Bain Capital Private Equity (Europe), LLP</t>
        </is>
      </c>
      <c r="F156" s="11" t="inlineStr">
        <is>
          <t>Bain Capital</t>
        </is>
      </c>
      <c r="G156" s="11" t="inlineStr">
        <is>
          <t>OC380135</t>
        </is>
      </c>
      <c r="H156" s="12" t="inlineStr">
        <is>
          <t>Open</t>
        </is>
      </c>
      <c r="I156" s="12" t="inlineStr">
        <is>
          <t>Search</t>
        </is>
      </c>
      <c r="J156" s="11" t="inlineStr">
        <is>
          <t>Full</t>
        </is>
      </c>
      <c r="K156" s="13" t="n">
        <v>41225</v>
      </c>
      <c r="L156" s="11" t="inlineStr">
        <is>
          <t>Duo, Level 6, 280 Bishopsgate, London</t>
        </is>
      </c>
      <c r="M156" s="11" t="inlineStr">
        <is>
          <t>EC2M 4RB</t>
        </is>
      </c>
      <c r="N156" s="11" t="inlineStr">
        <is>
          <t>No</t>
        </is>
      </c>
      <c r="U156" s="11" t="inlineStr">
        <is>
          <t>Shoreditch Powerleague</t>
        </is>
      </c>
      <c r="V156" s="11" t="n">
        <v>7</v>
      </c>
      <c r="W156" s="11" t="inlineStr">
        <is>
          <t>Liverpool St - Attlee Centre (7.1)</t>
        </is>
      </c>
      <c r="X156" s="11" t="inlineStr">
        <is>
          <t>Shoreditch Powerleague</t>
        </is>
      </c>
      <c r="Y156" s="11" t="n">
        <v>7</v>
      </c>
      <c r="Z156" s="14">
        <f>IFERROR(INDEX(Venues!$E$2:$E$15,MATCH(X156,Venues!$A$2:$A$15,0)),"Not checked")</f>
        <v/>
      </c>
      <c r="AA156" s="14">
        <f>IFERROR(INDEX(Venues!$F$2:$F$15,MATCH(X156,Venues!$A$2:$A$15,0)),0)</f>
        <v/>
      </c>
      <c r="AB156" s="15">
        <f>IFERROR(INDEX(Venues!$M$2:$M$15,MATCH(X156,Venues!$A$2:$A$15,0)),"")</f>
        <v/>
      </c>
      <c r="AC156" s="14">
        <f>IFERROR(INDEX(Venues!$N$2:$N$15,MATCH(X156,Venues!$A$2:$A$15,0)),"5-a-side")</f>
        <v/>
      </c>
      <c r="AD156" s="16">
        <f>IF(Offer!$C$4="","",Offer!$C$4)</f>
        <v/>
      </c>
      <c r="AE156" s="14">
        <f>X156&amp;" ("&amp;Y156&amp;" min walk) · "&amp;IF(ISNUMBER(AB156),TEXT(AB156,"ddd d mmm, hh:mm"),"slot to confirm with venue")&amp;" · "&amp;AC156&amp;" · "&amp;IF(AD156&lt;&gt;"","£"&amp;TEXT(AD156,"0.00")&amp;" pp","price TBC")</f>
        <v/>
      </c>
      <c r="AF156" s="14">
        <f>"After-work football for "&amp;F156&amp;" · "&amp;X156&amp;", "&amp;Y156&amp;" min from your office"</f>
        <v/>
      </c>
      <c r="AG156" s="14">
        <f>"Hi"&amp;IF(O156&lt;&gt;""," "&amp;O156,"")&amp;","&amp;CHAR(10)&amp;CHAR(10)&amp;"I'm "&amp;IF(AL156&lt;&gt;"",AL156,IF(Offer!$C$5&lt;&gt;"",Offer!$C$5,"[NAME]"))&amp;" from FC Urban. We organise after-work football for teams in the City and Canary Wharf."&amp;CHAR(10)&amp;CHAR(10)&amp;"We have a "&amp;AC156&amp;" pitch at "&amp;X156&amp;", "&amp;IF(OR(Y156=8,Y156=11,Y156=18),"an ","a ")&amp;Y156&amp;"-minute walk from your "&amp;M156&amp;" office, "&amp;IF(ISNUMBER(AB156),"on "&amp;TEXT(AB156,"dddd d mmmm")&amp;" at "&amp;TEXT(AB156,"hh:mm"),"on a weekday evening that suits your team")&amp;". It's "&amp;IF(AD156&lt;&gt;"","£"&amp;IF(AD156=INT(AD156),TEXT(AD156,"0"),TEXT(AD156,"0.00")),"[PRICE PER PLAYER]")&amp;" a player and we handle the pitch booking, sign-ups and payments, so all it takes is one person sharing a link with the team."&amp;CHAR(10)&amp;CHAR(10)&amp;"It works well as a team social or "&amp;IF(ISNUMBER(SEARCH(LEFT(F156,1),"AEIOU")),"an ","a ")&amp;F156&amp;"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LINK]")&amp;CHAR(10)&amp;CHAR(10)&amp;"Best,"&amp;CHAR(10)&amp;IF(AL156&lt;&gt;"",AL156,IF(Offer!$C$5&lt;&gt;"",Offer!$C$5,"[NAME]"))&amp;CHAR(10)&amp;"FC Urban"</f>
        <v/>
      </c>
      <c r="AH156" s="14">
        <f>IF(LEN("Hi"&amp;IF(O156&lt;&gt;""," "&amp;O156,"")&amp;","&amp;" FC Urban runs after-work football for "&amp;IF(D156="Canary Wharf","Canary Wharf","City")&amp;" teams. We have a "&amp;AC156&amp;" pitch at "&amp;X156&amp;", "&amp;Y156&amp;" min from your office, "&amp;IF(ISNUMBER(AB156),TEXT(AB156,"ddd d mmm")&amp;", "&amp;TEXT(AB156,"hh:mm"),"weekday evenings")&amp;", "&amp;IF(AD156&lt;&gt;"","£"&amp;IF(AD156=INT(AD156),TEXT(AD156,"0"),TEXT(AD156,"0.00")),"[PRICE PER PLAYER]")&amp;" a player. We handle booking, sign-ups and payments. Fancy "&amp;IF(ISNUMBER(SEARCH(LEFT(F156,1),"AEIOU")),"an ","a ")&amp;F156&amp;" team game? "&amp;IF(AL156&lt;&gt;"",AL156,IF(Offer!$C$5&lt;&gt;"",Offer!$C$5,"[NAME]")))&lt;=300,"Hi"&amp;IF(O156&lt;&gt;""," "&amp;O156,"")&amp;","&amp;" FC Urban runs after-work football for "&amp;IF(D156="Canary Wharf","Canary Wharf","City")&amp;" teams. We have a "&amp;AC156&amp;" pitch at "&amp;X156&amp;", "&amp;Y156&amp;" min from your office, "&amp;IF(ISNUMBER(AB156),TEXT(AB156,"ddd d mmm")&amp;", "&amp;TEXT(AB156,"hh:mm"),"weekday evenings")&amp;", "&amp;IF(AD156&lt;&gt;"","£"&amp;IF(AD156=INT(AD156),TEXT(AD156,"0"),TEXT(AD156,"0.00")),"[PRICE PER PLAYER]")&amp;" a player. We handle booking, sign-ups and payments. Fancy "&amp;IF(ISNUMBER(SEARCH(LEFT(F156,1),"AEIOU")),"an ","a ")&amp;F156&amp;" team game? "&amp;IF(AL156&lt;&gt;"",AL156,IF(Offer!$C$5&lt;&gt;"",Offer!$C$5,"[NAME]")),LEFT("Hi"&amp;IF(O156&lt;&gt;""," "&amp;O156,"")&amp;","&amp;" FC Urban runs after-work football for "&amp;IF(D156="Canary Wharf","Canary Wharf","City")&amp;" teams: "&amp;AC156&amp;" at "&amp;X156&amp;", "&amp;Y156&amp;" min from your office, "&amp;IF(ISNUMBER(AB156),TEXT(AB156,"ddd d mmm")&amp;", "&amp;TEXT(AB156,"hh:mm"),"weekday evenings")&amp;", "&amp;IF(AD156&lt;&gt;"","£"&amp;IF(AD156=INT(AD156),TEXT(AD156,"0"),TEXT(AD156,"0.00")),"[PRICE PER PLAYER]")&amp;" pp. We handle booking and payments. Up for a team game? "&amp;IF(AL156&lt;&gt;"",AL156,IF(Offer!$C$5&lt;&gt;"",Offer!$C$5,"[NAME]")),300))</f>
        <v/>
      </c>
      <c r="AI156" s="14">
        <f>LEN(AH156)</f>
        <v/>
      </c>
      <c r="AJ156" s="14">
        <f>"Thanks for connecting"&amp;IF(O156&lt;&gt;"",", "&amp;O156,"")&amp;". "&amp;IF(ISNUMBER(AB156),"The "&amp;AC156&amp;" slot at "&amp;X156&amp;" is "&amp;IF(ISNUMBER(AB156),TEXT(AB156,"ddd d mmm")&amp;", "&amp;TEXT(AB156,"hh:mm"),"weekday evenings"),"We can book "&amp;AC156&amp;" at "&amp;X156&amp;" on a weekday evening that suits you")&amp;" and it's "&amp;IF(AD156&lt;&gt;"","£"&amp;IF(AD156=INT(AD156),TEXT(AD156,"0"),TEXT(AD156,"0.00")),"[PRICE PER PLAYER]")&amp;" a player, all booked and paid through one link. If football isn't your thing, who at "&amp;F156&amp;" would be the right person to organise a team game?"&amp;IF(Offer!$C$7&lt;&gt;""," Spots are held until "&amp;TEXT(Offer!$C$7,"dddd d mmmm")&amp;".","")&amp;" "&amp;IF(Offer!$C$6&lt;&gt;"",Offer!$C$6,"[JOINING LINK]")</f>
        <v/>
      </c>
      <c r="AK156" s="14">
        <f>IF(OR(ISNUMBER(SEARCH("[",AG156)),ISNUMBER(SEARCH("[",AJ156))),"Fill placeholders",IF(ISNUMBER(AB156),"Ready to send","Ready · no fixed slot"))</f>
        <v/>
      </c>
      <c r="AN156" s="17" t="n"/>
    </row>
    <row r="157">
      <c r="A157" s="11" t="n">
        <v>155</v>
      </c>
      <c r="B157" s="11" t="n">
        <v>3</v>
      </c>
      <c r="C157" s="11" t="inlineStr">
        <is>
          <t>Fund / asset manager</t>
        </is>
      </c>
      <c r="D157" s="11" t="inlineStr">
        <is>
          <t>City of London</t>
        </is>
      </c>
      <c r="E157" s="11" t="inlineStr">
        <is>
          <t>London LGPS CIV Limited</t>
        </is>
      </c>
      <c r="F157" s="11" t="inlineStr">
        <is>
          <t>London LGPS CIV</t>
        </is>
      </c>
      <c r="G157" s="11" t="inlineStr">
        <is>
          <t>09136445</t>
        </is>
      </c>
      <c r="H157" s="12" t="inlineStr">
        <is>
          <t>Open</t>
        </is>
      </c>
      <c r="I157" s="12" t="inlineStr">
        <is>
          <t>Search</t>
        </is>
      </c>
      <c r="J157" s="11" t="inlineStr">
        <is>
          <t>Full</t>
        </is>
      </c>
      <c r="K157" s="13" t="n">
        <v>41837</v>
      </c>
      <c r="L157" s="11" t="inlineStr">
        <is>
          <t>4Th Floor, 22, Lavington Street, London</t>
        </is>
      </c>
      <c r="M157" s="11" t="inlineStr">
        <is>
          <t>SE1 0NZ</t>
        </is>
      </c>
      <c r="N157" s="11" t="inlineStr">
        <is>
          <t>No</t>
        </is>
      </c>
      <c r="U157" s="11" t="inlineStr">
        <is>
          <t>Borough Academy</t>
        </is>
      </c>
      <c r="V157" s="11" t="n">
        <v>7</v>
      </c>
      <c r="W157" s="11" t="n"/>
      <c r="X157" s="11" t="inlineStr">
        <is>
          <t>Borough Academy</t>
        </is>
      </c>
      <c r="Y157" s="11" t="n">
        <v>7</v>
      </c>
      <c r="Z157" s="14">
        <f>IFERROR(INDEX(Venues!$E$2:$E$15,MATCH(X157,Venues!$A$2:$A$15,0)),"Not checked")</f>
        <v/>
      </c>
      <c r="AA157" s="14">
        <f>IFERROR(INDEX(Venues!$F$2:$F$15,MATCH(X157,Venues!$A$2:$A$15,0)),0)</f>
        <v/>
      </c>
      <c r="AB157" s="15">
        <f>IFERROR(INDEX(Venues!$M$2:$M$15,MATCH(X157,Venues!$A$2:$A$15,0)),"")</f>
        <v/>
      </c>
      <c r="AC157" s="14">
        <f>IFERROR(INDEX(Venues!$N$2:$N$15,MATCH(X157,Venues!$A$2:$A$15,0)),"5-a-side")</f>
        <v/>
      </c>
      <c r="AD157" s="16">
        <f>IF(Offer!$C$4="","",Offer!$C$4)</f>
        <v/>
      </c>
      <c r="AE157" s="14">
        <f>X157&amp;" ("&amp;Y157&amp;" min walk) · "&amp;IF(ISNUMBER(AB157),TEXT(AB157,"ddd d mmm, hh:mm"),"slot to confirm with venue")&amp;" · "&amp;AC157&amp;" · "&amp;IF(AD157&lt;&gt;"","£"&amp;TEXT(AD157,"0.00")&amp;" pp","price TBC")</f>
        <v/>
      </c>
      <c r="AF157" s="14">
        <f>"After-work football for "&amp;F157&amp;" · "&amp;X157&amp;", "&amp;Y157&amp;" min from your office"</f>
        <v/>
      </c>
      <c r="AG157" s="14">
        <f>"Hi"&amp;IF(O157&lt;&gt;""," "&amp;O157,"")&amp;","&amp;CHAR(10)&amp;CHAR(10)&amp;"I'm "&amp;IF(AL157&lt;&gt;"",AL157,IF(Offer!$C$5&lt;&gt;"",Offer!$C$5,"[NAME]"))&amp;" from FC Urban. We organise after-work football for teams in the City and Canary Wharf."&amp;CHAR(10)&amp;CHAR(10)&amp;"We have a "&amp;AC157&amp;" pitch at "&amp;X157&amp;", "&amp;IF(OR(Y157=8,Y157=11,Y157=18),"an ","a ")&amp;Y157&amp;"-minute walk from your "&amp;M157&amp;" office, "&amp;IF(ISNUMBER(AB157),"on "&amp;TEXT(AB157,"dddd d mmmm")&amp;" at "&amp;TEXT(AB157,"hh:mm"),"on a weekday evening that suits your team")&amp;". It's "&amp;IF(AD157&lt;&gt;"","£"&amp;IF(AD157=INT(AD157),TEXT(AD157,"0"),TEXT(AD157,"0.00")),"[PRICE PER PLAYER]")&amp;" a player and we handle the pitch booking, sign-ups and payments, so all it takes is one person sharing a link with the team."&amp;CHAR(10)&amp;CHAR(10)&amp;"It works well as a team social or "&amp;IF(ISNUMBER(SEARCH(LEFT(F157,1),"AEIOU")),"an ","a ")&amp;F157&amp;"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LINK]")&amp;CHAR(10)&amp;CHAR(10)&amp;"Best,"&amp;CHAR(10)&amp;IF(AL157&lt;&gt;"",AL157,IF(Offer!$C$5&lt;&gt;"",Offer!$C$5,"[NAME]"))&amp;CHAR(10)&amp;"FC Urban"</f>
        <v/>
      </c>
      <c r="AH157" s="14">
        <f>IF(LEN("Hi"&amp;IF(O157&lt;&gt;""," "&amp;O157,"")&amp;","&amp;" FC Urban runs after-work football for "&amp;IF(D157="Canary Wharf","Canary Wharf","City")&amp;" teams. We have a "&amp;AC157&amp;" pitch at "&amp;X157&amp;", "&amp;Y157&amp;" min from your office, "&amp;IF(ISNUMBER(AB157),TEXT(AB157,"ddd d mmm")&amp;", "&amp;TEXT(AB157,"hh:mm"),"weekday evenings")&amp;", "&amp;IF(AD157&lt;&gt;"","£"&amp;IF(AD157=INT(AD157),TEXT(AD157,"0"),TEXT(AD157,"0.00")),"[PRICE PER PLAYER]")&amp;" a player. We handle booking, sign-ups and payments. Fancy "&amp;IF(ISNUMBER(SEARCH(LEFT(F157,1),"AEIOU")),"an ","a ")&amp;F157&amp;" team game? "&amp;IF(AL157&lt;&gt;"",AL157,IF(Offer!$C$5&lt;&gt;"",Offer!$C$5,"[NAME]")))&lt;=300,"Hi"&amp;IF(O157&lt;&gt;""," "&amp;O157,"")&amp;","&amp;" FC Urban runs after-work football for "&amp;IF(D157="Canary Wharf","Canary Wharf","City")&amp;" teams. We have a "&amp;AC157&amp;" pitch at "&amp;X157&amp;", "&amp;Y157&amp;" min from your office, "&amp;IF(ISNUMBER(AB157),TEXT(AB157,"ddd d mmm")&amp;", "&amp;TEXT(AB157,"hh:mm"),"weekday evenings")&amp;", "&amp;IF(AD157&lt;&gt;"","£"&amp;IF(AD157=INT(AD157),TEXT(AD157,"0"),TEXT(AD157,"0.00")),"[PRICE PER PLAYER]")&amp;" a player. We handle booking, sign-ups and payments. Fancy "&amp;IF(ISNUMBER(SEARCH(LEFT(F157,1),"AEIOU")),"an ","a ")&amp;F157&amp;" team game? "&amp;IF(AL157&lt;&gt;"",AL157,IF(Offer!$C$5&lt;&gt;"",Offer!$C$5,"[NAME]")),LEFT("Hi"&amp;IF(O157&lt;&gt;""," "&amp;O157,"")&amp;","&amp;" FC Urban runs after-work football for "&amp;IF(D157="Canary Wharf","Canary Wharf","City")&amp;" teams: "&amp;AC157&amp;" at "&amp;X157&amp;", "&amp;Y157&amp;" min from your office, "&amp;IF(ISNUMBER(AB157),TEXT(AB157,"ddd d mmm")&amp;", "&amp;TEXT(AB157,"hh:mm"),"weekday evenings")&amp;", "&amp;IF(AD157&lt;&gt;"","£"&amp;IF(AD157=INT(AD157),TEXT(AD157,"0"),TEXT(AD157,"0.00")),"[PRICE PER PLAYER]")&amp;" pp. We handle booking and payments. Up for a team game? "&amp;IF(AL157&lt;&gt;"",AL157,IF(Offer!$C$5&lt;&gt;"",Offer!$C$5,"[NAME]")),300))</f>
        <v/>
      </c>
      <c r="AI157" s="14">
        <f>LEN(AH157)</f>
        <v/>
      </c>
      <c r="AJ157" s="14">
        <f>"Thanks for connecting"&amp;IF(O157&lt;&gt;"",", "&amp;O157,"")&amp;". "&amp;IF(ISNUMBER(AB157),"The "&amp;AC157&amp;" slot at "&amp;X157&amp;" is "&amp;IF(ISNUMBER(AB157),TEXT(AB157,"ddd d mmm")&amp;", "&amp;TEXT(AB157,"hh:mm"),"weekday evenings"),"We can book "&amp;AC157&amp;" at "&amp;X157&amp;" on a weekday evening that suits you")&amp;" and it's "&amp;IF(AD157&lt;&gt;"","£"&amp;IF(AD157=INT(AD157),TEXT(AD157,"0"),TEXT(AD157,"0.00")),"[PRICE PER PLAYER]")&amp;" a player, all booked and paid through one link. If football isn't your thing, who at "&amp;F157&amp;" would be the right person to organise a team game?"&amp;IF(Offer!$C$7&lt;&gt;""," Spots are held until "&amp;TEXT(Offer!$C$7,"dddd d mmmm")&amp;".","")&amp;" "&amp;IF(Offer!$C$6&lt;&gt;"",Offer!$C$6,"[JOINING LINK]")</f>
        <v/>
      </c>
      <c r="AK157" s="14">
        <f>IF(OR(ISNUMBER(SEARCH("[",AG157)),ISNUMBER(SEARCH("[",AJ157))),"Fill placeholders",IF(ISNUMBER(AB157),"Ready to send","Ready · no fixed slot"))</f>
        <v/>
      </c>
      <c r="AN157" s="17" t="n"/>
    </row>
    <row r="158">
      <c r="A158" s="11" t="n">
        <v>156</v>
      </c>
      <c r="B158" s="11" t="n">
        <v>3</v>
      </c>
      <c r="C158" s="11" t="inlineStr">
        <is>
          <t>Fund / asset manager</t>
        </is>
      </c>
      <c r="D158" s="11" t="inlineStr">
        <is>
          <t>City of London</t>
        </is>
      </c>
      <c r="E158" s="11" t="inlineStr">
        <is>
          <t>MIC Capital Management UK LLP</t>
        </is>
      </c>
      <c r="F158" s="11" t="inlineStr">
        <is>
          <t>MIC Capital Management</t>
        </is>
      </c>
      <c r="G158" s="11" t="inlineStr">
        <is>
          <t>OC389160</t>
        </is>
      </c>
      <c r="H158" s="12" t="inlineStr">
        <is>
          <t>Open</t>
        </is>
      </c>
      <c r="I158" s="12" t="inlineStr">
        <is>
          <t>Search</t>
        </is>
      </c>
      <c r="J158" s="11" t="inlineStr">
        <is>
          <t>Full</t>
        </is>
      </c>
      <c r="K158" s="13" t="n">
        <v>41591</v>
      </c>
      <c r="L158" s="11" t="inlineStr">
        <is>
          <t>Duo, Level 6, 280 Bishopsgate, London</t>
        </is>
      </c>
      <c r="M158" s="11" t="inlineStr">
        <is>
          <t>EC2M 4RB</t>
        </is>
      </c>
      <c r="N158" s="11" t="inlineStr">
        <is>
          <t>No</t>
        </is>
      </c>
      <c r="U158" s="11" t="inlineStr">
        <is>
          <t>Shoreditch Powerleague</t>
        </is>
      </c>
      <c r="V158" s="11" t="n">
        <v>7</v>
      </c>
      <c r="W158" s="11" t="inlineStr">
        <is>
          <t>Liverpool St - Attlee Centre (7.1)</t>
        </is>
      </c>
      <c r="X158" s="11" t="inlineStr">
        <is>
          <t>Shoreditch Powerleague</t>
        </is>
      </c>
      <c r="Y158" s="11" t="n">
        <v>7</v>
      </c>
      <c r="Z158" s="14">
        <f>IFERROR(INDEX(Venues!$E$2:$E$15,MATCH(X158,Venues!$A$2:$A$15,0)),"Not checked")</f>
        <v/>
      </c>
      <c r="AA158" s="14">
        <f>IFERROR(INDEX(Venues!$F$2:$F$15,MATCH(X158,Venues!$A$2:$A$15,0)),0)</f>
        <v/>
      </c>
      <c r="AB158" s="15">
        <f>IFERROR(INDEX(Venues!$M$2:$M$15,MATCH(X158,Venues!$A$2:$A$15,0)),"")</f>
        <v/>
      </c>
      <c r="AC158" s="14">
        <f>IFERROR(INDEX(Venues!$N$2:$N$15,MATCH(X158,Venues!$A$2:$A$15,0)),"5-a-side")</f>
        <v/>
      </c>
      <c r="AD158" s="16">
        <f>IF(Offer!$C$4="","",Offer!$C$4)</f>
        <v/>
      </c>
      <c r="AE158" s="14">
        <f>X158&amp;" ("&amp;Y158&amp;" min walk) · "&amp;IF(ISNUMBER(AB158),TEXT(AB158,"ddd d mmm, hh:mm"),"slot to confirm with venue")&amp;" · "&amp;AC158&amp;" · "&amp;IF(AD158&lt;&gt;"","£"&amp;TEXT(AD158,"0.00")&amp;" pp","price TBC")</f>
        <v/>
      </c>
      <c r="AF158" s="14">
        <f>"After-work football for "&amp;F158&amp;" · "&amp;X158&amp;", "&amp;Y158&amp;" min from your office"</f>
        <v/>
      </c>
      <c r="AG158" s="14">
        <f>"Hi"&amp;IF(O158&lt;&gt;""," "&amp;O158,"")&amp;","&amp;CHAR(10)&amp;CHAR(10)&amp;"I'm "&amp;IF(AL158&lt;&gt;"",AL158,IF(Offer!$C$5&lt;&gt;"",Offer!$C$5,"[NAME]"))&amp;" from FC Urban. We organise after-work football for teams in the City and Canary Wharf."&amp;CHAR(10)&amp;CHAR(10)&amp;"We have a "&amp;AC158&amp;" pitch at "&amp;X158&amp;", "&amp;IF(OR(Y158=8,Y158=11,Y158=18),"an ","a ")&amp;Y158&amp;"-minute walk from your "&amp;M158&amp;" office, "&amp;IF(ISNUMBER(AB158),"on "&amp;TEXT(AB158,"dddd d mmmm")&amp;" at "&amp;TEXT(AB158,"hh:mm"),"on a weekday evening that suits your team")&amp;". It's "&amp;IF(AD158&lt;&gt;"","£"&amp;IF(AD158=INT(AD158),TEXT(AD158,"0"),TEXT(AD158,"0.00")),"[PRICE PER PLAYER]")&amp;" a player and we handle the pitch booking, sign-ups and payments, so all it takes is one person sharing a link with the team."&amp;CHAR(10)&amp;CHAR(10)&amp;"It works well as a team social or "&amp;IF(ISNUMBER(SEARCH(LEFT(F158,1),"AEIOU")),"an ","a ")&amp;F158&amp;"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LINK]")&amp;CHAR(10)&amp;CHAR(10)&amp;"Best,"&amp;CHAR(10)&amp;IF(AL158&lt;&gt;"",AL158,IF(Offer!$C$5&lt;&gt;"",Offer!$C$5,"[NAME]"))&amp;CHAR(10)&amp;"FC Urban"</f>
        <v/>
      </c>
      <c r="AH158" s="14">
        <f>IF(LEN("Hi"&amp;IF(O158&lt;&gt;""," "&amp;O158,"")&amp;","&amp;" FC Urban runs after-work football for "&amp;IF(D158="Canary Wharf","Canary Wharf","City")&amp;" teams. We have a "&amp;AC158&amp;" pitch at "&amp;X158&amp;", "&amp;Y158&amp;" min from your office, "&amp;IF(ISNUMBER(AB158),TEXT(AB158,"ddd d mmm")&amp;", "&amp;TEXT(AB158,"hh:mm"),"weekday evenings")&amp;", "&amp;IF(AD158&lt;&gt;"","£"&amp;IF(AD158=INT(AD158),TEXT(AD158,"0"),TEXT(AD158,"0.00")),"[PRICE PER PLAYER]")&amp;" a player. We handle booking, sign-ups and payments. Fancy "&amp;IF(ISNUMBER(SEARCH(LEFT(F158,1),"AEIOU")),"an ","a ")&amp;F158&amp;" team game? "&amp;IF(AL158&lt;&gt;"",AL158,IF(Offer!$C$5&lt;&gt;"",Offer!$C$5,"[NAME]")))&lt;=300,"Hi"&amp;IF(O158&lt;&gt;""," "&amp;O158,"")&amp;","&amp;" FC Urban runs after-work football for "&amp;IF(D158="Canary Wharf","Canary Wharf","City")&amp;" teams. We have a "&amp;AC158&amp;" pitch at "&amp;X158&amp;", "&amp;Y158&amp;" min from your office, "&amp;IF(ISNUMBER(AB158),TEXT(AB158,"ddd d mmm")&amp;", "&amp;TEXT(AB158,"hh:mm"),"weekday evenings")&amp;", "&amp;IF(AD158&lt;&gt;"","£"&amp;IF(AD158=INT(AD158),TEXT(AD158,"0"),TEXT(AD158,"0.00")),"[PRICE PER PLAYER]")&amp;" a player. We handle booking, sign-ups and payments. Fancy "&amp;IF(ISNUMBER(SEARCH(LEFT(F158,1),"AEIOU")),"an ","a ")&amp;F158&amp;" team game? "&amp;IF(AL158&lt;&gt;"",AL158,IF(Offer!$C$5&lt;&gt;"",Offer!$C$5,"[NAME]")),LEFT("Hi"&amp;IF(O158&lt;&gt;""," "&amp;O158,"")&amp;","&amp;" FC Urban runs after-work football for "&amp;IF(D158="Canary Wharf","Canary Wharf","City")&amp;" teams: "&amp;AC158&amp;" at "&amp;X158&amp;", "&amp;Y158&amp;" min from your office, "&amp;IF(ISNUMBER(AB158),TEXT(AB158,"ddd d mmm")&amp;", "&amp;TEXT(AB158,"hh:mm"),"weekday evenings")&amp;", "&amp;IF(AD158&lt;&gt;"","£"&amp;IF(AD158=INT(AD158),TEXT(AD158,"0"),TEXT(AD158,"0.00")),"[PRICE PER PLAYER]")&amp;" pp. We handle booking and payments. Up for a team game? "&amp;IF(AL158&lt;&gt;"",AL158,IF(Offer!$C$5&lt;&gt;"",Offer!$C$5,"[NAME]")),300))</f>
        <v/>
      </c>
      <c r="AI158" s="14">
        <f>LEN(AH158)</f>
        <v/>
      </c>
      <c r="AJ158" s="14">
        <f>"Thanks for connecting"&amp;IF(O158&lt;&gt;"",", "&amp;O158,"")&amp;". "&amp;IF(ISNUMBER(AB158),"The "&amp;AC158&amp;" slot at "&amp;X158&amp;" is "&amp;IF(ISNUMBER(AB158),TEXT(AB158,"ddd d mmm")&amp;", "&amp;TEXT(AB158,"hh:mm"),"weekday evenings"),"We can book "&amp;AC158&amp;" at "&amp;X158&amp;" on a weekday evening that suits you")&amp;" and it's "&amp;IF(AD158&lt;&gt;"","£"&amp;IF(AD158=INT(AD158),TEXT(AD158,"0"),TEXT(AD158,"0.00")),"[PRICE PER PLAYER]")&amp;" a player, all booked and paid through one link. If football isn't your thing, who at "&amp;F158&amp;" would be the right person to organise a team game?"&amp;IF(Offer!$C$7&lt;&gt;""," Spots are held until "&amp;TEXT(Offer!$C$7,"dddd d mmmm")&amp;".","")&amp;" "&amp;IF(Offer!$C$6&lt;&gt;"",Offer!$C$6,"[JOINING LINK]")</f>
        <v/>
      </c>
      <c r="AK158" s="14">
        <f>IF(OR(ISNUMBER(SEARCH("[",AG158)),ISNUMBER(SEARCH("[",AJ158))),"Fill placeholders",IF(ISNUMBER(AB158),"Ready to send","Ready · no fixed slot"))</f>
        <v/>
      </c>
      <c r="AN158" s="17" t="n"/>
    </row>
    <row r="159">
      <c r="A159" s="11" t="n">
        <v>157</v>
      </c>
      <c r="B159" s="11" t="n">
        <v>3</v>
      </c>
      <c r="C159" s="11" t="inlineStr">
        <is>
          <t>Insurance / broker</t>
        </is>
      </c>
      <c r="D159" s="11" t="inlineStr">
        <is>
          <t>Canary Wharf</t>
        </is>
      </c>
      <c r="E159" s="11" t="inlineStr">
        <is>
          <t>Blumont Annuity Company UK Ltd</t>
        </is>
      </c>
      <c r="F159" s="11" t="inlineStr">
        <is>
          <t>Blumont Annuity Company</t>
        </is>
      </c>
      <c r="G159" s="11" t="inlineStr">
        <is>
          <t>14130490</t>
        </is>
      </c>
      <c r="H159" s="12" t="inlineStr">
        <is>
          <t>Open</t>
        </is>
      </c>
      <c r="I159" s="12" t="inlineStr">
        <is>
          <t>Search</t>
        </is>
      </c>
      <c r="J159" s="11" t="inlineStr">
        <is>
          <t>Full</t>
        </is>
      </c>
      <c r="K159" s="13" t="n">
        <v>44706</v>
      </c>
      <c r="L159" s="11" t="inlineStr">
        <is>
          <t>Level 26, 1 Canada Square, Canary Wharf</t>
        </is>
      </c>
      <c r="M159" s="11" t="inlineStr">
        <is>
          <t>E14 5AB</t>
        </is>
      </c>
      <c r="N159" s="11" t="inlineStr">
        <is>
          <t>No</t>
        </is>
      </c>
      <c r="U159" s="11" t="inlineStr">
        <is>
          <t>Poplar</t>
        </is>
      </c>
      <c r="V159" s="11" t="n">
        <v>7</v>
      </c>
      <c r="W159" s="11" t="inlineStr">
        <is>
          <t>PlayFootball Canary Wharf - Westferry (E14 8HH) (16.1)</t>
        </is>
      </c>
      <c r="X159" s="11" t="inlineStr">
        <is>
          <t>Poplar</t>
        </is>
      </c>
      <c r="Y159" s="11" t="n">
        <v>7</v>
      </c>
      <c r="Z159" s="14">
        <f>IFERROR(INDEX(Venues!$E$2:$E$15,MATCH(X159,Venues!$A$2:$A$15,0)),"Not checked")</f>
        <v/>
      </c>
      <c r="AA159" s="14">
        <f>IFERROR(INDEX(Venues!$F$2:$F$15,MATCH(X159,Venues!$A$2:$A$15,0)),0)</f>
        <v/>
      </c>
      <c r="AB159" s="15">
        <f>IFERROR(INDEX(Venues!$M$2:$M$15,MATCH(X159,Venues!$A$2:$A$15,0)),"")</f>
        <v/>
      </c>
      <c r="AC159" s="14">
        <f>IFERROR(INDEX(Venues!$N$2:$N$15,MATCH(X159,Venues!$A$2:$A$15,0)),"5-a-side")</f>
        <v/>
      </c>
      <c r="AD159" s="16">
        <f>IF(Offer!$C$4="","",Offer!$C$4)</f>
        <v/>
      </c>
      <c r="AE159" s="14">
        <f>X159&amp;" ("&amp;Y159&amp;" min walk) · "&amp;IF(ISNUMBER(AB159),TEXT(AB159,"ddd d mmm, hh:mm"),"slot to confirm with venue")&amp;" · "&amp;AC159&amp;" · "&amp;IF(AD159&lt;&gt;"","£"&amp;TEXT(AD159,"0.00")&amp;" pp","price TBC")</f>
        <v/>
      </c>
      <c r="AF159" s="14">
        <f>"After-work football for "&amp;F159&amp;" · "&amp;X159&amp;", "&amp;Y159&amp;" min from your office"</f>
        <v/>
      </c>
      <c r="AG159" s="14">
        <f>"Hi"&amp;IF(O159&lt;&gt;""," "&amp;O159,"")&amp;","&amp;CHAR(10)&amp;CHAR(10)&amp;"I'm "&amp;IF(AL159&lt;&gt;"",AL159,IF(Offer!$C$5&lt;&gt;"",Offer!$C$5,"[NAME]"))&amp;" from FC Urban. We organise after-work football for teams in the City and Canary Wharf."&amp;CHAR(10)&amp;CHAR(10)&amp;"We have a "&amp;AC159&amp;" pitch at "&amp;X159&amp;", "&amp;IF(OR(Y159=8,Y159=11,Y159=18),"an ","a ")&amp;Y159&amp;"-minute walk from your "&amp;M159&amp;" office, "&amp;IF(ISNUMBER(AB159),"on "&amp;TEXT(AB159,"dddd d mmmm")&amp;" at "&amp;TEXT(AB159,"hh:mm"),"on a weekday evening that suits your team")&amp;". It's "&amp;IF(AD159&lt;&gt;"","£"&amp;IF(AD159=INT(AD159),TEXT(AD159,"0"),TEXT(AD159,"0.00")),"[PRICE PER PLAYER]")&amp;" a player and we handle the pitch booking, sign-ups and payments, so all it takes is one person sharing a link with the team."&amp;CHAR(10)&amp;CHAR(10)&amp;"It works well as a team social or "&amp;IF(ISNUMBER(SEARCH(LEFT(F159,1),"AEIOU")),"an ","a ")&amp;F159&amp;"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LINK]")&amp;CHAR(10)&amp;CHAR(10)&amp;"Best,"&amp;CHAR(10)&amp;IF(AL159&lt;&gt;"",AL159,IF(Offer!$C$5&lt;&gt;"",Offer!$C$5,"[NAME]"))&amp;CHAR(10)&amp;"FC Urban"</f>
        <v/>
      </c>
      <c r="AH159" s="14">
        <f>IF(LEN("Hi"&amp;IF(O159&lt;&gt;""," "&amp;O159,"")&amp;","&amp;" FC Urban runs after-work football for "&amp;IF(D159="Canary Wharf","Canary Wharf","City")&amp;" teams. We have a "&amp;AC159&amp;" pitch at "&amp;X159&amp;", "&amp;Y159&amp;" min from your office, "&amp;IF(ISNUMBER(AB159),TEXT(AB159,"ddd d mmm")&amp;", "&amp;TEXT(AB159,"hh:mm"),"weekday evenings")&amp;", "&amp;IF(AD159&lt;&gt;"","£"&amp;IF(AD159=INT(AD159),TEXT(AD159,"0"),TEXT(AD159,"0.00")),"[PRICE PER PLAYER]")&amp;" a player. We handle booking, sign-ups and payments. Fancy "&amp;IF(ISNUMBER(SEARCH(LEFT(F159,1),"AEIOU")),"an ","a ")&amp;F159&amp;" team game? "&amp;IF(AL159&lt;&gt;"",AL159,IF(Offer!$C$5&lt;&gt;"",Offer!$C$5,"[NAME]")))&lt;=300,"Hi"&amp;IF(O159&lt;&gt;""," "&amp;O159,"")&amp;","&amp;" FC Urban runs after-work football for "&amp;IF(D159="Canary Wharf","Canary Wharf","City")&amp;" teams. We have a "&amp;AC159&amp;" pitch at "&amp;X159&amp;", "&amp;Y159&amp;" min from your office, "&amp;IF(ISNUMBER(AB159),TEXT(AB159,"ddd d mmm")&amp;", "&amp;TEXT(AB159,"hh:mm"),"weekday evenings")&amp;", "&amp;IF(AD159&lt;&gt;"","£"&amp;IF(AD159=INT(AD159),TEXT(AD159,"0"),TEXT(AD159,"0.00")),"[PRICE PER PLAYER]")&amp;" a player. We handle booking, sign-ups and payments. Fancy "&amp;IF(ISNUMBER(SEARCH(LEFT(F159,1),"AEIOU")),"an ","a ")&amp;F159&amp;" team game? "&amp;IF(AL159&lt;&gt;"",AL159,IF(Offer!$C$5&lt;&gt;"",Offer!$C$5,"[NAME]")),LEFT("Hi"&amp;IF(O159&lt;&gt;""," "&amp;O159,"")&amp;","&amp;" FC Urban runs after-work football for "&amp;IF(D159="Canary Wharf","Canary Wharf","City")&amp;" teams: "&amp;AC159&amp;" at "&amp;X159&amp;", "&amp;Y159&amp;" min from your office, "&amp;IF(ISNUMBER(AB159),TEXT(AB159,"ddd d mmm")&amp;", "&amp;TEXT(AB159,"hh:mm"),"weekday evenings")&amp;", "&amp;IF(AD159&lt;&gt;"","£"&amp;IF(AD159=INT(AD159),TEXT(AD159,"0"),TEXT(AD159,"0.00")),"[PRICE PER PLAYER]")&amp;" pp. We handle booking and payments. Up for a team game? "&amp;IF(AL159&lt;&gt;"",AL159,IF(Offer!$C$5&lt;&gt;"",Offer!$C$5,"[NAME]")),300))</f>
        <v/>
      </c>
      <c r="AI159" s="14">
        <f>LEN(AH159)</f>
        <v/>
      </c>
      <c r="AJ159" s="14">
        <f>"Thanks for connecting"&amp;IF(O159&lt;&gt;"",", "&amp;O159,"")&amp;". "&amp;IF(ISNUMBER(AB159),"The "&amp;AC159&amp;" slot at "&amp;X159&amp;" is "&amp;IF(ISNUMBER(AB159),TEXT(AB159,"ddd d mmm")&amp;", "&amp;TEXT(AB159,"hh:mm"),"weekday evenings"),"We can book "&amp;AC159&amp;" at "&amp;X159&amp;" on a weekday evening that suits you")&amp;" and it's "&amp;IF(AD159&lt;&gt;"","£"&amp;IF(AD159=INT(AD159),TEXT(AD159,"0"),TEXT(AD159,"0.00")),"[PRICE PER PLAYER]")&amp;" a player, all booked and paid through one link. If football isn't your thing, who at "&amp;F159&amp;" would be the right person to organise a team game?"&amp;IF(Offer!$C$7&lt;&gt;""," Spots are held until "&amp;TEXT(Offer!$C$7,"dddd d mmmm")&amp;".","")&amp;" "&amp;IF(Offer!$C$6&lt;&gt;"",Offer!$C$6,"[JOINING LINK]")</f>
        <v/>
      </c>
      <c r="AK159" s="14">
        <f>IF(OR(ISNUMBER(SEARCH("[",AG159)),ISNUMBER(SEARCH("[",AJ159))),"Fill placeholders",IF(ISNUMBER(AB159),"Ready to send","Ready · no fixed slot"))</f>
        <v/>
      </c>
      <c r="AN159" s="17" t="n"/>
    </row>
    <row r="160">
      <c r="A160" s="11" t="n">
        <v>158</v>
      </c>
      <c r="B160" s="11" t="n">
        <v>3</v>
      </c>
      <c r="C160" s="11" t="inlineStr">
        <is>
          <t>Insurance / broker</t>
        </is>
      </c>
      <c r="D160" s="11" t="inlineStr">
        <is>
          <t>Canary Wharf</t>
        </is>
      </c>
      <c r="E160" s="11" t="inlineStr">
        <is>
          <t>MDU Services Limited</t>
        </is>
      </c>
      <c r="F160" s="11" t="inlineStr">
        <is>
          <t>MDU</t>
        </is>
      </c>
      <c r="G160" s="11" t="inlineStr">
        <is>
          <t>03957086</t>
        </is>
      </c>
      <c r="H160" s="12" t="inlineStr">
        <is>
          <t>Open</t>
        </is>
      </c>
      <c r="I160" s="12" t="inlineStr">
        <is>
          <t>Search</t>
        </is>
      </c>
      <c r="J160" s="11" t="inlineStr">
        <is>
          <t>Full</t>
        </is>
      </c>
      <c r="K160" s="13" t="n">
        <v>36607</v>
      </c>
      <c r="L160" s="11" t="inlineStr">
        <is>
          <t>One Canada Square, London</t>
        </is>
      </c>
      <c r="M160" s="11" t="inlineStr">
        <is>
          <t>E14 5GS</t>
        </is>
      </c>
      <c r="N160" s="11" t="inlineStr">
        <is>
          <t>No</t>
        </is>
      </c>
      <c r="U160" s="11" t="inlineStr">
        <is>
          <t>Poplar</t>
        </is>
      </c>
      <c r="V160" s="11" t="n">
        <v>7</v>
      </c>
      <c r="W160" s="11" t="inlineStr">
        <is>
          <t>PlayFootball Canary Wharf - Westferry (E14 8HH) (16.2)</t>
        </is>
      </c>
      <c r="X160" s="11" t="inlineStr">
        <is>
          <t>Poplar</t>
        </is>
      </c>
      <c r="Y160" s="11" t="n">
        <v>7</v>
      </c>
      <c r="Z160" s="14">
        <f>IFERROR(INDEX(Venues!$E$2:$E$15,MATCH(X160,Venues!$A$2:$A$15,0)),"Not checked")</f>
        <v/>
      </c>
      <c r="AA160" s="14">
        <f>IFERROR(INDEX(Venues!$F$2:$F$15,MATCH(X160,Venues!$A$2:$A$15,0)),0)</f>
        <v/>
      </c>
      <c r="AB160" s="15">
        <f>IFERROR(INDEX(Venues!$M$2:$M$15,MATCH(X160,Venues!$A$2:$A$15,0)),"")</f>
        <v/>
      </c>
      <c r="AC160" s="14">
        <f>IFERROR(INDEX(Venues!$N$2:$N$15,MATCH(X160,Venues!$A$2:$A$15,0)),"5-a-side")</f>
        <v/>
      </c>
      <c r="AD160" s="16">
        <f>IF(Offer!$C$4="","",Offer!$C$4)</f>
        <v/>
      </c>
      <c r="AE160" s="14">
        <f>X160&amp;" ("&amp;Y160&amp;" min walk) · "&amp;IF(ISNUMBER(AB160),TEXT(AB160,"ddd d mmm, hh:mm"),"slot to confirm with venue")&amp;" · "&amp;AC160&amp;" · "&amp;IF(AD160&lt;&gt;"","£"&amp;TEXT(AD160,"0.00")&amp;" pp","price TBC")</f>
        <v/>
      </c>
      <c r="AF160" s="14">
        <f>"After-work football for "&amp;F160&amp;" · "&amp;X160&amp;", "&amp;Y160&amp;" min from your office"</f>
        <v/>
      </c>
      <c r="AG160" s="14">
        <f>"Hi"&amp;IF(O160&lt;&gt;""," "&amp;O160,"")&amp;","&amp;CHAR(10)&amp;CHAR(10)&amp;"I'm "&amp;IF(AL160&lt;&gt;"",AL160,IF(Offer!$C$5&lt;&gt;"",Offer!$C$5,"[NAME]"))&amp;" from FC Urban. We organise after-work football for teams in the City and Canary Wharf."&amp;CHAR(10)&amp;CHAR(10)&amp;"We have a "&amp;AC160&amp;" pitch at "&amp;X160&amp;", "&amp;IF(OR(Y160=8,Y160=11,Y160=18),"an ","a ")&amp;Y160&amp;"-minute walk from your "&amp;M160&amp;" office, "&amp;IF(ISNUMBER(AB160),"on "&amp;TEXT(AB160,"dddd d mmmm")&amp;" at "&amp;TEXT(AB160,"hh:mm"),"on a weekday evening that suits your team")&amp;". It's "&amp;IF(AD160&lt;&gt;"","£"&amp;IF(AD160=INT(AD160),TEXT(AD160,"0"),TEXT(AD160,"0.00")),"[PRICE PER PLAYER]")&amp;" a player and we handle the pitch booking, sign-ups and payments, so all it takes is one person sharing a link with the team."&amp;CHAR(10)&amp;CHAR(10)&amp;"It works well as a team social or "&amp;IF(ISNUMBER(SEARCH(LEFT(F160,1),"AEIOU")),"an ","a ")&amp;F160&amp;"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LINK]")&amp;CHAR(10)&amp;CHAR(10)&amp;"Best,"&amp;CHAR(10)&amp;IF(AL160&lt;&gt;"",AL160,IF(Offer!$C$5&lt;&gt;"",Offer!$C$5,"[NAME]"))&amp;CHAR(10)&amp;"FC Urban"</f>
        <v/>
      </c>
      <c r="AH160" s="14">
        <f>IF(LEN("Hi"&amp;IF(O160&lt;&gt;""," "&amp;O160,"")&amp;","&amp;" FC Urban runs after-work football for "&amp;IF(D160="Canary Wharf","Canary Wharf","City")&amp;" teams. We have a "&amp;AC160&amp;" pitch at "&amp;X160&amp;", "&amp;Y160&amp;" min from your office, "&amp;IF(ISNUMBER(AB160),TEXT(AB160,"ddd d mmm")&amp;", "&amp;TEXT(AB160,"hh:mm"),"weekday evenings")&amp;", "&amp;IF(AD160&lt;&gt;"","£"&amp;IF(AD160=INT(AD160),TEXT(AD160,"0"),TEXT(AD160,"0.00")),"[PRICE PER PLAYER]")&amp;" a player. We handle booking, sign-ups and payments. Fancy "&amp;IF(ISNUMBER(SEARCH(LEFT(F160,1),"AEIOU")),"an ","a ")&amp;F160&amp;" team game? "&amp;IF(AL160&lt;&gt;"",AL160,IF(Offer!$C$5&lt;&gt;"",Offer!$C$5,"[NAME]")))&lt;=300,"Hi"&amp;IF(O160&lt;&gt;""," "&amp;O160,"")&amp;","&amp;" FC Urban runs after-work football for "&amp;IF(D160="Canary Wharf","Canary Wharf","City")&amp;" teams. We have a "&amp;AC160&amp;" pitch at "&amp;X160&amp;", "&amp;Y160&amp;" min from your office, "&amp;IF(ISNUMBER(AB160),TEXT(AB160,"ddd d mmm")&amp;", "&amp;TEXT(AB160,"hh:mm"),"weekday evenings")&amp;", "&amp;IF(AD160&lt;&gt;"","£"&amp;IF(AD160=INT(AD160),TEXT(AD160,"0"),TEXT(AD160,"0.00")),"[PRICE PER PLAYER]")&amp;" a player. We handle booking, sign-ups and payments. Fancy "&amp;IF(ISNUMBER(SEARCH(LEFT(F160,1),"AEIOU")),"an ","a ")&amp;F160&amp;" team game? "&amp;IF(AL160&lt;&gt;"",AL160,IF(Offer!$C$5&lt;&gt;"",Offer!$C$5,"[NAME]")),LEFT("Hi"&amp;IF(O160&lt;&gt;""," "&amp;O160,"")&amp;","&amp;" FC Urban runs after-work football for "&amp;IF(D160="Canary Wharf","Canary Wharf","City")&amp;" teams: "&amp;AC160&amp;" at "&amp;X160&amp;", "&amp;Y160&amp;" min from your office, "&amp;IF(ISNUMBER(AB160),TEXT(AB160,"ddd d mmm")&amp;", "&amp;TEXT(AB160,"hh:mm"),"weekday evenings")&amp;", "&amp;IF(AD160&lt;&gt;"","£"&amp;IF(AD160=INT(AD160),TEXT(AD160,"0"),TEXT(AD160,"0.00")),"[PRICE PER PLAYER]")&amp;" pp. We handle booking and payments. Up for a team game? "&amp;IF(AL160&lt;&gt;"",AL160,IF(Offer!$C$5&lt;&gt;"",Offer!$C$5,"[NAME]")),300))</f>
        <v/>
      </c>
      <c r="AI160" s="14">
        <f>LEN(AH160)</f>
        <v/>
      </c>
      <c r="AJ160" s="14">
        <f>"Thanks for connecting"&amp;IF(O160&lt;&gt;"",", "&amp;O160,"")&amp;". "&amp;IF(ISNUMBER(AB160),"The "&amp;AC160&amp;" slot at "&amp;X160&amp;" is "&amp;IF(ISNUMBER(AB160),TEXT(AB160,"ddd d mmm")&amp;", "&amp;TEXT(AB160,"hh:mm"),"weekday evenings"),"We can book "&amp;AC160&amp;" at "&amp;X160&amp;" on a weekday evening that suits you")&amp;" and it's "&amp;IF(AD160&lt;&gt;"","£"&amp;IF(AD160=INT(AD160),TEXT(AD160,"0"),TEXT(AD160,"0.00")),"[PRICE PER PLAYER]")&amp;" a player, all booked and paid through one link. If football isn't your thing, who at "&amp;F160&amp;" would be the right person to organise a team game?"&amp;IF(Offer!$C$7&lt;&gt;""," Spots are held until "&amp;TEXT(Offer!$C$7,"dddd d mmmm")&amp;".","")&amp;" "&amp;IF(Offer!$C$6&lt;&gt;"",Offer!$C$6,"[JOINING LINK]")</f>
        <v/>
      </c>
      <c r="AK160" s="14">
        <f>IF(OR(ISNUMBER(SEARCH("[",AG160)),ISNUMBER(SEARCH("[",AJ160))),"Fill placeholders",IF(ISNUMBER(AB160),"Ready to send","Ready · no fixed slot"))</f>
        <v/>
      </c>
      <c r="AN160" s="17" t="n"/>
    </row>
    <row r="161">
      <c r="A161" s="11" t="n">
        <v>159</v>
      </c>
      <c r="B161" s="11" t="n">
        <v>3</v>
      </c>
      <c r="C161" s="11" t="inlineStr">
        <is>
          <t>Fund / asset manager</t>
        </is>
      </c>
      <c r="D161" s="11" t="inlineStr">
        <is>
          <t>Canary Wharf</t>
        </is>
      </c>
      <c r="E161" s="11" t="inlineStr">
        <is>
          <t>Alpha Capital Partners LLP</t>
        </is>
      </c>
      <c r="F161" s="11" t="inlineStr">
        <is>
          <t>Alpha Capital Partners</t>
        </is>
      </c>
      <c r="G161" s="11" t="inlineStr">
        <is>
          <t>OC324895</t>
        </is>
      </c>
      <c r="H161" s="12" t="inlineStr">
        <is>
          <t>Open</t>
        </is>
      </c>
      <c r="I161" s="12" t="inlineStr">
        <is>
          <t>Search</t>
        </is>
      </c>
      <c r="J161" s="11" t="inlineStr">
        <is>
          <t>Full</t>
        </is>
      </c>
      <c r="K161" s="13" t="n">
        <v>39066</v>
      </c>
      <c r="L161" s="11" t="inlineStr">
        <is>
          <t>One Canada Square 37Th Floor, One Canada Square, London</t>
        </is>
      </c>
      <c r="M161" s="11" t="inlineStr">
        <is>
          <t>E14 5AA</t>
        </is>
      </c>
      <c r="N161" s="11" t="inlineStr">
        <is>
          <t>No</t>
        </is>
      </c>
      <c r="U161" s="11" t="inlineStr">
        <is>
          <t>Poplar</t>
        </is>
      </c>
      <c r="V161" s="11" t="n">
        <v>7</v>
      </c>
      <c r="W161" s="11" t="inlineStr">
        <is>
          <t>PlayFootball Canary Wharf - Westferry (E14 8HH) (16.1)</t>
        </is>
      </c>
      <c r="X161" s="11" t="inlineStr">
        <is>
          <t>Poplar</t>
        </is>
      </c>
      <c r="Y161" s="11" t="n">
        <v>7</v>
      </c>
      <c r="Z161" s="14">
        <f>IFERROR(INDEX(Venues!$E$2:$E$15,MATCH(X161,Venues!$A$2:$A$15,0)),"Not checked")</f>
        <v/>
      </c>
      <c r="AA161" s="14">
        <f>IFERROR(INDEX(Venues!$F$2:$F$15,MATCH(X161,Venues!$A$2:$A$15,0)),0)</f>
        <v/>
      </c>
      <c r="AB161" s="15">
        <f>IFERROR(INDEX(Venues!$M$2:$M$15,MATCH(X161,Venues!$A$2:$A$15,0)),"")</f>
        <v/>
      </c>
      <c r="AC161" s="14">
        <f>IFERROR(INDEX(Venues!$N$2:$N$15,MATCH(X161,Venues!$A$2:$A$15,0)),"5-a-side")</f>
        <v/>
      </c>
      <c r="AD161" s="16">
        <f>IF(Offer!$C$4="","",Offer!$C$4)</f>
        <v/>
      </c>
      <c r="AE161" s="14">
        <f>X161&amp;" ("&amp;Y161&amp;" min walk) · "&amp;IF(ISNUMBER(AB161),TEXT(AB161,"ddd d mmm, hh:mm"),"slot to confirm with venue")&amp;" · "&amp;AC161&amp;" · "&amp;IF(AD161&lt;&gt;"","£"&amp;TEXT(AD161,"0.00")&amp;" pp","price TBC")</f>
        <v/>
      </c>
      <c r="AF161" s="14">
        <f>"After-work football for "&amp;F161&amp;" · "&amp;X161&amp;", "&amp;Y161&amp;" min from your office"</f>
        <v/>
      </c>
      <c r="AG161" s="14">
        <f>"Hi"&amp;IF(O161&lt;&gt;""," "&amp;O161,"")&amp;","&amp;CHAR(10)&amp;CHAR(10)&amp;"I'm "&amp;IF(AL161&lt;&gt;"",AL161,IF(Offer!$C$5&lt;&gt;"",Offer!$C$5,"[NAME]"))&amp;" from FC Urban. We organise after-work football for teams in the City and Canary Wharf."&amp;CHAR(10)&amp;CHAR(10)&amp;"We have a "&amp;AC161&amp;" pitch at "&amp;X161&amp;", "&amp;IF(OR(Y161=8,Y161=11,Y161=18),"an ","a ")&amp;Y161&amp;"-minute walk from your "&amp;M161&amp;" office, "&amp;IF(ISNUMBER(AB161),"on "&amp;TEXT(AB161,"dddd d mmmm")&amp;" at "&amp;TEXT(AB161,"hh:mm"),"on a weekday evening that suits your team")&amp;". It's "&amp;IF(AD161&lt;&gt;"","£"&amp;IF(AD161=INT(AD161),TEXT(AD161,"0"),TEXT(AD161,"0.00")),"[PRICE PER PLAYER]")&amp;" a player and we handle the pitch booking, sign-ups and payments, so all it takes is one person sharing a link with the team."&amp;CHAR(10)&amp;CHAR(10)&amp;"It works well as a team social or "&amp;IF(ISNUMBER(SEARCH(LEFT(F161,1),"AEIOU")),"an ","a ")&amp;F161&amp;"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LINK]")&amp;CHAR(10)&amp;CHAR(10)&amp;"Best,"&amp;CHAR(10)&amp;IF(AL161&lt;&gt;"",AL161,IF(Offer!$C$5&lt;&gt;"",Offer!$C$5,"[NAME]"))&amp;CHAR(10)&amp;"FC Urban"</f>
        <v/>
      </c>
      <c r="AH161" s="14">
        <f>IF(LEN("Hi"&amp;IF(O161&lt;&gt;""," "&amp;O161,"")&amp;","&amp;" FC Urban runs after-work football for "&amp;IF(D161="Canary Wharf","Canary Wharf","City")&amp;" teams. We have a "&amp;AC161&amp;" pitch at "&amp;X161&amp;", "&amp;Y161&amp;" min from your office, "&amp;IF(ISNUMBER(AB161),TEXT(AB161,"ddd d mmm")&amp;", "&amp;TEXT(AB161,"hh:mm"),"weekday evenings")&amp;", "&amp;IF(AD161&lt;&gt;"","£"&amp;IF(AD161=INT(AD161),TEXT(AD161,"0"),TEXT(AD161,"0.00")),"[PRICE PER PLAYER]")&amp;" a player. We handle booking, sign-ups and payments. Fancy "&amp;IF(ISNUMBER(SEARCH(LEFT(F161,1),"AEIOU")),"an ","a ")&amp;F161&amp;" team game? "&amp;IF(AL161&lt;&gt;"",AL161,IF(Offer!$C$5&lt;&gt;"",Offer!$C$5,"[NAME]")))&lt;=300,"Hi"&amp;IF(O161&lt;&gt;""," "&amp;O161,"")&amp;","&amp;" FC Urban runs after-work football for "&amp;IF(D161="Canary Wharf","Canary Wharf","City")&amp;" teams. We have a "&amp;AC161&amp;" pitch at "&amp;X161&amp;", "&amp;Y161&amp;" min from your office, "&amp;IF(ISNUMBER(AB161),TEXT(AB161,"ddd d mmm")&amp;", "&amp;TEXT(AB161,"hh:mm"),"weekday evenings")&amp;", "&amp;IF(AD161&lt;&gt;"","£"&amp;IF(AD161=INT(AD161),TEXT(AD161,"0"),TEXT(AD161,"0.00")),"[PRICE PER PLAYER]")&amp;" a player. We handle booking, sign-ups and payments. Fancy "&amp;IF(ISNUMBER(SEARCH(LEFT(F161,1),"AEIOU")),"an ","a ")&amp;F161&amp;" team game? "&amp;IF(AL161&lt;&gt;"",AL161,IF(Offer!$C$5&lt;&gt;"",Offer!$C$5,"[NAME]")),LEFT("Hi"&amp;IF(O161&lt;&gt;""," "&amp;O161,"")&amp;","&amp;" FC Urban runs after-work football for "&amp;IF(D161="Canary Wharf","Canary Wharf","City")&amp;" teams: "&amp;AC161&amp;" at "&amp;X161&amp;", "&amp;Y161&amp;" min from your office, "&amp;IF(ISNUMBER(AB161),TEXT(AB161,"ddd d mmm")&amp;", "&amp;TEXT(AB161,"hh:mm"),"weekday evenings")&amp;", "&amp;IF(AD161&lt;&gt;"","£"&amp;IF(AD161=INT(AD161),TEXT(AD161,"0"),TEXT(AD161,"0.00")),"[PRICE PER PLAYER]")&amp;" pp. We handle booking and payments. Up for a team game? "&amp;IF(AL161&lt;&gt;"",AL161,IF(Offer!$C$5&lt;&gt;"",Offer!$C$5,"[NAME]")),300))</f>
        <v/>
      </c>
      <c r="AI161" s="14">
        <f>LEN(AH161)</f>
        <v/>
      </c>
      <c r="AJ161" s="14">
        <f>"Thanks for connecting"&amp;IF(O161&lt;&gt;"",", "&amp;O161,"")&amp;". "&amp;IF(ISNUMBER(AB161),"The "&amp;AC161&amp;" slot at "&amp;X161&amp;" is "&amp;IF(ISNUMBER(AB161),TEXT(AB161,"ddd d mmm")&amp;", "&amp;TEXT(AB161,"hh:mm"),"weekday evenings"),"We can book "&amp;AC161&amp;" at "&amp;X161&amp;" on a weekday evening that suits you")&amp;" and it's "&amp;IF(AD161&lt;&gt;"","£"&amp;IF(AD161=INT(AD161),TEXT(AD161,"0"),TEXT(AD161,"0.00")),"[PRICE PER PLAYER]")&amp;" a player, all booked and paid through one link. If football isn't your thing, who at "&amp;F161&amp;" would be the right person to organise a team game?"&amp;IF(Offer!$C$7&lt;&gt;""," Spots are held until "&amp;TEXT(Offer!$C$7,"dddd d mmmm")&amp;".","")&amp;" "&amp;IF(Offer!$C$6&lt;&gt;"",Offer!$C$6,"[JOINING LINK]")</f>
        <v/>
      </c>
      <c r="AK161" s="14">
        <f>IF(OR(ISNUMBER(SEARCH("[",AG161)),ISNUMBER(SEARCH("[",AJ161))),"Fill placeholders",IF(ISNUMBER(AB161),"Ready to send","Ready · no fixed slot"))</f>
        <v/>
      </c>
      <c r="AN161" s="17" t="n"/>
    </row>
    <row r="162">
      <c r="A162" s="11" t="n">
        <v>160</v>
      </c>
      <c r="B162" s="11" t="n">
        <v>3</v>
      </c>
      <c r="C162" s="11" t="inlineStr">
        <is>
          <t>Fund / asset manager</t>
        </is>
      </c>
      <c r="D162" s="11" t="inlineStr">
        <is>
          <t>Canary Wharf</t>
        </is>
      </c>
      <c r="E162" s="11" t="inlineStr">
        <is>
          <t>FS First Solutions Limited</t>
        </is>
      </c>
      <c r="F162" s="11" t="inlineStr">
        <is>
          <t>FS First Solutions</t>
        </is>
      </c>
      <c r="G162" s="11" t="inlineStr">
        <is>
          <t>08006945</t>
        </is>
      </c>
      <c r="H162" s="12" t="inlineStr">
        <is>
          <t>Open</t>
        </is>
      </c>
      <c r="I162" s="12" t="inlineStr">
        <is>
          <t>Search</t>
        </is>
      </c>
      <c r="J162" s="11" t="inlineStr">
        <is>
          <t>Full</t>
        </is>
      </c>
      <c r="K162" s="13" t="n">
        <v>40994</v>
      </c>
      <c r="L162" s="11" t="inlineStr">
        <is>
          <t>37Th Floor 1 Canada Square, Canary Wharf, London</t>
        </is>
      </c>
      <c r="M162" s="11" t="inlineStr">
        <is>
          <t>E14 5AA</t>
        </is>
      </c>
      <c r="N162" s="11" t="inlineStr">
        <is>
          <t>No</t>
        </is>
      </c>
      <c r="U162" s="11" t="inlineStr">
        <is>
          <t>Poplar</t>
        </is>
      </c>
      <c r="V162" s="11" t="n">
        <v>7</v>
      </c>
      <c r="W162" s="11" t="inlineStr">
        <is>
          <t>PlayFootball Canary Wharf - Westferry (E14 8HH) (16.1)</t>
        </is>
      </c>
      <c r="X162" s="11" t="inlineStr">
        <is>
          <t>Poplar</t>
        </is>
      </c>
      <c r="Y162" s="11" t="n">
        <v>7</v>
      </c>
      <c r="Z162" s="14">
        <f>IFERROR(INDEX(Venues!$E$2:$E$15,MATCH(X162,Venues!$A$2:$A$15,0)),"Not checked")</f>
        <v/>
      </c>
      <c r="AA162" s="14">
        <f>IFERROR(INDEX(Venues!$F$2:$F$15,MATCH(X162,Venues!$A$2:$A$15,0)),0)</f>
        <v/>
      </c>
      <c r="AB162" s="15">
        <f>IFERROR(INDEX(Venues!$M$2:$M$15,MATCH(X162,Venues!$A$2:$A$15,0)),"")</f>
        <v/>
      </c>
      <c r="AC162" s="14">
        <f>IFERROR(INDEX(Venues!$N$2:$N$15,MATCH(X162,Venues!$A$2:$A$15,0)),"5-a-side")</f>
        <v/>
      </c>
      <c r="AD162" s="16">
        <f>IF(Offer!$C$4="","",Offer!$C$4)</f>
        <v/>
      </c>
      <c r="AE162" s="14">
        <f>X162&amp;" ("&amp;Y162&amp;" min walk) · "&amp;IF(ISNUMBER(AB162),TEXT(AB162,"ddd d mmm, hh:mm"),"slot to confirm with venue")&amp;" · "&amp;AC162&amp;" · "&amp;IF(AD162&lt;&gt;"","£"&amp;TEXT(AD162,"0.00")&amp;" pp","price TBC")</f>
        <v/>
      </c>
      <c r="AF162" s="14">
        <f>"After-work football for "&amp;F162&amp;" · "&amp;X162&amp;", "&amp;Y162&amp;" min from your office"</f>
        <v/>
      </c>
      <c r="AG162" s="14">
        <f>"Hi"&amp;IF(O162&lt;&gt;""," "&amp;O162,"")&amp;","&amp;CHAR(10)&amp;CHAR(10)&amp;"I'm "&amp;IF(AL162&lt;&gt;"",AL162,IF(Offer!$C$5&lt;&gt;"",Offer!$C$5,"[NAME]"))&amp;" from FC Urban. We organise after-work football for teams in the City and Canary Wharf."&amp;CHAR(10)&amp;CHAR(10)&amp;"We have a "&amp;AC162&amp;" pitch at "&amp;X162&amp;", "&amp;IF(OR(Y162=8,Y162=11,Y162=18),"an ","a ")&amp;Y162&amp;"-minute walk from your "&amp;M162&amp;" office, "&amp;IF(ISNUMBER(AB162),"on "&amp;TEXT(AB162,"dddd d mmmm")&amp;" at "&amp;TEXT(AB162,"hh:mm"),"on a weekday evening that suits your team")&amp;". It's "&amp;IF(AD162&lt;&gt;"","£"&amp;IF(AD162=INT(AD162),TEXT(AD162,"0"),TEXT(AD162,"0.00")),"[PRICE PER PLAYER]")&amp;" a player and we handle the pitch booking, sign-ups and payments, so all it takes is one person sharing a link with the team."&amp;CHAR(10)&amp;CHAR(10)&amp;"It works well as a team social or "&amp;IF(ISNUMBER(SEARCH(LEFT(F162,1),"AEIOU")),"an ","a ")&amp;F162&amp;"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LINK]")&amp;CHAR(10)&amp;CHAR(10)&amp;"Best,"&amp;CHAR(10)&amp;IF(AL162&lt;&gt;"",AL162,IF(Offer!$C$5&lt;&gt;"",Offer!$C$5,"[NAME]"))&amp;CHAR(10)&amp;"FC Urban"</f>
        <v/>
      </c>
      <c r="AH162" s="14">
        <f>IF(LEN("Hi"&amp;IF(O162&lt;&gt;""," "&amp;O162,"")&amp;","&amp;" FC Urban runs after-work football for "&amp;IF(D162="Canary Wharf","Canary Wharf","City")&amp;" teams. We have a "&amp;AC162&amp;" pitch at "&amp;X162&amp;", "&amp;Y162&amp;" min from your office, "&amp;IF(ISNUMBER(AB162),TEXT(AB162,"ddd d mmm")&amp;", "&amp;TEXT(AB162,"hh:mm"),"weekday evenings")&amp;", "&amp;IF(AD162&lt;&gt;"","£"&amp;IF(AD162=INT(AD162),TEXT(AD162,"0"),TEXT(AD162,"0.00")),"[PRICE PER PLAYER]")&amp;" a player. We handle booking, sign-ups and payments. Fancy "&amp;IF(ISNUMBER(SEARCH(LEFT(F162,1),"AEIOU")),"an ","a ")&amp;F162&amp;" team game? "&amp;IF(AL162&lt;&gt;"",AL162,IF(Offer!$C$5&lt;&gt;"",Offer!$C$5,"[NAME]")))&lt;=300,"Hi"&amp;IF(O162&lt;&gt;""," "&amp;O162,"")&amp;","&amp;" FC Urban runs after-work football for "&amp;IF(D162="Canary Wharf","Canary Wharf","City")&amp;" teams. We have a "&amp;AC162&amp;" pitch at "&amp;X162&amp;", "&amp;Y162&amp;" min from your office, "&amp;IF(ISNUMBER(AB162),TEXT(AB162,"ddd d mmm")&amp;", "&amp;TEXT(AB162,"hh:mm"),"weekday evenings")&amp;", "&amp;IF(AD162&lt;&gt;"","£"&amp;IF(AD162=INT(AD162),TEXT(AD162,"0"),TEXT(AD162,"0.00")),"[PRICE PER PLAYER]")&amp;" a player. We handle booking, sign-ups and payments. Fancy "&amp;IF(ISNUMBER(SEARCH(LEFT(F162,1),"AEIOU")),"an ","a ")&amp;F162&amp;" team game? "&amp;IF(AL162&lt;&gt;"",AL162,IF(Offer!$C$5&lt;&gt;"",Offer!$C$5,"[NAME]")),LEFT("Hi"&amp;IF(O162&lt;&gt;""," "&amp;O162,"")&amp;","&amp;" FC Urban runs after-work football for "&amp;IF(D162="Canary Wharf","Canary Wharf","City")&amp;" teams: "&amp;AC162&amp;" at "&amp;X162&amp;", "&amp;Y162&amp;" min from your office, "&amp;IF(ISNUMBER(AB162),TEXT(AB162,"ddd d mmm")&amp;", "&amp;TEXT(AB162,"hh:mm"),"weekday evenings")&amp;", "&amp;IF(AD162&lt;&gt;"","£"&amp;IF(AD162=INT(AD162),TEXT(AD162,"0"),TEXT(AD162,"0.00")),"[PRICE PER PLAYER]")&amp;" pp. We handle booking and payments. Up for a team game? "&amp;IF(AL162&lt;&gt;"",AL162,IF(Offer!$C$5&lt;&gt;"",Offer!$C$5,"[NAME]")),300))</f>
        <v/>
      </c>
      <c r="AI162" s="14">
        <f>LEN(AH162)</f>
        <v/>
      </c>
      <c r="AJ162" s="14">
        <f>"Thanks for connecting"&amp;IF(O162&lt;&gt;"",", "&amp;O162,"")&amp;". "&amp;IF(ISNUMBER(AB162),"The "&amp;AC162&amp;" slot at "&amp;X162&amp;" is "&amp;IF(ISNUMBER(AB162),TEXT(AB162,"ddd d mmm")&amp;", "&amp;TEXT(AB162,"hh:mm"),"weekday evenings"),"We can book "&amp;AC162&amp;" at "&amp;X162&amp;" on a weekday evening that suits you")&amp;" and it's "&amp;IF(AD162&lt;&gt;"","£"&amp;IF(AD162=INT(AD162),TEXT(AD162,"0"),TEXT(AD162,"0.00")),"[PRICE PER PLAYER]")&amp;" a player, all booked and paid through one link. If football isn't your thing, who at "&amp;F162&amp;" would be the right person to organise a team game?"&amp;IF(Offer!$C$7&lt;&gt;""," Spots are held until "&amp;TEXT(Offer!$C$7,"dddd d mmmm")&amp;".","")&amp;" "&amp;IF(Offer!$C$6&lt;&gt;"",Offer!$C$6,"[JOINING LINK]")</f>
        <v/>
      </c>
      <c r="AK162" s="14">
        <f>IF(OR(ISNUMBER(SEARCH("[",AG162)),ISNUMBER(SEARCH("[",AJ162))),"Fill placeholders",IF(ISNUMBER(AB162),"Ready to send","Ready · no fixed slot"))</f>
        <v/>
      </c>
      <c r="AN162" s="17" t="n"/>
    </row>
    <row r="163">
      <c r="A163" s="11" t="n">
        <v>161</v>
      </c>
      <c r="B163" s="11" t="n">
        <v>3</v>
      </c>
      <c r="C163" s="11" t="inlineStr">
        <is>
          <t>Fund / asset manager</t>
        </is>
      </c>
      <c r="D163" s="11" t="inlineStr">
        <is>
          <t>Canary Wharf</t>
        </is>
      </c>
      <c r="E163" s="11" t="inlineStr">
        <is>
          <t>Madara Capital Management Ltd</t>
        </is>
      </c>
      <c r="F163" s="11" t="inlineStr">
        <is>
          <t>Madara Capital Management</t>
        </is>
      </c>
      <c r="G163" s="11" t="inlineStr">
        <is>
          <t>10425704</t>
        </is>
      </c>
      <c r="H163" s="12" t="inlineStr">
        <is>
          <t>Open</t>
        </is>
      </c>
      <c r="I163" s="12" t="inlineStr">
        <is>
          <t>Search</t>
        </is>
      </c>
      <c r="J163" s="11" t="inlineStr">
        <is>
          <t>Full</t>
        </is>
      </c>
      <c r="K163" s="13" t="n">
        <v>42656</v>
      </c>
      <c r="L163" s="11" t="inlineStr">
        <is>
          <t>39Th Floor, One Canada Square, Canary Wharf, London</t>
        </is>
      </c>
      <c r="M163" s="11" t="inlineStr">
        <is>
          <t>E14 5AB</t>
        </is>
      </c>
      <c r="N163" s="11" t="inlineStr">
        <is>
          <t>No</t>
        </is>
      </c>
      <c r="U163" s="11" t="inlineStr">
        <is>
          <t>Poplar</t>
        </is>
      </c>
      <c r="V163" s="11" t="n">
        <v>7</v>
      </c>
      <c r="W163" s="11" t="inlineStr">
        <is>
          <t>PlayFootball Canary Wharf - Westferry (E14 8HH) (16.1)</t>
        </is>
      </c>
      <c r="X163" s="11" t="inlineStr">
        <is>
          <t>Poplar</t>
        </is>
      </c>
      <c r="Y163" s="11" t="n">
        <v>7</v>
      </c>
      <c r="Z163" s="14">
        <f>IFERROR(INDEX(Venues!$E$2:$E$15,MATCH(X163,Venues!$A$2:$A$15,0)),"Not checked")</f>
        <v/>
      </c>
      <c r="AA163" s="14">
        <f>IFERROR(INDEX(Venues!$F$2:$F$15,MATCH(X163,Venues!$A$2:$A$15,0)),0)</f>
        <v/>
      </c>
      <c r="AB163" s="15">
        <f>IFERROR(INDEX(Venues!$M$2:$M$15,MATCH(X163,Venues!$A$2:$A$15,0)),"")</f>
        <v/>
      </c>
      <c r="AC163" s="14">
        <f>IFERROR(INDEX(Venues!$N$2:$N$15,MATCH(X163,Venues!$A$2:$A$15,0)),"5-a-side")</f>
        <v/>
      </c>
      <c r="AD163" s="16">
        <f>IF(Offer!$C$4="","",Offer!$C$4)</f>
        <v/>
      </c>
      <c r="AE163" s="14">
        <f>X163&amp;" ("&amp;Y163&amp;" min walk) · "&amp;IF(ISNUMBER(AB163),TEXT(AB163,"ddd d mmm, hh:mm"),"slot to confirm with venue")&amp;" · "&amp;AC163&amp;" · "&amp;IF(AD163&lt;&gt;"","£"&amp;TEXT(AD163,"0.00")&amp;" pp","price TBC")</f>
        <v/>
      </c>
      <c r="AF163" s="14">
        <f>"After-work football for "&amp;F163&amp;" · "&amp;X163&amp;", "&amp;Y163&amp;" min from your office"</f>
        <v/>
      </c>
      <c r="AG163" s="14">
        <f>"Hi"&amp;IF(O163&lt;&gt;""," "&amp;O163,"")&amp;","&amp;CHAR(10)&amp;CHAR(10)&amp;"I'm "&amp;IF(AL163&lt;&gt;"",AL163,IF(Offer!$C$5&lt;&gt;"",Offer!$C$5,"[NAME]"))&amp;" from FC Urban. We organise after-work football for teams in the City and Canary Wharf."&amp;CHAR(10)&amp;CHAR(10)&amp;"We have a "&amp;AC163&amp;" pitch at "&amp;X163&amp;", "&amp;IF(OR(Y163=8,Y163=11,Y163=18),"an ","a ")&amp;Y163&amp;"-minute walk from your "&amp;M163&amp;" office, "&amp;IF(ISNUMBER(AB163),"on "&amp;TEXT(AB163,"dddd d mmmm")&amp;" at "&amp;TEXT(AB163,"hh:mm"),"on a weekday evening that suits your team")&amp;". It's "&amp;IF(AD163&lt;&gt;"","£"&amp;IF(AD163=INT(AD163),TEXT(AD163,"0"),TEXT(AD163,"0.00")),"[PRICE PER PLAYER]")&amp;" a player and we handle the pitch booking, sign-ups and payments, so all it takes is one person sharing a link with the team."&amp;CHAR(10)&amp;CHAR(10)&amp;"It works well as a team social or "&amp;IF(ISNUMBER(SEARCH(LEFT(F163,1),"AEIOU")),"an ","a ")&amp;F163&amp;"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LINK]")&amp;CHAR(10)&amp;CHAR(10)&amp;"Best,"&amp;CHAR(10)&amp;IF(AL163&lt;&gt;"",AL163,IF(Offer!$C$5&lt;&gt;"",Offer!$C$5,"[NAME]"))&amp;CHAR(10)&amp;"FC Urban"</f>
        <v/>
      </c>
      <c r="AH163" s="14">
        <f>IF(LEN("Hi"&amp;IF(O163&lt;&gt;""," "&amp;O163,"")&amp;","&amp;" FC Urban runs after-work football for "&amp;IF(D163="Canary Wharf","Canary Wharf","City")&amp;" teams. We have a "&amp;AC163&amp;" pitch at "&amp;X163&amp;", "&amp;Y163&amp;" min from your office, "&amp;IF(ISNUMBER(AB163),TEXT(AB163,"ddd d mmm")&amp;", "&amp;TEXT(AB163,"hh:mm"),"weekday evenings")&amp;", "&amp;IF(AD163&lt;&gt;"","£"&amp;IF(AD163=INT(AD163),TEXT(AD163,"0"),TEXT(AD163,"0.00")),"[PRICE PER PLAYER]")&amp;" a player. We handle booking, sign-ups and payments. Fancy "&amp;IF(ISNUMBER(SEARCH(LEFT(F163,1),"AEIOU")),"an ","a ")&amp;F163&amp;" team game? "&amp;IF(AL163&lt;&gt;"",AL163,IF(Offer!$C$5&lt;&gt;"",Offer!$C$5,"[NAME]")))&lt;=300,"Hi"&amp;IF(O163&lt;&gt;""," "&amp;O163,"")&amp;","&amp;" FC Urban runs after-work football for "&amp;IF(D163="Canary Wharf","Canary Wharf","City")&amp;" teams. We have a "&amp;AC163&amp;" pitch at "&amp;X163&amp;", "&amp;Y163&amp;" min from your office, "&amp;IF(ISNUMBER(AB163),TEXT(AB163,"ddd d mmm")&amp;", "&amp;TEXT(AB163,"hh:mm"),"weekday evenings")&amp;", "&amp;IF(AD163&lt;&gt;"","£"&amp;IF(AD163=INT(AD163),TEXT(AD163,"0"),TEXT(AD163,"0.00")),"[PRICE PER PLAYER]")&amp;" a player. We handle booking, sign-ups and payments. Fancy "&amp;IF(ISNUMBER(SEARCH(LEFT(F163,1),"AEIOU")),"an ","a ")&amp;F163&amp;" team game? "&amp;IF(AL163&lt;&gt;"",AL163,IF(Offer!$C$5&lt;&gt;"",Offer!$C$5,"[NAME]")),LEFT("Hi"&amp;IF(O163&lt;&gt;""," "&amp;O163,"")&amp;","&amp;" FC Urban runs after-work football for "&amp;IF(D163="Canary Wharf","Canary Wharf","City")&amp;" teams: "&amp;AC163&amp;" at "&amp;X163&amp;", "&amp;Y163&amp;" min from your office, "&amp;IF(ISNUMBER(AB163),TEXT(AB163,"ddd d mmm")&amp;", "&amp;TEXT(AB163,"hh:mm"),"weekday evenings")&amp;", "&amp;IF(AD163&lt;&gt;"","£"&amp;IF(AD163=INT(AD163),TEXT(AD163,"0"),TEXT(AD163,"0.00")),"[PRICE PER PLAYER]")&amp;" pp. We handle booking and payments. Up for a team game? "&amp;IF(AL163&lt;&gt;"",AL163,IF(Offer!$C$5&lt;&gt;"",Offer!$C$5,"[NAME]")),300))</f>
        <v/>
      </c>
      <c r="AI163" s="14">
        <f>LEN(AH163)</f>
        <v/>
      </c>
      <c r="AJ163" s="14">
        <f>"Thanks for connecting"&amp;IF(O163&lt;&gt;"",", "&amp;O163,"")&amp;". "&amp;IF(ISNUMBER(AB163),"The "&amp;AC163&amp;" slot at "&amp;X163&amp;" is "&amp;IF(ISNUMBER(AB163),TEXT(AB163,"ddd d mmm")&amp;", "&amp;TEXT(AB163,"hh:mm"),"weekday evenings"),"We can book "&amp;AC163&amp;" at "&amp;X163&amp;" on a weekday evening that suits you")&amp;" and it's "&amp;IF(AD163&lt;&gt;"","£"&amp;IF(AD163=INT(AD163),TEXT(AD163,"0"),TEXT(AD163,"0.00")),"[PRICE PER PLAYER]")&amp;" a player, all booked and paid through one link. If football isn't your thing, who at "&amp;F163&amp;" would be the right person to organise a team game?"&amp;IF(Offer!$C$7&lt;&gt;""," Spots are held until "&amp;TEXT(Offer!$C$7,"dddd d mmmm")&amp;".","")&amp;" "&amp;IF(Offer!$C$6&lt;&gt;"",Offer!$C$6,"[JOINING LINK]")</f>
        <v/>
      </c>
      <c r="AK163" s="14">
        <f>IF(OR(ISNUMBER(SEARCH("[",AG163)),ISNUMBER(SEARCH("[",AJ163))),"Fill placeholders",IF(ISNUMBER(AB163),"Ready to send","Ready · no fixed slot"))</f>
        <v/>
      </c>
      <c r="AN163" s="17" t="n"/>
    </row>
    <row r="164">
      <c r="A164" s="11" t="n">
        <v>162</v>
      </c>
      <c r="B164" s="11" t="n">
        <v>3</v>
      </c>
      <c r="C164" s="11" t="inlineStr">
        <is>
          <t>Fund / asset manager</t>
        </is>
      </c>
      <c r="D164" s="11" t="inlineStr">
        <is>
          <t>Canary Wharf</t>
        </is>
      </c>
      <c r="E164" s="11" t="inlineStr">
        <is>
          <t>Vasey &amp; Harris Asset Management Limited</t>
        </is>
      </c>
      <c r="F164" s="11" t="inlineStr">
        <is>
          <t>Vasey &amp; Harris Asset Management</t>
        </is>
      </c>
      <c r="G164" s="11" t="inlineStr">
        <is>
          <t>10214397</t>
        </is>
      </c>
      <c r="H164" s="12" t="inlineStr">
        <is>
          <t>Open</t>
        </is>
      </c>
      <c r="I164" s="12" t="inlineStr">
        <is>
          <t>Search</t>
        </is>
      </c>
      <c r="J164" s="11" t="inlineStr">
        <is>
          <t>Full</t>
        </is>
      </c>
      <c r="K164" s="13" t="n">
        <v>42524</v>
      </c>
      <c r="L164" s="11" t="inlineStr">
        <is>
          <t>Level 7 One Canada Square, Canary Wharf, London</t>
        </is>
      </c>
      <c r="M164" s="11" t="inlineStr">
        <is>
          <t>E14 5AA</t>
        </is>
      </c>
      <c r="N164" s="11" t="inlineStr">
        <is>
          <t>No</t>
        </is>
      </c>
      <c r="U164" s="11" t="inlineStr">
        <is>
          <t>Poplar</t>
        </is>
      </c>
      <c r="V164" s="11" t="n">
        <v>7</v>
      </c>
      <c r="W164" s="11" t="inlineStr">
        <is>
          <t>PlayFootball Canary Wharf - Westferry (E14 8HH) (16.1)</t>
        </is>
      </c>
      <c r="X164" s="11" t="inlineStr">
        <is>
          <t>Poplar</t>
        </is>
      </c>
      <c r="Y164" s="11" t="n">
        <v>7</v>
      </c>
      <c r="Z164" s="14">
        <f>IFERROR(INDEX(Venues!$E$2:$E$15,MATCH(X164,Venues!$A$2:$A$15,0)),"Not checked")</f>
        <v/>
      </c>
      <c r="AA164" s="14">
        <f>IFERROR(INDEX(Venues!$F$2:$F$15,MATCH(X164,Venues!$A$2:$A$15,0)),0)</f>
        <v/>
      </c>
      <c r="AB164" s="15">
        <f>IFERROR(INDEX(Venues!$M$2:$M$15,MATCH(X164,Venues!$A$2:$A$15,0)),"")</f>
        <v/>
      </c>
      <c r="AC164" s="14">
        <f>IFERROR(INDEX(Venues!$N$2:$N$15,MATCH(X164,Venues!$A$2:$A$15,0)),"5-a-side")</f>
        <v/>
      </c>
      <c r="AD164" s="16">
        <f>IF(Offer!$C$4="","",Offer!$C$4)</f>
        <v/>
      </c>
      <c r="AE164" s="14">
        <f>X164&amp;" ("&amp;Y164&amp;" min walk) · "&amp;IF(ISNUMBER(AB164),TEXT(AB164,"ddd d mmm, hh:mm"),"slot to confirm with venue")&amp;" · "&amp;AC164&amp;" · "&amp;IF(AD164&lt;&gt;"","£"&amp;TEXT(AD164,"0.00")&amp;" pp","price TBC")</f>
        <v/>
      </c>
      <c r="AF164" s="14">
        <f>"After-work football for "&amp;F164&amp;" · "&amp;X164&amp;", "&amp;Y164&amp;" min from your office"</f>
        <v/>
      </c>
      <c r="AG164" s="14">
        <f>"Hi"&amp;IF(O164&lt;&gt;""," "&amp;O164,"")&amp;","&amp;CHAR(10)&amp;CHAR(10)&amp;"I'm "&amp;IF(AL164&lt;&gt;"",AL164,IF(Offer!$C$5&lt;&gt;"",Offer!$C$5,"[NAME]"))&amp;" from FC Urban. We organise after-work football for teams in the City and Canary Wharf."&amp;CHAR(10)&amp;CHAR(10)&amp;"We have a "&amp;AC164&amp;" pitch at "&amp;X164&amp;", "&amp;IF(OR(Y164=8,Y164=11,Y164=18),"an ","a ")&amp;Y164&amp;"-minute walk from your "&amp;M164&amp;" office, "&amp;IF(ISNUMBER(AB164),"on "&amp;TEXT(AB164,"dddd d mmmm")&amp;" at "&amp;TEXT(AB164,"hh:mm"),"on a weekday evening that suits your team")&amp;". It's "&amp;IF(AD164&lt;&gt;"","£"&amp;IF(AD164=INT(AD164),TEXT(AD164,"0"),TEXT(AD164,"0.00")),"[PRICE PER PLAYER]")&amp;" a player and we handle the pitch booking, sign-ups and payments, so all it takes is one person sharing a link with the team."&amp;CHAR(10)&amp;CHAR(10)&amp;"It works well as a team social or "&amp;IF(ISNUMBER(SEARCH(LEFT(F164,1),"AEIOU")),"an ","a ")&amp;F164&amp;"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LINK]")&amp;CHAR(10)&amp;CHAR(10)&amp;"Best,"&amp;CHAR(10)&amp;IF(AL164&lt;&gt;"",AL164,IF(Offer!$C$5&lt;&gt;"",Offer!$C$5,"[NAME]"))&amp;CHAR(10)&amp;"FC Urban"</f>
        <v/>
      </c>
      <c r="AH164" s="14">
        <f>IF(LEN("Hi"&amp;IF(O164&lt;&gt;""," "&amp;O164,"")&amp;","&amp;" FC Urban runs after-work football for "&amp;IF(D164="Canary Wharf","Canary Wharf","City")&amp;" teams. We have a "&amp;AC164&amp;" pitch at "&amp;X164&amp;", "&amp;Y164&amp;" min from your office, "&amp;IF(ISNUMBER(AB164),TEXT(AB164,"ddd d mmm")&amp;", "&amp;TEXT(AB164,"hh:mm"),"weekday evenings")&amp;", "&amp;IF(AD164&lt;&gt;"","£"&amp;IF(AD164=INT(AD164),TEXT(AD164,"0"),TEXT(AD164,"0.00")),"[PRICE PER PLAYER]")&amp;" a player. We handle booking, sign-ups and payments. Fancy "&amp;IF(ISNUMBER(SEARCH(LEFT(F164,1),"AEIOU")),"an ","a ")&amp;F164&amp;" team game? "&amp;IF(AL164&lt;&gt;"",AL164,IF(Offer!$C$5&lt;&gt;"",Offer!$C$5,"[NAME]")))&lt;=300,"Hi"&amp;IF(O164&lt;&gt;""," "&amp;O164,"")&amp;","&amp;" FC Urban runs after-work football for "&amp;IF(D164="Canary Wharf","Canary Wharf","City")&amp;" teams. We have a "&amp;AC164&amp;" pitch at "&amp;X164&amp;", "&amp;Y164&amp;" min from your office, "&amp;IF(ISNUMBER(AB164),TEXT(AB164,"ddd d mmm")&amp;", "&amp;TEXT(AB164,"hh:mm"),"weekday evenings")&amp;", "&amp;IF(AD164&lt;&gt;"","£"&amp;IF(AD164=INT(AD164),TEXT(AD164,"0"),TEXT(AD164,"0.00")),"[PRICE PER PLAYER]")&amp;" a player. We handle booking, sign-ups and payments. Fancy "&amp;IF(ISNUMBER(SEARCH(LEFT(F164,1),"AEIOU")),"an ","a ")&amp;F164&amp;" team game? "&amp;IF(AL164&lt;&gt;"",AL164,IF(Offer!$C$5&lt;&gt;"",Offer!$C$5,"[NAME]")),LEFT("Hi"&amp;IF(O164&lt;&gt;""," "&amp;O164,"")&amp;","&amp;" FC Urban runs after-work football for "&amp;IF(D164="Canary Wharf","Canary Wharf","City")&amp;" teams: "&amp;AC164&amp;" at "&amp;X164&amp;", "&amp;Y164&amp;" min from your office, "&amp;IF(ISNUMBER(AB164),TEXT(AB164,"ddd d mmm")&amp;", "&amp;TEXT(AB164,"hh:mm"),"weekday evenings")&amp;", "&amp;IF(AD164&lt;&gt;"","£"&amp;IF(AD164=INT(AD164),TEXT(AD164,"0"),TEXT(AD164,"0.00")),"[PRICE PER PLAYER]")&amp;" pp. We handle booking and payments. Up for a team game? "&amp;IF(AL164&lt;&gt;"",AL164,IF(Offer!$C$5&lt;&gt;"",Offer!$C$5,"[NAME]")),300))</f>
        <v/>
      </c>
      <c r="AI164" s="14">
        <f>LEN(AH164)</f>
        <v/>
      </c>
      <c r="AJ164" s="14">
        <f>"Thanks for connecting"&amp;IF(O164&lt;&gt;"",", "&amp;O164,"")&amp;". "&amp;IF(ISNUMBER(AB164),"The "&amp;AC164&amp;" slot at "&amp;X164&amp;" is "&amp;IF(ISNUMBER(AB164),TEXT(AB164,"ddd d mmm")&amp;", "&amp;TEXT(AB164,"hh:mm"),"weekday evenings"),"We can book "&amp;AC164&amp;" at "&amp;X164&amp;" on a weekday evening that suits you")&amp;" and it's "&amp;IF(AD164&lt;&gt;"","£"&amp;IF(AD164=INT(AD164),TEXT(AD164,"0"),TEXT(AD164,"0.00")),"[PRICE PER PLAYER]")&amp;" a player, all booked and paid through one link. If football isn't your thing, who at "&amp;F164&amp;" would be the right person to organise a team game?"&amp;IF(Offer!$C$7&lt;&gt;""," Spots are held until "&amp;TEXT(Offer!$C$7,"dddd d mmmm")&amp;".","")&amp;" "&amp;IF(Offer!$C$6&lt;&gt;"",Offer!$C$6,"[JOINING LINK]")</f>
        <v/>
      </c>
      <c r="AK164" s="14">
        <f>IF(OR(ISNUMBER(SEARCH("[",AG164)),ISNUMBER(SEARCH("[",AJ164))),"Fill placeholders",IF(ISNUMBER(AB164),"Ready to send","Ready · no fixed slot"))</f>
        <v/>
      </c>
      <c r="AN164" s="17" t="n"/>
    </row>
    <row r="165">
      <c r="A165" s="11" t="n">
        <v>163</v>
      </c>
      <c r="B165" s="11" t="n">
        <v>3</v>
      </c>
      <c r="C165" s="11" t="inlineStr">
        <is>
          <t>Fund / asset manager</t>
        </is>
      </c>
      <c r="D165" s="11" t="inlineStr">
        <is>
          <t>Canary Wharf</t>
        </is>
      </c>
      <c r="E165" s="11" t="inlineStr">
        <is>
          <t>Relative Value Investments UK Limited Liability Partnership</t>
        </is>
      </c>
      <c r="F165" s="11" t="inlineStr">
        <is>
          <t>Relative Value Investments</t>
        </is>
      </c>
      <c r="G165" s="11" t="inlineStr">
        <is>
          <t>OC343461</t>
        </is>
      </c>
      <c r="H165" s="12" t="inlineStr">
        <is>
          <t>Open</t>
        </is>
      </c>
      <c r="I165" s="12" t="inlineStr">
        <is>
          <t>Search</t>
        </is>
      </c>
      <c r="J165" s="11" t="inlineStr">
        <is>
          <t>Full</t>
        </is>
      </c>
      <c r="K165" s="13" t="n">
        <v>39862</v>
      </c>
      <c r="L165" s="11" t="inlineStr">
        <is>
          <t>1 Churchill Place, London</t>
        </is>
      </c>
      <c r="M165" s="11" t="inlineStr">
        <is>
          <t>E14 5HP</t>
        </is>
      </c>
      <c r="N165" s="11" t="inlineStr">
        <is>
          <t>No</t>
        </is>
      </c>
      <c r="U165" s="11" t="inlineStr">
        <is>
          <t>Poplar</t>
        </is>
      </c>
      <c r="V165" s="11" t="n">
        <v>7</v>
      </c>
      <c r="W165" s="11" t="inlineStr">
        <is>
          <t>Fives Dockland Centre (E14 9GW) (18.1)</t>
        </is>
      </c>
      <c r="X165" s="11" t="inlineStr">
        <is>
          <t>Poplar</t>
        </is>
      </c>
      <c r="Y165" s="11" t="n">
        <v>7</v>
      </c>
      <c r="Z165" s="14">
        <f>IFERROR(INDEX(Venues!$E$2:$E$15,MATCH(X165,Venues!$A$2:$A$15,0)),"Not checked")</f>
        <v/>
      </c>
      <c r="AA165" s="14">
        <f>IFERROR(INDEX(Venues!$F$2:$F$15,MATCH(X165,Venues!$A$2:$A$15,0)),0)</f>
        <v/>
      </c>
      <c r="AB165" s="15">
        <f>IFERROR(INDEX(Venues!$M$2:$M$15,MATCH(X165,Venues!$A$2:$A$15,0)),"")</f>
        <v/>
      </c>
      <c r="AC165" s="14">
        <f>IFERROR(INDEX(Venues!$N$2:$N$15,MATCH(X165,Venues!$A$2:$A$15,0)),"5-a-side")</f>
        <v/>
      </c>
      <c r="AD165" s="16">
        <f>IF(Offer!$C$4="","",Offer!$C$4)</f>
        <v/>
      </c>
      <c r="AE165" s="14">
        <f>X165&amp;" ("&amp;Y165&amp;" min walk) · "&amp;IF(ISNUMBER(AB165),TEXT(AB165,"ddd d mmm, hh:mm"),"slot to confirm with venue")&amp;" · "&amp;AC165&amp;" · "&amp;IF(AD165&lt;&gt;"","£"&amp;TEXT(AD165,"0.00")&amp;" pp","price TBC")</f>
        <v/>
      </c>
      <c r="AF165" s="14">
        <f>"After-work football for "&amp;F165&amp;" · "&amp;X165&amp;", "&amp;Y165&amp;" min from your office"</f>
        <v/>
      </c>
      <c r="AG165" s="14">
        <f>"Hi"&amp;IF(O165&lt;&gt;""," "&amp;O165,"")&amp;","&amp;CHAR(10)&amp;CHAR(10)&amp;"I'm "&amp;IF(AL165&lt;&gt;"",AL165,IF(Offer!$C$5&lt;&gt;"",Offer!$C$5,"[NAME]"))&amp;" from FC Urban. We organise after-work football for teams in the City and Canary Wharf."&amp;CHAR(10)&amp;CHAR(10)&amp;"We have a "&amp;AC165&amp;" pitch at "&amp;X165&amp;", "&amp;IF(OR(Y165=8,Y165=11,Y165=18),"an ","a ")&amp;Y165&amp;"-minute walk from your "&amp;M165&amp;" office, "&amp;IF(ISNUMBER(AB165),"on "&amp;TEXT(AB165,"dddd d mmmm")&amp;" at "&amp;TEXT(AB165,"hh:mm"),"on a weekday evening that suits your team")&amp;". It's "&amp;IF(AD165&lt;&gt;"","£"&amp;IF(AD165=INT(AD165),TEXT(AD165,"0"),TEXT(AD165,"0.00")),"[PRICE PER PLAYER]")&amp;" a player and we handle the pitch booking, sign-ups and payments, so all it takes is one person sharing a link with the team."&amp;CHAR(10)&amp;CHAR(10)&amp;"It works well as a team social or "&amp;IF(ISNUMBER(SEARCH(LEFT(F165,1),"AEIOU")),"an ","a ")&amp;F165&amp;"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LINK]")&amp;CHAR(10)&amp;CHAR(10)&amp;"Best,"&amp;CHAR(10)&amp;IF(AL165&lt;&gt;"",AL165,IF(Offer!$C$5&lt;&gt;"",Offer!$C$5,"[NAME]"))&amp;CHAR(10)&amp;"FC Urban"</f>
        <v/>
      </c>
      <c r="AH165" s="14">
        <f>IF(LEN("Hi"&amp;IF(O165&lt;&gt;""," "&amp;O165,"")&amp;","&amp;" FC Urban runs after-work football for "&amp;IF(D165="Canary Wharf","Canary Wharf","City")&amp;" teams. We have a "&amp;AC165&amp;" pitch at "&amp;X165&amp;", "&amp;Y165&amp;" min from your office, "&amp;IF(ISNUMBER(AB165),TEXT(AB165,"ddd d mmm")&amp;", "&amp;TEXT(AB165,"hh:mm"),"weekday evenings")&amp;", "&amp;IF(AD165&lt;&gt;"","£"&amp;IF(AD165=INT(AD165),TEXT(AD165,"0"),TEXT(AD165,"0.00")),"[PRICE PER PLAYER]")&amp;" a player. We handle booking, sign-ups and payments. Fancy "&amp;IF(ISNUMBER(SEARCH(LEFT(F165,1),"AEIOU")),"an ","a ")&amp;F165&amp;" team game? "&amp;IF(AL165&lt;&gt;"",AL165,IF(Offer!$C$5&lt;&gt;"",Offer!$C$5,"[NAME]")))&lt;=300,"Hi"&amp;IF(O165&lt;&gt;""," "&amp;O165,"")&amp;","&amp;" FC Urban runs after-work football for "&amp;IF(D165="Canary Wharf","Canary Wharf","City")&amp;" teams. We have a "&amp;AC165&amp;" pitch at "&amp;X165&amp;", "&amp;Y165&amp;" min from your office, "&amp;IF(ISNUMBER(AB165),TEXT(AB165,"ddd d mmm")&amp;", "&amp;TEXT(AB165,"hh:mm"),"weekday evenings")&amp;", "&amp;IF(AD165&lt;&gt;"","£"&amp;IF(AD165=INT(AD165),TEXT(AD165,"0"),TEXT(AD165,"0.00")),"[PRICE PER PLAYER]")&amp;" a player. We handle booking, sign-ups and payments. Fancy "&amp;IF(ISNUMBER(SEARCH(LEFT(F165,1),"AEIOU")),"an ","a ")&amp;F165&amp;" team game? "&amp;IF(AL165&lt;&gt;"",AL165,IF(Offer!$C$5&lt;&gt;"",Offer!$C$5,"[NAME]")),LEFT("Hi"&amp;IF(O165&lt;&gt;""," "&amp;O165,"")&amp;","&amp;" FC Urban runs after-work football for "&amp;IF(D165="Canary Wharf","Canary Wharf","City")&amp;" teams: "&amp;AC165&amp;" at "&amp;X165&amp;", "&amp;Y165&amp;" min from your office, "&amp;IF(ISNUMBER(AB165),TEXT(AB165,"ddd d mmm")&amp;", "&amp;TEXT(AB165,"hh:mm"),"weekday evenings")&amp;", "&amp;IF(AD165&lt;&gt;"","£"&amp;IF(AD165=INT(AD165),TEXT(AD165,"0"),TEXT(AD165,"0.00")),"[PRICE PER PLAYER]")&amp;" pp. We handle booking and payments. Up for a team game? "&amp;IF(AL165&lt;&gt;"",AL165,IF(Offer!$C$5&lt;&gt;"",Offer!$C$5,"[NAME]")),300))</f>
        <v/>
      </c>
      <c r="AI165" s="14">
        <f>LEN(AH165)</f>
        <v/>
      </c>
      <c r="AJ165" s="14">
        <f>"Thanks for connecting"&amp;IF(O165&lt;&gt;"",", "&amp;O165,"")&amp;". "&amp;IF(ISNUMBER(AB165),"The "&amp;AC165&amp;" slot at "&amp;X165&amp;" is "&amp;IF(ISNUMBER(AB165),TEXT(AB165,"ddd d mmm")&amp;", "&amp;TEXT(AB165,"hh:mm"),"weekday evenings"),"We can book "&amp;AC165&amp;" at "&amp;X165&amp;" on a weekday evening that suits you")&amp;" and it's "&amp;IF(AD165&lt;&gt;"","£"&amp;IF(AD165=INT(AD165),TEXT(AD165,"0"),TEXT(AD165,"0.00")),"[PRICE PER PLAYER]")&amp;" a player, all booked and paid through one link. If football isn't your thing, who at "&amp;F165&amp;" would be the right person to organise a team game?"&amp;IF(Offer!$C$7&lt;&gt;""," Spots are held until "&amp;TEXT(Offer!$C$7,"dddd d mmmm")&amp;".","")&amp;" "&amp;IF(Offer!$C$6&lt;&gt;"",Offer!$C$6,"[JOINING LINK]")</f>
        <v/>
      </c>
      <c r="AK165" s="14">
        <f>IF(OR(ISNUMBER(SEARCH("[",AG165)),ISNUMBER(SEARCH("[",AJ165))),"Fill placeholders",IF(ISNUMBER(AB165),"Ready to send","Ready · no fixed slot"))</f>
        <v/>
      </c>
      <c r="AN165" s="17" t="n"/>
    </row>
    <row r="166">
      <c r="A166" s="11" t="n">
        <v>164</v>
      </c>
      <c r="B166" s="11" t="n">
        <v>3</v>
      </c>
      <c r="C166" s="11" t="inlineStr">
        <is>
          <t>Fund / asset manager</t>
        </is>
      </c>
      <c r="D166" s="11" t="inlineStr">
        <is>
          <t>City of London</t>
        </is>
      </c>
      <c r="E166" s="11" t="inlineStr">
        <is>
          <t>Autonomy Capital Research LLP</t>
        </is>
      </c>
      <c r="F166" s="11" t="inlineStr">
        <is>
          <t>Autonomy Capital Research</t>
        </is>
      </c>
      <c r="G166" s="11" t="inlineStr">
        <is>
          <t>OC303616</t>
        </is>
      </c>
      <c r="H166" s="12" t="inlineStr">
        <is>
          <t>Open</t>
        </is>
      </c>
      <c r="I166" s="12" t="inlineStr">
        <is>
          <t>Search</t>
        </is>
      </c>
      <c r="J166" s="11" t="inlineStr">
        <is>
          <t>Full</t>
        </is>
      </c>
      <c r="K166" s="13" t="n">
        <v>37613</v>
      </c>
      <c r="L166" s="11" t="inlineStr">
        <is>
          <t>9 Appold Street, 6Th Floor, London</t>
        </is>
      </c>
      <c r="M166" s="11" t="inlineStr">
        <is>
          <t>EC2A 2AP</t>
        </is>
      </c>
      <c r="N166" s="11" t="inlineStr">
        <is>
          <t>No</t>
        </is>
      </c>
      <c r="U166" s="11" t="inlineStr">
        <is>
          <t>Shoreditch Powerleague</t>
        </is>
      </c>
      <c r="V166" s="11" t="n">
        <v>7</v>
      </c>
      <c r="W166" s="11" t="inlineStr">
        <is>
          <t>Liverpool St - Attlee Centre (12)</t>
        </is>
      </c>
      <c r="X166" s="11" t="inlineStr">
        <is>
          <t>Shoreditch Powerleague</t>
        </is>
      </c>
      <c r="Y166" s="11" t="n">
        <v>7</v>
      </c>
      <c r="Z166" s="14">
        <f>IFERROR(INDEX(Venues!$E$2:$E$15,MATCH(X166,Venues!$A$2:$A$15,0)),"Not checked")</f>
        <v/>
      </c>
      <c r="AA166" s="14">
        <f>IFERROR(INDEX(Venues!$F$2:$F$15,MATCH(X166,Venues!$A$2:$A$15,0)),0)</f>
        <v/>
      </c>
      <c r="AB166" s="15">
        <f>IFERROR(INDEX(Venues!$M$2:$M$15,MATCH(X166,Venues!$A$2:$A$15,0)),"")</f>
        <v/>
      </c>
      <c r="AC166" s="14">
        <f>IFERROR(INDEX(Venues!$N$2:$N$15,MATCH(X166,Venues!$A$2:$A$15,0)),"5-a-side")</f>
        <v/>
      </c>
      <c r="AD166" s="16">
        <f>IF(Offer!$C$4="","",Offer!$C$4)</f>
        <v/>
      </c>
      <c r="AE166" s="14">
        <f>X166&amp;" ("&amp;Y166&amp;" min walk) · "&amp;IF(ISNUMBER(AB166),TEXT(AB166,"ddd d mmm, hh:mm"),"slot to confirm with venue")&amp;" · "&amp;AC166&amp;" · "&amp;IF(AD166&lt;&gt;"","£"&amp;TEXT(AD166,"0.00")&amp;" pp","price TBC")</f>
        <v/>
      </c>
      <c r="AF166" s="14">
        <f>"After-work football for "&amp;F166&amp;" · "&amp;X166&amp;", "&amp;Y166&amp;" min from your office"</f>
        <v/>
      </c>
      <c r="AG166" s="14">
        <f>"Hi"&amp;IF(O166&lt;&gt;""," "&amp;O166,"")&amp;","&amp;CHAR(10)&amp;CHAR(10)&amp;"I'm "&amp;IF(AL166&lt;&gt;"",AL166,IF(Offer!$C$5&lt;&gt;"",Offer!$C$5,"[NAME]"))&amp;" from FC Urban. We organise after-work football for teams in the City and Canary Wharf."&amp;CHAR(10)&amp;CHAR(10)&amp;"We have a "&amp;AC166&amp;" pitch at "&amp;X166&amp;", "&amp;IF(OR(Y166=8,Y166=11,Y166=18),"an ","a ")&amp;Y166&amp;"-minute walk from your "&amp;M166&amp;" office, "&amp;IF(ISNUMBER(AB166),"on "&amp;TEXT(AB166,"dddd d mmmm")&amp;" at "&amp;TEXT(AB166,"hh:mm"),"on a weekday evening that suits your team")&amp;". It's "&amp;IF(AD166&lt;&gt;"","£"&amp;IF(AD166=INT(AD166),TEXT(AD166,"0"),TEXT(AD166,"0.00")),"[PRICE PER PLAYER]")&amp;" a player and we handle the pitch booking, sign-ups and payments, so all it takes is one person sharing a link with the team."&amp;CHAR(10)&amp;CHAR(10)&amp;"It works well as a team social or "&amp;IF(ISNUMBER(SEARCH(LEFT(F166,1),"AEIOU")),"an ","a ")&amp;F166&amp;"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LINK]")&amp;CHAR(10)&amp;CHAR(10)&amp;"Best,"&amp;CHAR(10)&amp;IF(AL166&lt;&gt;"",AL166,IF(Offer!$C$5&lt;&gt;"",Offer!$C$5,"[NAME]"))&amp;CHAR(10)&amp;"FC Urban"</f>
        <v/>
      </c>
      <c r="AH166" s="14">
        <f>IF(LEN("Hi"&amp;IF(O166&lt;&gt;""," "&amp;O166,"")&amp;","&amp;" FC Urban runs after-work football for "&amp;IF(D166="Canary Wharf","Canary Wharf","City")&amp;" teams. We have a "&amp;AC166&amp;" pitch at "&amp;X166&amp;", "&amp;Y166&amp;" min from your office, "&amp;IF(ISNUMBER(AB166),TEXT(AB166,"ddd d mmm")&amp;", "&amp;TEXT(AB166,"hh:mm"),"weekday evenings")&amp;", "&amp;IF(AD166&lt;&gt;"","£"&amp;IF(AD166=INT(AD166),TEXT(AD166,"0"),TEXT(AD166,"0.00")),"[PRICE PER PLAYER]")&amp;" a player. We handle booking, sign-ups and payments. Fancy "&amp;IF(ISNUMBER(SEARCH(LEFT(F166,1),"AEIOU")),"an ","a ")&amp;F166&amp;" team game? "&amp;IF(AL166&lt;&gt;"",AL166,IF(Offer!$C$5&lt;&gt;"",Offer!$C$5,"[NAME]")))&lt;=300,"Hi"&amp;IF(O166&lt;&gt;""," "&amp;O166,"")&amp;","&amp;" FC Urban runs after-work football for "&amp;IF(D166="Canary Wharf","Canary Wharf","City")&amp;" teams. We have a "&amp;AC166&amp;" pitch at "&amp;X166&amp;", "&amp;Y166&amp;" min from your office, "&amp;IF(ISNUMBER(AB166),TEXT(AB166,"ddd d mmm")&amp;", "&amp;TEXT(AB166,"hh:mm"),"weekday evenings")&amp;", "&amp;IF(AD166&lt;&gt;"","£"&amp;IF(AD166=INT(AD166),TEXT(AD166,"0"),TEXT(AD166,"0.00")),"[PRICE PER PLAYER]")&amp;" a player. We handle booking, sign-ups and payments. Fancy "&amp;IF(ISNUMBER(SEARCH(LEFT(F166,1),"AEIOU")),"an ","a ")&amp;F166&amp;" team game? "&amp;IF(AL166&lt;&gt;"",AL166,IF(Offer!$C$5&lt;&gt;"",Offer!$C$5,"[NAME]")),LEFT("Hi"&amp;IF(O166&lt;&gt;""," "&amp;O166,"")&amp;","&amp;" FC Urban runs after-work football for "&amp;IF(D166="Canary Wharf","Canary Wharf","City")&amp;" teams: "&amp;AC166&amp;" at "&amp;X166&amp;", "&amp;Y166&amp;" min from your office, "&amp;IF(ISNUMBER(AB166),TEXT(AB166,"ddd d mmm")&amp;", "&amp;TEXT(AB166,"hh:mm"),"weekday evenings")&amp;", "&amp;IF(AD166&lt;&gt;"","£"&amp;IF(AD166=INT(AD166),TEXT(AD166,"0"),TEXT(AD166,"0.00")),"[PRICE PER PLAYER]")&amp;" pp. We handle booking and payments. Up for a team game? "&amp;IF(AL166&lt;&gt;"",AL166,IF(Offer!$C$5&lt;&gt;"",Offer!$C$5,"[NAME]")),300))</f>
        <v/>
      </c>
      <c r="AI166" s="14">
        <f>LEN(AH166)</f>
        <v/>
      </c>
      <c r="AJ166" s="14">
        <f>"Thanks for connecting"&amp;IF(O166&lt;&gt;"",", "&amp;O166,"")&amp;". "&amp;IF(ISNUMBER(AB166),"The "&amp;AC166&amp;" slot at "&amp;X166&amp;" is "&amp;IF(ISNUMBER(AB166),TEXT(AB166,"ddd d mmm")&amp;", "&amp;TEXT(AB166,"hh:mm"),"weekday evenings"),"We can book "&amp;AC166&amp;" at "&amp;X166&amp;" on a weekday evening that suits you")&amp;" and it's "&amp;IF(AD166&lt;&gt;"","£"&amp;IF(AD166=INT(AD166),TEXT(AD166,"0"),TEXT(AD166,"0.00")),"[PRICE PER PLAYER]")&amp;" a player, all booked and paid through one link. If football isn't your thing, who at "&amp;F166&amp;" would be the right person to organise a team game?"&amp;IF(Offer!$C$7&lt;&gt;""," Spots are held until "&amp;TEXT(Offer!$C$7,"dddd d mmmm")&amp;".","")&amp;" "&amp;IF(Offer!$C$6&lt;&gt;"",Offer!$C$6,"[JOINING LINK]")</f>
        <v/>
      </c>
      <c r="AK166" s="14">
        <f>IF(OR(ISNUMBER(SEARCH("[",AG166)),ISNUMBER(SEARCH("[",AJ166))),"Fill placeholders",IF(ISNUMBER(AB166),"Ready to send","Ready · no fixed slot"))</f>
        <v/>
      </c>
      <c r="AN166" s="17" t="n"/>
    </row>
    <row r="167">
      <c r="A167" s="11" t="n">
        <v>165</v>
      </c>
      <c r="B167" s="11" t="n">
        <v>3</v>
      </c>
      <c r="C167" s="11" t="inlineStr">
        <is>
          <t>Fund / asset manager</t>
        </is>
      </c>
      <c r="D167" s="11" t="inlineStr">
        <is>
          <t>City of London</t>
        </is>
      </c>
      <c r="E167" s="11" t="inlineStr">
        <is>
          <t>Capital Markets Trading UK LLP</t>
        </is>
      </c>
      <c r="F167" s="11" t="inlineStr">
        <is>
          <t>Capital Markets Trading</t>
        </is>
      </c>
      <c r="G167" s="11" t="inlineStr">
        <is>
          <t>OC300617</t>
        </is>
      </c>
      <c r="H167" s="12" t="inlineStr">
        <is>
          <t>Open</t>
        </is>
      </c>
      <c r="I167" s="12" t="inlineStr">
        <is>
          <t>Search</t>
        </is>
      </c>
      <c r="J167" s="11" t="inlineStr">
        <is>
          <t>Full</t>
        </is>
      </c>
      <c r="K167" s="13" t="n">
        <v>37127</v>
      </c>
      <c r="L167" s="11" t="inlineStr">
        <is>
          <t>6Th Floor, 9 Appold Street, London</t>
        </is>
      </c>
      <c r="M167" s="11" t="inlineStr">
        <is>
          <t>EC2A 2AP</t>
        </is>
      </c>
      <c r="N167" s="11" t="inlineStr">
        <is>
          <t>No</t>
        </is>
      </c>
      <c r="U167" s="11" t="inlineStr">
        <is>
          <t>Shoreditch Powerleague</t>
        </is>
      </c>
      <c r="V167" s="11" t="n">
        <v>7</v>
      </c>
      <c r="W167" s="11" t="inlineStr">
        <is>
          <t>Liverpool St - Attlee Centre (12)</t>
        </is>
      </c>
      <c r="X167" s="11" t="inlineStr">
        <is>
          <t>Shoreditch Powerleague</t>
        </is>
      </c>
      <c r="Y167" s="11" t="n">
        <v>7</v>
      </c>
      <c r="Z167" s="14">
        <f>IFERROR(INDEX(Venues!$E$2:$E$15,MATCH(X167,Venues!$A$2:$A$15,0)),"Not checked")</f>
        <v/>
      </c>
      <c r="AA167" s="14">
        <f>IFERROR(INDEX(Venues!$F$2:$F$15,MATCH(X167,Venues!$A$2:$A$15,0)),0)</f>
        <v/>
      </c>
      <c r="AB167" s="15">
        <f>IFERROR(INDEX(Venues!$M$2:$M$15,MATCH(X167,Venues!$A$2:$A$15,0)),"")</f>
        <v/>
      </c>
      <c r="AC167" s="14">
        <f>IFERROR(INDEX(Venues!$N$2:$N$15,MATCH(X167,Venues!$A$2:$A$15,0)),"5-a-side")</f>
        <v/>
      </c>
      <c r="AD167" s="16">
        <f>IF(Offer!$C$4="","",Offer!$C$4)</f>
        <v/>
      </c>
      <c r="AE167" s="14">
        <f>X167&amp;" ("&amp;Y167&amp;" min walk) · "&amp;IF(ISNUMBER(AB167),TEXT(AB167,"ddd d mmm, hh:mm"),"slot to confirm with venue")&amp;" · "&amp;AC167&amp;" · "&amp;IF(AD167&lt;&gt;"","£"&amp;TEXT(AD167,"0.00")&amp;" pp","price TBC")</f>
        <v/>
      </c>
      <c r="AF167" s="14">
        <f>"After-work football for "&amp;F167&amp;" · "&amp;X167&amp;", "&amp;Y167&amp;" min from your office"</f>
        <v/>
      </c>
      <c r="AG167" s="14">
        <f>"Hi"&amp;IF(O167&lt;&gt;""," "&amp;O167,"")&amp;","&amp;CHAR(10)&amp;CHAR(10)&amp;"I'm "&amp;IF(AL167&lt;&gt;"",AL167,IF(Offer!$C$5&lt;&gt;"",Offer!$C$5,"[NAME]"))&amp;" from FC Urban. We organise after-work football for teams in the City and Canary Wharf."&amp;CHAR(10)&amp;CHAR(10)&amp;"We have a "&amp;AC167&amp;" pitch at "&amp;X167&amp;", "&amp;IF(OR(Y167=8,Y167=11,Y167=18),"an ","a ")&amp;Y167&amp;"-minute walk from your "&amp;M167&amp;" office, "&amp;IF(ISNUMBER(AB167),"on "&amp;TEXT(AB167,"dddd d mmmm")&amp;" at "&amp;TEXT(AB167,"hh:mm"),"on a weekday evening that suits your team")&amp;". It's "&amp;IF(AD167&lt;&gt;"","£"&amp;IF(AD167=INT(AD167),TEXT(AD167,"0"),TEXT(AD167,"0.00")),"[PRICE PER PLAYER]")&amp;" a player and we handle the pitch booking, sign-ups and payments, so all it takes is one person sharing a link with the team."&amp;CHAR(10)&amp;CHAR(10)&amp;"It works well as a team social or "&amp;IF(ISNUMBER(SEARCH(LEFT(F167,1),"AEIOU")),"an ","a ")&amp;F167&amp;"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LINK]")&amp;CHAR(10)&amp;CHAR(10)&amp;"Best,"&amp;CHAR(10)&amp;IF(AL167&lt;&gt;"",AL167,IF(Offer!$C$5&lt;&gt;"",Offer!$C$5,"[NAME]"))&amp;CHAR(10)&amp;"FC Urban"</f>
        <v/>
      </c>
      <c r="AH167" s="14">
        <f>IF(LEN("Hi"&amp;IF(O167&lt;&gt;""," "&amp;O167,"")&amp;","&amp;" FC Urban runs after-work football for "&amp;IF(D167="Canary Wharf","Canary Wharf","City")&amp;" teams. We have a "&amp;AC167&amp;" pitch at "&amp;X167&amp;", "&amp;Y167&amp;" min from your office, "&amp;IF(ISNUMBER(AB167),TEXT(AB167,"ddd d mmm")&amp;", "&amp;TEXT(AB167,"hh:mm"),"weekday evenings")&amp;", "&amp;IF(AD167&lt;&gt;"","£"&amp;IF(AD167=INT(AD167),TEXT(AD167,"0"),TEXT(AD167,"0.00")),"[PRICE PER PLAYER]")&amp;" a player. We handle booking, sign-ups and payments. Fancy "&amp;IF(ISNUMBER(SEARCH(LEFT(F167,1),"AEIOU")),"an ","a ")&amp;F167&amp;" team game? "&amp;IF(AL167&lt;&gt;"",AL167,IF(Offer!$C$5&lt;&gt;"",Offer!$C$5,"[NAME]")))&lt;=300,"Hi"&amp;IF(O167&lt;&gt;""," "&amp;O167,"")&amp;","&amp;" FC Urban runs after-work football for "&amp;IF(D167="Canary Wharf","Canary Wharf","City")&amp;" teams. We have a "&amp;AC167&amp;" pitch at "&amp;X167&amp;", "&amp;Y167&amp;" min from your office, "&amp;IF(ISNUMBER(AB167),TEXT(AB167,"ddd d mmm")&amp;", "&amp;TEXT(AB167,"hh:mm"),"weekday evenings")&amp;", "&amp;IF(AD167&lt;&gt;"","£"&amp;IF(AD167=INT(AD167),TEXT(AD167,"0"),TEXT(AD167,"0.00")),"[PRICE PER PLAYER]")&amp;" a player. We handle booking, sign-ups and payments. Fancy "&amp;IF(ISNUMBER(SEARCH(LEFT(F167,1),"AEIOU")),"an ","a ")&amp;F167&amp;" team game? "&amp;IF(AL167&lt;&gt;"",AL167,IF(Offer!$C$5&lt;&gt;"",Offer!$C$5,"[NAME]")),LEFT("Hi"&amp;IF(O167&lt;&gt;""," "&amp;O167,"")&amp;","&amp;" FC Urban runs after-work football for "&amp;IF(D167="Canary Wharf","Canary Wharf","City")&amp;" teams: "&amp;AC167&amp;" at "&amp;X167&amp;", "&amp;Y167&amp;" min from your office, "&amp;IF(ISNUMBER(AB167),TEXT(AB167,"ddd d mmm")&amp;", "&amp;TEXT(AB167,"hh:mm"),"weekday evenings")&amp;", "&amp;IF(AD167&lt;&gt;"","£"&amp;IF(AD167=INT(AD167),TEXT(AD167,"0"),TEXT(AD167,"0.00")),"[PRICE PER PLAYER]")&amp;" pp. We handle booking and payments. Up for a team game? "&amp;IF(AL167&lt;&gt;"",AL167,IF(Offer!$C$5&lt;&gt;"",Offer!$C$5,"[NAME]")),300))</f>
        <v/>
      </c>
      <c r="AI167" s="14">
        <f>LEN(AH167)</f>
        <v/>
      </c>
      <c r="AJ167" s="14">
        <f>"Thanks for connecting"&amp;IF(O167&lt;&gt;"",", "&amp;O167,"")&amp;". "&amp;IF(ISNUMBER(AB167),"The "&amp;AC167&amp;" slot at "&amp;X167&amp;" is "&amp;IF(ISNUMBER(AB167),TEXT(AB167,"ddd d mmm")&amp;", "&amp;TEXT(AB167,"hh:mm"),"weekday evenings"),"We can book "&amp;AC167&amp;" at "&amp;X167&amp;" on a weekday evening that suits you")&amp;" and it's "&amp;IF(AD167&lt;&gt;"","£"&amp;IF(AD167=INT(AD167),TEXT(AD167,"0"),TEXT(AD167,"0.00")),"[PRICE PER PLAYER]")&amp;" a player, all booked and paid through one link. If football isn't your thing, who at "&amp;F167&amp;" would be the right person to organise a team game?"&amp;IF(Offer!$C$7&lt;&gt;""," Spots are held until "&amp;TEXT(Offer!$C$7,"dddd d mmmm")&amp;".","")&amp;" "&amp;IF(Offer!$C$6&lt;&gt;"",Offer!$C$6,"[JOINING LINK]")</f>
        <v/>
      </c>
      <c r="AK167" s="14">
        <f>IF(OR(ISNUMBER(SEARCH("[",AG167)),ISNUMBER(SEARCH("[",AJ167))),"Fill placeholders",IF(ISNUMBER(AB167),"Ready to send","Ready · no fixed slot"))</f>
        <v/>
      </c>
      <c r="AN167" s="17" t="n"/>
    </row>
    <row r="168">
      <c r="A168" s="11" t="n">
        <v>166</v>
      </c>
      <c r="B168" s="11" t="n">
        <v>3</v>
      </c>
      <c r="C168" s="11" t="inlineStr">
        <is>
          <t>Fund / asset manager</t>
        </is>
      </c>
      <c r="D168" s="11" t="inlineStr">
        <is>
          <t>City of London</t>
        </is>
      </c>
      <c r="E168" s="11" t="inlineStr">
        <is>
          <t>Flywire Payments Limited</t>
        </is>
      </c>
      <c r="F168" s="11" t="inlineStr">
        <is>
          <t>Flywire Payments</t>
        </is>
      </c>
      <c r="G168" s="11" t="inlineStr">
        <is>
          <t>07677601</t>
        </is>
      </c>
      <c r="H168" s="12" t="inlineStr">
        <is>
          <t>Open</t>
        </is>
      </c>
      <c r="I168" s="12" t="inlineStr">
        <is>
          <t>Search</t>
        </is>
      </c>
      <c r="J168" s="11" t="inlineStr">
        <is>
          <t>Full</t>
        </is>
      </c>
      <c r="K168" s="13" t="n">
        <v>40715</v>
      </c>
      <c r="L168" s="11" t="inlineStr">
        <is>
          <t>6Th Floor, 9 Appold Street, London</t>
        </is>
      </c>
      <c r="M168" s="11" t="inlineStr">
        <is>
          <t>EC2A 2AP</t>
        </is>
      </c>
      <c r="N168" s="11" t="inlineStr">
        <is>
          <t>No</t>
        </is>
      </c>
      <c r="U168" s="11" t="inlineStr">
        <is>
          <t>Shoreditch Powerleague</t>
        </is>
      </c>
      <c r="V168" s="11" t="n">
        <v>7</v>
      </c>
      <c r="W168" s="11" t="inlineStr">
        <is>
          <t>Liverpool St - Attlee Centre (12)</t>
        </is>
      </c>
      <c r="X168" s="11" t="inlineStr">
        <is>
          <t>Shoreditch Powerleague</t>
        </is>
      </c>
      <c r="Y168" s="11" t="n">
        <v>7</v>
      </c>
      <c r="Z168" s="14">
        <f>IFERROR(INDEX(Venues!$E$2:$E$15,MATCH(X168,Venues!$A$2:$A$15,0)),"Not checked")</f>
        <v/>
      </c>
      <c r="AA168" s="14">
        <f>IFERROR(INDEX(Venues!$F$2:$F$15,MATCH(X168,Venues!$A$2:$A$15,0)),0)</f>
        <v/>
      </c>
      <c r="AB168" s="15">
        <f>IFERROR(INDEX(Venues!$M$2:$M$15,MATCH(X168,Venues!$A$2:$A$15,0)),"")</f>
        <v/>
      </c>
      <c r="AC168" s="14">
        <f>IFERROR(INDEX(Venues!$N$2:$N$15,MATCH(X168,Venues!$A$2:$A$15,0)),"5-a-side")</f>
        <v/>
      </c>
      <c r="AD168" s="16">
        <f>IF(Offer!$C$4="","",Offer!$C$4)</f>
        <v/>
      </c>
      <c r="AE168" s="14">
        <f>X168&amp;" ("&amp;Y168&amp;" min walk) · "&amp;IF(ISNUMBER(AB168),TEXT(AB168,"ddd d mmm, hh:mm"),"slot to confirm with venue")&amp;" · "&amp;AC168&amp;" · "&amp;IF(AD168&lt;&gt;"","£"&amp;TEXT(AD168,"0.00")&amp;" pp","price TBC")</f>
        <v/>
      </c>
      <c r="AF168" s="14">
        <f>"After-work football for "&amp;F168&amp;" · "&amp;X168&amp;", "&amp;Y168&amp;" min from your office"</f>
        <v/>
      </c>
      <c r="AG168" s="14">
        <f>"Hi"&amp;IF(O168&lt;&gt;""," "&amp;O168,"")&amp;","&amp;CHAR(10)&amp;CHAR(10)&amp;"I'm "&amp;IF(AL168&lt;&gt;"",AL168,IF(Offer!$C$5&lt;&gt;"",Offer!$C$5,"[NAME]"))&amp;" from FC Urban. We organise after-work football for teams in the City and Canary Wharf."&amp;CHAR(10)&amp;CHAR(10)&amp;"We have a "&amp;AC168&amp;" pitch at "&amp;X168&amp;", "&amp;IF(OR(Y168=8,Y168=11,Y168=18),"an ","a ")&amp;Y168&amp;"-minute walk from your "&amp;M168&amp;" office, "&amp;IF(ISNUMBER(AB168),"on "&amp;TEXT(AB168,"dddd d mmmm")&amp;" at "&amp;TEXT(AB168,"hh:mm"),"on a weekday evening that suits your team")&amp;". It's "&amp;IF(AD168&lt;&gt;"","£"&amp;IF(AD168=INT(AD168),TEXT(AD168,"0"),TEXT(AD168,"0.00")),"[PRICE PER PLAYER]")&amp;" a player and we handle the pitch booking, sign-ups and payments, so all it takes is one person sharing a link with the team."&amp;CHAR(10)&amp;CHAR(10)&amp;"It works well as a team social or "&amp;IF(ISNUMBER(SEARCH(LEFT(F168,1),"AEIOU")),"an ","a ")&amp;F168&amp;"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LINK]")&amp;CHAR(10)&amp;CHAR(10)&amp;"Best,"&amp;CHAR(10)&amp;IF(AL168&lt;&gt;"",AL168,IF(Offer!$C$5&lt;&gt;"",Offer!$C$5,"[NAME]"))&amp;CHAR(10)&amp;"FC Urban"</f>
        <v/>
      </c>
      <c r="AH168" s="14">
        <f>IF(LEN("Hi"&amp;IF(O168&lt;&gt;""," "&amp;O168,"")&amp;","&amp;" FC Urban runs after-work football for "&amp;IF(D168="Canary Wharf","Canary Wharf","City")&amp;" teams. We have a "&amp;AC168&amp;" pitch at "&amp;X168&amp;", "&amp;Y168&amp;" min from your office, "&amp;IF(ISNUMBER(AB168),TEXT(AB168,"ddd d mmm")&amp;", "&amp;TEXT(AB168,"hh:mm"),"weekday evenings")&amp;", "&amp;IF(AD168&lt;&gt;"","£"&amp;IF(AD168=INT(AD168),TEXT(AD168,"0"),TEXT(AD168,"0.00")),"[PRICE PER PLAYER]")&amp;" a player. We handle booking, sign-ups and payments. Fancy "&amp;IF(ISNUMBER(SEARCH(LEFT(F168,1),"AEIOU")),"an ","a ")&amp;F168&amp;" team game? "&amp;IF(AL168&lt;&gt;"",AL168,IF(Offer!$C$5&lt;&gt;"",Offer!$C$5,"[NAME]")))&lt;=300,"Hi"&amp;IF(O168&lt;&gt;""," "&amp;O168,"")&amp;","&amp;" FC Urban runs after-work football for "&amp;IF(D168="Canary Wharf","Canary Wharf","City")&amp;" teams. We have a "&amp;AC168&amp;" pitch at "&amp;X168&amp;", "&amp;Y168&amp;" min from your office, "&amp;IF(ISNUMBER(AB168),TEXT(AB168,"ddd d mmm")&amp;", "&amp;TEXT(AB168,"hh:mm"),"weekday evenings")&amp;", "&amp;IF(AD168&lt;&gt;"","£"&amp;IF(AD168=INT(AD168),TEXT(AD168,"0"),TEXT(AD168,"0.00")),"[PRICE PER PLAYER]")&amp;" a player. We handle booking, sign-ups and payments. Fancy "&amp;IF(ISNUMBER(SEARCH(LEFT(F168,1),"AEIOU")),"an ","a ")&amp;F168&amp;" team game? "&amp;IF(AL168&lt;&gt;"",AL168,IF(Offer!$C$5&lt;&gt;"",Offer!$C$5,"[NAME]")),LEFT("Hi"&amp;IF(O168&lt;&gt;""," "&amp;O168,"")&amp;","&amp;" FC Urban runs after-work football for "&amp;IF(D168="Canary Wharf","Canary Wharf","City")&amp;" teams: "&amp;AC168&amp;" at "&amp;X168&amp;", "&amp;Y168&amp;" min from your office, "&amp;IF(ISNUMBER(AB168),TEXT(AB168,"ddd d mmm")&amp;", "&amp;TEXT(AB168,"hh:mm"),"weekday evenings")&amp;", "&amp;IF(AD168&lt;&gt;"","£"&amp;IF(AD168=INT(AD168),TEXT(AD168,"0"),TEXT(AD168,"0.00")),"[PRICE PER PLAYER]")&amp;" pp. We handle booking and payments. Up for a team game? "&amp;IF(AL168&lt;&gt;"",AL168,IF(Offer!$C$5&lt;&gt;"",Offer!$C$5,"[NAME]")),300))</f>
        <v/>
      </c>
      <c r="AI168" s="14">
        <f>LEN(AH168)</f>
        <v/>
      </c>
      <c r="AJ168" s="14">
        <f>"Thanks for connecting"&amp;IF(O168&lt;&gt;"",", "&amp;O168,"")&amp;". "&amp;IF(ISNUMBER(AB168),"The "&amp;AC168&amp;" slot at "&amp;X168&amp;" is "&amp;IF(ISNUMBER(AB168),TEXT(AB168,"ddd d mmm")&amp;", "&amp;TEXT(AB168,"hh:mm"),"weekday evenings"),"We can book "&amp;AC168&amp;" at "&amp;X168&amp;" on a weekday evening that suits you")&amp;" and it's "&amp;IF(AD168&lt;&gt;"","£"&amp;IF(AD168=INT(AD168),TEXT(AD168,"0"),TEXT(AD168,"0.00")),"[PRICE PER PLAYER]")&amp;" a player, all booked and paid through one link. If football isn't your thing, who at "&amp;F168&amp;" would be the right person to organise a team game?"&amp;IF(Offer!$C$7&lt;&gt;""," Spots are held until "&amp;TEXT(Offer!$C$7,"dddd d mmmm")&amp;".","")&amp;" "&amp;IF(Offer!$C$6&lt;&gt;"",Offer!$C$6,"[JOINING LINK]")</f>
        <v/>
      </c>
      <c r="AK168" s="14">
        <f>IF(OR(ISNUMBER(SEARCH("[",AG168)),ISNUMBER(SEARCH("[",AJ168))),"Fill placeholders",IF(ISNUMBER(AB168),"Ready to send","Ready · no fixed slot"))</f>
        <v/>
      </c>
      <c r="AN168" s="17" t="n"/>
    </row>
    <row r="169">
      <c r="A169" s="11" t="n">
        <v>167</v>
      </c>
      <c r="B169" s="11" t="n">
        <v>3</v>
      </c>
      <c r="C169" s="11" t="inlineStr">
        <is>
          <t>Fund / asset manager</t>
        </is>
      </c>
      <c r="D169" s="11" t="inlineStr">
        <is>
          <t>City of London</t>
        </is>
      </c>
      <c r="E169" s="11" t="inlineStr">
        <is>
          <t>MKS Investment Partners LLP</t>
        </is>
      </c>
      <c r="F169" s="11" t="inlineStr">
        <is>
          <t>MKS Investment Partners</t>
        </is>
      </c>
      <c r="G169" s="11" t="inlineStr">
        <is>
          <t>OC445373</t>
        </is>
      </c>
      <c r="H169" s="12" t="inlineStr">
        <is>
          <t>Open</t>
        </is>
      </c>
      <c r="I169" s="12" t="inlineStr">
        <is>
          <t>Search</t>
        </is>
      </c>
      <c r="J169" s="11" t="inlineStr">
        <is>
          <t>Full</t>
        </is>
      </c>
      <c r="K169" s="13" t="n">
        <v>44939</v>
      </c>
      <c r="L169" s="11" t="inlineStr">
        <is>
          <t>6Th Floor, 9 Appold Street, London</t>
        </is>
      </c>
      <c r="M169" s="11" t="inlineStr">
        <is>
          <t>EC2A 2AP</t>
        </is>
      </c>
      <c r="N169" s="11" t="inlineStr">
        <is>
          <t>No</t>
        </is>
      </c>
      <c r="U169" s="11" t="inlineStr">
        <is>
          <t>Shoreditch Powerleague</t>
        </is>
      </c>
      <c r="V169" s="11" t="n">
        <v>7</v>
      </c>
      <c r="W169" s="11" t="inlineStr">
        <is>
          <t>Liverpool St - Attlee Centre (12)</t>
        </is>
      </c>
      <c r="X169" s="11" t="inlineStr">
        <is>
          <t>Shoreditch Powerleague</t>
        </is>
      </c>
      <c r="Y169" s="11" t="n">
        <v>7</v>
      </c>
      <c r="Z169" s="14">
        <f>IFERROR(INDEX(Venues!$E$2:$E$15,MATCH(X169,Venues!$A$2:$A$15,0)),"Not checked")</f>
        <v/>
      </c>
      <c r="AA169" s="14">
        <f>IFERROR(INDEX(Venues!$F$2:$F$15,MATCH(X169,Venues!$A$2:$A$15,0)),0)</f>
        <v/>
      </c>
      <c r="AB169" s="15">
        <f>IFERROR(INDEX(Venues!$M$2:$M$15,MATCH(X169,Venues!$A$2:$A$15,0)),"")</f>
        <v/>
      </c>
      <c r="AC169" s="14">
        <f>IFERROR(INDEX(Venues!$N$2:$N$15,MATCH(X169,Venues!$A$2:$A$15,0)),"5-a-side")</f>
        <v/>
      </c>
      <c r="AD169" s="16">
        <f>IF(Offer!$C$4="","",Offer!$C$4)</f>
        <v/>
      </c>
      <c r="AE169" s="14">
        <f>X169&amp;" ("&amp;Y169&amp;" min walk) · "&amp;IF(ISNUMBER(AB169),TEXT(AB169,"ddd d mmm, hh:mm"),"slot to confirm with venue")&amp;" · "&amp;AC169&amp;" · "&amp;IF(AD169&lt;&gt;"","£"&amp;TEXT(AD169,"0.00")&amp;" pp","price TBC")</f>
        <v/>
      </c>
      <c r="AF169" s="14">
        <f>"After-work football for "&amp;F169&amp;" · "&amp;X169&amp;", "&amp;Y169&amp;" min from your office"</f>
        <v/>
      </c>
      <c r="AG169" s="14">
        <f>"Hi"&amp;IF(O169&lt;&gt;""," "&amp;O169,"")&amp;","&amp;CHAR(10)&amp;CHAR(10)&amp;"I'm "&amp;IF(AL169&lt;&gt;"",AL169,IF(Offer!$C$5&lt;&gt;"",Offer!$C$5,"[NAME]"))&amp;" from FC Urban. We organise after-work football for teams in the City and Canary Wharf."&amp;CHAR(10)&amp;CHAR(10)&amp;"We have a "&amp;AC169&amp;" pitch at "&amp;X169&amp;", "&amp;IF(OR(Y169=8,Y169=11,Y169=18),"an ","a ")&amp;Y169&amp;"-minute walk from your "&amp;M169&amp;" office, "&amp;IF(ISNUMBER(AB169),"on "&amp;TEXT(AB169,"dddd d mmmm")&amp;" at "&amp;TEXT(AB169,"hh:mm"),"on a weekday evening that suits your team")&amp;". It's "&amp;IF(AD169&lt;&gt;"","£"&amp;IF(AD169=INT(AD169),TEXT(AD169,"0"),TEXT(AD169,"0.00")),"[PRICE PER PLAYER]")&amp;" a player and we handle the pitch booking, sign-ups and payments, so all it takes is one person sharing a link with the team."&amp;CHAR(10)&amp;CHAR(10)&amp;"It works well as a team social or "&amp;IF(ISNUMBER(SEARCH(LEFT(F169,1),"AEIOU")),"an ","a ")&amp;F169&amp;"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LINK]")&amp;CHAR(10)&amp;CHAR(10)&amp;"Best,"&amp;CHAR(10)&amp;IF(AL169&lt;&gt;"",AL169,IF(Offer!$C$5&lt;&gt;"",Offer!$C$5,"[NAME]"))&amp;CHAR(10)&amp;"FC Urban"</f>
        <v/>
      </c>
      <c r="AH169" s="14">
        <f>IF(LEN("Hi"&amp;IF(O169&lt;&gt;""," "&amp;O169,"")&amp;","&amp;" FC Urban runs after-work football for "&amp;IF(D169="Canary Wharf","Canary Wharf","City")&amp;" teams. We have a "&amp;AC169&amp;" pitch at "&amp;X169&amp;", "&amp;Y169&amp;" min from your office, "&amp;IF(ISNUMBER(AB169),TEXT(AB169,"ddd d mmm")&amp;", "&amp;TEXT(AB169,"hh:mm"),"weekday evenings")&amp;", "&amp;IF(AD169&lt;&gt;"","£"&amp;IF(AD169=INT(AD169),TEXT(AD169,"0"),TEXT(AD169,"0.00")),"[PRICE PER PLAYER]")&amp;" a player. We handle booking, sign-ups and payments. Fancy "&amp;IF(ISNUMBER(SEARCH(LEFT(F169,1),"AEIOU")),"an ","a ")&amp;F169&amp;" team game? "&amp;IF(AL169&lt;&gt;"",AL169,IF(Offer!$C$5&lt;&gt;"",Offer!$C$5,"[NAME]")))&lt;=300,"Hi"&amp;IF(O169&lt;&gt;""," "&amp;O169,"")&amp;","&amp;" FC Urban runs after-work football for "&amp;IF(D169="Canary Wharf","Canary Wharf","City")&amp;" teams. We have a "&amp;AC169&amp;" pitch at "&amp;X169&amp;", "&amp;Y169&amp;" min from your office, "&amp;IF(ISNUMBER(AB169),TEXT(AB169,"ddd d mmm")&amp;", "&amp;TEXT(AB169,"hh:mm"),"weekday evenings")&amp;", "&amp;IF(AD169&lt;&gt;"","£"&amp;IF(AD169=INT(AD169),TEXT(AD169,"0"),TEXT(AD169,"0.00")),"[PRICE PER PLAYER]")&amp;" a player. We handle booking, sign-ups and payments. Fancy "&amp;IF(ISNUMBER(SEARCH(LEFT(F169,1),"AEIOU")),"an ","a ")&amp;F169&amp;" team game? "&amp;IF(AL169&lt;&gt;"",AL169,IF(Offer!$C$5&lt;&gt;"",Offer!$C$5,"[NAME]")),LEFT("Hi"&amp;IF(O169&lt;&gt;""," "&amp;O169,"")&amp;","&amp;" FC Urban runs after-work football for "&amp;IF(D169="Canary Wharf","Canary Wharf","City")&amp;" teams: "&amp;AC169&amp;" at "&amp;X169&amp;", "&amp;Y169&amp;" min from your office, "&amp;IF(ISNUMBER(AB169),TEXT(AB169,"ddd d mmm")&amp;", "&amp;TEXT(AB169,"hh:mm"),"weekday evenings")&amp;", "&amp;IF(AD169&lt;&gt;"","£"&amp;IF(AD169=INT(AD169),TEXT(AD169,"0"),TEXT(AD169,"0.00")),"[PRICE PER PLAYER]")&amp;" pp. We handle booking and payments. Up for a team game? "&amp;IF(AL169&lt;&gt;"",AL169,IF(Offer!$C$5&lt;&gt;"",Offer!$C$5,"[NAME]")),300))</f>
        <v/>
      </c>
      <c r="AI169" s="14">
        <f>LEN(AH169)</f>
        <v/>
      </c>
      <c r="AJ169" s="14">
        <f>"Thanks for connecting"&amp;IF(O169&lt;&gt;"",", "&amp;O169,"")&amp;". "&amp;IF(ISNUMBER(AB169),"The "&amp;AC169&amp;" slot at "&amp;X169&amp;" is "&amp;IF(ISNUMBER(AB169),TEXT(AB169,"ddd d mmm")&amp;", "&amp;TEXT(AB169,"hh:mm"),"weekday evenings"),"We can book "&amp;AC169&amp;" at "&amp;X169&amp;" on a weekday evening that suits you")&amp;" and it's "&amp;IF(AD169&lt;&gt;"","£"&amp;IF(AD169=INT(AD169),TEXT(AD169,"0"),TEXT(AD169,"0.00")),"[PRICE PER PLAYER]")&amp;" a player, all booked and paid through one link. If football isn't your thing, who at "&amp;F169&amp;" would be the right person to organise a team game?"&amp;IF(Offer!$C$7&lt;&gt;""," Spots are held until "&amp;TEXT(Offer!$C$7,"dddd d mmmm")&amp;".","")&amp;" "&amp;IF(Offer!$C$6&lt;&gt;"",Offer!$C$6,"[JOINING LINK]")</f>
        <v/>
      </c>
      <c r="AK169" s="14">
        <f>IF(OR(ISNUMBER(SEARCH("[",AG169)),ISNUMBER(SEARCH("[",AJ169))),"Fill placeholders",IF(ISNUMBER(AB169),"Ready to send","Ready · no fixed slot"))</f>
        <v/>
      </c>
      <c r="AN169" s="17" t="n"/>
    </row>
    <row r="170">
      <c r="A170" s="11" t="n">
        <v>168</v>
      </c>
      <c r="B170" s="11" t="n">
        <v>3</v>
      </c>
      <c r="C170" s="11" t="inlineStr">
        <is>
          <t>Fund / asset manager</t>
        </is>
      </c>
      <c r="D170" s="11" t="inlineStr">
        <is>
          <t>City of London</t>
        </is>
      </c>
      <c r="E170" s="11" t="inlineStr">
        <is>
          <t>Vertis Capital Partners Limited</t>
        </is>
      </c>
      <c r="F170" s="11" t="inlineStr">
        <is>
          <t>Vertis Capital Partners</t>
        </is>
      </c>
      <c r="G170" s="11" t="inlineStr">
        <is>
          <t>15354221</t>
        </is>
      </c>
      <c r="H170" s="12" t="inlineStr">
        <is>
          <t>Open</t>
        </is>
      </c>
      <c r="I170" s="12" t="inlineStr">
        <is>
          <t>Search</t>
        </is>
      </c>
      <c r="J170" s="11" t="inlineStr">
        <is>
          <t>Full</t>
        </is>
      </c>
      <c r="K170" s="13" t="n">
        <v>45275</v>
      </c>
      <c r="L170" s="11" t="inlineStr">
        <is>
          <t>6Th Floor, 9 Appold Street, London</t>
        </is>
      </c>
      <c r="M170" s="11" t="inlineStr">
        <is>
          <t>EC2A 2AP</t>
        </is>
      </c>
      <c r="N170" s="11" t="inlineStr">
        <is>
          <t>No</t>
        </is>
      </c>
      <c r="U170" s="11" t="inlineStr">
        <is>
          <t>Shoreditch Powerleague</t>
        </is>
      </c>
      <c r="V170" s="11" t="n">
        <v>7</v>
      </c>
      <c r="W170" s="11" t="inlineStr">
        <is>
          <t>Liverpool St - Attlee Centre (12)</t>
        </is>
      </c>
      <c r="X170" s="11" t="inlineStr">
        <is>
          <t>Shoreditch Powerleague</t>
        </is>
      </c>
      <c r="Y170" s="11" t="n">
        <v>7</v>
      </c>
      <c r="Z170" s="14">
        <f>IFERROR(INDEX(Venues!$E$2:$E$15,MATCH(X170,Venues!$A$2:$A$15,0)),"Not checked")</f>
        <v/>
      </c>
      <c r="AA170" s="14">
        <f>IFERROR(INDEX(Venues!$F$2:$F$15,MATCH(X170,Venues!$A$2:$A$15,0)),0)</f>
        <v/>
      </c>
      <c r="AB170" s="15">
        <f>IFERROR(INDEX(Venues!$M$2:$M$15,MATCH(X170,Venues!$A$2:$A$15,0)),"")</f>
        <v/>
      </c>
      <c r="AC170" s="14">
        <f>IFERROR(INDEX(Venues!$N$2:$N$15,MATCH(X170,Venues!$A$2:$A$15,0)),"5-a-side")</f>
        <v/>
      </c>
      <c r="AD170" s="16">
        <f>IF(Offer!$C$4="","",Offer!$C$4)</f>
        <v/>
      </c>
      <c r="AE170" s="14">
        <f>X170&amp;" ("&amp;Y170&amp;" min walk) · "&amp;IF(ISNUMBER(AB170),TEXT(AB170,"ddd d mmm, hh:mm"),"slot to confirm with venue")&amp;" · "&amp;AC170&amp;" · "&amp;IF(AD170&lt;&gt;"","£"&amp;TEXT(AD170,"0.00")&amp;" pp","price TBC")</f>
        <v/>
      </c>
      <c r="AF170" s="14">
        <f>"After-work football for "&amp;F170&amp;" · "&amp;X170&amp;", "&amp;Y170&amp;" min from your office"</f>
        <v/>
      </c>
      <c r="AG170" s="14">
        <f>"Hi"&amp;IF(O170&lt;&gt;""," "&amp;O170,"")&amp;","&amp;CHAR(10)&amp;CHAR(10)&amp;"I'm "&amp;IF(AL170&lt;&gt;"",AL170,IF(Offer!$C$5&lt;&gt;"",Offer!$C$5,"[NAME]"))&amp;" from FC Urban. We organise after-work football for teams in the City and Canary Wharf."&amp;CHAR(10)&amp;CHAR(10)&amp;"We have a "&amp;AC170&amp;" pitch at "&amp;X170&amp;", "&amp;IF(OR(Y170=8,Y170=11,Y170=18),"an ","a ")&amp;Y170&amp;"-minute walk from your "&amp;M170&amp;" office, "&amp;IF(ISNUMBER(AB170),"on "&amp;TEXT(AB170,"dddd d mmmm")&amp;" at "&amp;TEXT(AB170,"hh:mm"),"on a weekday evening that suits your team")&amp;". It's "&amp;IF(AD170&lt;&gt;"","£"&amp;IF(AD170=INT(AD170),TEXT(AD170,"0"),TEXT(AD170,"0.00")),"[PRICE PER PLAYER]")&amp;" a player and we handle the pitch booking, sign-ups and payments, so all it takes is one person sharing a link with the team."&amp;CHAR(10)&amp;CHAR(10)&amp;"It works well as a team social or "&amp;IF(ISNUMBER(SEARCH(LEFT(F170,1),"AEIOU")),"an ","a ")&amp;F170&amp;"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LINK]")&amp;CHAR(10)&amp;CHAR(10)&amp;"Best,"&amp;CHAR(10)&amp;IF(AL170&lt;&gt;"",AL170,IF(Offer!$C$5&lt;&gt;"",Offer!$C$5,"[NAME]"))&amp;CHAR(10)&amp;"FC Urban"</f>
        <v/>
      </c>
      <c r="AH170" s="14">
        <f>IF(LEN("Hi"&amp;IF(O170&lt;&gt;""," "&amp;O170,"")&amp;","&amp;" FC Urban runs after-work football for "&amp;IF(D170="Canary Wharf","Canary Wharf","City")&amp;" teams. We have a "&amp;AC170&amp;" pitch at "&amp;X170&amp;", "&amp;Y170&amp;" min from your office, "&amp;IF(ISNUMBER(AB170),TEXT(AB170,"ddd d mmm")&amp;", "&amp;TEXT(AB170,"hh:mm"),"weekday evenings")&amp;", "&amp;IF(AD170&lt;&gt;"","£"&amp;IF(AD170=INT(AD170),TEXT(AD170,"0"),TEXT(AD170,"0.00")),"[PRICE PER PLAYER]")&amp;" a player. We handle booking, sign-ups and payments. Fancy "&amp;IF(ISNUMBER(SEARCH(LEFT(F170,1),"AEIOU")),"an ","a ")&amp;F170&amp;" team game? "&amp;IF(AL170&lt;&gt;"",AL170,IF(Offer!$C$5&lt;&gt;"",Offer!$C$5,"[NAME]")))&lt;=300,"Hi"&amp;IF(O170&lt;&gt;""," "&amp;O170,"")&amp;","&amp;" FC Urban runs after-work football for "&amp;IF(D170="Canary Wharf","Canary Wharf","City")&amp;" teams. We have a "&amp;AC170&amp;" pitch at "&amp;X170&amp;", "&amp;Y170&amp;" min from your office, "&amp;IF(ISNUMBER(AB170),TEXT(AB170,"ddd d mmm")&amp;", "&amp;TEXT(AB170,"hh:mm"),"weekday evenings")&amp;", "&amp;IF(AD170&lt;&gt;"","£"&amp;IF(AD170=INT(AD170),TEXT(AD170,"0"),TEXT(AD170,"0.00")),"[PRICE PER PLAYER]")&amp;" a player. We handle booking, sign-ups and payments. Fancy "&amp;IF(ISNUMBER(SEARCH(LEFT(F170,1),"AEIOU")),"an ","a ")&amp;F170&amp;" team game? "&amp;IF(AL170&lt;&gt;"",AL170,IF(Offer!$C$5&lt;&gt;"",Offer!$C$5,"[NAME]")),LEFT("Hi"&amp;IF(O170&lt;&gt;""," "&amp;O170,"")&amp;","&amp;" FC Urban runs after-work football for "&amp;IF(D170="Canary Wharf","Canary Wharf","City")&amp;" teams: "&amp;AC170&amp;" at "&amp;X170&amp;", "&amp;Y170&amp;" min from your office, "&amp;IF(ISNUMBER(AB170),TEXT(AB170,"ddd d mmm")&amp;", "&amp;TEXT(AB170,"hh:mm"),"weekday evenings")&amp;", "&amp;IF(AD170&lt;&gt;"","£"&amp;IF(AD170=INT(AD170),TEXT(AD170,"0"),TEXT(AD170,"0.00")),"[PRICE PER PLAYER]")&amp;" pp. We handle booking and payments. Up for a team game? "&amp;IF(AL170&lt;&gt;"",AL170,IF(Offer!$C$5&lt;&gt;"",Offer!$C$5,"[NAME]")),300))</f>
        <v/>
      </c>
      <c r="AI170" s="14">
        <f>LEN(AH170)</f>
        <v/>
      </c>
      <c r="AJ170" s="14">
        <f>"Thanks for connecting"&amp;IF(O170&lt;&gt;"",", "&amp;O170,"")&amp;". "&amp;IF(ISNUMBER(AB170),"The "&amp;AC170&amp;" slot at "&amp;X170&amp;" is "&amp;IF(ISNUMBER(AB170),TEXT(AB170,"ddd d mmm")&amp;", "&amp;TEXT(AB170,"hh:mm"),"weekday evenings"),"We can book "&amp;AC170&amp;" at "&amp;X170&amp;" on a weekday evening that suits you")&amp;" and it's "&amp;IF(AD170&lt;&gt;"","£"&amp;IF(AD170=INT(AD170),TEXT(AD170,"0"),TEXT(AD170,"0.00")),"[PRICE PER PLAYER]")&amp;" a player, all booked and paid through one link. If football isn't your thing, who at "&amp;F170&amp;" would be the right person to organise a team game?"&amp;IF(Offer!$C$7&lt;&gt;""," Spots are held until "&amp;TEXT(Offer!$C$7,"dddd d mmmm")&amp;".","")&amp;" "&amp;IF(Offer!$C$6&lt;&gt;"",Offer!$C$6,"[JOINING LINK]")</f>
        <v/>
      </c>
      <c r="AK170" s="14">
        <f>IF(OR(ISNUMBER(SEARCH("[",AG170)),ISNUMBER(SEARCH("[",AJ170))),"Fill placeholders",IF(ISNUMBER(AB170),"Ready to send","Ready · no fixed slot"))</f>
        <v/>
      </c>
      <c r="AN170" s="17" t="n"/>
    </row>
    <row r="171">
      <c r="A171" s="11" t="n">
        <v>169</v>
      </c>
      <c r="B171" s="11" t="n">
        <v>3</v>
      </c>
      <c r="C171" s="11" t="inlineStr">
        <is>
          <t>Fund / asset manager</t>
        </is>
      </c>
      <c r="D171" s="11" t="inlineStr">
        <is>
          <t>City of London</t>
        </is>
      </c>
      <c r="E171" s="11" t="inlineStr">
        <is>
          <t>VR Advisory Services (UK) LLP</t>
        </is>
      </c>
      <c r="F171" s="11" t="inlineStr">
        <is>
          <t>VR Advisory</t>
        </is>
      </c>
      <c r="G171" s="11" t="inlineStr">
        <is>
          <t>OC387140</t>
        </is>
      </c>
      <c r="H171" s="12" t="inlineStr">
        <is>
          <t>Open</t>
        </is>
      </c>
      <c r="I171" s="12" t="inlineStr">
        <is>
          <t>Search</t>
        </is>
      </c>
      <c r="J171" s="11" t="inlineStr">
        <is>
          <t>Full</t>
        </is>
      </c>
      <c r="K171" s="13" t="n">
        <v>41494</v>
      </c>
      <c r="L171" s="11" t="inlineStr">
        <is>
          <t>6Th Floor, 9 Appold Street, London</t>
        </is>
      </c>
      <c r="M171" s="11" t="inlineStr">
        <is>
          <t>EC2A 2AP</t>
        </is>
      </c>
      <c r="N171" s="11" t="inlineStr">
        <is>
          <t>No</t>
        </is>
      </c>
      <c r="U171" s="11" t="inlineStr">
        <is>
          <t>Shoreditch Powerleague</t>
        </is>
      </c>
      <c r="V171" s="11" t="n">
        <v>7</v>
      </c>
      <c r="W171" s="11" t="inlineStr">
        <is>
          <t>Liverpool St - Attlee Centre (12)</t>
        </is>
      </c>
      <c r="X171" s="11" t="inlineStr">
        <is>
          <t>Shoreditch Powerleague</t>
        </is>
      </c>
      <c r="Y171" s="11" t="n">
        <v>7</v>
      </c>
      <c r="Z171" s="14">
        <f>IFERROR(INDEX(Venues!$E$2:$E$15,MATCH(X171,Venues!$A$2:$A$15,0)),"Not checked")</f>
        <v/>
      </c>
      <c r="AA171" s="14">
        <f>IFERROR(INDEX(Venues!$F$2:$F$15,MATCH(X171,Venues!$A$2:$A$15,0)),0)</f>
        <v/>
      </c>
      <c r="AB171" s="15">
        <f>IFERROR(INDEX(Venues!$M$2:$M$15,MATCH(X171,Venues!$A$2:$A$15,0)),"")</f>
        <v/>
      </c>
      <c r="AC171" s="14">
        <f>IFERROR(INDEX(Venues!$N$2:$N$15,MATCH(X171,Venues!$A$2:$A$15,0)),"5-a-side")</f>
        <v/>
      </c>
      <c r="AD171" s="16">
        <f>IF(Offer!$C$4="","",Offer!$C$4)</f>
        <v/>
      </c>
      <c r="AE171" s="14">
        <f>X171&amp;" ("&amp;Y171&amp;" min walk) · "&amp;IF(ISNUMBER(AB171),TEXT(AB171,"ddd d mmm, hh:mm"),"slot to confirm with venue")&amp;" · "&amp;AC171&amp;" · "&amp;IF(AD171&lt;&gt;"","£"&amp;TEXT(AD171,"0.00")&amp;" pp","price TBC")</f>
        <v/>
      </c>
      <c r="AF171" s="14">
        <f>"After-work football for "&amp;F171&amp;" · "&amp;X171&amp;", "&amp;Y171&amp;" min from your office"</f>
        <v/>
      </c>
      <c r="AG171" s="14">
        <f>"Hi"&amp;IF(O171&lt;&gt;""," "&amp;O171,"")&amp;","&amp;CHAR(10)&amp;CHAR(10)&amp;"I'm "&amp;IF(AL171&lt;&gt;"",AL171,IF(Offer!$C$5&lt;&gt;"",Offer!$C$5,"[NAME]"))&amp;" from FC Urban. We organise after-work football for teams in the City and Canary Wharf."&amp;CHAR(10)&amp;CHAR(10)&amp;"We have a "&amp;AC171&amp;" pitch at "&amp;X171&amp;", "&amp;IF(OR(Y171=8,Y171=11,Y171=18),"an ","a ")&amp;Y171&amp;"-minute walk from your "&amp;M171&amp;" office, "&amp;IF(ISNUMBER(AB171),"on "&amp;TEXT(AB171,"dddd d mmmm")&amp;" at "&amp;TEXT(AB171,"hh:mm"),"on a weekday evening that suits your team")&amp;". It's "&amp;IF(AD171&lt;&gt;"","£"&amp;IF(AD171=INT(AD171),TEXT(AD171,"0"),TEXT(AD171,"0.00")),"[PRICE PER PLAYER]")&amp;" a player and we handle the pitch booking, sign-ups and payments, so all it takes is one person sharing a link with the team."&amp;CHAR(10)&amp;CHAR(10)&amp;"It works well as a team social or "&amp;IF(ISNUMBER(SEARCH(LEFT(F171,1),"AEIOU")),"an ","a ")&amp;F171&amp;"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LINK]")&amp;CHAR(10)&amp;CHAR(10)&amp;"Best,"&amp;CHAR(10)&amp;IF(AL171&lt;&gt;"",AL171,IF(Offer!$C$5&lt;&gt;"",Offer!$C$5,"[NAME]"))&amp;CHAR(10)&amp;"FC Urban"</f>
        <v/>
      </c>
      <c r="AH171" s="14">
        <f>IF(LEN("Hi"&amp;IF(O171&lt;&gt;""," "&amp;O171,"")&amp;","&amp;" FC Urban runs after-work football for "&amp;IF(D171="Canary Wharf","Canary Wharf","City")&amp;" teams. We have a "&amp;AC171&amp;" pitch at "&amp;X171&amp;", "&amp;Y171&amp;" min from your office, "&amp;IF(ISNUMBER(AB171),TEXT(AB171,"ddd d mmm")&amp;", "&amp;TEXT(AB171,"hh:mm"),"weekday evenings")&amp;", "&amp;IF(AD171&lt;&gt;"","£"&amp;IF(AD171=INT(AD171),TEXT(AD171,"0"),TEXT(AD171,"0.00")),"[PRICE PER PLAYER]")&amp;" a player. We handle booking, sign-ups and payments. Fancy "&amp;IF(ISNUMBER(SEARCH(LEFT(F171,1),"AEIOU")),"an ","a ")&amp;F171&amp;" team game? "&amp;IF(AL171&lt;&gt;"",AL171,IF(Offer!$C$5&lt;&gt;"",Offer!$C$5,"[NAME]")))&lt;=300,"Hi"&amp;IF(O171&lt;&gt;""," "&amp;O171,"")&amp;","&amp;" FC Urban runs after-work football for "&amp;IF(D171="Canary Wharf","Canary Wharf","City")&amp;" teams. We have a "&amp;AC171&amp;" pitch at "&amp;X171&amp;", "&amp;Y171&amp;" min from your office, "&amp;IF(ISNUMBER(AB171),TEXT(AB171,"ddd d mmm")&amp;", "&amp;TEXT(AB171,"hh:mm"),"weekday evenings")&amp;", "&amp;IF(AD171&lt;&gt;"","£"&amp;IF(AD171=INT(AD171),TEXT(AD171,"0"),TEXT(AD171,"0.00")),"[PRICE PER PLAYER]")&amp;" a player. We handle booking, sign-ups and payments. Fancy "&amp;IF(ISNUMBER(SEARCH(LEFT(F171,1),"AEIOU")),"an ","a ")&amp;F171&amp;" team game? "&amp;IF(AL171&lt;&gt;"",AL171,IF(Offer!$C$5&lt;&gt;"",Offer!$C$5,"[NAME]")),LEFT("Hi"&amp;IF(O171&lt;&gt;""," "&amp;O171,"")&amp;","&amp;" FC Urban runs after-work football for "&amp;IF(D171="Canary Wharf","Canary Wharf","City")&amp;" teams: "&amp;AC171&amp;" at "&amp;X171&amp;", "&amp;Y171&amp;" min from your office, "&amp;IF(ISNUMBER(AB171),TEXT(AB171,"ddd d mmm")&amp;", "&amp;TEXT(AB171,"hh:mm"),"weekday evenings")&amp;", "&amp;IF(AD171&lt;&gt;"","£"&amp;IF(AD171=INT(AD171),TEXT(AD171,"0"),TEXT(AD171,"0.00")),"[PRICE PER PLAYER]")&amp;" pp. We handle booking and payments. Up for a team game? "&amp;IF(AL171&lt;&gt;"",AL171,IF(Offer!$C$5&lt;&gt;"",Offer!$C$5,"[NAME]")),300))</f>
        <v/>
      </c>
      <c r="AI171" s="14">
        <f>LEN(AH171)</f>
        <v/>
      </c>
      <c r="AJ171" s="14">
        <f>"Thanks for connecting"&amp;IF(O171&lt;&gt;"",", "&amp;O171,"")&amp;". "&amp;IF(ISNUMBER(AB171),"The "&amp;AC171&amp;" slot at "&amp;X171&amp;" is "&amp;IF(ISNUMBER(AB171),TEXT(AB171,"ddd d mmm")&amp;", "&amp;TEXT(AB171,"hh:mm"),"weekday evenings"),"We can book "&amp;AC171&amp;" at "&amp;X171&amp;" on a weekday evening that suits you")&amp;" and it's "&amp;IF(AD171&lt;&gt;"","£"&amp;IF(AD171=INT(AD171),TEXT(AD171,"0"),TEXT(AD171,"0.00")),"[PRICE PER PLAYER]")&amp;" a player, all booked and paid through one link. If football isn't your thing, who at "&amp;F171&amp;" would be the right person to organise a team game?"&amp;IF(Offer!$C$7&lt;&gt;""," Spots are held until "&amp;TEXT(Offer!$C$7,"dddd d mmmm")&amp;".","")&amp;" "&amp;IF(Offer!$C$6&lt;&gt;"",Offer!$C$6,"[JOINING LINK]")</f>
        <v/>
      </c>
      <c r="AK171" s="14">
        <f>IF(OR(ISNUMBER(SEARCH("[",AG171)),ISNUMBER(SEARCH("[",AJ171))),"Fill placeholders",IF(ISNUMBER(AB171),"Ready to send","Ready · no fixed slot"))</f>
        <v/>
      </c>
      <c r="AN171" s="17" t="n"/>
    </row>
    <row r="172">
      <c r="A172" s="11" t="n">
        <v>170</v>
      </c>
      <c r="B172" s="11" t="n">
        <v>3</v>
      </c>
      <c r="C172" s="11" t="inlineStr">
        <is>
          <t>Insurance / broker</t>
        </is>
      </c>
      <c r="D172" s="11" t="inlineStr">
        <is>
          <t>Canary Wharf</t>
        </is>
      </c>
      <c r="E172" s="11" t="inlineStr">
        <is>
          <t>Booking Protect Limited</t>
        </is>
      </c>
      <c r="F172" s="11" t="inlineStr">
        <is>
          <t>Booking Protect</t>
        </is>
      </c>
      <c r="G172" s="11" t="inlineStr">
        <is>
          <t>08968744</t>
        </is>
      </c>
      <c r="H172" s="12" t="inlineStr">
        <is>
          <t>Open</t>
        </is>
      </c>
      <c r="I172" s="12" t="inlineStr">
        <is>
          <t>Search</t>
        </is>
      </c>
      <c r="J172" s="11" t="inlineStr">
        <is>
          <t>Full</t>
        </is>
      </c>
      <c r="K172" s="13" t="n">
        <v>41729</v>
      </c>
      <c r="L172" s="11" t="inlineStr">
        <is>
          <t>C/O Csc Cls (Uk) Limited 5 Churchill Place, 10Th Floor, London</t>
        </is>
      </c>
      <c r="M172" s="11" t="inlineStr">
        <is>
          <t>E14 5HU</t>
        </is>
      </c>
      <c r="N172" s="11" t="inlineStr">
        <is>
          <t>No</t>
        </is>
      </c>
      <c r="U172" s="11" t="inlineStr">
        <is>
          <t>Poplar</t>
        </is>
      </c>
      <c r="V172" s="11" t="n">
        <v>8</v>
      </c>
      <c r="W172" s="11" t="inlineStr">
        <is>
          <t>Fives Dockland Centre (E14 9GW) (17.3)</t>
        </is>
      </c>
      <c r="X172" s="11" t="inlineStr">
        <is>
          <t>Poplar</t>
        </is>
      </c>
      <c r="Y172" s="11" t="n">
        <v>8</v>
      </c>
      <c r="Z172" s="14">
        <f>IFERROR(INDEX(Venues!$E$2:$E$15,MATCH(X172,Venues!$A$2:$A$15,0)),"Not checked")</f>
        <v/>
      </c>
      <c r="AA172" s="14">
        <f>IFERROR(INDEX(Venues!$F$2:$F$15,MATCH(X172,Venues!$A$2:$A$15,0)),0)</f>
        <v/>
      </c>
      <c r="AB172" s="15">
        <f>IFERROR(INDEX(Venues!$M$2:$M$15,MATCH(X172,Venues!$A$2:$A$15,0)),"")</f>
        <v/>
      </c>
      <c r="AC172" s="14">
        <f>IFERROR(INDEX(Venues!$N$2:$N$15,MATCH(X172,Venues!$A$2:$A$15,0)),"5-a-side")</f>
        <v/>
      </c>
      <c r="AD172" s="16">
        <f>IF(Offer!$C$4="","",Offer!$C$4)</f>
        <v/>
      </c>
      <c r="AE172" s="14">
        <f>X172&amp;" ("&amp;Y172&amp;" min walk) · "&amp;IF(ISNUMBER(AB172),TEXT(AB172,"ddd d mmm, hh:mm"),"slot to confirm with venue")&amp;" · "&amp;AC172&amp;" · "&amp;IF(AD172&lt;&gt;"","£"&amp;TEXT(AD172,"0.00")&amp;" pp","price TBC")</f>
        <v/>
      </c>
      <c r="AF172" s="14">
        <f>"After-work football for "&amp;F172&amp;" · "&amp;X172&amp;", "&amp;Y172&amp;" min from your office"</f>
        <v/>
      </c>
      <c r="AG172" s="14">
        <f>"Hi"&amp;IF(O172&lt;&gt;""," "&amp;O172,"")&amp;","&amp;CHAR(10)&amp;CHAR(10)&amp;"I'm "&amp;IF(AL172&lt;&gt;"",AL172,IF(Offer!$C$5&lt;&gt;"",Offer!$C$5,"[NAME]"))&amp;" from FC Urban. We organise after-work football for teams in the City and Canary Wharf."&amp;CHAR(10)&amp;CHAR(10)&amp;"We have a "&amp;AC172&amp;" pitch at "&amp;X172&amp;", "&amp;IF(OR(Y172=8,Y172=11,Y172=18),"an ","a ")&amp;Y172&amp;"-minute walk from your "&amp;M172&amp;" office, "&amp;IF(ISNUMBER(AB172),"on "&amp;TEXT(AB172,"dddd d mmmm")&amp;" at "&amp;TEXT(AB172,"hh:mm"),"on a weekday evening that suits your team")&amp;". It's "&amp;IF(AD172&lt;&gt;"","£"&amp;IF(AD172=INT(AD172),TEXT(AD172,"0"),TEXT(AD172,"0.00")),"[PRICE PER PLAYER]")&amp;" a player and we handle the pitch booking, sign-ups and payments, so all it takes is one person sharing a link with the team."&amp;CHAR(10)&amp;CHAR(10)&amp;"It works well as a team social or "&amp;IF(ISNUMBER(SEARCH(LEFT(F172,1),"AEIOU")),"an ","a ")&amp;F172&amp;"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LINK]")&amp;CHAR(10)&amp;CHAR(10)&amp;"Best,"&amp;CHAR(10)&amp;IF(AL172&lt;&gt;"",AL172,IF(Offer!$C$5&lt;&gt;"",Offer!$C$5,"[NAME]"))&amp;CHAR(10)&amp;"FC Urban"</f>
        <v/>
      </c>
      <c r="AH172" s="14">
        <f>IF(LEN("Hi"&amp;IF(O172&lt;&gt;""," "&amp;O172,"")&amp;","&amp;" FC Urban runs after-work football for "&amp;IF(D172="Canary Wharf","Canary Wharf","City")&amp;" teams. We have a "&amp;AC172&amp;" pitch at "&amp;X172&amp;", "&amp;Y172&amp;" min from your office, "&amp;IF(ISNUMBER(AB172),TEXT(AB172,"ddd d mmm")&amp;", "&amp;TEXT(AB172,"hh:mm"),"weekday evenings")&amp;", "&amp;IF(AD172&lt;&gt;"","£"&amp;IF(AD172=INT(AD172),TEXT(AD172,"0"),TEXT(AD172,"0.00")),"[PRICE PER PLAYER]")&amp;" a player. We handle booking, sign-ups and payments. Fancy "&amp;IF(ISNUMBER(SEARCH(LEFT(F172,1),"AEIOU")),"an ","a ")&amp;F172&amp;" team game? "&amp;IF(AL172&lt;&gt;"",AL172,IF(Offer!$C$5&lt;&gt;"",Offer!$C$5,"[NAME]")))&lt;=300,"Hi"&amp;IF(O172&lt;&gt;""," "&amp;O172,"")&amp;","&amp;" FC Urban runs after-work football for "&amp;IF(D172="Canary Wharf","Canary Wharf","City")&amp;" teams. We have a "&amp;AC172&amp;" pitch at "&amp;X172&amp;", "&amp;Y172&amp;" min from your office, "&amp;IF(ISNUMBER(AB172),TEXT(AB172,"ddd d mmm")&amp;", "&amp;TEXT(AB172,"hh:mm"),"weekday evenings")&amp;", "&amp;IF(AD172&lt;&gt;"","£"&amp;IF(AD172=INT(AD172),TEXT(AD172,"0"),TEXT(AD172,"0.00")),"[PRICE PER PLAYER]")&amp;" a player. We handle booking, sign-ups and payments. Fancy "&amp;IF(ISNUMBER(SEARCH(LEFT(F172,1),"AEIOU")),"an ","a ")&amp;F172&amp;" team game? "&amp;IF(AL172&lt;&gt;"",AL172,IF(Offer!$C$5&lt;&gt;"",Offer!$C$5,"[NAME]")),LEFT("Hi"&amp;IF(O172&lt;&gt;""," "&amp;O172,"")&amp;","&amp;" FC Urban runs after-work football for "&amp;IF(D172="Canary Wharf","Canary Wharf","City")&amp;" teams: "&amp;AC172&amp;" at "&amp;X172&amp;", "&amp;Y172&amp;" min from your office, "&amp;IF(ISNUMBER(AB172),TEXT(AB172,"ddd d mmm")&amp;", "&amp;TEXT(AB172,"hh:mm"),"weekday evenings")&amp;", "&amp;IF(AD172&lt;&gt;"","£"&amp;IF(AD172=INT(AD172),TEXT(AD172,"0"),TEXT(AD172,"0.00")),"[PRICE PER PLAYER]")&amp;" pp. We handle booking and payments. Up for a team game? "&amp;IF(AL172&lt;&gt;"",AL172,IF(Offer!$C$5&lt;&gt;"",Offer!$C$5,"[NAME]")),300))</f>
        <v/>
      </c>
      <c r="AI172" s="14">
        <f>LEN(AH172)</f>
        <v/>
      </c>
      <c r="AJ172" s="14">
        <f>"Thanks for connecting"&amp;IF(O172&lt;&gt;"",", "&amp;O172,"")&amp;". "&amp;IF(ISNUMBER(AB172),"The "&amp;AC172&amp;" slot at "&amp;X172&amp;" is "&amp;IF(ISNUMBER(AB172),TEXT(AB172,"ddd d mmm")&amp;", "&amp;TEXT(AB172,"hh:mm"),"weekday evenings"),"We can book "&amp;AC172&amp;" at "&amp;X172&amp;" on a weekday evening that suits you")&amp;" and it's "&amp;IF(AD172&lt;&gt;"","£"&amp;IF(AD172=INT(AD172),TEXT(AD172,"0"),TEXT(AD172,"0.00")),"[PRICE PER PLAYER]")&amp;" a player, all booked and paid through one link. If football isn't your thing, who at "&amp;F172&amp;" would be the right person to organise a team game?"&amp;IF(Offer!$C$7&lt;&gt;""," Spots are held until "&amp;TEXT(Offer!$C$7,"dddd d mmmm")&amp;".","")&amp;" "&amp;IF(Offer!$C$6&lt;&gt;"",Offer!$C$6,"[JOINING LINK]")</f>
        <v/>
      </c>
      <c r="AK172" s="14">
        <f>IF(OR(ISNUMBER(SEARCH("[",AG172)),ISNUMBER(SEARCH("[",AJ172))),"Fill placeholders",IF(ISNUMBER(AB172),"Ready to send","Ready · no fixed slot"))</f>
        <v/>
      </c>
      <c r="AN172" s="17" t="n"/>
    </row>
    <row r="173">
      <c r="A173" s="11" t="n">
        <v>171</v>
      </c>
      <c r="B173" s="11" t="n">
        <v>3</v>
      </c>
      <c r="C173" s="11" t="inlineStr">
        <is>
          <t>Insurance / broker</t>
        </is>
      </c>
      <c r="D173" s="11" t="inlineStr">
        <is>
          <t>Canary Wharf</t>
        </is>
      </c>
      <c r="E173" s="11" t="inlineStr">
        <is>
          <t>Cover Genius Limited</t>
        </is>
      </c>
      <c r="F173" s="11" t="inlineStr">
        <is>
          <t>Cover Genius</t>
        </is>
      </c>
      <c r="G173" s="11" t="inlineStr">
        <is>
          <t>09408621</t>
        </is>
      </c>
      <c r="H173" s="12" t="inlineStr">
        <is>
          <t>Open</t>
        </is>
      </c>
      <c r="I173" s="12" t="inlineStr">
        <is>
          <t>Search</t>
        </is>
      </c>
      <c r="J173" s="11" t="inlineStr">
        <is>
          <t>Full</t>
        </is>
      </c>
      <c r="K173" s="13" t="n">
        <v>42031</v>
      </c>
      <c r="L173" s="11" t="inlineStr">
        <is>
          <t>C/O Csc Cls (Uk) Limited 5 Churchill Place, 10Th Floor, London</t>
        </is>
      </c>
      <c r="M173" s="11" t="inlineStr">
        <is>
          <t>E14 5HU</t>
        </is>
      </c>
      <c r="N173" s="11" t="inlineStr">
        <is>
          <t>No</t>
        </is>
      </c>
      <c r="U173" s="11" t="inlineStr">
        <is>
          <t>Poplar</t>
        </is>
      </c>
      <c r="V173" s="11" t="n">
        <v>8</v>
      </c>
      <c r="W173" s="11" t="inlineStr">
        <is>
          <t>Fives Dockland Centre (E14 9GW) (17.3)</t>
        </is>
      </c>
      <c r="X173" s="11" t="inlineStr">
        <is>
          <t>Poplar</t>
        </is>
      </c>
      <c r="Y173" s="11" t="n">
        <v>8</v>
      </c>
      <c r="Z173" s="14">
        <f>IFERROR(INDEX(Venues!$E$2:$E$15,MATCH(X173,Venues!$A$2:$A$15,0)),"Not checked")</f>
        <v/>
      </c>
      <c r="AA173" s="14">
        <f>IFERROR(INDEX(Venues!$F$2:$F$15,MATCH(X173,Venues!$A$2:$A$15,0)),0)</f>
        <v/>
      </c>
      <c r="AB173" s="15">
        <f>IFERROR(INDEX(Venues!$M$2:$M$15,MATCH(X173,Venues!$A$2:$A$15,0)),"")</f>
        <v/>
      </c>
      <c r="AC173" s="14">
        <f>IFERROR(INDEX(Venues!$N$2:$N$15,MATCH(X173,Venues!$A$2:$A$15,0)),"5-a-side")</f>
        <v/>
      </c>
      <c r="AD173" s="16">
        <f>IF(Offer!$C$4="","",Offer!$C$4)</f>
        <v/>
      </c>
      <c r="AE173" s="14">
        <f>X173&amp;" ("&amp;Y173&amp;" min walk) · "&amp;IF(ISNUMBER(AB173),TEXT(AB173,"ddd d mmm, hh:mm"),"slot to confirm with venue")&amp;" · "&amp;AC173&amp;" · "&amp;IF(AD173&lt;&gt;"","£"&amp;TEXT(AD173,"0.00")&amp;" pp","price TBC")</f>
        <v/>
      </c>
      <c r="AF173" s="14">
        <f>"After-work football for "&amp;F173&amp;" · "&amp;X173&amp;", "&amp;Y173&amp;" min from your office"</f>
        <v/>
      </c>
      <c r="AG173" s="14">
        <f>"Hi"&amp;IF(O173&lt;&gt;""," "&amp;O173,"")&amp;","&amp;CHAR(10)&amp;CHAR(10)&amp;"I'm "&amp;IF(AL173&lt;&gt;"",AL173,IF(Offer!$C$5&lt;&gt;"",Offer!$C$5,"[NAME]"))&amp;" from FC Urban. We organise after-work football for teams in the City and Canary Wharf."&amp;CHAR(10)&amp;CHAR(10)&amp;"We have a "&amp;AC173&amp;" pitch at "&amp;X173&amp;", "&amp;IF(OR(Y173=8,Y173=11,Y173=18),"an ","a ")&amp;Y173&amp;"-minute walk from your "&amp;M173&amp;" office, "&amp;IF(ISNUMBER(AB173),"on "&amp;TEXT(AB173,"dddd d mmmm")&amp;" at "&amp;TEXT(AB173,"hh:mm"),"on a weekday evening that suits your team")&amp;". It's "&amp;IF(AD173&lt;&gt;"","£"&amp;IF(AD173=INT(AD173),TEXT(AD173,"0"),TEXT(AD173,"0.00")),"[PRICE PER PLAYER]")&amp;" a player and we handle the pitch booking, sign-ups and payments, so all it takes is one person sharing a link with the team."&amp;CHAR(10)&amp;CHAR(10)&amp;"It works well as a team social or "&amp;IF(ISNUMBER(SEARCH(LEFT(F173,1),"AEIOU")),"an ","a ")&amp;F173&amp;"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LINK]")&amp;CHAR(10)&amp;CHAR(10)&amp;"Best,"&amp;CHAR(10)&amp;IF(AL173&lt;&gt;"",AL173,IF(Offer!$C$5&lt;&gt;"",Offer!$C$5,"[NAME]"))&amp;CHAR(10)&amp;"FC Urban"</f>
        <v/>
      </c>
      <c r="AH173" s="14">
        <f>IF(LEN("Hi"&amp;IF(O173&lt;&gt;""," "&amp;O173,"")&amp;","&amp;" FC Urban runs after-work football for "&amp;IF(D173="Canary Wharf","Canary Wharf","City")&amp;" teams. We have a "&amp;AC173&amp;" pitch at "&amp;X173&amp;", "&amp;Y173&amp;" min from your office, "&amp;IF(ISNUMBER(AB173),TEXT(AB173,"ddd d mmm")&amp;", "&amp;TEXT(AB173,"hh:mm"),"weekday evenings")&amp;", "&amp;IF(AD173&lt;&gt;"","£"&amp;IF(AD173=INT(AD173),TEXT(AD173,"0"),TEXT(AD173,"0.00")),"[PRICE PER PLAYER]")&amp;" a player. We handle booking, sign-ups and payments. Fancy "&amp;IF(ISNUMBER(SEARCH(LEFT(F173,1),"AEIOU")),"an ","a ")&amp;F173&amp;" team game? "&amp;IF(AL173&lt;&gt;"",AL173,IF(Offer!$C$5&lt;&gt;"",Offer!$C$5,"[NAME]")))&lt;=300,"Hi"&amp;IF(O173&lt;&gt;""," "&amp;O173,"")&amp;","&amp;" FC Urban runs after-work football for "&amp;IF(D173="Canary Wharf","Canary Wharf","City")&amp;" teams. We have a "&amp;AC173&amp;" pitch at "&amp;X173&amp;", "&amp;Y173&amp;" min from your office, "&amp;IF(ISNUMBER(AB173),TEXT(AB173,"ddd d mmm")&amp;", "&amp;TEXT(AB173,"hh:mm"),"weekday evenings")&amp;", "&amp;IF(AD173&lt;&gt;"","£"&amp;IF(AD173=INT(AD173),TEXT(AD173,"0"),TEXT(AD173,"0.00")),"[PRICE PER PLAYER]")&amp;" a player. We handle booking, sign-ups and payments. Fancy "&amp;IF(ISNUMBER(SEARCH(LEFT(F173,1),"AEIOU")),"an ","a ")&amp;F173&amp;" team game? "&amp;IF(AL173&lt;&gt;"",AL173,IF(Offer!$C$5&lt;&gt;"",Offer!$C$5,"[NAME]")),LEFT("Hi"&amp;IF(O173&lt;&gt;""," "&amp;O173,"")&amp;","&amp;" FC Urban runs after-work football for "&amp;IF(D173="Canary Wharf","Canary Wharf","City")&amp;" teams: "&amp;AC173&amp;" at "&amp;X173&amp;", "&amp;Y173&amp;" min from your office, "&amp;IF(ISNUMBER(AB173),TEXT(AB173,"ddd d mmm")&amp;", "&amp;TEXT(AB173,"hh:mm"),"weekday evenings")&amp;", "&amp;IF(AD173&lt;&gt;"","£"&amp;IF(AD173=INT(AD173),TEXT(AD173,"0"),TEXT(AD173,"0.00")),"[PRICE PER PLAYER]")&amp;" pp. We handle booking and payments. Up for a team game? "&amp;IF(AL173&lt;&gt;"",AL173,IF(Offer!$C$5&lt;&gt;"",Offer!$C$5,"[NAME]")),300))</f>
        <v/>
      </c>
      <c r="AI173" s="14">
        <f>LEN(AH173)</f>
        <v/>
      </c>
      <c r="AJ173" s="14">
        <f>"Thanks for connecting"&amp;IF(O173&lt;&gt;"",", "&amp;O173,"")&amp;". "&amp;IF(ISNUMBER(AB173),"The "&amp;AC173&amp;" slot at "&amp;X173&amp;" is "&amp;IF(ISNUMBER(AB173),TEXT(AB173,"ddd d mmm")&amp;", "&amp;TEXT(AB173,"hh:mm"),"weekday evenings"),"We can book "&amp;AC173&amp;" at "&amp;X173&amp;" on a weekday evening that suits you")&amp;" and it's "&amp;IF(AD173&lt;&gt;"","£"&amp;IF(AD173=INT(AD173),TEXT(AD173,"0"),TEXT(AD173,"0.00")),"[PRICE PER PLAYER]")&amp;" a player, all booked and paid through one link. If football isn't your thing, who at "&amp;F173&amp;" would be the right person to organise a team game?"&amp;IF(Offer!$C$7&lt;&gt;""," Spots are held until "&amp;TEXT(Offer!$C$7,"dddd d mmmm")&amp;".","")&amp;" "&amp;IF(Offer!$C$6&lt;&gt;"",Offer!$C$6,"[JOINING LINK]")</f>
        <v/>
      </c>
      <c r="AK173" s="14">
        <f>IF(OR(ISNUMBER(SEARCH("[",AG173)),ISNUMBER(SEARCH("[",AJ173))),"Fill placeholders",IF(ISNUMBER(AB173),"Ready to send","Ready · no fixed slot"))</f>
        <v/>
      </c>
      <c r="AN173" s="17" t="n"/>
    </row>
    <row r="174">
      <c r="A174" s="11" t="n">
        <v>172</v>
      </c>
      <c r="B174" s="11" t="n">
        <v>3</v>
      </c>
      <c r="C174" s="11" t="inlineStr">
        <is>
          <t>Fund / asset manager</t>
        </is>
      </c>
      <c r="D174" s="11" t="inlineStr">
        <is>
          <t>Canary Wharf</t>
        </is>
      </c>
      <c r="E174" s="11" t="inlineStr">
        <is>
          <t>BDT &amp; MSD Partners International, LLP</t>
        </is>
      </c>
      <c r="F174" s="11" t="inlineStr">
        <is>
          <t>BDT &amp; MSD Partners</t>
        </is>
      </c>
      <c r="G174" s="11" t="inlineStr">
        <is>
          <t>OC401498</t>
        </is>
      </c>
      <c r="H174" s="12" t="inlineStr">
        <is>
          <t>Open</t>
        </is>
      </c>
      <c r="I174" s="12" t="inlineStr">
        <is>
          <t>Search</t>
        </is>
      </c>
      <c r="J174" s="11" t="inlineStr">
        <is>
          <t>Full</t>
        </is>
      </c>
      <c r="K174" s="13" t="n">
        <v>42243</v>
      </c>
      <c r="L174" s="11" t="inlineStr">
        <is>
          <t>5 Churchill Place, 10Th Floor, London</t>
        </is>
      </c>
      <c r="M174" s="11" t="inlineStr">
        <is>
          <t>E14 5HU</t>
        </is>
      </c>
      <c r="N174" s="11" t="inlineStr">
        <is>
          <t>No</t>
        </is>
      </c>
      <c r="U174" s="11" t="inlineStr">
        <is>
          <t>Poplar</t>
        </is>
      </c>
      <c r="V174" s="11" t="n">
        <v>8</v>
      </c>
      <c r="W174" s="11" t="inlineStr">
        <is>
          <t>Fives Dockland Centre (E14 9GW) (17.3)</t>
        </is>
      </c>
      <c r="X174" s="11" t="inlineStr">
        <is>
          <t>Poplar</t>
        </is>
      </c>
      <c r="Y174" s="11" t="n">
        <v>8</v>
      </c>
      <c r="Z174" s="14">
        <f>IFERROR(INDEX(Venues!$E$2:$E$15,MATCH(X174,Venues!$A$2:$A$15,0)),"Not checked")</f>
        <v/>
      </c>
      <c r="AA174" s="14">
        <f>IFERROR(INDEX(Venues!$F$2:$F$15,MATCH(X174,Venues!$A$2:$A$15,0)),0)</f>
        <v/>
      </c>
      <c r="AB174" s="15">
        <f>IFERROR(INDEX(Venues!$M$2:$M$15,MATCH(X174,Venues!$A$2:$A$15,0)),"")</f>
        <v/>
      </c>
      <c r="AC174" s="14">
        <f>IFERROR(INDEX(Venues!$N$2:$N$15,MATCH(X174,Venues!$A$2:$A$15,0)),"5-a-side")</f>
        <v/>
      </c>
      <c r="AD174" s="16">
        <f>IF(Offer!$C$4="","",Offer!$C$4)</f>
        <v/>
      </c>
      <c r="AE174" s="14">
        <f>X174&amp;" ("&amp;Y174&amp;" min walk) · "&amp;IF(ISNUMBER(AB174),TEXT(AB174,"ddd d mmm, hh:mm"),"slot to confirm with venue")&amp;" · "&amp;AC174&amp;" · "&amp;IF(AD174&lt;&gt;"","£"&amp;TEXT(AD174,"0.00")&amp;" pp","price TBC")</f>
        <v/>
      </c>
      <c r="AF174" s="14">
        <f>"After-work football for "&amp;F174&amp;" · "&amp;X174&amp;", "&amp;Y174&amp;" min from your office"</f>
        <v/>
      </c>
      <c r="AG174" s="14">
        <f>"Hi"&amp;IF(O174&lt;&gt;""," "&amp;O174,"")&amp;","&amp;CHAR(10)&amp;CHAR(10)&amp;"I'm "&amp;IF(AL174&lt;&gt;"",AL174,IF(Offer!$C$5&lt;&gt;"",Offer!$C$5,"[NAME]"))&amp;" from FC Urban. We organise after-work football for teams in the City and Canary Wharf."&amp;CHAR(10)&amp;CHAR(10)&amp;"We have a "&amp;AC174&amp;" pitch at "&amp;X174&amp;", "&amp;IF(OR(Y174=8,Y174=11,Y174=18),"an ","a ")&amp;Y174&amp;"-minute walk from your "&amp;M174&amp;" office, "&amp;IF(ISNUMBER(AB174),"on "&amp;TEXT(AB174,"dddd d mmmm")&amp;" at "&amp;TEXT(AB174,"hh:mm"),"on a weekday evening that suits your team")&amp;". It's "&amp;IF(AD174&lt;&gt;"","£"&amp;IF(AD174=INT(AD174),TEXT(AD174,"0"),TEXT(AD174,"0.00")),"[PRICE PER PLAYER]")&amp;" a player and we handle the pitch booking, sign-ups and payments, so all it takes is one person sharing a link with the team."&amp;CHAR(10)&amp;CHAR(10)&amp;"It works well as a team social or "&amp;IF(ISNUMBER(SEARCH(LEFT(F174,1),"AEIOU")),"an ","a ")&amp;F174&amp;"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LINK]")&amp;CHAR(10)&amp;CHAR(10)&amp;"Best,"&amp;CHAR(10)&amp;IF(AL174&lt;&gt;"",AL174,IF(Offer!$C$5&lt;&gt;"",Offer!$C$5,"[NAME]"))&amp;CHAR(10)&amp;"FC Urban"</f>
        <v/>
      </c>
      <c r="AH174" s="14">
        <f>IF(LEN("Hi"&amp;IF(O174&lt;&gt;""," "&amp;O174,"")&amp;","&amp;" FC Urban runs after-work football for "&amp;IF(D174="Canary Wharf","Canary Wharf","City")&amp;" teams. We have a "&amp;AC174&amp;" pitch at "&amp;X174&amp;", "&amp;Y174&amp;" min from your office, "&amp;IF(ISNUMBER(AB174),TEXT(AB174,"ddd d mmm")&amp;", "&amp;TEXT(AB174,"hh:mm"),"weekday evenings")&amp;", "&amp;IF(AD174&lt;&gt;"","£"&amp;IF(AD174=INT(AD174),TEXT(AD174,"0"),TEXT(AD174,"0.00")),"[PRICE PER PLAYER]")&amp;" a player. We handle booking, sign-ups and payments. Fancy "&amp;IF(ISNUMBER(SEARCH(LEFT(F174,1),"AEIOU")),"an ","a ")&amp;F174&amp;" team game? "&amp;IF(AL174&lt;&gt;"",AL174,IF(Offer!$C$5&lt;&gt;"",Offer!$C$5,"[NAME]")))&lt;=300,"Hi"&amp;IF(O174&lt;&gt;""," "&amp;O174,"")&amp;","&amp;" FC Urban runs after-work football for "&amp;IF(D174="Canary Wharf","Canary Wharf","City")&amp;" teams. We have a "&amp;AC174&amp;" pitch at "&amp;X174&amp;", "&amp;Y174&amp;" min from your office, "&amp;IF(ISNUMBER(AB174),TEXT(AB174,"ddd d mmm")&amp;", "&amp;TEXT(AB174,"hh:mm"),"weekday evenings")&amp;", "&amp;IF(AD174&lt;&gt;"","£"&amp;IF(AD174=INT(AD174),TEXT(AD174,"0"),TEXT(AD174,"0.00")),"[PRICE PER PLAYER]")&amp;" a player. We handle booking, sign-ups and payments. Fancy "&amp;IF(ISNUMBER(SEARCH(LEFT(F174,1),"AEIOU")),"an ","a ")&amp;F174&amp;" team game? "&amp;IF(AL174&lt;&gt;"",AL174,IF(Offer!$C$5&lt;&gt;"",Offer!$C$5,"[NAME]")),LEFT("Hi"&amp;IF(O174&lt;&gt;""," "&amp;O174,"")&amp;","&amp;" FC Urban runs after-work football for "&amp;IF(D174="Canary Wharf","Canary Wharf","City")&amp;" teams: "&amp;AC174&amp;" at "&amp;X174&amp;", "&amp;Y174&amp;" min from your office, "&amp;IF(ISNUMBER(AB174),TEXT(AB174,"ddd d mmm")&amp;", "&amp;TEXT(AB174,"hh:mm"),"weekday evenings")&amp;", "&amp;IF(AD174&lt;&gt;"","£"&amp;IF(AD174=INT(AD174),TEXT(AD174,"0"),TEXT(AD174,"0.00")),"[PRICE PER PLAYER]")&amp;" pp. We handle booking and payments. Up for a team game? "&amp;IF(AL174&lt;&gt;"",AL174,IF(Offer!$C$5&lt;&gt;"",Offer!$C$5,"[NAME]")),300))</f>
        <v/>
      </c>
      <c r="AI174" s="14">
        <f>LEN(AH174)</f>
        <v/>
      </c>
      <c r="AJ174" s="14">
        <f>"Thanks for connecting"&amp;IF(O174&lt;&gt;"",", "&amp;O174,"")&amp;". "&amp;IF(ISNUMBER(AB174),"The "&amp;AC174&amp;" slot at "&amp;X174&amp;" is "&amp;IF(ISNUMBER(AB174),TEXT(AB174,"ddd d mmm")&amp;", "&amp;TEXT(AB174,"hh:mm"),"weekday evenings"),"We can book "&amp;AC174&amp;" at "&amp;X174&amp;" on a weekday evening that suits you")&amp;" and it's "&amp;IF(AD174&lt;&gt;"","£"&amp;IF(AD174=INT(AD174),TEXT(AD174,"0"),TEXT(AD174,"0.00")),"[PRICE PER PLAYER]")&amp;" a player, all booked and paid through one link. If football isn't your thing, who at "&amp;F174&amp;" would be the right person to organise a team game?"&amp;IF(Offer!$C$7&lt;&gt;""," Spots are held until "&amp;TEXT(Offer!$C$7,"dddd d mmmm")&amp;".","")&amp;" "&amp;IF(Offer!$C$6&lt;&gt;"",Offer!$C$6,"[JOINING LINK]")</f>
        <v/>
      </c>
      <c r="AK174" s="14">
        <f>IF(OR(ISNUMBER(SEARCH("[",AG174)),ISNUMBER(SEARCH("[",AJ174))),"Fill placeholders",IF(ISNUMBER(AB174),"Ready to send","Ready · no fixed slot"))</f>
        <v/>
      </c>
      <c r="AN174" s="17" t="n"/>
    </row>
    <row r="175">
      <c r="A175" s="11" t="n">
        <v>173</v>
      </c>
      <c r="B175" s="11" t="n">
        <v>3</v>
      </c>
      <c r="C175" s="11" t="inlineStr">
        <is>
          <t>Fund / asset manager</t>
        </is>
      </c>
      <c r="D175" s="11" t="inlineStr">
        <is>
          <t>Canary Wharf</t>
        </is>
      </c>
      <c r="E175" s="11" t="inlineStr">
        <is>
          <t>Boston Partners (UK) Limited</t>
        </is>
      </c>
      <c r="F175" s="11" t="inlineStr">
        <is>
          <t>Boston Partners</t>
        </is>
      </c>
      <c r="G175" s="11" t="inlineStr">
        <is>
          <t>09084372</t>
        </is>
      </c>
      <c r="H175" s="12" t="inlineStr">
        <is>
          <t>Open</t>
        </is>
      </c>
      <c r="I175" s="12" t="inlineStr">
        <is>
          <t>Search</t>
        </is>
      </c>
      <c r="J175" s="11" t="inlineStr">
        <is>
          <t>Full</t>
        </is>
      </c>
      <c r="K175" s="13" t="n">
        <v>41802</v>
      </c>
      <c r="L175" s="11" t="inlineStr">
        <is>
          <t>C/O Csc Cls (Uk) Limited 5 Churchill Place, 10Th Floor, London</t>
        </is>
      </c>
      <c r="M175" s="11" t="inlineStr">
        <is>
          <t>E14 5HU</t>
        </is>
      </c>
      <c r="N175" s="11" t="inlineStr">
        <is>
          <t>No</t>
        </is>
      </c>
      <c r="U175" s="11" t="inlineStr">
        <is>
          <t>Poplar</t>
        </is>
      </c>
      <c r="V175" s="11" t="n">
        <v>8</v>
      </c>
      <c r="W175" s="11" t="inlineStr">
        <is>
          <t>Fives Dockland Centre (E14 9GW) (17.3)</t>
        </is>
      </c>
      <c r="X175" s="11" t="inlineStr">
        <is>
          <t>Poplar</t>
        </is>
      </c>
      <c r="Y175" s="11" t="n">
        <v>8</v>
      </c>
      <c r="Z175" s="14">
        <f>IFERROR(INDEX(Venues!$E$2:$E$15,MATCH(X175,Venues!$A$2:$A$15,0)),"Not checked")</f>
        <v/>
      </c>
      <c r="AA175" s="14">
        <f>IFERROR(INDEX(Venues!$F$2:$F$15,MATCH(X175,Venues!$A$2:$A$15,0)),0)</f>
        <v/>
      </c>
      <c r="AB175" s="15">
        <f>IFERROR(INDEX(Venues!$M$2:$M$15,MATCH(X175,Venues!$A$2:$A$15,0)),"")</f>
        <v/>
      </c>
      <c r="AC175" s="14">
        <f>IFERROR(INDEX(Venues!$N$2:$N$15,MATCH(X175,Venues!$A$2:$A$15,0)),"5-a-side")</f>
        <v/>
      </c>
      <c r="AD175" s="16">
        <f>IF(Offer!$C$4="","",Offer!$C$4)</f>
        <v/>
      </c>
      <c r="AE175" s="14">
        <f>X175&amp;" ("&amp;Y175&amp;" min walk) · "&amp;IF(ISNUMBER(AB175),TEXT(AB175,"ddd d mmm, hh:mm"),"slot to confirm with venue")&amp;" · "&amp;AC175&amp;" · "&amp;IF(AD175&lt;&gt;"","£"&amp;TEXT(AD175,"0.00")&amp;" pp","price TBC")</f>
        <v/>
      </c>
      <c r="AF175" s="14">
        <f>"After-work football for "&amp;F175&amp;" · "&amp;X175&amp;", "&amp;Y175&amp;" min from your office"</f>
        <v/>
      </c>
      <c r="AG175" s="14">
        <f>"Hi"&amp;IF(O175&lt;&gt;""," "&amp;O175,"")&amp;","&amp;CHAR(10)&amp;CHAR(10)&amp;"I'm "&amp;IF(AL175&lt;&gt;"",AL175,IF(Offer!$C$5&lt;&gt;"",Offer!$C$5,"[NAME]"))&amp;" from FC Urban. We organise after-work football for teams in the City and Canary Wharf."&amp;CHAR(10)&amp;CHAR(10)&amp;"We have a "&amp;AC175&amp;" pitch at "&amp;X175&amp;", "&amp;IF(OR(Y175=8,Y175=11,Y175=18),"an ","a ")&amp;Y175&amp;"-minute walk from your "&amp;M175&amp;" office, "&amp;IF(ISNUMBER(AB175),"on "&amp;TEXT(AB175,"dddd d mmmm")&amp;" at "&amp;TEXT(AB175,"hh:mm"),"on a weekday evening that suits your team")&amp;". It's "&amp;IF(AD175&lt;&gt;"","£"&amp;IF(AD175=INT(AD175),TEXT(AD175,"0"),TEXT(AD175,"0.00")),"[PRICE PER PLAYER]")&amp;" a player and we handle the pitch booking, sign-ups and payments, so all it takes is one person sharing a link with the team."&amp;CHAR(10)&amp;CHAR(10)&amp;"It works well as a team social or "&amp;IF(ISNUMBER(SEARCH(LEFT(F175,1),"AEIOU")),"an ","a ")&amp;F175&amp;"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LINK]")&amp;CHAR(10)&amp;CHAR(10)&amp;"Best,"&amp;CHAR(10)&amp;IF(AL175&lt;&gt;"",AL175,IF(Offer!$C$5&lt;&gt;"",Offer!$C$5,"[NAME]"))&amp;CHAR(10)&amp;"FC Urban"</f>
        <v/>
      </c>
      <c r="AH175" s="14">
        <f>IF(LEN("Hi"&amp;IF(O175&lt;&gt;""," "&amp;O175,"")&amp;","&amp;" FC Urban runs after-work football for "&amp;IF(D175="Canary Wharf","Canary Wharf","City")&amp;" teams. We have a "&amp;AC175&amp;" pitch at "&amp;X175&amp;", "&amp;Y175&amp;" min from your office, "&amp;IF(ISNUMBER(AB175),TEXT(AB175,"ddd d mmm")&amp;", "&amp;TEXT(AB175,"hh:mm"),"weekday evenings")&amp;", "&amp;IF(AD175&lt;&gt;"","£"&amp;IF(AD175=INT(AD175),TEXT(AD175,"0"),TEXT(AD175,"0.00")),"[PRICE PER PLAYER]")&amp;" a player. We handle booking, sign-ups and payments. Fancy "&amp;IF(ISNUMBER(SEARCH(LEFT(F175,1),"AEIOU")),"an ","a ")&amp;F175&amp;" team game? "&amp;IF(AL175&lt;&gt;"",AL175,IF(Offer!$C$5&lt;&gt;"",Offer!$C$5,"[NAME]")))&lt;=300,"Hi"&amp;IF(O175&lt;&gt;""," "&amp;O175,"")&amp;","&amp;" FC Urban runs after-work football for "&amp;IF(D175="Canary Wharf","Canary Wharf","City")&amp;" teams. We have a "&amp;AC175&amp;" pitch at "&amp;X175&amp;", "&amp;Y175&amp;" min from your office, "&amp;IF(ISNUMBER(AB175),TEXT(AB175,"ddd d mmm")&amp;", "&amp;TEXT(AB175,"hh:mm"),"weekday evenings")&amp;", "&amp;IF(AD175&lt;&gt;"","£"&amp;IF(AD175=INT(AD175),TEXT(AD175,"0"),TEXT(AD175,"0.00")),"[PRICE PER PLAYER]")&amp;" a player. We handle booking, sign-ups and payments. Fancy "&amp;IF(ISNUMBER(SEARCH(LEFT(F175,1),"AEIOU")),"an ","a ")&amp;F175&amp;" team game? "&amp;IF(AL175&lt;&gt;"",AL175,IF(Offer!$C$5&lt;&gt;"",Offer!$C$5,"[NAME]")),LEFT("Hi"&amp;IF(O175&lt;&gt;""," "&amp;O175,"")&amp;","&amp;" FC Urban runs after-work football for "&amp;IF(D175="Canary Wharf","Canary Wharf","City")&amp;" teams: "&amp;AC175&amp;" at "&amp;X175&amp;", "&amp;Y175&amp;" min from your office, "&amp;IF(ISNUMBER(AB175),TEXT(AB175,"ddd d mmm")&amp;", "&amp;TEXT(AB175,"hh:mm"),"weekday evenings")&amp;", "&amp;IF(AD175&lt;&gt;"","£"&amp;IF(AD175=INT(AD175),TEXT(AD175,"0"),TEXT(AD175,"0.00")),"[PRICE PER PLAYER]")&amp;" pp. We handle booking and payments. Up for a team game? "&amp;IF(AL175&lt;&gt;"",AL175,IF(Offer!$C$5&lt;&gt;"",Offer!$C$5,"[NAME]")),300))</f>
        <v/>
      </c>
      <c r="AI175" s="14">
        <f>LEN(AH175)</f>
        <v/>
      </c>
      <c r="AJ175" s="14">
        <f>"Thanks for connecting"&amp;IF(O175&lt;&gt;"",", "&amp;O175,"")&amp;". "&amp;IF(ISNUMBER(AB175),"The "&amp;AC175&amp;" slot at "&amp;X175&amp;" is "&amp;IF(ISNUMBER(AB175),TEXT(AB175,"ddd d mmm")&amp;", "&amp;TEXT(AB175,"hh:mm"),"weekday evenings"),"We can book "&amp;AC175&amp;" at "&amp;X175&amp;" on a weekday evening that suits you")&amp;" and it's "&amp;IF(AD175&lt;&gt;"","£"&amp;IF(AD175=INT(AD175),TEXT(AD175,"0"),TEXT(AD175,"0.00")),"[PRICE PER PLAYER]")&amp;" a player, all booked and paid through one link. If football isn't your thing, who at "&amp;F175&amp;" would be the right person to organise a team game?"&amp;IF(Offer!$C$7&lt;&gt;""," Spots are held until "&amp;TEXT(Offer!$C$7,"dddd d mmmm")&amp;".","")&amp;" "&amp;IF(Offer!$C$6&lt;&gt;"",Offer!$C$6,"[JOINING LINK]")</f>
        <v/>
      </c>
      <c r="AK175" s="14">
        <f>IF(OR(ISNUMBER(SEARCH("[",AG175)),ISNUMBER(SEARCH("[",AJ175))),"Fill placeholders",IF(ISNUMBER(AB175),"Ready to send","Ready · no fixed slot"))</f>
        <v/>
      </c>
      <c r="AN175" s="17" t="n"/>
    </row>
    <row r="176">
      <c r="A176" s="11" t="n">
        <v>174</v>
      </c>
      <c r="B176" s="11" t="n">
        <v>3</v>
      </c>
      <c r="C176" s="11" t="inlineStr">
        <is>
          <t>Fund / asset manager</t>
        </is>
      </c>
      <c r="D176" s="11" t="inlineStr">
        <is>
          <t>Canary Wharf</t>
        </is>
      </c>
      <c r="E176" s="11" t="inlineStr">
        <is>
          <t>Prizm Capital LLP</t>
        </is>
      </c>
      <c r="F176" s="11" t="inlineStr">
        <is>
          <t>Prizm Capital</t>
        </is>
      </c>
      <c r="G176" s="11" t="inlineStr">
        <is>
          <t>OC445092</t>
        </is>
      </c>
      <c r="H176" s="12" t="inlineStr">
        <is>
          <t>Open</t>
        </is>
      </c>
      <c r="I176" s="12" t="inlineStr">
        <is>
          <t>Search</t>
        </is>
      </c>
      <c r="J176" s="11" t="inlineStr">
        <is>
          <t>Full</t>
        </is>
      </c>
      <c r="K176" s="13" t="n">
        <v>44911</v>
      </c>
      <c r="L176" s="11" t="inlineStr">
        <is>
          <t>C/O Csc Cls (Uk) Limited 5 Churchill Place, 10Th Floor, London</t>
        </is>
      </c>
      <c r="M176" s="11" t="inlineStr">
        <is>
          <t>E14 5HU</t>
        </is>
      </c>
      <c r="N176" s="11" t="inlineStr">
        <is>
          <t>No</t>
        </is>
      </c>
      <c r="U176" s="11" t="inlineStr">
        <is>
          <t>Poplar</t>
        </is>
      </c>
      <c r="V176" s="11" t="n">
        <v>8</v>
      </c>
      <c r="W176" s="11" t="inlineStr">
        <is>
          <t>Fives Dockland Centre (E14 9GW) (17.3)</t>
        </is>
      </c>
      <c r="X176" s="11" t="inlineStr">
        <is>
          <t>Poplar</t>
        </is>
      </c>
      <c r="Y176" s="11" t="n">
        <v>8</v>
      </c>
      <c r="Z176" s="14">
        <f>IFERROR(INDEX(Venues!$E$2:$E$15,MATCH(X176,Venues!$A$2:$A$15,0)),"Not checked")</f>
        <v/>
      </c>
      <c r="AA176" s="14">
        <f>IFERROR(INDEX(Venues!$F$2:$F$15,MATCH(X176,Venues!$A$2:$A$15,0)),0)</f>
        <v/>
      </c>
      <c r="AB176" s="15">
        <f>IFERROR(INDEX(Venues!$M$2:$M$15,MATCH(X176,Venues!$A$2:$A$15,0)),"")</f>
        <v/>
      </c>
      <c r="AC176" s="14">
        <f>IFERROR(INDEX(Venues!$N$2:$N$15,MATCH(X176,Venues!$A$2:$A$15,0)),"5-a-side")</f>
        <v/>
      </c>
      <c r="AD176" s="16">
        <f>IF(Offer!$C$4="","",Offer!$C$4)</f>
        <v/>
      </c>
      <c r="AE176" s="14">
        <f>X176&amp;" ("&amp;Y176&amp;" min walk) · "&amp;IF(ISNUMBER(AB176),TEXT(AB176,"ddd d mmm, hh:mm"),"slot to confirm with venue")&amp;" · "&amp;AC176&amp;" · "&amp;IF(AD176&lt;&gt;"","£"&amp;TEXT(AD176,"0.00")&amp;" pp","price TBC")</f>
        <v/>
      </c>
      <c r="AF176" s="14">
        <f>"After-work football for "&amp;F176&amp;" · "&amp;X176&amp;", "&amp;Y176&amp;" min from your office"</f>
        <v/>
      </c>
      <c r="AG176" s="14">
        <f>"Hi"&amp;IF(O176&lt;&gt;""," "&amp;O176,"")&amp;","&amp;CHAR(10)&amp;CHAR(10)&amp;"I'm "&amp;IF(AL176&lt;&gt;"",AL176,IF(Offer!$C$5&lt;&gt;"",Offer!$C$5,"[NAME]"))&amp;" from FC Urban. We organise after-work football for teams in the City and Canary Wharf."&amp;CHAR(10)&amp;CHAR(10)&amp;"We have a "&amp;AC176&amp;" pitch at "&amp;X176&amp;", "&amp;IF(OR(Y176=8,Y176=11,Y176=18),"an ","a ")&amp;Y176&amp;"-minute walk from your "&amp;M176&amp;" office, "&amp;IF(ISNUMBER(AB176),"on "&amp;TEXT(AB176,"dddd d mmmm")&amp;" at "&amp;TEXT(AB176,"hh:mm"),"on a weekday evening that suits your team")&amp;". It's "&amp;IF(AD176&lt;&gt;"","£"&amp;IF(AD176=INT(AD176),TEXT(AD176,"0"),TEXT(AD176,"0.00")),"[PRICE PER PLAYER]")&amp;" a player and we handle the pitch booking, sign-ups and payments, so all it takes is one person sharing a link with the team."&amp;CHAR(10)&amp;CHAR(10)&amp;"It works well as a team social or "&amp;IF(ISNUMBER(SEARCH(LEFT(F176,1),"AEIOU")),"an ","a ")&amp;F176&amp;"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LINK]")&amp;CHAR(10)&amp;CHAR(10)&amp;"Best,"&amp;CHAR(10)&amp;IF(AL176&lt;&gt;"",AL176,IF(Offer!$C$5&lt;&gt;"",Offer!$C$5,"[NAME]"))&amp;CHAR(10)&amp;"FC Urban"</f>
        <v/>
      </c>
      <c r="AH176" s="14">
        <f>IF(LEN("Hi"&amp;IF(O176&lt;&gt;""," "&amp;O176,"")&amp;","&amp;" FC Urban runs after-work football for "&amp;IF(D176="Canary Wharf","Canary Wharf","City")&amp;" teams. We have a "&amp;AC176&amp;" pitch at "&amp;X176&amp;", "&amp;Y176&amp;" min from your office, "&amp;IF(ISNUMBER(AB176),TEXT(AB176,"ddd d mmm")&amp;", "&amp;TEXT(AB176,"hh:mm"),"weekday evenings")&amp;", "&amp;IF(AD176&lt;&gt;"","£"&amp;IF(AD176=INT(AD176),TEXT(AD176,"0"),TEXT(AD176,"0.00")),"[PRICE PER PLAYER]")&amp;" a player. We handle booking, sign-ups and payments. Fancy "&amp;IF(ISNUMBER(SEARCH(LEFT(F176,1),"AEIOU")),"an ","a ")&amp;F176&amp;" team game? "&amp;IF(AL176&lt;&gt;"",AL176,IF(Offer!$C$5&lt;&gt;"",Offer!$C$5,"[NAME]")))&lt;=300,"Hi"&amp;IF(O176&lt;&gt;""," "&amp;O176,"")&amp;","&amp;" FC Urban runs after-work football for "&amp;IF(D176="Canary Wharf","Canary Wharf","City")&amp;" teams. We have a "&amp;AC176&amp;" pitch at "&amp;X176&amp;", "&amp;Y176&amp;" min from your office, "&amp;IF(ISNUMBER(AB176),TEXT(AB176,"ddd d mmm")&amp;", "&amp;TEXT(AB176,"hh:mm"),"weekday evenings")&amp;", "&amp;IF(AD176&lt;&gt;"","£"&amp;IF(AD176=INT(AD176),TEXT(AD176,"0"),TEXT(AD176,"0.00")),"[PRICE PER PLAYER]")&amp;" a player. We handle booking, sign-ups and payments. Fancy "&amp;IF(ISNUMBER(SEARCH(LEFT(F176,1),"AEIOU")),"an ","a ")&amp;F176&amp;" team game? "&amp;IF(AL176&lt;&gt;"",AL176,IF(Offer!$C$5&lt;&gt;"",Offer!$C$5,"[NAME]")),LEFT("Hi"&amp;IF(O176&lt;&gt;""," "&amp;O176,"")&amp;","&amp;" FC Urban runs after-work football for "&amp;IF(D176="Canary Wharf","Canary Wharf","City")&amp;" teams: "&amp;AC176&amp;" at "&amp;X176&amp;", "&amp;Y176&amp;" min from your office, "&amp;IF(ISNUMBER(AB176),TEXT(AB176,"ddd d mmm")&amp;", "&amp;TEXT(AB176,"hh:mm"),"weekday evenings")&amp;", "&amp;IF(AD176&lt;&gt;"","£"&amp;IF(AD176=INT(AD176),TEXT(AD176,"0"),TEXT(AD176,"0.00")),"[PRICE PER PLAYER]")&amp;" pp. We handle booking and payments. Up for a team game? "&amp;IF(AL176&lt;&gt;"",AL176,IF(Offer!$C$5&lt;&gt;"",Offer!$C$5,"[NAME]")),300))</f>
        <v/>
      </c>
      <c r="AI176" s="14">
        <f>LEN(AH176)</f>
        <v/>
      </c>
      <c r="AJ176" s="14">
        <f>"Thanks for connecting"&amp;IF(O176&lt;&gt;"",", "&amp;O176,"")&amp;". "&amp;IF(ISNUMBER(AB176),"The "&amp;AC176&amp;" slot at "&amp;X176&amp;" is "&amp;IF(ISNUMBER(AB176),TEXT(AB176,"ddd d mmm")&amp;", "&amp;TEXT(AB176,"hh:mm"),"weekday evenings"),"We can book "&amp;AC176&amp;" at "&amp;X176&amp;" on a weekday evening that suits you")&amp;" and it's "&amp;IF(AD176&lt;&gt;"","£"&amp;IF(AD176=INT(AD176),TEXT(AD176,"0"),TEXT(AD176,"0.00")),"[PRICE PER PLAYER]")&amp;" a player, all booked and paid through one link. If football isn't your thing, who at "&amp;F176&amp;" would be the right person to organise a team game?"&amp;IF(Offer!$C$7&lt;&gt;""," Spots are held until "&amp;TEXT(Offer!$C$7,"dddd d mmmm")&amp;".","")&amp;" "&amp;IF(Offer!$C$6&lt;&gt;"",Offer!$C$6,"[JOINING LINK]")</f>
        <v/>
      </c>
      <c r="AK176" s="14">
        <f>IF(OR(ISNUMBER(SEARCH("[",AG176)),ISNUMBER(SEARCH("[",AJ176))),"Fill placeholders",IF(ISNUMBER(AB176),"Ready to send","Ready · no fixed slot"))</f>
        <v/>
      </c>
      <c r="AN176" s="17" t="n"/>
    </row>
    <row r="177">
      <c r="A177" s="11" t="n">
        <v>175</v>
      </c>
      <c r="B177" s="11" t="n">
        <v>3</v>
      </c>
      <c r="C177" s="11" t="inlineStr">
        <is>
          <t>Fund / asset manager</t>
        </is>
      </c>
      <c r="D177" s="11" t="inlineStr">
        <is>
          <t>Canary Wharf</t>
        </is>
      </c>
      <c r="E177" s="11" t="inlineStr">
        <is>
          <t>Stable Asset Management Ltd.</t>
        </is>
      </c>
      <c r="F177" s="11" t="inlineStr">
        <is>
          <t>Stable Asset Management</t>
        </is>
      </c>
      <c r="G177" s="11" t="inlineStr">
        <is>
          <t>07471761</t>
        </is>
      </c>
      <c r="H177" s="12" t="inlineStr">
        <is>
          <t>Open</t>
        </is>
      </c>
      <c r="I177" s="12" t="inlineStr">
        <is>
          <t>Search</t>
        </is>
      </c>
      <c r="J177" s="11" t="inlineStr">
        <is>
          <t>Full</t>
        </is>
      </c>
      <c r="K177" s="13" t="n">
        <v>40528</v>
      </c>
      <c r="L177" s="11" t="inlineStr">
        <is>
          <t>C/O Csc Cls (Uk) Limited 5 Churchill Place, 10Th Floor, London</t>
        </is>
      </c>
      <c r="M177" s="11" t="inlineStr">
        <is>
          <t>E14 5HU</t>
        </is>
      </c>
      <c r="N177" s="11" t="inlineStr">
        <is>
          <t>No</t>
        </is>
      </c>
      <c r="U177" s="11" t="inlineStr">
        <is>
          <t>Poplar</t>
        </is>
      </c>
      <c r="V177" s="11" t="n">
        <v>8</v>
      </c>
      <c r="W177" s="11" t="inlineStr">
        <is>
          <t>Fives Dockland Centre (E14 9GW) (17.3)</t>
        </is>
      </c>
      <c r="X177" s="11" t="inlineStr">
        <is>
          <t>Poplar</t>
        </is>
      </c>
      <c r="Y177" s="11" t="n">
        <v>8</v>
      </c>
      <c r="Z177" s="14">
        <f>IFERROR(INDEX(Venues!$E$2:$E$15,MATCH(X177,Venues!$A$2:$A$15,0)),"Not checked")</f>
        <v/>
      </c>
      <c r="AA177" s="14">
        <f>IFERROR(INDEX(Venues!$F$2:$F$15,MATCH(X177,Venues!$A$2:$A$15,0)),0)</f>
        <v/>
      </c>
      <c r="AB177" s="15">
        <f>IFERROR(INDEX(Venues!$M$2:$M$15,MATCH(X177,Venues!$A$2:$A$15,0)),"")</f>
        <v/>
      </c>
      <c r="AC177" s="14">
        <f>IFERROR(INDEX(Venues!$N$2:$N$15,MATCH(X177,Venues!$A$2:$A$15,0)),"5-a-side")</f>
        <v/>
      </c>
      <c r="AD177" s="16">
        <f>IF(Offer!$C$4="","",Offer!$C$4)</f>
        <v/>
      </c>
      <c r="AE177" s="14">
        <f>X177&amp;" ("&amp;Y177&amp;" min walk) · "&amp;IF(ISNUMBER(AB177),TEXT(AB177,"ddd d mmm, hh:mm"),"slot to confirm with venue")&amp;" · "&amp;AC177&amp;" · "&amp;IF(AD177&lt;&gt;"","£"&amp;TEXT(AD177,"0.00")&amp;" pp","price TBC")</f>
        <v/>
      </c>
      <c r="AF177" s="14">
        <f>"After-work football for "&amp;F177&amp;" · "&amp;X177&amp;", "&amp;Y177&amp;" min from your office"</f>
        <v/>
      </c>
      <c r="AG177" s="14">
        <f>"Hi"&amp;IF(O177&lt;&gt;""," "&amp;O177,"")&amp;","&amp;CHAR(10)&amp;CHAR(10)&amp;"I'm "&amp;IF(AL177&lt;&gt;"",AL177,IF(Offer!$C$5&lt;&gt;"",Offer!$C$5,"[NAME]"))&amp;" from FC Urban. We organise after-work football for teams in the City and Canary Wharf."&amp;CHAR(10)&amp;CHAR(10)&amp;"We have a "&amp;AC177&amp;" pitch at "&amp;X177&amp;", "&amp;IF(OR(Y177=8,Y177=11,Y177=18),"an ","a ")&amp;Y177&amp;"-minute walk from your "&amp;M177&amp;" office, "&amp;IF(ISNUMBER(AB177),"on "&amp;TEXT(AB177,"dddd d mmmm")&amp;" at "&amp;TEXT(AB177,"hh:mm"),"on a weekday evening that suits your team")&amp;". It's "&amp;IF(AD177&lt;&gt;"","£"&amp;IF(AD177=INT(AD177),TEXT(AD177,"0"),TEXT(AD177,"0.00")),"[PRICE PER PLAYER]")&amp;" a player and we handle the pitch booking, sign-ups and payments, so all it takes is one person sharing a link with the team."&amp;CHAR(10)&amp;CHAR(10)&amp;"It works well as a team social or "&amp;IF(ISNUMBER(SEARCH(LEFT(F177,1),"AEIOU")),"an ","a ")&amp;F177&amp;"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LINK]")&amp;CHAR(10)&amp;CHAR(10)&amp;"Best,"&amp;CHAR(10)&amp;IF(AL177&lt;&gt;"",AL177,IF(Offer!$C$5&lt;&gt;"",Offer!$C$5,"[NAME]"))&amp;CHAR(10)&amp;"FC Urban"</f>
        <v/>
      </c>
      <c r="AH177" s="14">
        <f>IF(LEN("Hi"&amp;IF(O177&lt;&gt;""," "&amp;O177,"")&amp;","&amp;" FC Urban runs after-work football for "&amp;IF(D177="Canary Wharf","Canary Wharf","City")&amp;" teams. We have a "&amp;AC177&amp;" pitch at "&amp;X177&amp;", "&amp;Y177&amp;" min from your office, "&amp;IF(ISNUMBER(AB177),TEXT(AB177,"ddd d mmm")&amp;", "&amp;TEXT(AB177,"hh:mm"),"weekday evenings")&amp;", "&amp;IF(AD177&lt;&gt;"","£"&amp;IF(AD177=INT(AD177),TEXT(AD177,"0"),TEXT(AD177,"0.00")),"[PRICE PER PLAYER]")&amp;" a player. We handle booking, sign-ups and payments. Fancy "&amp;IF(ISNUMBER(SEARCH(LEFT(F177,1),"AEIOU")),"an ","a ")&amp;F177&amp;" team game? "&amp;IF(AL177&lt;&gt;"",AL177,IF(Offer!$C$5&lt;&gt;"",Offer!$C$5,"[NAME]")))&lt;=300,"Hi"&amp;IF(O177&lt;&gt;""," "&amp;O177,"")&amp;","&amp;" FC Urban runs after-work football for "&amp;IF(D177="Canary Wharf","Canary Wharf","City")&amp;" teams. We have a "&amp;AC177&amp;" pitch at "&amp;X177&amp;", "&amp;Y177&amp;" min from your office, "&amp;IF(ISNUMBER(AB177),TEXT(AB177,"ddd d mmm")&amp;", "&amp;TEXT(AB177,"hh:mm"),"weekday evenings")&amp;", "&amp;IF(AD177&lt;&gt;"","£"&amp;IF(AD177=INT(AD177),TEXT(AD177,"0"),TEXT(AD177,"0.00")),"[PRICE PER PLAYER]")&amp;" a player. We handle booking, sign-ups and payments. Fancy "&amp;IF(ISNUMBER(SEARCH(LEFT(F177,1),"AEIOU")),"an ","a ")&amp;F177&amp;" team game? "&amp;IF(AL177&lt;&gt;"",AL177,IF(Offer!$C$5&lt;&gt;"",Offer!$C$5,"[NAME]")),LEFT("Hi"&amp;IF(O177&lt;&gt;""," "&amp;O177,"")&amp;","&amp;" FC Urban runs after-work football for "&amp;IF(D177="Canary Wharf","Canary Wharf","City")&amp;" teams: "&amp;AC177&amp;" at "&amp;X177&amp;", "&amp;Y177&amp;" min from your office, "&amp;IF(ISNUMBER(AB177),TEXT(AB177,"ddd d mmm")&amp;", "&amp;TEXT(AB177,"hh:mm"),"weekday evenings")&amp;", "&amp;IF(AD177&lt;&gt;"","£"&amp;IF(AD177=INT(AD177),TEXT(AD177,"0"),TEXT(AD177,"0.00")),"[PRICE PER PLAYER]")&amp;" pp. We handle booking and payments. Up for a team game? "&amp;IF(AL177&lt;&gt;"",AL177,IF(Offer!$C$5&lt;&gt;"",Offer!$C$5,"[NAME]")),300))</f>
        <v/>
      </c>
      <c r="AI177" s="14">
        <f>LEN(AH177)</f>
        <v/>
      </c>
      <c r="AJ177" s="14">
        <f>"Thanks for connecting"&amp;IF(O177&lt;&gt;"",", "&amp;O177,"")&amp;". "&amp;IF(ISNUMBER(AB177),"The "&amp;AC177&amp;" slot at "&amp;X177&amp;" is "&amp;IF(ISNUMBER(AB177),TEXT(AB177,"ddd d mmm")&amp;", "&amp;TEXT(AB177,"hh:mm"),"weekday evenings"),"We can book "&amp;AC177&amp;" at "&amp;X177&amp;" on a weekday evening that suits you")&amp;" and it's "&amp;IF(AD177&lt;&gt;"","£"&amp;IF(AD177=INT(AD177),TEXT(AD177,"0"),TEXT(AD177,"0.00")),"[PRICE PER PLAYER]")&amp;" a player, all booked and paid through one link. If football isn't your thing, who at "&amp;F177&amp;" would be the right person to organise a team game?"&amp;IF(Offer!$C$7&lt;&gt;""," Spots are held until "&amp;TEXT(Offer!$C$7,"dddd d mmmm")&amp;".","")&amp;" "&amp;IF(Offer!$C$6&lt;&gt;"",Offer!$C$6,"[JOINING LINK]")</f>
        <v/>
      </c>
      <c r="AK177" s="14">
        <f>IF(OR(ISNUMBER(SEARCH("[",AG177)),ISNUMBER(SEARCH("[",AJ177))),"Fill placeholders",IF(ISNUMBER(AB177),"Ready to send","Ready · no fixed slot"))</f>
        <v/>
      </c>
      <c r="AN177" s="17" t="n"/>
    </row>
    <row r="178">
      <c r="A178" s="11" t="n">
        <v>176</v>
      </c>
      <c r="B178" s="11" t="n">
        <v>3</v>
      </c>
      <c r="C178" s="11" t="inlineStr">
        <is>
          <t>Fund / asset manager</t>
        </is>
      </c>
      <c r="D178" s="11" t="inlineStr">
        <is>
          <t>Canary Wharf</t>
        </is>
      </c>
      <c r="E178" s="11" t="inlineStr">
        <is>
          <t>Sunway Re Capital Advisors (UK) Limited</t>
        </is>
      </c>
      <c r="F178" s="11" t="inlineStr">
        <is>
          <t>Sunway Re Capital Advisors</t>
        </is>
      </c>
      <c r="G178" s="11" t="inlineStr">
        <is>
          <t>12280402</t>
        </is>
      </c>
      <c r="H178" s="12" t="inlineStr">
        <is>
          <t>Open</t>
        </is>
      </c>
      <c r="I178" s="12" t="inlineStr">
        <is>
          <t>Search</t>
        </is>
      </c>
      <c r="J178" s="11" t="inlineStr">
        <is>
          <t>Full</t>
        </is>
      </c>
      <c r="K178" s="13" t="n">
        <v>43762</v>
      </c>
      <c r="L178" s="11" t="inlineStr">
        <is>
          <t>C/O Csc Cls (Uk) Limited 5 Churchill Place, 10Th Floor, London</t>
        </is>
      </c>
      <c r="M178" s="11" t="inlineStr">
        <is>
          <t>E14 5HU</t>
        </is>
      </c>
      <c r="N178" s="11" t="inlineStr">
        <is>
          <t>No</t>
        </is>
      </c>
      <c r="U178" s="11" t="inlineStr">
        <is>
          <t>Poplar</t>
        </is>
      </c>
      <c r="V178" s="11" t="n">
        <v>8</v>
      </c>
      <c r="W178" s="11" t="inlineStr">
        <is>
          <t>Fives Dockland Centre (E14 9GW) (17.3)</t>
        </is>
      </c>
      <c r="X178" s="11" t="inlineStr">
        <is>
          <t>Poplar</t>
        </is>
      </c>
      <c r="Y178" s="11" t="n">
        <v>8</v>
      </c>
      <c r="Z178" s="14">
        <f>IFERROR(INDEX(Venues!$E$2:$E$15,MATCH(X178,Venues!$A$2:$A$15,0)),"Not checked")</f>
        <v/>
      </c>
      <c r="AA178" s="14">
        <f>IFERROR(INDEX(Venues!$F$2:$F$15,MATCH(X178,Venues!$A$2:$A$15,0)),0)</f>
        <v/>
      </c>
      <c r="AB178" s="15">
        <f>IFERROR(INDEX(Venues!$M$2:$M$15,MATCH(X178,Venues!$A$2:$A$15,0)),"")</f>
        <v/>
      </c>
      <c r="AC178" s="14">
        <f>IFERROR(INDEX(Venues!$N$2:$N$15,MATCH(X178,Venues!$A$2:$A$15,0)),"5-a-side")</f>
        <v/>
      </c>
      <c r="AD178" s="16">
        <f>IF(Offer!$C$4="","",Offer!$C$4)</f>
        <v/>
      </c>
      <c r="AE178" s="14">
        <f>X178&amp;" ("&amp;Y178&amp;" min walk) · "&amp;IF(ISNUMBER(AB178),TEXT(AB178,"ddd d mmm, hh:mm"),"slot to confirm with venue")&amp;" · "&amp;AC178&amp;" · "&amp;IF(AD178&lt;&gt;"","£"&amp;TEXT(AD178,"0.00")&amp;" pp","price TBC")</f>
        <v/>
      </c>
      <c r="AF178" s="14">
        <f>"After-work football for "&amp;F178&amp;" · "&amp;X178&amp;", "&amp;Y178&amp;" min from your office"</f>
        <v/>
      </c>
      <c r="AG178" s="14">
        <f>"Hi"&amp;IF(O178&lt;&gt;""," "&amp;O178,"")&amp;","&amp;CHAR(10)&amp;CHAR(10)&amp;"I'm "&amp;IF(AL178&lt;&gt;"",AL178,IF(Offer!$C$5&lt;&gt;"",Offer!$C$5,"[NAME]"))&amp;" from FC Urban. We organise after-work football for teams in the City and Canary Wharf."&amp;CHAR(10)&amp;CHAR(10)&amp;"We have a "&amp;AC178&amp;" pitch at "&amp;X178&amp;", "&amp;IF(OR(Y178=8,Y178=11,Y178=18),"an ","a ")&amp;Y178&amp;"-minute walk from your "&amp;M178&amp;" office, "&amp;IF(ISNUMBER(AB178),"on "&amp;TEXT(AB178,"dddd d mmmm")&amp;" at "&amp;TEXT(AB178,"hh:mm"),"on a weekday evening that suits your team")&amp;". It's "&amp;IF(AD178&lt;&gt;"","£"&amp;IF(AD178=INT(AD178),TEXT(AD178,"0"),TEXT(AD178,"0.00")),"[PRICE PER PLAYER]")&amp;" a player and we handle the pitch booking, sign-ups and payments, so all it takes is one person sharing a link with the team."&amp;CHAR(10)&amp;CHAR(10)&amp;"It works well as a team social or "&amp;IF(ISNUMBER(SEARCH(LEFT(F178,1),"AEIOU")),"an ","a ")&amp;F178&amp;"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LINK]")&amp;CHAR(10)&amp;CHAR(10)&amp;"Best,"&amp;CHAR(10)&amp;IF(AL178&lt;&gt;"",AL178,IF(Offer!$C$5&lt;&gt;"",Offer!$C$5,"[NAME]"))&amp;CHAR(10)&amp;"FC Urban"</f>
        <v/>
      </c>
      <c r="AH178" s="14">
        <f>IF(LEN("Hi"&amp;IF(O178&lt;&gt;""," "&amp;O178,"")&amp;","&amp;" FC Urban runs after-work football for "&amp;IF(D178="Canary Wharf","Canary Wharf","City")&amp;" teams. We have a "&amp;AC178&amp;" pitch at "&amp;X178&amp;", "&amp;Y178&amp;" min from your office, "&amp;IF(ISNUMBER(AB178),TEXT(AB178,"ddd d mmm")&amp;", "&amp;TEXT(AB178,"hh:mm"),"weekday evenings")&amp;", "&amp;IF(AD178&lt;&gt;"","£"&amp;IF(AD178=INT(AD178),TEXT(AD178,"0"),TEXT(AD178,"0.00")),"[PRICE PER PLAYER]")&amp;" a player. We handle booking, sign-ups and payments. Fancy "&amp;IF(ISNUMBER(SEARCH(LEFT(F178,1),"AEIOU")),"an ","a ")&amp;F178&amp;" team game? "&amp;IF(AL178&lt;&gt;"",AL178,IF(Offer!$C$5&lt;&gt;"",Offer!$C$5,"[NAME]")))&lt;=300,"Hi"&amp;IF(O178&lt;&gt;""," "&amp;O178,"")&amp;","&amp;" FC Urban runs after-work football for "&amp;IF(D178="Canary Wharf","Canary Wharf","City")&amp;" teams. We have a "&amp;AC178&amp;" pitch at "&amp;X178&amp;", "&amp;Y178&amp;" min from your office, "&amp;IF(ISNUMBER(AB178),TEXT(AB178,"ddd d mmm")&amp;", "&amp;TEXT(AB178,"hh:mm"),"weekday evenings")&amp;", "&amp;IF(AD178&lt;&gt;"","£"&amp;IF(AD178=INT(AD178),TEXT(AD178,"0"),TEXT(AD178,"0.00")),"[PRICE PER PLAYER]")&amp;" a player. We handle booking, sign-ups and payments. Fancy "&amp;IF(ISNUMBER(SEARCH(LEFT(F178,1),"AEIOU")),"an ","a ")&amp;F178&amp;" team game? "&amp;IF(AL178&lt;&gt;"",AL178,IF(Offer!$C$5&lt;&gt;"",Offer!$C$5,"[NAME]")),LEFT("Hi"&amp;IF(O178&lt;&gt;""," "&amp;O178,"")&amp;","&amp;" FC Urban runs after-work football for "&amp;IF(D178="Canary Wharf","Canary Wharf","City")&amp;" teams: "&amp;AC178&amp;" at "&amp;X178&amp;", "&amp;Y178&amp;" min from your office, "&amp;IF(ISNUMBER(AB178),TEXT(AB178,"ddd d mmm")&amp;", "&amp;TEXT(AB178,"hh:mm"),"weekday evenings")&amp;", "&amp;IF(AD178&lt;&gt;"","£"&amp;IF(AD178=INT(AD178),TEXT(AD178,"0"),TEXT(AD178,"0.00")),"[PRICE PER PLAYER]")&amp;" pp. We handle booking and payments. Up for a team game? "&amp;IF(AL178&lt;&gt;"",AL178,IF(Offer!$C$5&lt;&gt;"",Offer!$C$5,"[NAME]")),300))</f>
        <v/>
      </c>
      <c r="AI178" s="14">
        <f>LEN(AH178)</f>
        <v/>
      </c>
      <c r="AJ178" s="14">
        <f>"Thanks for connecting"&amp;IF(O178&lt;&gt;"",", "&amp;O178,"")&amp;". "&amp;IF(ISNUMBER(AB178),"The "&amp;AC178&amp;" slot at "&amp;X178&amp;" is "&amp;IF(ISNUMBER(AB178),TEXT(AB178,"ddd d mmm")&amp;", "&amp;TEXT(AB178,"hh:mm"),"weekday evenings"),"We can book "&amp;AC178&amp;" at "&amp;X178&amp;" on a weekday evening that suits you")&amp;" and it's "&amp;IF(AD178&lt;&gt;"","£"&amp;IF(AD178=INT(AD178),TEXT(AD178,"0"),TEXT(AD178,"0.00")),"[PRICE PER PLAYER]")&amp;" a player, all booked and paid through one link. If football isn't your thing, who at "&amp;F178&amp;" would be the right person to organise a team game?"&amp;IF(Offer!$C$7&lt;&gt;""," Spots are held until "&amp;TEXT(Offer!$C$7,"dddd d mmmm")&amp;".","")&amp;" "&amp;IF(Offer!$C$6&lt;&gt;"",Offer!$C$6,"[JOINING LINK]")</f>
        <v/>
      </c>
      <c r="AK178" s="14">
        <f>IF(OR(ISNUMBER(SEARCH("[",AG178)),ISNUMBER(SEARCH("[",AJ178))),"Fill placeholders",IF(ISNUMBER(AB178),"Ready to send","Ready · no fixed slot"))</f>
        <v/>
      </c>
      <c r="AN178" s="17" t="n"/>
    </row>
    <row r="179">
      <c r="A179" s="11" t="n">
        <v>177</v>
      </c>
      <c r="B179" s="11" t="n">
        <v>3</v>
      </c>
      <c r="C179" s="11" t="inlineStr">
        <is>
          <t>Fund / asset manager</t>
        </is>
      </c>
      <c r="D179" s="11" t="inlineStr">
        <is>
          <t>City of London</t>
        </is>
      </c>
      <c r="E179" s="11" t="inlineStr">
        <is>
          <t>EBS Dealing Resources International Limited</t>
        </is>
      </c>
      <c r="F179" s="11" t="inlineStr">
        <is>
          <t>EBS Dealing Resources</t>
        </is>
      </c>
      <c r="G179" s="11" t="inlineStr">
        <is>
          <t>02669861</t>
        </is>
      </c>
      <c r="H179" s="12" t="inlineStr">
        <is>
          <t>Open</t>
        </is>
      </c>
      <c r="I179" s="12" t="inlineStr">
        <is>
          <t>Search</t>
        </is>
      </c>
      <c r="J179" s="11" t="inlineStr">
        <is>
          <t>Full</t>
        </is>
      </c>
      <c r="K179" s="13" t="n">
        <v>33582</v>
      </c>
      <c r="L179" s="11" t="inlineStr">
        <is>
          <t>London Fruit And Wool Exchange, 1 Duval Square, London</t>
        </is>
      </c>
      <c r="M179" s="11" t="inlineStr">
        <is>
          <t>E1   6PW</t>
        </is>
      </c>
      <c r="N179" s="11" t="inlineStr">
        <is>
          <t>No</t>
        </is>
      </c>
      <c r="U179" s="11" t="inlineStr">
        <is>
          <t>Liverpool St - Attlee Centre</t>
        </is>
      </c>
      <c r="V179" s="11" t="n">
        <v>3</v>
      </c>
      <c r="W179" s="11" t="inlineStr">
        <is>
          <t>Shoreditch Powerleague (8.1); Whitechapel (18.6)</t>
        </is>
      </c>
      <c r="X179" s="11" t="inlineStr">
        <is>
          <t>Shoreditch Powerleague</t>
        </is>
      </c>
      <c r="Y179" s="11" t="n">
        <v>8</v>
      </c>
      <c r="Z179" s="14">
        <f>IFERROR(INDEX(Venues!$E$2:$E$15,MATCH(X179,Venues!$A$2:$A$15,0)),"Not checked")</f>
        <v/>
      </c>
      <c r="AA179" s="14">
        <f>IFERROR(INDEX(Venues!$F$2:$F$15,MATCH(X179,Venues!$A$2:$A$15,0)),0)</f>
        <v/>
      </c>
      <c r="AB179" s="15">
        <f>IFERROR(INDEX(Venues!$M$2:$M$15,MATCH(X179,Venues!$A$2:$A$15,0)),"")</f>
        <v/>
      </c>
      <c r="AC179" s="14">
        <f>IFERROR(INDEX(Venues!$N$2:$N$15,MATCH(X179,Venues!$A$2:$A$15,0)),"5-a-side")</f>
        <v/>
      </c>
      <c r="AD179" s="16">
        <f>IF(Offer!$C$4="","",Offer!$C$4)</f>
        <v/>
      </c>
      <c r="AE179" s="14">
        <f>X179&amp;" ("&amp;Y179&amp;" min walk) · "&amp;IF(ISNUMBER(AB179),TEXT(AB179,"ddd d mmm, hh:mm"),"slot to confirm with venue")&amp;" · "&amp;AC179&amp;" · "&amp;IF(AD179&lt;&gt;"","£"&amp;TEXT(AD179,"0.00")&amp;" pp","price TBC")</f>
        <v/>
      </c>
      <c r="AF179" s="14">
        <f>"After-work football for "&amp;F179&amp;" · "&amp;X179&amp;", "&amp;Y179&amp;" min from your office"</f>
        <v/>
      </c>
      <c r="AG179" s="14">
        <f>"Hi"&amp;IF(O179&lt;&gt;""," "&amp;O179,"")&amp;","&amp;CHAR(10)&amp;CHAR(10)&amp;"I'm "&amp;IF(AL179&lt;&gt;"",AL179,IF(Offer!$C$5&lt;&gt;"",Offer!$C$5,"[NAME]"))&amp;" from FC Urban. We organise after-work football for teams in the City and Canary Wharf."&amp;CHAR(10)&amp;CHAR(10)&amp;"We have a "&amp;AC179&amp;" pitch at "&amp;X179&amp;", "&amp;IF(OR(Y179=8,Y179=11,Y179=18),"an ","a ")&amp;Y179&amp;"-minute walk from your "&amp;M179&amp;" office, "&amp;IF(ISNUMBER(AB179),"on "&amp;TEXT(AB179,"dddd d mmmm")&amp;" at "&amp;TEXT(AB179,"hh:mm"),"on a weekday evening that suits your team")&amp;". It's "&amp;IF(AD179&lt;&gt;"","£"&amp;IF(AD179=INT(AD179),TEXT(AD179,"0"),TEXT(AD179,"0.00")),"[PRICE PER PLAYER]")&amp;" a player and we handle the pitch booking, sign-ups and payments, so all it takes is one person sharing a link with the team."&amp;CHAR(10)&amp;CHAR(10)&amp;"It works well as a team social or "&amp;IF(ISNUMBER(SEARCH(LEFT(F179,1),"AEIOU")),"an ","a ")&amp;F179&amp;"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LINK]")&amp;CHAR(10)&amp;CHAR(10)&amp;"Best,"&amp;CHAR(10)&amp;IF(AL179&lt;&gt;"",AL179,IF(Offer!$C$5&lt;&gt;"",Offer!$C$5,"[NAME]"))&amp;CHAR(10)&amp;"FC Urban"</f>
        <v/>
      </c>
      <c r="AH179" s="14">
        <f>IF(LEN("Hi"&amp;IF(O179&lt;&gt;""," "&amp;O179,"")&amp;","&amp;" FC Urban runs after-work football for "&amp;IF(D179="Canary Wharf","Canary Wharf","City")&amp;" teams. We have a "&amp;AC179&amp;" pitch at "&amp;X179&amp;", "&amp;Y179&amp;" min from your office, "&amp;IF(ISNUMBER(AB179),TEXT(AB179,"ddd d mmm")&amp;", "&amp;TEXT(AB179,"hh:mm"),"weekday evenings")&amp;", "&amp;IF(AD179&lt;&gt;"","£"&amp;IF(AD179=INT(AD179),TEXT(AD179,"0"),TEXT(AD179,"0.00")),"[PRICE PER PLAYER]")&amp;" a player. We handle booking, sign-ups and payments. Fancy "&amp;IF(ISNUMBER(SEARCH(LEFT(F179,1),"AEIOU")),"an ","a ")&amp;F179&amp;" team game? "&amp;IF(AL179&lt;&gt;"",AL179,IF(Offer!$C$5&lt;&gt;"",Offer!$C$5,"[NAME]")))&lt;=300,"Hi"&amp;IF(O179&lt;&gt;""," "&amp;O179,"")&amp;","&amp;" FC Urban runs after-work football for "&amp;IF(D179="Canary Wharf","Canary Wharf","City")&amp;" teams. We have a "&amp;AC179&amp;" pitch at "&amp;X179&amp;", "&amp;Y179&amp;" min from your office, "&amp;IF(ISNUMBER(AB179),TEXT(AB179,"ddd d mmm")&amp;", "&amp;TEXT(AB179,"hh:mm"),"weekday evenings")&amp;", "&amp;IF(AD179&lt;&gt;"","£"&amp;IF(AD179=INT(AD179),TEXT(AD179,"0"),TEXT(AD179,"0.00")),"[PRICE PER PLAYER]")&amp;" a player. We handle booking, sign-ups and payments. Fancy "&amp;IF(ISNUMBER(SEARCH(LEFT(F179,1),"AEIOU")),"an ","a ")&amp;F179&amp;" team game? "&amp;IF(AL179&lt;&gt;"",AL179,IF(Offer!$C$5&lt;&gt;"",Offer!$C$5,"[NAME]")),LEFT("Hi"&amp;IF(O179&lt;&gt;""," "&amp;O179,"")&amp;","&amp;" FC Urban runs after-work football for "&amp;IF(D179="Canary Wharf","Canary Wharf","City")&amp;" teams: "&amp;AC179&amp;" at "&amp;X179&amp;", "&amp;Y179&amp;" min from your office, "&amp;IF(ISNUMBER(AB179),TEXT(AB179,"ddd d mmm")&amp;", "&amp;TEXT(AB179,"hh:mm"),"weekday evenings")&amp;", "&amp;IF(AD179&lt;&gt;"","£"&amp;IF(AD179=INT(AD179),TEXT(AD179,"0"),TEXT(AD179,"0.00")),"[PRICE PER PLAYER]")&amp;" pp. We handle booking and payments. Up for a team game? "&amp;IF(AL179&lt;&gt;"",AL179,IF(Offer!$C$5&lt;&gt;"",Offer!$C$5,"[NAME]")),300))</f>
        <v/>
      </c>
      <c r="AI179" s="14">
        <f>LEN(AH179)</f>
        <v/>
      </c>
      <c r="AJ179" s="14">
        <f>"Thanks for connecting"&amp;IF(O179&lt;&gt;"",", "&amp;O179,"")&amp;". "&amp;IF(ISNUMBER(AB179),"The "&amp;AC179&amp;" slot at "&amp;X179&amp;" is "&amp;IF(ISNUMBER(AB179),TEXT(AB179,"ddd d mmm")&amp;", "&amp;TEXT(AB179,"hh:mm"),"weekday evenings"),"We can book "&amp;AC179&amp;" at "&amp;X179&amp;" on a weekday evening that suits you")&amp;" and it's "&amp;IF(AD179&lt;&gt;"","£"&amp;IF(AD179=INT(AD179),TEXT(AD179,"0"),TEXT(AD179,"0.00")),"[PRICE PER PLAYER]")&amp;" a player, all booked and paid through one link. If football isn't your thing, who at "&amp;F179&amp;" would be the right person to organise a team game?"&amp;IF(Offer!$C$7&lt;&gt;""," Spots are held until "&amp;TEXT(Offer!$C$7,"dddd d mmmm")&amp;".","")&amp;" "&amp;IF(Offer!$C$6&lt;&gt;"",Offer!$C$6,"[JOINING LINK]")</f>
        <v/>
      </c>
      <c r="AK179" s="14">
        <f>IF(OR(ISNUMBER(SEARCH("[",AG179)),ISNUMBER(SEARCH("[",AJ179))),"Fill placeholders",IF(ISNUMBER(AB179),"Ready to send","Ready · no fixed slot"))</f>
        <v/>
      </c>
      <c r="AN179" s="17" t="n"/>
    </row>
    <row r="180">
      <c r="A180" s="11" t="n">
        <v>178</v>
      </c>
      <c r="B180" s="11" t="n">
        <v>3</v>
      </c>
      <c r="C180" s="11" t="inlineStr">
        <is>
          <t>Fund / asset manager</t>
        </is>
      </c>
      <c r="D180" s="11" t="inlineStr">
        <is>
          <t>City of London</t>
        </is>
      </c>
      <c r="E180" s="11" t="inlineStr">
        <is>
          <t>Osttra Sef Limited</t>
        </is>
      </c>
      <c r="F180" s="11" t="inlineStr">
        <is>
          <t>Osttra Sef</t>
        </is>
      </c>
      <c r="G180" s="11" t="inlineStr">
        <is>
          <t>06292563</t>
        </is>
      </c>
      <c r="H180" s="12" t="inlineStr">
        <is>
          <t>Open</t>
        </is>
      </c>
      <c r="I180" s="12" t="inlineStr">
        <is>
          <t>Search</t>
        </is>
      </c>
      <c r="J180" s="11" t="inlineStr">
        <is>
          <t>Full</t>
        </is>
      </c>
      <c r="K180" s="13" t="n">
        <v>39259</v>
      </c>
      <c r="L180" s="11" t="inlineStr">
        <is>
          <t>London Fruit And Wool Exchange, 1 Duval Square, London</t>
        </is>
      </c>
      <c r="M180" s="11" t="inlineStr">
        <is>
          <t>E1   6PW</t>
        </is>
      </c>
      <c r="N180" s="11" t="inlineStr">
        <is>
          <t>No</t>
        </is>
      </c>
      <c r="U180" s="11" t="inlineStr">
        <is>
          <t>Liverpool St - Attlee Centre</t>
        </is>
      </c>
      <c r="V180" s="11" t="n">
        <v>3</v>
      </c>
      <c r="W180" s="11" t="inlineStr">
        <is>
          <t>Shoreditch Powerleague (8.1); Whitechapel (18.6)</t>
        </is>
      </c>
      <c r="X180" s="11" t="inlineStr">
        <is>
          <t>Shoreditch Powerleague</t>
        </is>
      </c>
      <c r="Y180" s="11" t="n">
        <v>8</v>
      </c>
      <c r="Z180" s="14">
        <f>IFERROR(INDEX(Venues!$E$2:$E$15,MATCH(X180,Venues!$A$2:$A$15,0)),"Not checked")</f>
        <v/>
      </c>
      <c r="AA180" s="14">
        <f>IFERROR(INDEX(Venues!$F$2:$F$15,MATCH(X180,Venues!$A$2:$A$15,0)),0)</f>
        <v/>
      </c>
      <c r="AB180" s="15">
        <f>IFERROR(INDEX(Venues!$M$2:$M$15,MATCH(X180,Venues!$A$2:$A$15,0)),"")</f>
        <v/>
      </c>
      <c r="AC180" s="14">
        <f>IFERROR(INDEX(Venues!$N$2:$N$15,MATCH(X180,Venues!$A$2:$A$15,0)),"5-a-side")</f>
        <v/>
      </c>
      <c r="AD180" s="16">
        <f>IF(Offer!$C$4="","",Offer!$C$4)</f>
        <v/>
      </c>
      <c r="AE180" s="14">
        <f>X180&amp;" ("&amp;Y180&amp;" min walk) · "&amp;IF(ISNUMBER(AB180),TEXT(AB180,"ddd d mmm, hh:mm"),"slot to confirm with venue")&amp;" · "&amp;AC180&amp;" · "&amp;IF(AD180&lt;&gt;"","£"&amp;TEXT(AD180,"0.00")&amp;" pp","price TBC")</f>
        <v/>
      </c>
      <c r="AF180" s="14">
        <f>"After-work football for "&amp;F180&amp;" · "&amp;X180&amp;", "&amp;Y180&amp;" min from your office"</f>
        <v/>
      </c>
      <c r="AG180" s="14">
        <f>"Hi"&amp;IF(O180&lt;&gt;""," "&amp;O180,"")&amp;","&amp;CHAR(10)&amp;CHAR(10)&amp;"I'm "&amp;IF(AL180&lt;&gt;"",AL180,IF(Offer!$C$5&lt;&gt;"",Offer!$C$5,"[NAME]"))&amp;" from FC Urban. We organise after-work football for teams in the City and Canary Wharf."&amp;CHAR(10)&amp;CHAR(10)&amp;"We have a "&amp;AC180&amp;" pitch at "&amp;X180&amp;", "&amp;IF(OR(Y180=8,Y180=11,Y180=18),"an ","a ")&amp;Y180&amp;"-minute walk from your "&amp;M180&amp;" office, "&amp;IF(ISNUMBER(AB180),"on "&amp;TEXT(AB180,"dddd d mmmm")&amp;" at "&amp;TEXT(AB180,"hh:mm"),"on a weekday evening that suits your team")&amp;". It's "&amp;IF(AD180&lt;&gt;"","£"&amp;IF(AD180=INT(AD180),TEXT(AD180,"0"),TEXT(AD180,"0.00")),"[PRICE PER PLAYER]")&amp;" a player and we handle the pitch booking, sign-ups and payments, so all it takes is one person sharing a link with the team."&amp;CHAR(10)&amp;CHAR(10)&amp;"It works well as a team social or "&amp;IF(ISNUMBER(SEARCH(LEFT(F180,1),"AEIOU")),"an ","a ")&amp;F180&amp;"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LINK]")&amp;CHAR(10)&amp;CHAR(10)&amp;"Best,"&amp;CHAR(10)&amp;IF(AL180&lt;&gt;"",AL180,IF(Offer!$C$5&lt;&gt;"",Offer!$C$5,"[NAME]"))&amp;CHAR(10)&amp;"FC Urban"</f>
        <v/>
      </c>
      <c r="AH180" s="14">
        <f>IF(LEN("Hi"&amp;IF(O180&lt;&gt;""," "&amp;O180,"")&amp;","&amp;" FC Urban runs after-work football for "&amp;IF(D180="Canary Wharf","Canary Wharf","City")&amp;" teams. We have a "&amp;AC180&amp;" pitch at "&amp;X180&amp;", "&amp;Y180&amp;" min from your office, "&amp;IF(ISNUMBER(AB180),TEXT(AB180,"ddd d mmm")&amp;", "&amp;TEXT(AB180,"hh:mm"),"weekday evenings")&amp;", "&amp;IF(AD180&lt;&gt;"","£"&amp;IF(AD180=INT(AD180),TEXT(AD180,"0"),TEXT(AD180,"0.00")),"[PRICE PER PLAYER]")&amp;" a player. We handle booking, sign-ups and payments. Fancy "&amp;IF(ISNUMBER(SEARCH(LEFT(F180,1),"AEIOU")),"an ","a ")&amp;F180&amp;" team game? "&amp;IF(AL180&lt;&gt;"",AL180,IF(Offer!$C$5&lt;&gt;"",Offer!$C$5,"[NAME]")))&lt;=300,"Hi"&amp;IF(O180&lt;&gt;""," "&amp;O180,"")&amp;","&amp;" FC Urban runs after-work football for "&amp;IF(D180="Canary Wharf","Canary Wharf","City")&amp;" teams. We have a "&amp;AC180&amp;" pitch at "&amp;X180&amp;", "&amp;Y180&amp;" min from your office, "&amp;IF(ISNUMBER(AB180),TEXT(AB180,"ddd d mmm")&amp;", "&amp;TEXT(AB180,"hh:mm"),"weekday evenings")&amp;", "&amp;IF(AD180&lt;&gt;"","£"&amp;IF(AD180=INT(AD180),TEXT(AD180,"0"),TEXT(AD180,"0.00")),"[PRICE PER PLAYER]")&amp;" a player. We handle booking, sign-ups and payments. Fancy "&amp;IF(ISNUMBER(SEARCH(LEFT(F180,1),"AEIOU")),"an ","a ")&amp;F180&amp;" team game? "&amp;IF(AL180&lt;&gt;"",AL180,IF(Offer!$C$5&lt;&gt;"",Offer!$C$5,"[NAME]")),LEFT("Hi"&amp;IF(O180&lt;&gt;""," "&amp;O180,"")&amp;","&amp;" FC Urban runs after-work football for "&amp;IF(D180="Canary Wharf","Canary Wharf","City")&amp;" teams: "&amp;AC180&amp;" at "&amp;X180&amp;", "&amp;Y180&amp;" min from your office, "&amp;IF(ISNUMBER(AB180),TEXT(AB180,"ddd d mmm")&amp;", "&amp;TEXT(AB180,"hh:mm"),"weekday evenings")&amp;", "&amp;IF(AD180&lt;&gt;"","£"&amp;IF(AD180=INT(AD180),TEXT(AD180,"0"),TEXT(AD180,"0.00")),"[PRICE PER PLAYER]")&amp;" pp. We handle booking and payments. Up for a team game? "&amp;IF(AL180&lt;&gt;"",AL180,IF(Offer!$C$5&lt;&gt;"",Offer!$C$5,"[NAME]")),300))</f>
        <v/>
      </c>
      <c r="AI180" s="14">
        <f>LEN(AH180)</f>
        <v/>
      </c>
      <c r="AJ180" s="14">
        <f>"Thanks for connecting"&amp;IF(O180&lt;&gt;"",", "&amp;O180,"")&amp;". "&amp;IF(ISNUMBER(AB180),"The "&amp;AC180&amp;" slot at "&amp;X180&amp;" is "&amp;IF(ISNUMBER(AB180),TEXT(AB180,"ddd d mmm")&amp;", "&amp;TEXT(AB180,"hh:mm"),"weekday evenings"),"We can book "&amp;AC180&amp;" at "&amp;X180&amp;" on a weekday evening that suits you")&amp;" and it's "&amp;IF(AD180&lt;&gt;"","£"&amp;IF(AD180=INT(AD180),TEXT(AD180,"0"),TEXT(AD180,"0.00")),"[PRICE PER PLAYER]")&amp;" a player, all booked and paid through one link. If football isn't your thing, who at "&amp;F180&amp;" would be the right person to organise a team game?"&amp;IF(Offer!$C$7&lt;&gt;""," Spots are held until "&amp;TEXT(Offer!$C$7,"dddd d mmmm")&amp;".","")&amp;" "&amp;IF(Offer!$C$6&lt;&gt;"",Offer!$C$6,"[JOINING LINK]")</f>
        <v/>
      </c>
      <c r="AK180" s="14">
        <f>IF(OR(ISNUMBER(SEARCH("[",AG180)),ISNUMBER(SEARCH("[",AJ180))),"Fill placeholders",IF(ISNUMBER(AB180),"Ready to send","Ready · no fixed slot"))</f>
        <v/>
      </c>
      <c r="AN180" s="17" t="n"/>
    </row>
    <row r="181">
      <c r="A181" s="11" t="n">
        <v>179</v>
      </c>
      <c r="B181" s="11" t="n">
        <v>3</v>
      </c>
      <c r="C181" s="11" t="inlineStr">
        <is>
          <t>Fund / asset manager</t>
        </is>
      </c>
      <c r="D181" s="11" t="inlineStr">
        <is>
          <t>City of London</t>
        </is>
      </c>
      <c r="E181" s="11" t="inlineStr">
        <is>
          <t>Traiana Limited</t>
        </is>
      </c>
      <c r="F181" s="11" t="inlineStr">
        <is>
          <t>Traiana</t>
        </is>
      </c>
      <c r="G181" s="11" t="inlineStr">
        <is>
          <t>04839268</t>
        </is>
      </c>
      <c r="H181" s="12" t="inlineStr">
        <is>
          <t>Open</t>
        </is>
      </c>
      <c r="I181" s="12" t="inlineStr">
        <is>
          <t>Search</t>
        </is>
      </c>
      <c r="J181" s="11" t="inlineStr">
        <is>
          <t>Full</t>
        </is>
      </c>
      <c r="K181" s="13" t="n">
        <v>37823</v>
      </c>
      <c r="L181" s="11" t="inlineStr">
        <is>
          <t>London Fruit And Wool Exchange, 1 Duval Square, London</t>
        </is>
      </c>
      <c r="M181" s="11" t="inlineStr">
        <is>
          <t>E1   6PW</t>
        </is>
      </c>
      <c r="N181" s="11" t="inlineStr">
        <is>
          <t>No</t>
        </is>
      </c>
      <c r="U181" s="11" t="inlineStr">
        <is>
          <t>Liverpool St - Attlee Centre</t>
        </is>
      </c>
      <c r="V181" s="11" t="n">
        <v>3</v>
      </c>
      <c r="W181" s="11" t="inlineStr">
        <is>
          <t>Shoreditch Powerleague (8.1); Whitechapel (18.6)</t>
        </is>
      </c>
      <c r="X181" s="11" t="inlineStr">
        <is>
          <t>Shoreditch Powerleague</t>
        </is>
      </c>
      <c r="Y181" s="11" t="n">
        <v>8</v>
      </c>
      <c r="Z181" s="14">
        <f>IFERROR(INDEX(Venues!$E$2:$E$15,MATCH(X181,Venues!$A$2:$A$15,0)),"Not checked")</f>
        <v/>
      </c>
      <c r="AA181" s="14">
        <f>IFERROR(INDEX(Venues!$F$2:$F$15,MATCH(X181,Venues!$A$2:$A$15,0)),0)</f>
        <v/>
      </c>
      <c r="AB181" s="15">
        <f>IFERROR(INDEX(Venues!$M$2:$M$15,MATCH(X181,Venues!$A$2:$A$15,0)),"")</f>
        <v/>
      </c>
      <c r="AC181" s="14">
        <f>IFERROR(INDEX(Venues!$N$2:$N$15,MATCH(X181,Venues!$A$2:$A$15,0)),"5-a-side")</f>
        <v/>
      </c>
      <c r="AD181" s="16">
        <f>IF(Offer!$C$4="","",Offer!$C$4)</f>
        <v/>
      </c>
      <c r="AE181" s="14">
        <f>X181&amp;" ("&amp;Y181&amp;" min walk) · "&amp;IF(ISNUMBER(AB181),TEXT(AB181,"ddd d mmm, hh:mm"),"slot to confirm with venue")&amp;" · "&amp;AC181&amp;" · "&amp;IF(AD181&lt;&gt;"","£"&amp;TEXT(AD181,"0.00")&amp;" pp","price TBC")</f>
        <v/>
      </c>
      <c r="AF181" s="14">
        <f>"After-work football for "&amp;F181&amp;" · "&amp;X181&amp;", "&amp;Y181&amp;" min from your office"</f>
        <v/>
      </c>
      <c r="AG181" s="14">
        <f>"Hi"&amp;IF(O181&lt;&gt;""," "&amp;O181,"")&amp;","&amp;CHAR(10)&amp;CHAR(10)&amp;"I'm "&amp;IF(AL181&lt;&gt;"",AL181,IF(Offer!$C$5&lt;&gt;"",Offer!$C$5,"[NAME]"))&amp;" from FC Urban. We organise after-work football for teams in the City and Canary Wharf."&amp;CHAR(10)&amp;CHAR(10)&amp;"We have a "&amp;AC181&amp;" pitch at "&amp;X181&amp;", "&amp;IF(OR(Y181=8,Y181=11,Y181=18),"an ","a ")&amp;Y181&amp;"-minute walk from your "&amp;M181&amp;" office, "&amp;IF(ISNUMBER(AB181),"on "&amp;TEXT(AB181,"dddd d mmmm")&amp;" at "&amp;TEXT(AB181,"hh:mm"),"on a weekday evening that suits your team")&amp;". It's "&amp;IF(AD181&lt;&gt;"","£"&amp;IF(AD181=INT(AD181),TEXT(AD181,"0"),TEXT(AD181,"0.00")),"[PRICE PER PLAYER]")&amp;" a player and we handle the pitch booking, sign-ups and payments, so all it takes is one person sharing a link with the team."&amp;CHAR(10)&amp;CHAR(10)&amp;"It works well as a team social or "&amp;IF(ISNUMBER(SEARCH(LEFT(F181,1),"AEIOU")),"an ","a ")&amp;F181&amp;"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LINK]")&amp;CHAR(10)&amp;CHAR(10)&amp;"Best,"&amp;CHAR(10)&amp;IF(AL181&lt;&gt;"",AL181,IF(Offer!$C$5&lt;&gt;"",Offer!$C$5,"[NAME]"))&amp;CHAR(10)&amp;"FC Urban"</f>
        <v/>
      </c>
      <c r="AH181" s="14">
        <f>IF(LEN("Hi"&amp;IF(O181&lt;&gt;""," "&amp;O181,"")&amp;","&amp;" FC Urban runs after-work football for "&amp;IF(D181="Canary Wharf","Canary Wharf","City")&amp;" teams. We have a "&amp;AC181&amp;" pitch at "&amp;X181&amp;", "&amp;Y181&amp;" min from your office, "&amp;IF(ISNUMBER(AB181),TEXT(AB181,"ddd d mmm")&amp;", "&amp;TEXT(AB181,"hh:mm"),"weekday evenings")&amp;", "&amp;IF(AD181&lt;&gt;"","£"&amp;IF(AD181=INT(AD181),TEXT(AD181,"0"),TEXT(AD181,"0.00")),"[PRICE PER PLAYER]")&amp;" a player. We handle booking, sign-ups and payments. Fancy "&amp;IF(ISNUMBER(SEARCH(LEFT(F181,1),"AEIOU")),"an ","a ")&amp;F181&amp;" team game? "&amp;IF(AL181&lt;&gt;"",AL181,IF(Offer!$C$5&lt;&gt;"",Offer!$C$5,"[NAME]")))&lt;=300,"Hi"&amp;IF(O181&lt;&gt;""," "&amp;O181,"")&amp;","&amp;" FC Urban runs after-work football for "&amp;IF(D181="Canary Wharf","Canary Wharf","City")&amp;" teams. We have a "&amp;AC181&amp;" pitch at "&amp;X181&amp;", "&amp;Y181&amp;" min from your office, "&amp;IF(ISNUMBER(AB181),TEXT(AB181,"ddd d mmm")&amp;", "&amp;TEXT(AB181,"hh:mm"),"weekday evenings")&amp;", "&amp;IF(AD181&lt;&gt;"","£"&amp;IF(AD181=INT(AD181),TEXT(AD181,"0"),TEXT(AD181,"0.00")),"[PRICE PER PLAYER]")&amp;" a player. We handle booking, sign-ups and payments. Fancy "&amp;IF(ISNUMBER(SEARCH(LEFT(F181,1),"AEIOU")),"an ","a ")&amp;F181&amp;" team game? "&amp;IF(AL181&lt;&gt;"",AL181,IF(Offer!$C$5&lt;&gt;"",Offer!$C$5,"[NAME]")),LEFT("Hi"&amp;IF(O181&lt;&gt;""," "&amp;O181,"")&amp;","&amp;" FC Urban runs after-work football for "&amp;IF(D181="Canary Wharf","Canary Wharf","City")&amp;" teams: "&amp;AC181&amp;" at "&amp;X181&amp;", "&amp;Y181&amp;" min from your office, "&amp;IF(ISNUMBER(AB181),TEXT(AB181,"ddd d mmm")&amp;", "&amp;TEXT(AB181,"hh:mm"),"weekday evenings")&amp;", "&amp;IF(AD181&lt;&gt;"","£"&amp;IF(AD181=INT(AD181),TEXT(AD181,"0"),TEXT(AD181,"0.00")),"[PRICE PER PLAYER]")&amp;" pp. We handle booking and payments. Up for a team game? "&amp;IF(AL181&lt;&gt;"",AL181,IF(Offer!$C$5&lt;&gt;"",Offer!$C$5,"[NAME]")),300))</f>
        <v/>
      </c>
      <c r="AI181" s="14">
        <f>LEN(AH181)</f>
        <v/>
      </c>
      <c r="AJ181" s="14">
        <f>"Thanks for connecting"&amp;IF(O181&lt;&gt;"",", "&amp;O181,"")&amp;". "&amp;IF(ISNUMBER(AB181),"The "&amp;AC181&amp;" slot at "&amp;X181&amp;" is "&amp;IF(ISNUMBER(AB181),TEXT(AB181,"ddd d mmm")&amp;", "&amp;TEXT(AB181,"hh:mm"),"weekday evenings"),"We can book "&amp;AC181&amp;" at "&amp;X181&amp;" on a weekday evening that suits you")&amp;" and it's "&amp;IF(AD181&lt;&gt;"","£"&amp;IF(AD181=INT(AD181),TEXT(AD181,"0"),TEXT(AD181,"0.00")),"[PRICE PER PLAYER]")&amp;" a player, all booked and paid through one link. If football isn't your thing, who at "&amp;F181&amp;" would be the right person to organise a team game?"&amp;IF(Offer!$C$7&lt;&gt;""," Spots are held until "&amp;TEXT(Offer!$C$7,"dddd d mmmm")&amp;".","")&amp;" "&amp;IF(Offer!$C$6&lt;&gt;"",Offer!$C$6,"[JOINING LINK]")</f>
        <v/>
      </c>
      <c r="AK181" s="14">
        <f>IF(OR(ISNUMBER(SEARCH("[",AG181)),ISNUMBER(SEARCH("[",AJ181))),"Fill placeholders",IF(ISNUMBER(AB181),"Ready to send","Ready · no fixed slot"))</f>
        <v/>
      </c>
      <c r="AN181" s="17" t="n"/>
    </row>
    <row r="182">
      <c r="A182" s="11" t="n">
        <v>180</v>
      </c>
      <c r="B182" s="11" t="n">
        <v>3</v>
      </c>
      <c r="C182" s="11" t="inlineStr">
        <is>
          <t>Fund / asset manager</t>
        </is>
      </c>
      <c r="D182" s="11" t="inlineStr">
        <is>
          <t>City of London</t>
        </is>
      </c>
      <c r="E182" s="11" t="inlineStr">
        <is>
          <t>Trioptima UK Limited</t>
        </is>
      </c>
      <c r="F182" s="11" t="inlineStr">
        <is>
          <t>Trioptima</t>
        </is>
      </c>
      <c r="G182" s="11" t="inlineStr">
        <is>
          <t>04379784</t>
        </is>
      </c>
      <c r="H182" s="12" t="inlineStr">
        <is>
          <t>Open</t>
        </is>
      </c>
      <c r="I182" s="12" t="inlineStr">
        <is>
          <t>Search</t>
        </is>
      </c>
      <c r="J182" s="11" t="inlineStr">
        <is>
          <t>Full</t>
        </is>
      </c>
      <c r="K182" s="13" t="n">
        <v>37309</v>
      </c>
      <c r="L182" s="11" t="inlineStr">
        <is>
          <t>London Fruit And Wool Exchange, 1 Duval Square, London</t>
        </is>
      </c>
      <c r="M182" s="11" t="inlineStr">
        <is>
          <t>E1   6PW</t>
        </is>
      </c>
      <c r="N182" s="11" t="inlineStr">
        <is>
          <t>No</t>
        </is>
      </c>
      <c r="U182" s="11" t="inlineStr">
        <is>
          <t>Liverpool St - Attlee Centre</t>
        </is>
      </c>
      <c r="V182" s="11" t="n">
        <v>3</v>
      </c>
      <c r="W182" s="11" t="inlineStr">
        <is>
          <t>Shoreditch Powerleague (8.1); Whitechapel (18.6)</t>
        </is>
      </c>
      <c r="X182" s="11" t="inlineStr">
        <is>
          <t>Shoreditch Powerleague</t>
        </is>
      </c>
      <c r="Y182" s="11" t="n">
        <v>8</v>
      </c>
      <c r="Z182" s="14">
        <f>IFERROR(INDEX(Venues!$E$2:$E$15,MATCH(X182,Venues!$A$2:$A$15,0)),"Not checked")</f>
        <v/>
      </c>
      <c r="AA182" s="14">
        <f>IFERROR(INDEX(Venues!$F$2:$F$15,MATCH(X182,Venues!$A$2:$A$15,0)),0)</f>
        <v/>
      </c>
      <c r="AB182" s="15">
        <f>IFERROR(INDEX(Venues!$M$2:$M$15,MATCH(X182,Venues!$A$2:$A$15,0)),"")</f>
        <v/>
      </c>
      <c r="AC182" s="14">
        <f>IFERROR(INDEX(Venues!$N$2:$N$15,MATCH(X182,Venues!$A$2:$A$15,0)),"5-a-side")</f>
        <v/>
      </c>
      <c r="AD182" s="16">
        <f>IF(Offer!$C$4="","",Offer!$C$4)</f>
        <v/>
      </c>
      <c r="AE182" s="14">
        <f>X182&amp;" ("&amp;Y182&amp;" min walk) · "&amp;IF(ISNUMBER(AB182),TEXT(AB182,"ddd d mmm, hh:mm"),"slot to confirm with venue")&amp;" · "&amp;AC182&amp;" · "&amp;IF(AD182&lt;&gt;"","£"&amp;TEXT(AD182,"0.00")&amp;" pp","price TBC")</f>
        <v/>
      </c>
      <c r="AF182" s="14">
        <f>"After-work football for "&amp;F182&amp;" · "&amp;X182&amp;", "&amp;Y182&amp;" min from your office"</f>
        <v/>
      </c>
      <c r="AG182" s="14">
        <f>"Hi"&amp;IF(O182&lt;&gt;""," "&amp;O182,"")&amp;","&amp;CHAR(10)&amp;CHAR(10)&amp;"I'm "&amp;IF(AL182&lt;&gt;"",AL182,IF(Offer!$C$5&lt;&gt;"",Offer!$C$5,"[NAME]"))&amp;" from FC Urban. We organise after-work football for teams in the City and Canary Wharf."&amp;CHAR(10)&amp;CHAR(10)&amp;"We have a "&amp;AC182&amp;" pitch at "&amp;X182&amp;", "&amp;IF(OR(Y182=8,Y182=11,Y182=18),"an ","a ")&amp;Y182&amp;"-minute walk from your "&amp;M182&amp;" office, "&amp;IF(ISNUMBER(AB182),"on "&amp;TEXT(AB182,"dddd d mmmm")&amp;" at "&amp;TEXT(AB182,"hh:mm"),"on a weekday evening that suits your team")&amp;". It's "&amp;IF(AD182&lt;&gt;"","£"&amp;IF(AD182=INT(AD182),TEXT(AD182,"0"),TEXT(AD182,"0.00")),"[PRICE PER PLAYER]")&amp;" a player and we handle the pitch booking, sign-ups and payments, so all it takes is one person sharing a link with the team."&amp;CHAR(10)&amp;CHAR(10)&amp;"It works well as a team social or "&amp;IF(ISNUMBER(SEARCH(LEFT(F182,1),"AEIOU")),"an ","a ")&amp;F182&amp;"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LINK]")&amp;CHAR(10)&amp;CHAR(10)&amp;"Best,"&amp;CHAR(10)&amp;IF(AL182&lt;&gt;"",AL182,IF(Offer!$C$5&lt;&gt;"",Offer!$C$5,"[NAME]"))&amp;CHAR(10)&amp;"FC Urban"</f>
        <v/>
      </c>
      <c r="AH182" s="14">
        <f>IF(LEN("Hi"&amp;IF(O182&lt;&gt;""," "&amp;O182,"")&amp;","&amp;" FC Urban runs after-work football for "&amp;IF(D182="Canary Wharf","Canary Wharf","City")&amp;" teams. We have a "&amp;AC182&amp;" pitch at "&amp;X182&amp;", "&amp;Y182&amp;" min from your office, "&amp;IF(ISNUMBER(AB182),TEXT(AB182,"ddd d mmm")&amp;", "&amp;TEXT(AB182,"hh:mm"),"weekday evenings")&amp;", "&amp;IF(AD182&lt;&gt;"","£"&amp;IF(AD182=INT(AD182),TEXT(AD182,"0"),TEXT(AD182,"0.00")),"[PRICE PER PLAYER]")&amp;" a player. We handle booking, sign-ups and payments. Fancy "&amp;IF(ISNUMBER(SEARCH(LEFT(F182,1),"AEIOU")),"an ","a ")&amp;F182&amp;" team game? "&amp;IF(AL182&lt;&gt;"",AL182,IF(Offer!$C$5&lt;&gt;"",Offer!$C$5,"[NAME]")))&lt;=300,"Hi"&amp;IF(O182&lt;&gt;""," "&amp;O182,"")&amp;","&amp;" FC Urban runs after-work football for "&amp;IF(D182="Canary Wharf","Canary Wharf","City")&amp;" teams. We have a "&amp;AC182&amp;" pitch at "&amp;X182&amp;", "&amp;Y182&amp;" min from your office, "&amp;IF(ISNUMBER(AB182),TEXT(AB182,"ddd d mmm")&amp;", "&amp;TEXT(AB182,"hh:mm"),"weekday evenings")&amp;", "&amp;IF(AD182&lt;&gt;"","£"&amp;IF(AD182=INT(AD182),TEXT(AD182,"0"),TEXT(AD182,"0.00")),"[PRICE PER PLAYER]")&amp;" a player. We handle booking, sign-ups and payments. Fancy "&amp;IF(ISNUMBER(SEARCH(LEFT(F182,1),"AEIOU")),"an ","a ")&amp;F182&amp;" team game? "&amp;IF(AL182&lt;&gt;"",AL182,IF(Offer!$C$5&lt;&gt;"",Offer!$C$5,"[NAME]")),LEFT("Hi"&amp;IF(O182&lt;&gt;""," "&amp;O182,"")&amp;","&amp;" FC Urban runs after-work football for "&amp;IF(D182="Canary Wharf","Canary Wharf","City")&amp;" teams: "&amp;AC182&amp;" at "&amp;X182&amp;", "&amp;Y182&amp;" min from your office, "&amp;IF(ISNUMBER(AB182),TEXT(AB182,"ddd d mmm")&amp;", "&amp;TEXT(AB182,"hh:mm"),"weekday evenings")&amp;", "&amp;IF(AD182&lt;&gt;"","£"&amp;IF(AD182=INT(AD182),TEXT(AD182,"0"),TEXT(AD182,"0.00")),"[PRICE PER PLAYER]")&amp;" pp. We handle booking and payments. Up for a team game? "&amp;IF(AL182&lt;&gt;"",AL182,IF(Offer!$C$5&lt;&gt;"",Offer!$C$5,"[NAME]")),300))</f>
        <v/>
      </c>
      <c r="AI182" s="14">
        <f>LEN(AH182)</f>
        <v/>
      </c>
      <c r="AJ182" s="14">
        <f>"Thanks for connecting"&amp;IF(O182&lt;&gt;"",", "&amp;O182,"")&amp;". "&amp;IF(ISNUMBER(AB182),"The "&amp;AC182&amp;" slot at "&amp;X182&amp;" is "&amp;IF(ISNUMBER(AB182),TEXT(AB182,"ddd d mmm")&amp;", "&amp;TEXT(AB182,"hh:mm"),"weekday evenings"),"We can book "&amp;AC182&amp;" at "&amp;X182&amp;" on a weekday evening that suits you")&amp;" and it's "&amp;IF(AD182&lt;&gt;"","£"&amp;IF(AD182=INT(AD182),TEXT(AD182,"0"),TEXT(AD182,"0.00")),"[PRICE PER PLAYER]")&amp;" a player, all booked and paid through one link. If football isn't your thing, who at "&amp;F182&amp;" would be the right person to organise a team game?"&amp;IF(Offer!$C$7&lt;&gt;""," Spots are held until "&amp;TEXT(Offer!$C$7,"dddd d mmmm")&amp;".","")&amp;" "&amp;IF(Offer!$C$6&lt;&gt;"",Offer!$C$6,"[JOINING LINK]")</f>
        <v/>
      </c>
      <c r="AK182" s="14">
        <f>IF(OR(ISNUMBER(SEARCH("[",AG182)),ISNUMBER(SEARCH("[",AJ182))),"Fill placeholders",IF(ISNUMBER(AB182),"Ready to send","Ready · no fixed slot"))</f>
        <v/>
      </c>
      <c r="AN182" s="17" t="n"/>
    </row>
    <row r="183">
      <c r="A183" s="11" t="n">
        <v>181</v>
      </c>
      <c r="B183" s="11" t="n">
        <v>3</v>
      </c>
      <c r="C183" s="11" t="inlineStr">
        <is>
          <t>Insurance / broker</t>
        </is>
      </c>
      <c r="D183" s="11" t="inlineStr">
        <is>
          <t>Canary Wharf</t>
        </is>
      </c>
      <c r="E183" s="11" t="inlineStr">
        <is>
          <t>Hispania Global UW Limited</t>
        </is>
      </c>
      <c r="F183" s="11" t="inlineStr">
        <is>
          <t>Hispania Global UW</t>
        </is>
      </c>
      <c r="G183" s="11" t="inlineStr">
        <is>
          <t>09076083</t>
        </is>
      </c>
      <c r="H183" s="12" t="inlineStr">
        <is>
          <t>Open</t>
        </is>
      </c>
      <c r="I183" s="12" t="inlineStr">
        <is>
          <t>Search</t>
        </is>
      </c>
      <c r="J183" s="11" t="inlineStr">
        <is>
          <t>Full</t>
        </is>
      </c>
      <c r="K183" s="13" t="n">
        <v>41799</v>
      </c>
      <c r="L183" s="11" t="inlineStr">
        <is>
          <t>C/O Pkf Littlejohn Llp 30 Churchill Place, Canary Wharf, London</t>
        </is>
      </c>
      <c r="M183" s="11" t="inlineStr">
        <is>
          <t>E14 5RE</t>
        </is>
      </c>
      <c r="N183" s="11" t="inlineStr">
        <is>
          <t>No</t>
        </is>
      </c>
      <c r="U183" s="11" t="inlineStr">
        <is>
          <t>Poplar</t>
        </is>
      </c>
      <c r="V183" s="11" t="n">
        <v>9</v>
      </c>
      <c r="W183" s="11" t="n"/>
      <c r="X183" s="11" t="inlineStr">
        <is>
          <t>Poplar</t>
        </is>
      </c>
      <c r="Y183" s="11" t="n">
        <v>9</v>
      </c>
      <c r="Z183" s="14">
        <f>IFERROR(INDEX(Venues!$E$2:$E$15,MATCH(X183,Venues!$A$2:$A$15,0)),"Not checked")</f>
        <v/>
      </c>
      <c r="AA183" s="14">
        <f>IFERROR(INDEX(Venues!$F$2:$F$15,MATCH(X183,Venues!$A$2:$A$15,0)),0)</f>
        <v/>
      </c>
      <c r="AB183" s="15">
        <f>IFERROR(INDEX(Venues!$M$2:$M$15,MATCH(X183,Venues!$A$2:$A$15,0)),"")</f>
        <v/>
      </c>
      <c r="AC183" s="14">
        <f>IFERROR(INDEX(Venues!$N$2:$N$15,MATCH(X183,Venues!$A$2:$A$15,0)),"5-a-side")</f>
        <v/>
      </c>
      <c r="AD183" s="16">
        <f>IF(Offer!$C$4="","",Offer!$C$4)</f>
        <v/>
      </c>
      <c r="AE183" s="14">
        <f>X183&amp;" ("&amp;Y183&amp;" min walk) · "&amp;IF(ISNUMBER(AB183),TEXT(AB183,"ddd d mmm, hh:mm"),"slot to confirm with venue")&amp;" · "&amp;AC183&amp;" · "&amp;IF(AD183&lt;&gt;"","£"&amp;TEXT(AD183,"0.00")&amp;" pp","price TBC")</f>
        <v/>
      </c>
      <c r="AF183" s="14">
        <f>"After-work football for "&amp;F183&amp;" · "&amp;X183&amp;", "&amp;Y183&amp;" min from your office"</f>
        <v/>
      </c>
      <c r="AG183" s="14">
        <f>"Hi"&amp;IF(O183&lt;&gt;""," "&amp;O183,"")&amp;","&amp;CHAR(10)&amp;CHAR(10)&amp;"I'm "&amp;IF(AL183&lt;&gt;"",AL183,IF(Offer!$C$5&lt;&gt;"",Offer!$C$5,"[NAME]"))&amp;" from FC Urban. We organise after-work football for teams in the City and Canary Wharf."&amp;CHAR(10)&amp;CHAR(10)&amp;"We have a "&amp;AC183&amp;" pitch at "&amp;X183&amp;", "&amp;IF(OR(Y183=8,Y183=11,Y183=18),"an ","a ")&amp;Y183&amp;"-minute walk from your "&amp;M183&amp;" office, "&amp;IF(ISNUMBER(AB183),"on "&amp;TEXT(AB183,"dddd d mmmm")&amp;" at "&amp;TEXT(AB183,"hh:mm"),"on a weekday evening that suits your team")&amp;". It's "&amp;IF(AD183&lt;&gt;"","£"&amp;IF(AD183=INT(AD183),TEXT(AD183,"0"),TEXT(AD183,"0.00")),"[PRICE PER PLAYER]")&amp;" a player and we handle the pitch booking, sign-ups and payments, so all it takes is one person sharing a link with the team."&amp;CHAR(10)&amp;CHAR(10)&amp;"It works well as a team social or "&amp;IF(ISNUMBER(SEARCH(LEFT(F183,1),"AEIOU")),"an ","a ")&amp;F183&amp;"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LINK]")&amp;CHAR(10)&amp;CHAR(10)&amp;"Best,"&amp;CHAR(10)&amp;IF(AL183&lt;&gt;"",AL183,IF(Offer!$C$5&lt;&gt;"",Offer!$C$5,"[NAME]"))&amp;CHAR(10)&amp;"FC Urban"</f>
        <v/>
      </c>
      <c r="AH183" s="14">
        <f>IF(LEN("Hi"&amp;IF(O183&lt;&gt;""," "&amp;O183,"")&amp;","&amp;" FC Urban runs after-work football for "&amp;IF(D183="Canary Wharf","Canary Wharf","City")&amp;" teams. We have a "&amp;AC183&amp;" pitch at "&amp;X183&amp;", "&amp;Y183&amp;" min from your office, "&amp;IF(ISNUMBER(AB183),TEXT(AB183,"ddd d mmm")&amp;", "&amp;TEXT(AB183,"hh:mm"),"weekday evenings")&amp;", "&amp;IF(AD183&lt;&gt;"","£"&amp;IF(AD183=INT(AD183),TEXT(AD183,"0"),TEXT(AD183,"0.00")),"[PRICE PER PLAYER]")&amp;" a player. We handle booking, sign-ups and payments. Fancy "&amp;IF(ISNUMBER(SEARCH(LEFT(F183,1),"AEIOU")),"an ","a ")&amp;F183&amp;" team game? "&amp;IF(AL183&lt;&gt;"",AL183,IF(Offer!$C$5&lt;&gt;"",Offer!$C$5,"[NAME]")))&lt;=300,"Hi"&amp;IF(O183&lt;&gt;""," "&amp;O183,"")&amp;","&amp;" FC Urban runs after-work football for "&amp;IF(D183="Canary Wharf","Canary Wharf","City")&amp;" teams. We have a "&amp;AC183&amp;" pitch at "&amp;X183&amp;", "&amp;Y183&amp;" min from your office, "&amp;IF(ISNUMBER(AB183),TEXT(AB183,"ddd d mmm")&amp;", "&amp;TEXT(AB183,"hh:mm"),"weekday evenings")&amp;", "&amp;IF(AD183&lt;&gt;"","£"&amp;IF(AD183=INT(AD183),TEXT(AD183,"0"),TEXT(AD183,"0.00")),"[PRICE PER PLAYER]")&amp;" a player. We handle booking, sign-ups and payments. Fancy "&amp;IF(ISNUMBER(SEARCH(LEFT(F183,1),"AEIOU")),"an ","a ")&amp;F183&amp;" team game? "&amp;IF(AL183&lt;&gt;"",AL183,IF(Offer!$C$5&lt;&gt;"",Offer!$C$5,"[NAME]")),LEFT("Hi"&amp;IF(O183&lt;&gt;""," "&amp;O183,"")&amp;","&amp;" FC Urban runs after-work football for "&amp;IF(D183="Canary Wharf","Canary Wharf","City")&amp;" teams: "&amp;AC183&amp;" at "&amp;X183&amp;", "&amp;Y183&amp;" min from your office, "&amp;IF(ISNUMBER(AB183),TEXT(AB183,"ddd d mmm")&amp;", "&amp;TEXT(AB183,"hh:mm"),"weekday evenings")&amp;", "&amp;IF(AD183&lt;&gt;"","£"&amp;IF(AD183=INT(AD183),TEXT(AD183,"0"),TEXT(AD183,"0.00")),"[PRICE PER PLAYER]")&amp;" pp. We handle booking and payments. Up for a team game? "&amp;IF(AL183&lt;&gt;"",AL183,IF(Offer!$C$5&lt;&gt;"",Offer!$C$5,"[NAME]")),300))</f>
        <v/>
      </c>
      <c r="AI183" s="14">
        <f>LEN(AH183)</f>
        <v/>
      </c>
      <c r="AJ183" s="14">
        <f>"Thanks for connecting"&amp;IF(O183&lt;&gt;"",", "&amp;O183,"")&amp;". "&amp;IF(ISNUMBER(AB183),"The "&amp;AC183&amp;" slot at "&amp;X183&amp;" is "&amp;IF(ISNUMBER(AB183),TEXT(AB183,"ddd d mmm")&amp;", "&amp;TEXT(AB183,"hh:mm"),"weekday evenings"),"We can book "&amp;AC183&amp;" at "&amp;X183&amp;" on a weekday evening that suits you")&amp;" and it's "&amp;IF(AD183&lt;&gt;"","£"&amp;IF(AD183=INT(AD183),TEXT(AD183,"0"),TEXT(AD183,"0.00")),"[PRICE PER PLAYER]")&amp;" a player, all booked and paid through one link. If football isn't your thing, who at "&amp;F183&amp;" would be the right person to organise a team game?"&amp;IF(Offer!$C$7&lt;&gt;""," Spots are held until "&amp;TEXT(Offer!$C$7,"dddd d mmmm")&amp;".","")&amp;" "&amp;IF(Offer!$C$6&lt;&gt;"",Offer!$C$6,"[JOINING LINK]")</f>
        <v/>
      </c>
      <c r="AK183" s="14">
        <f>IF(OR(ISNUMBER(SEARCH("[",AG183)),ISNUMBER(SEARCH("[",AJ183))),"Fill placeholders",IF(ISNUMBER(AB183),"Ready to send","Ready · no fixed slot"))</f>
        <v/>
      </c>
      <c r="AN183" s="17" t="n"/>
    </row>
    <row r="184">
      <c r="A184" s="11" t="n">
        <v>182</v>
      </c>
      <c r="B184" s="11" t="n">
        <v>3</v>
      </c>
      <c r="C184" s="11" t="inlineStr">
        <is>
          <t>Fund / asset manager</t>
        </is>
      </c>
      <c r="D184" s="11" t="inlineStr">
        <is>
          <t>Canary Wharf</t>
        </is>
      </c>
      <c r="E184" s="11" t="inlineStr">
        <is>
          <t>Element Capital Partners LLP</t>
        </is>
      </c>
      <c r="F184" s="11" t="inlineStr">
        <is>
          <t>Element Capital Partners</t>
        </is>
      </c>
      <c r="G184" s="11" t="inlineStr">
        <is>
          <t>OC397377</t>
        </is>
      </c>
      <c r="H184" s="12" t="inlineStr">
        <is>
          <t>Open</t>
        </is>
      </c>
      <c r="I184" s="12" t="inlineStr">
        <is>
          <t>Search</t>
        </is>
      </c>
      <c r="J184" s="11" t="inlineStr">
        <is>
          <t>Full</t>
        </is>
      </c>
      <c r="K184" s="13" t="n">
        <v>42010</v>
      </c>
      <c r="L184" s="11" t="inlineStr">
        <is>
          <t>C/O Pkf Littlejohn 30 Churchill Place, Canary Wharf, London</t>
        </is>
      </c>
      <c r="M184" s="11" t="inlineStr">
        <is>
          <t>E14 5RE</t>
        </is>
      </c>
      <c r="N184" s="11" t="inlineStr">
        <is>
          <t>No</t>
        </is>
      </c>
      <c r="U184" s="11" t="inlineStr">
        <is>
          <t>Poplar</t>
        </is>
      </c>
      <c r="V184" s="11" t="n">
        <v>9</v>
      </c>
      <c r="W184" s="11" t="n"/>
      <c r="X184" s="11" t="inlineStr">
        <is>
          <t>Poplar</t>
        </is>
      </c>
      <c r="Y184" s="11" t="n">
        <v>9</v>
      </c>
      <c r="Z184" s="14">
        <f>IFERROR(INDEX(Venues!$E$2:$E$15,MATCH(X184,Venues!$A$2:$A$15,0)),"Not checked")</f>
        <v/>
      </c>
      <c r="AA184" s="14">
        <f>IFERROR(INDEX(Venues!$F$2:$F$15,MATCH(X184,Venues!$A$2:$A$15,0)),0)</f>
        <v/>
      </c>
      <c r="AB184" s="15">
        <f>IFERROR(INDEX(Venues!$M$2:$M$15,MATCH(X184,Venues!$A$2:$A$15,0)),"")</f>
        <v/>
      </c>
      <c r="AC184" s="14">
        <f>IFERROR(INDEX(Venues!$N$2:$N$15,MATCH(X184,Venues!$A$2:$A$15,0)),"5-a-side")</f>
        <v/>
      </c>
      <c r="AD184" s="16">
        <f>IF(Offer!$C$4="","",Offer!$C$4)</f>
        <v/>
      </c>
      <c r="AE184" s="14">
        <f>X184&amp;" ("&amp;Y184&amp;" min walk) · "&amp;IF(ISNUMBER(AB184),TEXT(AB184,"ddd d mmm, hh:mm"),"slot to confirm with venue")&amp;" · "&amp;AC184&amp;" · "&amp;IF(AD184&lt;&gt;"","£"&amp;TEXT(AD184,"0.00")&amp;" pp","price TBC")</f>
        <v/>
      </c>
      <c r="AF184" s="14">
        <f>"After-work football for "&amp;F184&amp;" · "&amp;X184&amp;", "&amp;Y184&amp;" min from your office"</f>
        <v/>
      </c>
      <c r="AG184" s="14">
        <f>"Hi"&amp;IF(O184&lt;&gt;""," "&amp;O184,"")&amp;","&amp;CHAR(10)&amp;CHAR(10)&amp;"I'm "&amp;IF(AL184&lt;&gt;"",AL184,IF(Offer!$C$5&lt;&gt;"",Offer!$C$5,"[NAME]"))&amp;" from FC Urban. We organise after-work football for teams in the City and Canary Wharf."&amp;CHAR(10)&amp;CHAR(10)&amp;"We have a "&amp;AC184&amp;" pitch at "&amp;X184&amp;", "&amp;IF(OR(Y184=8,Y184=11,Y184=18),"an ","a ")&amp;Y184&amp;"-minute walk from your "&amp;M184&amp;" office, "&amp;IF(ISNUMBER(AB184),"on "&amp;TEXT(AB184,"dddd d mmmm")&amp;" at "&amp;TEXT(AB184,"hh:mm"),"on a weekday evening that suits your team")&amp;". It's "&amp;IF(AD184&lt;&gt;"","£"&amp;IF(AD184=INT(AD184),TEXT(AD184,"0"),TEXT(AD184,"0.00")),"[PRICE PER PLAYER]")&amp;" a player and we handle the pitch booking, sign-ups and payments, so all it takes is one person sharing a link with the team."&amp;CHAR(10)&amp;CHAR(10)&amp;"It works well as a team social or "&amp;IF(ISNUMBER(SEARCH(LEFT(F184,1),"AEIOU")),"an ","a ")&amp;F184&amp;"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LINK]")&amp;CHAR(10)&amp;CHAR(10)&amp;"Best,"&amp;CHAR(10)&amp;IF(AL184&lt;&gt;"",AL184,IF(Offer!$C$5&lt;&gt;"",Offer!$C$5,"[NAME]"))&amp;CHAR(10)&amp;"FC Urban"</f>
        <v/>
      </c>
      <c r="AH184" s="14">
        <f>IF(LEN("Hi"&amp;IF(O184&lt;&gt;""," "&amp;O184,"")&amp;","&amp;" FC Urban runs after-work football for "&amp;IF(D184="Canary Wharf","Canary Wharf","City")&amp;" teams. We have a "&amp;AC184&amp;" pitch at "&amp;X184&amp;", "&amp;Y184&amp;" min from your office, "&amp;IF(ISNUMBER(AB184),TEXT(AB184,"ddd d mmm")&amp;", "&amp;TEXT(AB184,"hh:mm"),"weekday evenings")&amp;", "&amp;IF(AD184&lt;&gt;"","£"&amp;IF(AD184=INT(AD184),TEXT(AD184,"0"),TEXT(AD184,"0.00")),"[PRICE PER PLAYER]")&amp;" a player. We handle booking, sign-ups and payments. Fancy "&amp;IF(ISNUMBER(SEARCH(LEFT(F184,1),"AEIOU")),"an ","a ")&amp;F184&amp;" team game? "&amp;IF(AL184&lt;&gt;"",AL184,IF(Offer!$C$5&lt;&gt;"",Offer!$C$5,"[NAME]")))&lt;=300,"Hi"&amp;IF(O184&lt;&gt;""," "&amp;O184,"")&amp;","&amp;" FC Urban runs after-work football for "&amp;IF(D184="Canary Wharf","Canary Wharf","City")&amp;" teams. We have a "&amp;AC184&amp;" pitch at "&amp;X184&amp;", "&amp;Y184&amp;" min from your office, "&amp;IF(ISNUMBER(AB184),TEXT(AB184,"ddd d mmm")&amp;", "&amp;TEXT(AB184,"hh:mm"),"weekday evenings")&amp;", "&amp;IF(AD184&lt;&gt;"","£"&amp;IF(AD184=INT(AD184),TEXT(AD184,"0"),TEXT(AD184,"0.00")),"[PRICE PER PLAYER]")&amp;" a player. We handle booking, sign-ups and payments. Fancy "&amp;IF(ISNUMBER(SEARCH(LEFT(F184,1),"AEIOU")),"an ","a ")&amp;F184&amp;" team game? "&amp;IF(AL184&lt;&gt;"",AL184,IF(Offer!$C$5&lt;&gt;"",Offer!$C$5,"[NAME]")),LEFT("Hi"&amp;IF(O184&lt;&gt;""," "&amp;O184,"")&amp;","&amp;" FC Urban runs after-work football for "&amp;IF(D184="Canary Wharf","Canary Wharf","City")&amp;" teams: "&amp;AC184&amp;" at "&amp;X184&amp;", "&amp;Y184&amp;" min from your office, "&amp;IF(ISNUMBER(AB184),TEXT(AB184,"ddd d mmm")&amp;", "&amp;TEXT(AB184,"hh:mm"),"weekday evenings")&amp;", "&amp;IF(AD184&lt;&gt;"","£"&amp;IF(AD184=INT(AD184),TEXT(AD184,"0"),TEXT(AD184,"0.00")),"[PRICE PER PLAYER]")&amp;" pp. We handle booking and payments. Up for a team game? "&amp;IF(AL184&lt;&gt;"",AL184,IF(Offer!$C$5&lt;&gt;"",Offer!$C$5,"[NAME]")),300))</f>
        <v/>
      </c>
      <c r="AI184" s="14">
        <f>LEN(AH184)</f>
        <v/>
      </c>
      <c r="AJ184" s="14">
        <f>"Thanks for connecting"&amp;IF(O184&lt;&gt;"",", "&amp;O184,"")&amp;". "&amp;IF(ISNUMBER(AB184),"The "&amp;AC184&amp;" slot at "&amp;X184&amp;" is "&amp;IF(ISNUMBER(AB184),TEXT(AB184,"ddd d mmm")&amp;", "&amp;TEXT(AB184,"hh:mm"),"weekday evenings"),"We can book "&amp;AC184&amp;" at "&amp;X184&amp;" on a weekday evening that suits you")&amp;" and it's "&amp;IF(AD184&lt;&gt;"","£"&amp;IF(AD184=INT(AD184),TEXT(AD184,"0"),TEXT(AD184,"0.00")),"[PRICE PER PLAYER]")&amp;" a player, all booked and paid through one link. If football isn't your thing, who at "&amp;F184&amp;" would be the right person to organise a team game?"&amp;IF(Offer!$C$7&lt;&gt;""," Spots are held until "&amp;TEXT(Offer!$C$7,"dddd d mmmm")&amp;".","")&amp;" "&amp;IF(Offer!$C$6&lt;&gt;"",Offer!$C$6,"[JOINING LINK]")</f>
        <v/>
      </c>
      <c r="AK184" s="14">
        <f>IF(OR(ISNUMBER(SEARCH("[",AG184)),ISNUMBER(SEARCH("[",AJ184))),"Fill placeholders",IF(ISNUMBER(AB184),"Ready to send","Ready · no fixed slot"))</f>
        <v/>
      </c>
      <c r="AN184" s="17" t="n"/>
    </row>
    <row r="185">
      <c r="A185" s="11" t="n">
        <v>183</v>
      </c>
      <c r="B185" s="11" t="n">
        <v>3</v>
      </c>
      <c r="C185" s="11" t="inlineStr">
        <is>
          <t>Fund / asset manager</t>
        </is>
      </c>
      <c r="D185" s="11" t="inlineStr">
        <is>
          <t>Canary Wharf</t>
        </is>
      </c>
      <c r="E185" s="11" t="inlineStr">
        <is>
          <t>Silk Invest Limited</t>
        </is>
      </c>
      <c r="F185" s="11" t="inlineStr">
        <is>
          <t>Silk Invest</t>
        </is>
      </c>
      <c r="G185" s="11" t="inlineStr">
        <is>
          <t>06603042</t>
        </is>
      </c>
      <c r="H185" s="12" t="inlineStr">
        <is>
          <t>Open</t>
        </is>
      </c>
      <c r="I185" s="12" t="inlineStr">
        <is>
          <t>Search</t>
        </is>
      </c>
      <c r="J185" s="11" t="inlineStr">
        <is>
          <t>Full</t>
        </is>
      </c>
      <c r="K185" s="13" t="n">
        <v>39595</v>
      </c>
      <c r="L185" s="11" t="inlineStr">
        <is>
          <t>30 Churchill Place, London</t>
        </is>
      </c>
      <c r="M185" s="11" t="inlineStr">
        <is>
          <t>E14 5RE</t>
        </is>
      </c>
      <c r="N185" s="11" t="inlineStr">
        <is>
          <t>No</t>
        </is>
      </c>
      <c r="U185" s="11" t="inlineStr">
        <is>
          <t>Poplar</t>
        </is>
      </c>
      <c r="V185" s="11" t="n">
        <v>9</v>
      </c>
      <c r="W185" s="11" t="n"/>
      <c r="X185" s="11" t="inlineStr">
        <is>
          <t>Poplar</t>
        </is>
      </c>
      <c r="Y185" s="11" t="n">
        <v>9</v>
      </c>
      <c r="Z185" s="14">
        <f>IFERROR(INDEX(Venues!$E$2:$E$15,MATCH(X185,Venues!$A$2:$A$15,0)),"Not checked")</f>
        <v/>
      </c>
      <c r="AA185" s="14">
        <f>IFERROR(INDEX(Venues!$F$2:$F$15,MATCH(X185,Venues!$A$2:$A$15,0)),0)</f>
        <v/>
      </c>
      <c r="AB185" s="15">
        <f>IFERROR(INDEX(Venues!$M$2:$M$15,MATCH(X185,Venues!$A$2:$A$15,0)),"")</f>
        <v/>
      </c>
      <c r="AC185" s="14">
        <f>IFERROR(INDEX(Venues!$N$2:$N$15,MATCH(X185,Venues!$A$2:$A$15,0)),"5-a-side")</f>
        <v/>
      </c>
      <c r="AD185" s="16">
        <f>IF(Offer!$C$4="","",Offer!$C$4)</f>
        <v/>
      </c>
      <c r="AE185" s="14">
        <f>X185&amp;" ("&amp;Y185&amp;" min walk) · "&amp;IF(ISNUMBER(AB185),TEXT(AB185,"ddd d mmm, hh:mm"),"slot to confirm with venue")&amp;" · "&amp;AC185&amp;" · "&amp;IF(AD185&lt;&gt;"","£"&amp;TEXT(AD185,"0.00")&amp;" pp","price TBC")</f>
        <v/>
      </c>
      <c r="AF185" s="14">
        <f>"After-work football for "&amp;F185&amp;" · "&amp;X185&amp;", "&amp;Y185&amp;" min from your office"</f>
        <v/>
      </c>
      <c r="AG185" s="14">
        <f>"Hi"&amp;IF(O185&lt;&gt;""," "&amp;O185,"")&amp;","&amp;CHAR(10)&amp;CHAR(10)&amp;"I'm "&amp;IF(AL185&lt;&gt;"",AL185,IF(Offer!$C$5&lt;&gt;"",Offer!$C$5,"[NAME]"))&amp;" from FC Urban. We organise after-work football for teams in the City and Canary Wharf."&amp;CHAR(10)&amp;CHAR(10)&amp;"We have a "&amp;AC185&amp;" pitch at "&amp;X185&amp;", "&amp;IF(OR(Y185=8,Y185=11,Y185=18),"an ","a ")&amp;Y185&amp;"-minute walk from your "&amp;M185&amp;" office, "&amp;IF(ISNUMBER(AB185),"on "&amp;TEXT(AB185,"dddd d mmmm")&amp;" at "&amp;TEXT(AB185,"hh:mm"),"on a weekday evening that suits your team")&amp;". It's "&amp;IF(AD185&lt;&gt;"","£"&amp;IF(AD185=INT(AD185),TEXT(AD185,"0"),TEXT(AD185,"0.00")),"[PRICE PER PLAYER]")&amp;" a player and we handle the pitch booking, sign-ups and payments, so all it takes is one person sharing a link with the team."&amp;CHAR(10)&amp;CHAR(10)&amp;"It works well as a team social or "&amp;IF(ISNUMBER(SEARCH(LEFT(F185,1),"AEIOU")),"an ","a ")&amp;F185&amp;"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LINK]")&amp;CHAR(10)&amp;CHAR(10)&amp;"Best,"&amp;CHAR(10)&amp;IF(AL185&lt;&gt;"",AL185,IF(Offer!$C$5&lt;&gt;"",Offer!$C$5,"[NAME]"))&amp;CHAR(10)&amp;"FC Urban"</f>
        <v/>
      </c>
      <c r="AH185" s="14">
        <f>IF(LEN("Hi"&amp;IF(O185&lt;&gt;""," "&amp;O185,"")&amp;","&amp;" FC Urban runs after-work football for "&amp;IF(D185="Canary Wharf","Canary Wharf","City")&amp;" teams. We have a "&amp;AC185&amp;" pitch at "&amp;X185&amp;", "&amp;Y185&amp;" min from your office, "&amp;IF(ISNUMBER(AB185),TEXT(AB185,"ddd d mmm")&amp;", "&amp;TEXT(AB185,"hh:mm"),"weekday evenings")&amp;", "&amp;IF(AD185&lt;&gt;"","£"&amp;IF(AD185=INT(AD185),TEXT(AD185,"0"),TEXT(AD185,"0.00")),"[PRICE PER PLAYER]")&amp;" a player. We handle booking, sign-ups and payments. Fancy "&amp;IF(ISNUMBER(SEARCH(LEFT(F185,1),"AEIOU")),"an ","a ")&amp;F185&amp;" team game? "&amp;IF(AL185&lt;&gt;"",AL185,IF(Offer!$C$5&lt;&gt;"",Offer!$C$5,"[NAME]")))&lt;=300,"Hi"&amp;IF(O185&lt;&gt;""," "&amp;O185,"")&amp;","&amp;" FC Urban runs after-work football for "&amp;IF(D185="Canary Wharf","Canary Wharf","City")&amp;" teams. We have a "&amp;AC185&amp;" pitch at "&amp;X185&amp;", "&amp;Y185&amp;" min from your office, "&amp;IF(ISNUMBER(AB185),TEXT(AB185,"ddd d mmm")&amp;", "&amp;TEXT(AB185,"hh:mm"),"weekday evenings")&amp;", "&amp;IF(AD185&lt;&gt;"","£"&amp;IF(AD185=INT(AD185),TEXT(AD185,"0"),TEXT(AD185,"0.00")),"[PRICE PER PLAYER]")&amp;" a player. We handle booking, sign-ups and payments. Fancy "&amp;IF(ISNUMBER(SEARCH(LEFT(F185,1),"AEIOU")),"an ","a ")&amp;F185&amp;" team game? "&amp;IF(AL185&lt;&gt;"",AL185,IF(Offer!$C$5&lt;&gt;"",Offer!$C$5,"[NAME]")),LEFT("Hi"&amp;IF(O185&lt;&gt;""," "&amp;O185,"")&amp;","&amp;" FC Urban runs after-work football for "&amp;IF(D185="Canary Wharf","Canary Wharf","City")&amp;" teams: "&amp;AC185&amp;" at "&amp;X185&amp;", "&amp;Y185&amp;" min from your office, "&amp;IF(ISNUMBER(AB185),TEXT(AB185,"ddd d mmm")&amp;", "&amp;TEXT(AB185,"hh:mm"),"weekday evenings")&amp;", "&amp;IF(AD185&lt;&gt;"","£"&amp;IF(AD185=INT(AD185),TEXT(AD185,"0"),TEXT(AD185,"0.00")),"[PRICE PER PLAYER]")&amp;" pp. We handle booking and payments. Up for a team game? "&amp;IF(AL185&lt;&gt;"",AL185,IF(Offer!$C$5&lt;&gt;"",Offer!$C$5,"[NAME]")),300))</f>
        <v/>
      </c>
      <c r="AI185" s="14">
        <f>LEN(AH185)</f>
        <v/>
      </c>
      <c r="AJ185" s="14">
        <f>"Thanks for connecting"&amp;IF(O185&lt;&gt;"",", "&amp;O185,"")&amp;". "&amp;IF(ISNUMBER(AB185),"The "&amp;AC185&amp;" slot at "&amp;X185&amp;" is "&amp;IF(ISNUMBER(AB185),TEXT(AB185,"ddd d mmm")&amp;", "&amp;TEXT(AB185,"hh:mm"),"weekday evenings"),"We can book "&amp;AC185&amp;" at "&amp;X185&amp;" on a weekday evening that suits you")&amp;" and it's "&amp;IF(AD185&lt;&gt;"","£"&amp;IF(AD185=INT(AD185),TEXT(AD185,"0"),TEXT(AD185,"0.00")),"[PRICE PER PLAYER]")&amp;" a player, all booked and paid through one link. If football isn't your thing, who at "&amp;F185&amp;" would be the right person to organise a team game?"&amp;IF(Offer!$C$7&lt;&gt;""," Spots are held until "&amp;TEXT(Offer!$C$7,"dddd d mmmm")&amp;".","")&amp;" "&amp;IF(Offer!$C$6&lt;&gt;"",Offer!$C$6,"[JOINING LINK]")</f>
        <v/>
      </c>
      <c r="AK185" s="14">
        <f>IF(OR(ISNUMBER(SEARCH("[",AG185)),ISNUMBER(SEARCH("[",AJ185))),"Fill placeholders",IF(ISNUMBER(AB185),"Ready to send","Ready · no fixed slot"))</f>
        <v/>
      </c>
      <c r="AN185" s="17" t="n"/>
    </row>
    <row r="186">
      <c r="A186" s="11" t="n">
        <v>184</v>
      </c>
      <c r="B186" s="11" t="n">
        <v>3</v>
      </c>
      <c r="C186" s="11" t="inlineStr">
        <is>
          <t>Insurance / broker</t>
        </is>
      </c>
      <c r="D186" s="11" t="inlineStr">
        <is>
          <t>Canary Wharf</t>
        </is>
      </c>
      <c r="E186" s="11" t="inlineStr">
        <is>
          <t>Heddington Insurance (U.K.) Limited</t>
        </is>
      </c>
      <c r="F186" s="11" t="inlineStr">
        <is>
          <t>Heddington Insurance</t>
        </is>
      </c>
      <c r="G186" s="11" t="inlineStr">
        <is>
          <t>01298239</t>
        </is>
      </c>
      <c r="H186" s="12" t="inlineStr">
        <is>
          <t>Open</t>
        </is>
      </c>
      <c r="I186" s="12" t="inlineStr">
        <is>
          <t>Search</t>
        </is>
      </c>
      <c r="J186" s="11" t="inlineStr">
        <is>
          <t>Full</t>
        </is>
      </c>
      <c r="K186" s="13" t="n">
        <v>28167</v>
      </c>
      <c r="L186" s="11" t="inlineStr">
        <is>
          <t>1 Westferry Circus, Canary Wharf, London</t>
        </is>
      </c>
      <c r="M186" s="11" t="inlineStr">
        <is>
          <t>E14 4HA</t>
        </is>
      </c>
      <c r="N186" s="11" t="inlineStr">
        <is>
          <t>No</t>
        </is>
      </c>
      <c r="U186" s="11" t="inlineStr">
        <is>
          <t>PlayFootball Canary Wharf - Westferry (E14 8HH)</t>
        </is>
      </c>
      <c r="V186" s="11" t="n">
        <v>9</v>
      </c>
      <c r="W186" s="11" t="inlineStr">
        <is>
          <t>Poplar (10.9); Docklands - Surrey Quays (16.8)</t>
        </is>
      </c>
      <c r="X186" s="11" t="inlineStr">
        <is>
          <t>PlayFootball Canary Wharf - Westferry (E14 8HH)</t>
        </is>
      </c>
      <c r="Y186" s="11" t="n">
        <v>9</v>
      </c>
      <c r="Z186" s="14">
        <f>IFERROR(INDEX(Venues!$E$2:$E$15,MATCH(X186,Venues!$A$2:$A$15,0)),"Not checked")</f>
        <v/>
      </c>
      <c r="AA186" s="14">
        <f>IFERROR(INDEX(Venues!$F$2:$F$15,MATCH(X186,Venues!$A$2:$A$15,0)),0)</f>
        <v/>
      </c>
      <c r="AB186" s="15">
        <f>IFERROR(INDEX(Venues!$M$2:$M$15,MATCH(X186,Venues!$A$2:$A$15,0)),"")</f>
        <v/>
      </c>
      <c r="AC186" s="14">
        <f>IFERROR(INDEX(Venues!$N$2:$N$15,MATCH(X186,Venues!$A$2:$A$15,0)),"5-a-side")</f>
        <v/>
      </c>
      <c r="AD186" s="16">
        <f>IF(Offer!$C$4="","",Offer!$C$4)</f>
        <v/>
      </c>
      <c r="AE186" s="14">
        <f>X186&amp;" ("&amp;Y186&amp;" min walk) · "&amp;IF(ISNUMBER(AB186),TEXT(AB186,"ddd d mmm, hh:mm"),"slot to confirm with venue")&amp;" · "&amp;AC186&amp;" · "&amp;IF(AD186&lt;&gt;"","£"&amp;TEXT(AD186,"0.00")&amp;" pp","price TBC")</f>
        <v/>
      </c>
      <c r="AF186" s="14">
        <f>"After-work football for "&amp;F186&amp;" · "&amp;X186&amp;", "&amp;Y186&amp;" min from your office"</f>
        <v/>
      </c>
      <c r="AG186" s="14">
        <f>"Hi"&amp;IF(O186&lt;&gt;""," "&amp;O186,"")&amp;","&amp;CHAR(10)&amp;CHAR(10)&amp;"I'm "&amp;IF(AL186&lt;&gt;"",AL186,IF(Offer!$C$5&lt;&gt;"",Offer!$C$5,"[NAME]"))&amp;" from FC Urban. We organise after-work football for teams in the City and Canary Wharf."&amp;CHAR(10)&amp;CHAR(10)&amp;"We have a "&amp;AC186&amp;" pitch at "&amp;X186&amp;", "&amp;IF(OR(Y186=8,Y186=11,Y186=18),"an ","a ")&amp;Y186&amp;"-minute walk from your "&amp;M186&amp;" office, "&amp;IF(ISNUMBER(AB186),"on "&amp;TEXT(AB186,"dddd d mmmm")&amp;" at "&amp;TEXT(AB186,"hh:mm"),"on a weekday evening that suits your team")&amp;". It's "&amp;IF(AD186&lt;&gt;"","£"&amp;IF(AD186=INT(AD186),TEXT(AD186,"0"),TEXT(AD186,"0.00")),"[PRICE PER PLAYER]")&amp;" a player and we handle the pitch booking, sign-ups and payments, so all it takes is one person sharing a link with the team."&amp;CHAR(10)&amp;CHAR(10)&amp;"It works well as a team social or "&amp;IF(ISNUMBER(SEARCH(LEFT(F186,1),"AEIOU")),"an ","a ")&amp;F186&amp;"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LINK]")&amp;CHAR(10)&amp;CHAR(10)&amp;"Best,"&amp;CHAR(10)&amp;IF(AL186&lt;&gt;"",AL186,IF(Offer!$C$5&lt;&gt;"",Offer!$C$5,"[NAME]"))&amp;CHAR(10)&amp;"FC Urban"</f>
        <v/>
      </c>
      <c r="AH186" s="14">
        <f>IF(LEN("Hi"&amp;IF(O186&lt;&gt;""," "&amp;O186,"")&amp;","&amp;" FC Urban runs after-work football for "&amp;IF(D186="Canary Wharf","Canary Wharf","City")&amp;" teams. We have a "&amp;AC186&amp;" pitch at "&amp;X186&amp;", "&amp;Y186&amp;" min from your office, "&amp;IF(ISNUMBER(AB186),TEXT(AB186,"ddd d mmm")&amp;", "&amp;TEXT(AB186,"hh:mm"),"weekday evenings")&amp;", "&amp;IF(AD186&lt;&gt;"","£"&amp;IF(AD186=INT(AD186),TEXT(AD186,"0"),TEXT(AD186,"0.00")),"[PRICE PER PLAYER]")&amp;" a player. We handle booking, sign-ups and payments. Fancy "&amp;IF(ISNUMBER(SEARCH(LEFT(F186,1),"AEIOU")),"an ","a ")&amp;F186&amp;" team game? "&amp;IF(AL186&lt;&gt;"",AL186,IF(Offer!$C$5&lt;&gt;"",Offer!$C$5,"[NAME]")))&lt;=300,"Hi"&amp;IF(O186&lt;&gt;""," "&amp;O186,"")&amp;","&amp;" FC Urban runs after-work football for "&amp;IF(D186="Canary Wharf","Canary Wharf","City")&amp;" teams. We have a "&amp;AC186&amp;" pitch at "&amp;X186&amp;", "&amp;Y186&amp;" min from your office, "&amp;IF(ISNUMBER(AB186),TEXT(AB186,"ddd d mmm")&amp;", "&amp;TEXT(AB186,"hh:mm"),"weekday evenings")&amp;", "&amp;IF(AD186&lt;&gt;"","£"&amp;IF(AD186=INT(AD186),TEXT(AD186,"0"),TEXT(AD186,"0.00")),"[PRICE PER PLAYER]")&amp;" a player. We handle booking, sign-ups and payments. Fancy "&amp;IF(ISNUMBER(SEARCH(LEFT(F186,1),"AEIOU")),"an ","a ")&amp;F186&amp;" team game? "&amp;IF(AL186&lt;&gt;"",AL186,IF(Offer!$C$5&lt;&gt;"",Offer!$C$5,"[NAME]")),LEFT("Hi"&amp;IF(O186&lt;&gt;""," "&amp;O186,"")&amp;","&amp;" FC Urban runs after-work football for "&amp;IF(D186="Canary Wharf","Canary Wharf","City")&amp;" teams: "&amp;AC186&amp;" at "&amp;X186&amp;", "&amp;Y186&amp;" min from your office, "&amp;IF(ISNUMBER(AB186),TEXT(AB186,"ddd d mmm")&amp;", "&amp;TEXT(AB186,"hh:mm"),"weekday evenings")&amp;", "&amp;IF(AD186&lt;&gt;"","£"&amp;IF(AD186=INT(AD186),TEXT(AD186,"0"),TEXT(AD186,"0.00")),"[PRICE PER PLAYER]")&amp;" pp. We handle booking and payments. Up for a team game? "&amp;IF(AL186&lt;&gt;"",AL186,IF(Offer!$C$5&lt;&gt;"",Offer!$C$5,"[NAME]")),300))</f>
        <v/>
      </c>
      <c r="AI186" s="14">
        <f>LEN(AH186)</f>
        <v/>
      </c>
      <c r="AJ186" s="14">
        <f>"Thanks for connecting"&amp;IF(O186&lt;&gt;"",", "&amp;O186,"")&amp;". "&amp;IF(ISNUMBER(AB186),"The "&amp;AC186&amp;" slot at "&amp;X186&amp;" is "&amp;IF(ISNUMBER(AB186),TEXT(AB186,"ddd d mmm")&amp;", "&amp;TEXT(AB186,"hh:mm"),"weekday evenings"),"We can book "&amp;AC186&amp;" at "&amp;X186&amp;" on a weekday evening that suits you")&amp;" and it's "&amp;IF(AD186&lt;&gt;"","£"&amp;IF(AD186=INT(AD186),TEXT(AD186,"0"),TEXT(AD186,"0.00")),"[PRICE PER PLAYER]")&amp;" a player, all booked and paid through one link. If football isn't your thing, who at "&amp;F186&amp;" would be the right person to organise a team game?"&amp;IF(Offer!$C$7&lt;&gt;""," Spots are held until "&amp;TEXT(Offer!$C$7,"dddd d mmmm")&amp;".","")&amp;" "&amp;IF(Offer!$C$6&lt;&gt;"",Offer!$C$6,"[JOINING LINK]")</f>
        <v/>
      </c>
      <c r="AK186" s="14">
        <f>IF(OR(ISNUMBER(SEARCH("[",AG186)),ISNUMBER(SEARCH("[",AJ186))),"Fill placeholders",IF(ISNUMBER(AB186),"Ready to send","Ready · no fixed slot"))</f>
        <v/>
      </c>
      <c r="AN186" s="17" t="n"/>
    </row>
    <row r="187">
      <c r="A187" s="11" t="n">
        <v>185</v>
      </c>
      <c r="B187" s="11" t="n">
        <v>3</v>
      </c>
      <c r="C187" s="11" t="inlineStr">
        <is>
          <t>Fund / asset manager</t>
        </is>
      </c>
      <c r="D187" s="11" t="inlineStr">
        <is>
          <t>City of London</t>
        </is>
      </c>
      <c r="E187" s="11" t="inlineStr">
        <is>
          <t>Hedge Funds Investment Management Limited</t>
        </is>
      </c>
      <c r="F187" s="11" t="inlineStr">
        <is>
          <t>Hedge Funds Investment Management</t>
        </is>
      </c>
      <c r="G187" s="11" t="inlineStr">
        <is>
          <t>03591241</t>
        </is>
      </c>
      <c r="H187" s="12" t="inlineStr">
        <is>
          <t>Open</t>
        </is>
      </c>
      <c r="I187" s="12" t="inlineStr">
        <is>
          <t>Search</t>
        </is>
      </c>
      <c r="J187" s="11" t="inlineStr">
        <is>
          <t>Medium</t>
        </is>
      </c>
      <c r="K187" s="13" t="n">
        <v>35977</v>
      </c>
      <c r="L187" s="11" t="inlineStr">
        <is>
          <t>30 Crown Place, London</t>
        </is>
      </c>
      <c r="M187" s="11" t="inlineStr">
        <is>
          <t>EC2A 4ES</t>
        </is>
      </c>
      <c r="N187" s="11" t="inlineStr">
        <is>
          <t>No</t>
        </is>
      </c>
      <c r="U187" s="11" t="inlineStr">
        <is>
          <t>Shoreditch Powerleague</t>
        </is>
      </c>
      <c r="V187" s="11" t="n">
        <v>10</v>
      </c>
      <c r="W187" s="11" t="inlineStr">
        <is>
          <t>Liverpool St - Attlee Centre (12.6)</t>
        </is>
      </c>
      <c r="X187" s="11" t="inlineStr">
        <is>
          <t>Shoreditch Powerleague</t>
        </is>
      </c>
      <c r="Y187" s="11" t="n">
        <v>10</v>
      </c>
      <c r="Z187" s="14">
        <f>IFERROR(INDEX(Venues!$E$2:$E$15,MATCH(X187,Venues!$A$2:$A$15,0)),"Not checked")</f>
        <v/>
      </c>
      <c r="AA187" s="14">
        <f>IFERROR(INDEX(Venues!$F$2:$F$15,MATCH(X187,Venues!$A$2:$A$15,0)),0)</f>
        <v/>
      </c>
      <c r="AB187" s="15">
        <f>IFERROR(INDEX(Venues!$M$2:$M$15,MATCH(X187,Venues!$A$2:$A$15,0)),"")</f>
        <v/>
      </c>
      <c r="AC187" s="14">
        <f>IFERROR(INDEX(Venues!$N$2:$N$15,MATCH(X187,Venues!$A$2:$A$15,0)),"5-a-side")</f>
        <v/>
      </c>
      <c r="AD187" s="16">
        <f>IF(Offer!$C$4="","",Offer!$C$4)</f>
        <v/>
      </c>
      <c r="AE187" s="14">
        <f>X187&amp;" ("&amp;Y187&amp;" min walk) · "&amp;IF(ISNUMBER(AB187),TEXT(AB187,"ddd d mmm, hh:mm"),"slot to confirm with venue")&amp;" · "&amp;AC187&amp;" · "&amp;IF(AD187&lt;&gt;"","£"&amp;TEXT(AD187,"0.00")&amp;" pp","price TBC")</f>
        <v/>
      </c>
      <c r="AF187" s="14">
        <f>"After-work football for "&amp;F187&amp;" · "&amp;X187&amp;", "&amp;Y187&amp;" min from your office"</f>
        <v/>
      </c>
      <c r="AG187" s="14">
        <f>"Hi"&amp;IF(O187&lt;&gt;""," "&amp;O187,"")&amp;","&amp;CHAR(10)&amp;CHAR(10)&amp;"I'm "&amp;IF(AL187&lt;&gt;"",AL187,IF(Offer!$C$5&lt;&gt;"",Offer!$C$5,"[NAME]"))&amp;" from FC Urban. We organise after-work football for teams in the City and Canary Wharf."&amp;CHAR(10)&amp;CHAR(10)&amp;"We have a "&amp;AC187&amp;" pitch at "&amp;X187&amp;", "&amp;IF(OR(Y187=8,Y187=11,Y187=18),"an ","a ")&amp;Y187&amp;"-minute walk from your "&amp;M187&amp;" office, "&amp;IF(ISNUMBER(AB187),"on "&amp;TEXT(AB187,"dddd d mmmm")&amp;" at "&amp;TEXT(AB187,"hh:mm"),"on a weekday evening that suits your team")&amp;". It's "&amp;IF(AD187&lt;&gt;"","£"&amp;IF(AD187=INT(AD187),TEXT(AD187,"0"),TEXT(AD187,"0.00")),"[PRICE PER PLAYER]")&amp;" a player and we handle the pitch booking, sign-ups and payments, so all it takes is one person sharing a link with the team."&amp;CHAR(10)&amp;CHAR(10)&amp;"It works well as a team social or "&amp;IF(ISNUMBER(SEARCH(LEFT(F187,1),"AEIOU")),"an ","a ")&amp;F187&amp;"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LINK]")&amp;CHAR(10)&amp;CHAR(10)&amp;"Best,"&amp;CHAR(10)&amp;IF(AL187&lt;&gt;"",AL187,IF(Offer!$C$5&lt;&gt;"",Offer!$C$5,"[NAME]"))&amp;CHAR(10)&amp;"FC Urban"</f>
        <v/>
      </c>
      <c r="AH187" s="14">
        <f>IF(LEN("Hi"&amp;IF(O187&lt;&gt;""," "&amp;O187,"")&amp;","&amp;" FC Urban runs after-work football for "&amp;IF(D187="Canary Wharf","Canary Wharf","City")&amp;" teams. We have a "&amp;AC187&amp;" pitch at "&amp;X187&amp;", "&amp;Y187&amp;" min from your office, "&amp;IF(ISNUMBER(AB187),TEXT(AB187,"ddd d mmm")&amp;", "&amp;TEXT(AB187,"hh:mm"),"weekday evenings")&amp;", "&amp;IF(AD187&lt;&gt;"","£"&amp;IF(AD187=INT(AD187),TEXT(AD187,"0"),TEXT(AD187,"0.00")),"[PRICE PER PLAYER]")&amp;" a player. We handle booking, sign-ups and payments. Fancy "&amp;IF(ISNUMBER(SEARCH(LEFT(F187,1),"AEIOU")),"an ","a ")&amp;F187&amp;" team game? "&amp;IF(AL187&lt;&gt;"",AL187,IF(Offer!$C$5&lt;&gt;"",Offer!$C$5,"[NAME]")))&lt;=300,"Hi"&amp;IF(O187&lt;&gt;""," "&amp;O187,"")&amp;","&amp;" FC Urban runs after-work football for "&amp;IF(D187="Canary Wharf","Canary Wharf","City")&amp;" teams. We have a "&amp;AC187&amp;" pitch at "&amp;X187&amp;", "&amp;Y187&amp;" min from your office, "&amp;IF(ISNUMBER(AB187),TEXT(AB187,"ddd d mmm")&amp;", "&amp;TEXT(AB187,"hh:mm"),"weekday evenings")&amp;", "&amp;IF(AD187&lt;&gt;"","£"&amp;IF(AD187=INT(AD187),TEXT(AD187,"0"),TEXT(AD187,"0.00")),"[PRICE PER PLAYER]")&amp;" a player. We handle booking, sign-ups and payments. Fancy "&amp;IF(ISNUMBER(SEARCH(LEFT(F187,1),"AEIOU")),"an ","a ")&amp;F187&amp;" team game? "&amp;IF(AL187&lt;&gt;"",AL187,IF(Offer!$C$5&lt;&gt;"",Offer!$C$5,"[NAME]")),LEFT("Hi"&amp;IF(O187&lt;&gt;""," "&amp;O187,"")&amp;","&amp;" FC Urban runs after-work football for "&amp;IF(D187="Canary Wharf","Canary Wharf","City")&amp;" teams: "&amp;AC187&amp;" at "&amp;X187&amp;", "&amp;Y187&amp;" min from your office, "&amp;IF(ISNUMBER(AB187),TEXT(AB187,"ddd d mmm")&amp;", "&amp;TEXT(AB187,"hh:mm"),"weekday evenings")&amp;", "&amp;IF(AD187&lt;&gt;"","£"&amp;IF(AD187=INT(AD187),TEXT(AD187,"0"),TEXT(AD187,"0.00")),"[PRICE PER PLAYER]")&amp;" pp. We handle booking and payments. Up for a team game? "&amp;IF(AL187&lt;&gt;"",AL187,IF(Offer!$C$5&lt;&gt;"",Offer!$C$5,"[NAME]")),300))</f>
        <v/>
      </c>
      <c r="AI187" s="14">
        <f>LEN(AH187)</f>
        <v/>
      </c>
      <c r="AJ187" s="14">
        <f>"Thanks for connecting"&amp;IF(O187&lt;&gt;"",", "&amp;O187,"")&amp;". "&amp;IF(ISNUMBER(AB187),"The "&amp;AC187&amp;" slot at "&amp;X187&amp;" is "&amp;IF(ISNUMBER(AB187),TEXT(AB187,"ddd d mmm")&amp;", "&amp;TEXT(AB187,"hh:mm"),"weekday evenings"),"We can book "&amp;AC187&amp;" at "&amp;X187&amp;" on a weekday evening that suits you")&amp;" and it's "&amp;IF(AD187&lt;&gt;"","£"&amp;IF(AD187=INT(AD187),TEXT(AD187,"0"),TEXT(AD187,"0.00")),"[PRICE PER PLAYER]")&amp;" a player, all booked and paid through one link. If football isn't your thing, who at "&amp;F187&amp;" would be the right person to organise a team game?"&amp;IF(Offer!$C$7&lt;&gt;""," Spots are held until "&amp;TEXT(Offer!$C$7,"dddd d mmmm")&amp;".","")&amp;" "&amp;IF(Offer!$C$6&lt;&gt;"",Offer!$C$6,"[JOINING LINK]")</f>
        <v/>
      </c>
      <c r="AK187" s="14">
        <f>IF(OR(ISNUMBER(SEARCH("[",AG187)),ISNUMBER(SEARCH("[",AJ187))),"Fill placeholders",IF(ISNUMBER(AB187),"Ready to send","Ready · no fixed slot"))</f>
        <v/>
      </c>
      <c r="AN187" s="17" t="n"/>
    </row>
    <row r="188">
      <c r="A188" s="11" t="n">
        <v>186</v>
      </c>
      <c r="B188" s="11" t="n">
        <v>3</v>
      </c>
      <c r="C188" s="11" t="inlineStr">
        <is>
          <t>Fund / asset manager</t>
        </is>
      </c>
      <c r="D188" s="11" t="inlineStr">
        <is>
          <t>City of London</t>
        </is>
      </c>
      <c r="E188" s="11" t="inlineStr">
        <is>
          <t>Amicus Capital Consulting LLP</t>
        </is>
      </c>
      <c r="F188" s="11" t="inlineStr">
        <is>
          <t>Amicus Capital Consulting</t>
        </is>
      </c>
      <c r="G188" s="11" t="inlineStr">
        <is>
          <t>OC369335</t>
        </is>
      </c>
      <c r="H188" s="12" t="inlineStr">
        <is>
          <t>Open</t>
        </is>
      </c>
      <c r="I188" s="12" t="inlineStr">
        <is>
          <t>Search</t>
        </is>
      </c>
      <c r="J188" s="11" t="inlineStr">
        <is>
          <t>Full</t>
        </is>
      </c>
      <c r="K188" s="13" t="n">
        <v>40847</v>
      </c>
      <c r="L188" s="11" t="inlineStr">
        <is>
          <t>30 Crown Place, London</t>
        </is>
      </c>
      <c r="M188" s="11" t="inlineStr">
        <is>
          <t>EC2A 4EB</t>
        </is>
      </c>
      <c r="N188" s="11" t="inlineStr">
        <is>
          <t>No</t>
        </is>
      </c>
      <c r="U188" s="11" t="inlineStr">
        <is>
          <t>Shoreditch Powerleague</t>
        </is>
      </c>
      <c r="V188" s="11" t="n">
        <v>10</v>
      </c>
      <c r="W188" s="11" t="inlineStr">
        <is>
          <t>Liverpool St - Attlee Centre (12.6)</t>
        </is>
      </c>
      <c r="X188" s="11" t="inlineStr">
        <is>
          <t>Shoreditch Powerleague</t>
        </is>
      </c>
      <c r="Y188" s="11" t="n">
        <v>10</v>
      </c>
      <c r="Z188" s="14">
        <f>IFERROR(INDEX(Venues!$E$2:$E$15,MATCH(X188,Venues!$A$2:$A$15,0)),"Not checked")</f>
        <v/>
      </c>
      <c r="AA188" s="14">
        <f>IFERROR(INDEX(Venues!$F$2:$F$15,MATCH(X188,Venues!$A$2:$A$15,0)),0)</f>
        <v/>
      </c>
      <c r="AB188" s="15">
        <f>IFERROR(INDEX(Venues!$M$2:$M$15,MATCH(X188,Venues!$A$2:$A$15,0)),"")</f>
        <v/>
      </c>
      <c r="AC188" s="14">
        <f>IFERROR(INDEX(Venues!$N$2:$N$15,MATCH(X188,Venues!$A$2:$A$15,0)),"5-a-side")</f>
        <v/>
      </c>
      <c r="AD188" s="16">
        <f>IF(Offer!$C$4="","",Offer!$C$4)</f>
        <v/>
      </c>
      <c r="AE188" s="14">
        <f>X188&amp;" ("&amp;Y188&amp;" min walk) · "&amp;IF(ISNUMBER(AB188),TEXT(AB188,"ddd d mmm, hh:mm"),"slot to confirm with venue")&amp;" · "&amp;AC188&amp;" · "&amp;IF(AD188&lt;&gt;"","£"&amp;TEXT(AD188,"0.00")&amp;" pp","price TBC")</f>
        <v/>
      </c>
      <c r="AF188" s="14">
        <f>"After-work football for "&amp;F188&amp;" · "&amp;X188&amp;", "&amp;Y188&amp;" min from your office"</f>
        <v/>
      </c>
      <c r="AG188" s="14">
        <f>"Hi"&amp;IF(O188&lt;&gt;""," "&amp;O188,"")&amp;","&amp;CHAR(10)&amp;CHAR(10)&amp;"I'm "&amp;IF(AL188&lt;&gt;"",AL188,IF(Offer!$C$5&lt;&gt;"",Offer!$C$5,"[NAME]"))&amp;" from FC Urban. We organise after-work football for teams in the City and Canary Wharf."&amp;CHAR(10)&amp;CHAR(10)&amp;"We have a "&amp;AC188&amp;" pitch at "&amp;X188&amp;", "&amp;IF(OR(Y188=8,Y188=11,Y188=18),"an ","a ")&amp;Y188&amp;"-minute walk from your "&amp;M188&amp;" office, "&amp;IF(ISNUMBER(AB188),"on "&amp;TEXT(AB188,"dddd d mmmm")&amp;" at "&amp;TEXT(AB188,"hh:mm"),"on a weekday evening that suits your team")&amp;". It's "&amp;IF(AD188&lt;&gt;"","£"&amp;IF(AD188=INT(AD188),TEXT(AD188,"0"),TEXT(AD188,"0.00")),"[PRICE PER PLAYER]")&amp;" a player and we handle the pitch booking, sign-ups and payments, so all it takes is one person sharing a link with the team."&amp;CHAR(10)&amp;CHAR(10)&amp;"It works well as a team social or "&amp;IF(ISNUMBER(SEARCH(LEFT(F188,1),"AEIOU")),"an ","a ")&amp;F188&amp;"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LINK]")&amp;CHAR(10)&amp;CHAR(10)&amp;"Best,"&amp;CHAR(10)&amp;IF(AL188&lt;&gt;"",AL188,IF(Offer!$C$5&lt;&gt;"",Offer!$C$5,"[NAME]"))&amp;CHAR(10)&amp;"FC Urban"</f>
        <v/>
      </c>
      <c r="AH188" s="14">
        <f>IF(LEN("Hi"&amp;IF(O188&lt;&gt;""," "&amp;O188,"")&amp;","&amp;" FC Urban runs after-work football for "&amp;IF(D188="Canary Wharf","Canary Wharf","City")&amp;" teams. We have a "&amp;AC188&amp;" pitch at "&amp;X188&amp;", "&amp;Y188&amp;" min from your office, "&amp;IF(ISNUMBER(AB188),TEXT(AB188,"ddd d mmm")&amp;", "&amp;TEXT(AB188,"hh:mm"),"weekday evenings")&amp;", "&amp;IF(AD188&lt;&gt;"","£"&amp;IF(AD188=INT(AD188),TEXT(AD188,"0"),TEXT(AD188,"0.00")),"[PRICE PER PLAYER]")&amp;" a player. We handle booking, sign-ups and payments. Fancy "&amp;IF(ISNUMBER(SEARCH(LEFT(F188,1),"AEIOU")),"an ","a ")&amp;F188&amp;" team game? "&amp;IF(AL188&lt;&gt;"",AL188,IF(Offer!$C$5&lt;&gt;"",Offer!$C$5,"[NAME]")))&lt;=300,"Hi"&amp;IF(O188&lt;&gt;""," "&amp;O188,"")&amp;","&amp;" FC Urban runs after-work football for "&amp;IF(D188="Canary Wharf","Canary Wharf","City")&amp;" teams. We have a "&amp;AC188&amp;" pitch at "&amp;X188&amp;", "&amp;Y188&amp;" min from your office, "&amp;IF(ISNUMBER(AB188),TEXT(AB188,"ddd d mmm")&amp;", "&amp;TEXT(AB188,"hh:mm"),"weekday evenings")&amp;", "&amp;IF(AD188&lt;&gt;"","£"&amp;IF(AD188=INT(AD188),TEXT(AD188,"0"),TEXT(AD188,"0.00")),"[PRICE PER PLAYER]")&amp;" a player. We handle booking, sign-ups and payments. Fancy "&amp;IF(ISNUMBER(SEARCH(LEFT(F188,1),"AEIOU")),"an ","a ")&amp;F188&amp;" team game? "&amp;IF(AL188&lt;&gt;"",AL188,IF(Offer!$C$5&lt;&gt;"",Offer!$C$5,"[NAME]")),LEFT("Hi"&amp;IF(O188&lt;&gt;""," "&amp;O188,"")&amp;","&amp;" FC Urban runs after-work football for "&amp;IF(D188="Canary Wharf","Canary Wharf","City")&amp;" teams: "&amp;AC188&amp;" at "&amp;X188&amp;", "&amp;Y188&amp;" min from your office, "&amp;IF(ISNUMBER(AB188),TEXT(AB188,"ddd d mmm")&amp;", "&amp;TEXT(AB188,"hh:mm"),"weekday evenings")&amp;", "&amp;IF(AD188&lt;&gt;"","£"&amp;IF(AD188=INT(AD188),TEXT(AD188,"0"),TEXT(AD188,"0.00")),"[PRICE PER PLAYER]")&amp;" pp. We handle booking and payments. Up for a team game? "&amp;IF(AL188&lt;&gt;"",AL188,IF(Offer!$C$5&lt;&gt;"",Offer!$C$5,"[NAME]")),300))</f>
        <v/>
      </c>
      <c r="AI188" s="14">
        <f>LEN(AH188)</f>
        <v/>
      </c>
      <c r="AJ188" s="14">
        <f>"Thanks for connecting"&amp;IF(O188&lt;&gt;"",", "&amp;O188,"")&amp;". "&amp;IF(ISNUMBER(AB188),"The "&amp;AC188&amp;" slot at "&amp;X188&amp;" is "&amp;IF(ISNUMBER(AB188),TEXT(AB188,"ddd d mmm")&amp;", "&amp;TEXT(AB188,"hh:mm"),"weekday evenings"),"We can book "&amp;AC188&amp;" at "&amp;X188&amp;" on a weekday evening that suits you")&amp;" and it's "&amp;IF(AD188&lt;&gt;"","£"&amp;IF(AD188=INT(AD188),TEXT(AD188,"0"),TEXT(AD188,"0.00")),"[PRICE PER PLAYER]")&amp;" a player, all booked and paid through one link. If football isn't your thing, who at "&amp;F188&amp;" would be the right person to organise a team game?"&amp;IF(Offer!$C$7&lt;&gt;""," Spots are held until "&amp;TEXT(Offer!$C$7,"dddd d mmmm")&amp;".","")&amp;" "&amp;IF(Offer!$C$6&lt;&gt;"",Offer!$C$6,"[JOINING LINK]")</f>
        <v/>
      </c>
      <c r="AK188" s="14">
        <f>IF(OR(ISNUMBER(SEARCH("[",AG188)),ISNUMBER(SEARCH("[",AJ188))),"Fill placeholders",IF(ISNUMBER(AB188),"Ready to send","Ready · no fixed slot"))</f>
        <v/>
      </c>
      <c r="AN188" s="17" t="n"/>
    </row>
    <row r="189">
      <c r="A189" s="11" t="n">
        <v>187</v>
      </c>
      <c r="B189" s="11" t="n">
        <v>3</v>
      </c>
      <c r="C189" s="11" t="inlineStr">
        <is>
          <t>Fund / asset manager</t>
        </is>
      </c>
      <c r="D189" s="11" t="inlineStr">
        <is>
          <t>City of London</t>
        </is>
      </c>
      <c r="E189" s="11" t="inlineStr">
        <is>
          <t>Socii Capital LLP</t>
        </is>
      </c>
      <c r="F189" s="11" t="inlineStr">
        <is>
          <t>Socii Capital</t>
        </is>
      </c>
      <c r="G189" s="11" t="inlineStr">
        <is>
          <t>OC414735</t>
        </is>
      </c>
      <c r="H189" s="12" t="inlineStr">
        <is>
          <t>Open</t>
        </is>
      </c>
      <c r="I189" s="12" t="inlineStr">
        <is>
          <t>Search</t>
        </is>
      </c>
      <c r="J189" s="11" t="inlineStr">
        <is>
          <t>Full</t>
        </is>
      </c>
      <c r="K189" s="13" t="n">
        <v>42696</v>
      </c>
      <c r="L189" s="11" t="inlineStr">
        <is>
          <t>3Rd Floor, 86 - 90 Paul Street, London</t>
        </is>
      </c>
      <c r="M189" s="11" t="inlineStr">
        <is>
          <t>EC2A 4NE</t>
        </is>
      </c>
      <c r="N189" s="11" t="inlineStr">
        <is>
          <t>No</t>
        </is>
      </c>
      <c r="U189" s="11" t="inlineStr">
        <is>
          <t>Shoreditch Powerleague</t>
        </is>
      </c>
      <c r="V189" s="11" t="n">
        <v>10</v>
      </c>
      <c r="W189" s="11" t="inlineStr">
        <is>
          <t>Shoreditch Rooftop (15.7); Old St - Moreland Primary School (17.4)</t>
        </is>
      </c>
      <c r="X189" s="11" t="inlineStr">
        <is>
          <t>Shoreditch Powerleague</t>
        </is>
      </c>
      <c r="Y189" s="11" t="n">
        <v>10</v>
      </c>
      <c r="Z189" s="14">
        <f>IFERROR(INDEX(Venues!$E$2:$E$15,MATCH(X189,Venues!$A$2:$A$15,0)),"Not checked")</f>
        <v/>
      </c>
      <c r="AA189" s="14">
        <f>IFERROR(INDEX(Venues!$F$2:$F$15,MATCH(X189,Venues!$A$2:$A$15,0)),0)</f>
        <v/>
      </c>
      <c r="AB189" s="15">
        <f>IFERROR(INDEX(Venues!$M$2:$M$15,MATCH(X189,Venues!$A$2:$A$15,0)),"")</f>
        <v/>
      </c>
      <c r="AC189" s="14">
        <f>IFERROR(INDEX(Venues!$N$2:$N$15,MATCH(X189,Venues!$A$2:$A$15,0)),"5-a-side")</f>
        <v/>
      </c>
      <c r="AD189" s="16">
        <f>IF(Offer!$C$4="","",Offer!$C$4)</f>
        <v/>
      </c>
      <c r="AE189" s="14">
        <f>X189&amp;" ("&amp;Y189&amp;" min walk) · "&amp;IF(ISNUMBER(AB189),TEXT(AB189,"ddd d mmm, hh:mm"),"slot to confirm with venue")&amp;" · "&amp;AC189&amp;" · "&amp;IF(AD189&lt;&gt;"","£"&amp;TEXT(AD189,"0.00")&amp;" pp","price TBC")</f>
        <v/>
      </c>
      <c r="AF189" s="14">
        <f>"After-work football for "&amp;F189&amp;" · "&amp;X189&amp;", "&amp;Y189&amp;" min from your office"</f>
        <v/>
      </c>
      <c r="AG189" s="14">
        <f>"Hi"&amp;IF(O189&lt;&gt;""," "&amp;O189,"")&amp;","&amp;CHAR(10)&amp;CHAR(10)&amp;"I'm "&amp;IF(AL189&lt;&gt;"",AL189,IF(Offer!$C$5&lt;&gt;"",Offer!$C$5,"[NAME]"))&amp;" from FC Urban. We organise after-work football for teams in the City and Canary Wharf."&amp;CHAR(10)&amp;CHAR(10)&amp;"We have a "&amp;AC189&amp;" pitch at "&amp;X189&amp;", "&amp;IF(OR(Y189=8,Y189=11,Y189=18),"an ","a ")&amp;Y189&amp;"-minute walk from your "&amp;M189&amp;" office, "&amp;IF(ISNUMBER(AB189),"on "&amp;TEXT(AB189,"dddd d mmmm")&amp;" at "&amp;TEXT(AB189,"hh:mm"),"on a weekday evening that suits your team")&amp;". It's "&amp;IF(AD189&lt;&gt;"","£"&amp;IF(AD189=INT(AD189),TEXT(AD189,"0"),TEXT(AD189,"0.00")),"[PRICE PER PLAYER]")&amp;" a player and we handle the pitch booking, sign-ups and payments, so all it takes is one person sharing a link with the team."&amp;CHAR(10)&amp;CHAR(10)&amp;"It works well as a team social or "&amp;IF(ISNUMBER(SEARCH(LEFT(F189,1),"AEIOU")),"an ","a ")&amp;F189&amp;"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LINK]")&amp;CHAR(10)&amp;CHAR(10)&amp;"Best,"&amp;CHAR(10)&amp;IF(AL189&lt;&gt;"",AL189,IF(Offer!$C$5&lt;&gt;"",Offer!$C$5,"[NAME]"))&amp;CHAR(10)&amp;"FC Urban"</f>
        <v/>
      </c>
      <c r="AH189" s="14">
        <f>IF(LEN("Hi"&amp;IF(O189&lt;&gt;""," "&amp;O189,"")&amp;","&amp;" FC Urban runs after-work football for "&amp;IF(D189="Canary Wharf","Canary Wharf","City")&amp;" teams. We have a "&amp;AC189&amp;" pitch at "&amp;X189&amp;", "&amp;Y189&amp;" min from your office, "&amp;IF(ISNUMBER(AB189),TEXT(AB189,"ddd d mmm")&amp;", "&amp;TEXT(AB189,"hh:mm"),"weekday evenings")&amp;", "&amp;IF(AD189&lt;&gt;"","£"&amp;IF(AD189=INT(AD189),TEXT(AD189,"0"),TEXT(AD189,"0.00")),"[PRICE PER PLAYER]")&amp;" a player. We handle booking, sign-ups and payments. Fancy "&amp;IF(ISNUMBER(SEARCH(LEFT(F189,1),"AEIOU")),"an ","a ")&amp;F189&amp;" team game? "&amp;IF(AL189&lt;&gt;"",AL189,IF(Offer!$C$5&lt;&gt;"",Offer!$C$5,"[NAME]")))&lt;=300,"Hi"&amp;IF(O189&lt;&gt;""," "&amp;O189,"")&amp;","&amp;" FC Urban runs after-work football for "&amp;IF(D189="Canary Wharf","Canary Wharf","City")&amp;" teams. We have a "&amp;AC189&amp;" pitch at "&amp;X189&amp;", "&amp;Y189&amp;" min from your office, "&amp;IF(ISNUMBER(AB189),TEXT(AB189,"ddd d mmm")&amp;", "&amp;TEXT(AB189,"hh:mm"),"weekday evenings")&amp;", "&amp;IF(AD189&lt;&gt;"","£"&amp;IF(AD189=INT(AD189),TEXT(AD189,"0"),TEXT(AD189,"0.00")),"[PRICE PER PLAYER]")&amp;" a player. We handle booking, sign-ups and payments. Fancy "&amp;IF(ISNUMBER(SEARCH(LEFT(F189,1),"AEIOU")),"an ","a ")&amp;F189&amp;" team game? "&amp;IF(AL189&lt;&gt;"",AL189,IF(Offer!$C$5&lt;&gt;"",Offer!$C$5,"[NAME]")),LEFT("Hi"&amp;IF(O189&lt;&gt;""," "&amp;O189,"")&amp;","&amp;" FC Urban runs after-work football for "&amp;IF(D189="Canary Wharf","Canary Wharf","City")&amp;" teams: "&amp;AC189&amp;" at "&amp;X189&amp;", "&amp;Y189&amp;" min from your office, "&amp;IF(ISNUMBER(AB189),TEXT(AB189,"ddd d mmm")&amp;", "&amp;TEXT(AB189,"hh:mm"),"weekday evenings")&amp;", "&amp;IF(AD189&lt;&gt;"","£"&amp;IF(AD189=INT(AD189),TEXT(AD189,"0"),TEXT(AD189,"0.00")),"[PRICE PER PLAYER]")&amp;" pp. We handle booking and payments. Up for a team game? "&amp;IF(AL189&lt;&gt;"",AL189,IF(Offer!$C$5&lt;&gt;"",Offer!$C$5,"[NAME]")),300))</f>
        <v/>
      </c>
      <c r="AI189" s="14">
        <f>LEN(AH189)</f>
        <v/>
      </c>
      <c r="AJ189" s="14">
        <f>"Thanks for connecting"&amp;IF(O189&lt;&gt;"",", "&amp;O189,"")&amp;". "&amp;IF(ISNUMBER(AB189),"The "&amp;AC189&amp;" slot at "&amp;X189&amp;" is "&amp;IF(ISNUMBER(AB189),TEXT(AB189,"ddd d mmm")&amp;", "&amp;TEXT(AB189,"hh:mm"),"weekday evenings"),"We can book "&amp;AC189&amp;" at "&amp;X189&amp;" on a weekday evening that suits you")&amp;" and it's "&amp;IF(AD189&lt;&gt;"","£"&amp;IF(AD189=INT(AD189),TEXT(AD189,"0"),TEXT(AD189,"0.00")),"[PRICE PER PLAYER]")&amp;" a player, all booked and paid through one link. If football isn't your thing, who at "&amp;F189&amp;" would be the right person to organise a team game?"&amp;IF(Offer!$C$7&lt;&gt;""," Spots are held until "&amp;TEXT(Offer!$C$7,"dddd d mmmm")&amp;".","")&amp;" "&amp;IF(Offer!$C$6&lt;&gt;"",Offer!$C$6,"[JOINING LINK]")</f>
        <v/>
      </c>
      <c r="AK189" s="14">
        <f>IF(OR(ISNUMBER(SEARCH("[",AG189)),ISNUMBER(SEARCH("[",AJ189))),"Fill placeholders",IF(ISNUMBER(AB189),"Ready to send","Ready · no fixed slot"))</f>
        <v/>
      </c>
      <c r="AN189" s="17" t="n"/>
    </row>
    <row r="190">
      <c r="A190" s="11" t="n">
        <v>188</v>
      </c>
      <c r="B190" s="11" t="n">
        <v>3</v>
      </c>
      <c r="C190" s="11" t="inlineStr">
        <is>
          <t>Fund / asset manager</t>
        </is>
      </c>
      <c r="D190" s="11" t="inlineStr">
        <is>
          <t>City of London</t>
        </is>
      </c>
      <c r="E190" s="11" t="inlineStr">
        <is>
          <t>Pirum Systems Limited</t>
        </is>
      </c>
      <c r="F190" s="11" t="inlineStr">
        <is>
          <t>Pirum Systems</t>
        </is>
      </c>
      <c r="G190" s="11" t="inlineStr">
        <is>
          <t>04016953</t>
        </is>
      </c>
      <c r="H190" s="12" t="inlineStr">
        <is>
          <t>Open</t>
        </is>
      </c>
      <c r="I190" s="12" t="inlineStr">
        <is>
          <t>Search</t>
        </is>
      </c>
      <c r="J190" s="11" t="inlineStr">
        <is>
          <t>Full</t>
        </is>
      </c>
      <c r="K190" s="13" t="n">
        <v>36696</v>
      </c>
      <c r="L190" s="11" t="inlineStr">
        <is>
          <t>10 Crown Place, London</t>
        </is>
      </c>
      <c r="M190" s="11" t="inlineStr">
        <is>
          <t>EC2A 4FT</t>
        </is>
      </c>
      <c r="N190" s="11" t="inlineStr">
        <is>
          <t>No</t>
        </is>
      </c>
      <c r="U190" s="11" t="inlineStr">
        <is>
          <t>Shoreditch Powerleague</t>
        </is>
      </c>
      <c r="V190" s="11" t="n">
        <v>10</v>
      </c>
      <c r="W190" s="11" t="inlineStr">
        <is>
          <t>Liverpool St - Attlee Centre (12.8)</t>
        </is>
      </c>
      <c r="X190" s="11" t="inlineStr">
        <is>
          <t>Shoreditch Powerleague</t>
        </is>
      </c>
      <c r="Y190" s="11" t="n">
        <v>10</v>
      </c>
      <c r="Z190" s="14">
        <f>IFERROR(INDEX(Venues!$E$2:$E$15,MATCH(X190,Venues!$A$2:$A$15,0)),"Not checked")</f>
        <v/>
      </c>
      <c r="AA190" s="14">
        <f>IFERROR(INDEX(Venues!$F$2:$F$15,MATCH(X190,Venues!$A$2:$A$15,0)),0)</f>
        <v/>
      </c>
      <c r="AB190" s="15">
        <f>IFERROR(INDEX(Venues!$M$2:$M$15,MATCH(X190,Venues!$A$2:$A$15,0)),"")</f>
        <v/>
      </c>
      <c r="AC190" s="14">
        <f>IFERROR(INDEX(Venues!$N$2:$N$15,MATCH(X190,Venues!$A$2:$A$15,0)),"5-a-side")</f>
        <v/>
      </c>
      <c r="AD190" s="16">
        <f>IF(Offer!$C$4="","",Offer!$C$4)</f>
        <v/>
      </c>
      <c r="AE190" s="14">
        <f>X190&amp;" ("&amp;Y190&amp;" min walk) · "&amp;IF(ISNUMBER(AB190),TEXT(AB190,"ddd d mmm, hh:mm"),"slot to confirm with venue")&amp;" · "&amp;AC190&amp;" · "&amp;IF(AD190&lt;&gt;"","£"&amp;TEXT(AD190,"0.00")&amp;" pp","price TBC")</f>
        <v/>
      </c>
      <c r="AF190" s="14">
        <f>"After-work football for "&amp;F190&amp;" · "&amp;X190&amp;", "&amp;Y190&amp;" min from your office"</f>
        <v/>
      </c>
      <c r="AG190" s="14">
        <f>"Hi"&amp;IF(O190&lt;&gt;""," "&amp;O190,"")&amp;","&amp;CHAR(10)&amp;CHAR(10)&amp;"I'm "&amp;IF(AL190&lt;&gt;"",AL190,IF(Offer!$C$5&lt;&gt;"",Offer!$C$5,"[NAME]"))&amp;" from FC Urban. We organise after-work football for teams in the City and Canary Wharf."&amp;CHAR(10)&amp;CHAR(10)&amp;"We have a "&amp;AC190&amp;" pitch at "&amp;X190&amp;", "&amp;IF(OR(Y190=8,Y190=11,Y190=18),"an ","a ")&amp;Y190&amp;"-minute walk from your "&amp;M190&amp;" office, "&amp;IF(ISNUMBER(AB190),"on "&amp;TEXT(AB190,"dddd d mmmm")&amp;" at "&amp;TEXT(AB190,"hh:mm"),"on a weekday evening that suits your team")&amp;". It's "&amp;IF(AD190&lt;&gt;"","£"&amp;IF(AD190=INT(AD190),TEXT(AD190,"0"),TEXT(AD190,"0.00")),"[PRICE PER PLAYER]")&amp;" a player and we handle the pitch booking, sign-ups and payments, so all it takes is one person sharing a link with the team."&amp;CHAR(10)&amp;CHAR(10)&amp;"It works well as a team social or "&amp;IF(ISNUMBER(SEARCH(LEFT(F190,1),"AEIOU")),"an ","a ")&amp;F190&amp;"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LINK]")&amp;CHAR(10)&amp;CHAR(10)&amp;"Best,"&amp;CHAR(10)&amp;IF(AL190&lt;&gt;"",AL190,IF(Offer!$C$5&lt;&gt;"",Offer!$C$5,"[NAME]"))&amp;CHAR(10)&amp;"FC Urban"</f>
        <v/>
      </c>
      <c r="AH190" s="14">
        <f>IF(LEN("Hi"&amp;IF(O190&lt;&gt;""," "&amp;O190,"")&amp;","&amp;" FC Urban runs after-work football for "&amp;IF(D190="Canary Wharf","Canary Wharf","City")&amp;" teams. We have a "&amp;AC190&amp;" pitch at "&amp;X190&amp;", "&amp;Y190&amp;" min from your office, "&amp;IF(ISNUMBER(AB190),TEXT(AB190,"ddd d mmm")&amp;", "&amp;TEXT(AB190,"hh:mm"),"weekday evenings")&amp;", "&amp;IF(AD190&lt;&gt;"","£"&amp;IF(AD190=INT(AD190),TEXT(AD190,"0"),TEXT(AD190,"0.00")),"[PRICE PER PLAYER]")&amp;" a player. We handle booking, sign-ups and payments. Fancy "&amp;IF(ISNUMBER(SEARCH(LEFT(F190,1),"AEIOU")),"an ","a ")&amp;F190&amp;" team game? "&amp;IF(AL190&lt;&gt;"",AL190,IF(Offer!$C$5&lt;&gt;"",Offer!$C$5,"[NAME]")))&lt;=300,"Hi"&amp;IF(O190&lt;&gt;""," "&amp;O190,"")&amp;","&amp;" FC Urban runs after-work football for "&amp;IF(D190="Canary Wharf","Canary Wharf","City")&amp;" teams. We have a "&amp;AC190&amp;" pitch at "&amp;X190&amp;", "&amp;Y190&amp;" min from your office, "&amp;IF(ISNUMBER(AB190),TEXT(AB190,"ddd d mmm")&amp;", "&amp;TEXT(AB190,"hh:mm"),"weekday evenings")&amp;", "&amp;IF(AD190&lt;&gt;"","£"&amp;IF(AD190=INT(AD190),TEXT(AD190,"0"),TEXT(AD190,"0.00")),"[PRICE PER PLAYER]")&amp;" a player. We handle booking, sign-ups and payments. Fancy "&amp;IF(ISNUMBER(SEARCH(LEFT(F190,1),"AEIOU")),"an ","a ")&amp;F190&amp;" team game? "&amp;IF(AL190&lt;&gt;"",AL190,IF(Offer!$C$5&lt;&gt;"",Offer!$C$5,"[NAME]")),LEFT("Hi"&amp;IF(O190&lt;&gt;""," "&amp;O190,"")&amp;","&amp;" FC Urban runs after-work football for "&amp;IF(D190="Canary Wharf","Canary Wharf","City")&amp;" teams: "&amp;AC190&amp;" at "&amp;X190&amp;", "&amp;Y190&amp;" min from your office, "&amp;IF(ISNUMBER(AB190),TEXT(AB190,"ddd d mmm")&amp;", "&amp;TEXT(AB190,"hh:mm"),"weekday evenings")&amp;", "&amp;IF(AD190&lt;&gt;"","£"&amp;IF(AD190=INT(AD190),TEXT(AD190,"0"),TEXT(AD190,"0.00")),"[PRICE PER PLAYER]")&amp;" pp. We handle booking and payments. Up for a team game? "&amp;IF(AL190&lt;&gt;"",AL190,IF(Offer!$C$5&lt;&gt;"",Offer!$C$5,"[NAME]")),300))</f>
        <v/>
      </c>
      <c r="AI190" s="14">
        <f>LEN(AH190)</f>
        <v/>
      </c>
      <c r="AJ190" s="14">
        <f>"Thanks for connecting"&amp;IF(O190&lt;&gt;"",", "&amp;O190,"")&amp;". "&amp;IF(ISNUMBER(AB190),"The "&amp;AC190&amp;" slot at "&amp;X190&amp;" is "&amp;IF(ISNUMBER(AB190),TEXT(AB190,"ddd d mmm")&amp;", "&amp;TEXT(AB190,"hh:mm"),"weekday evenings"),"We can book "&amp;AC190&amp;" at "&amp;X190&amp;" on a weekday evening that suits you")&amp;" and it's "&amp;IF(AD190&lt;&gt;"","£"&amp;IF(AD190=INT(AD190),TEXT(AD190,"0"),TEXT(AD190,"0.00")),"[PRICE PER PLAYER]")&amp;" a player, all booked and paid through one link. If football isn't your thing, who at "&amp;F190&amp;" would be the right person to organise a team game?"&amp;IF(Offer!$C$7&lt;&gt;""," Spots are held until "&amp;TEXT(Offer!$C$7,"dddd d mmmm")&amp;".","")&amp;" "&amp;IF(Offer!$C$6&lt;&gt;"",Offer!$C$6,"[JOINING LINK]")</f>
        <v/>
      </c>
      <c r="AK190" s="14">
        <f>IF(OR(ISNUMBER(SEARCH("[",AG190)),ISNUMBER(SEARCH("[",AJ190))),"Fill placeholders",IF(ISNUMBER(AB190),"Ready to send","Ready · no fixed slot"))</f>
        <v/>
      </c>
      <c r="AN190" s="17" t="n"/>
    </row>
    <row r="191">
      <c r="A191" s="11" t="n">
        <v>189</v>
      </c>
      <c r="B191" s="11" t="n">
        <v>3</v>
      </c>
      <c r="C191" s="11" t="inlineStr">
        <is>
          <t>Insurance / broker</t>
        </is>
      </c>
      <c r="D191" s="11" t="inlineStr">
        <is>
          <t>City of London</t>
        </is>
      </c>
      <c r="E191" s="11" t="inlineStr">
        <is>
          <t>J.B. Boda &amp; Co. (UK) Limited</t>
        </is>
      </c>
      <c r="F191" s="11" t="inlineStr">
        <is>
          <t>J.B. Boda &amp; Co</t>
        </is>
      </c>
      <c r="G191" s="11" t="inlineStr">
        <is>
          <t>00564536</t>
        </is>
      </c>
      <c r="H191" s="12" t="inlineStr">
        <is>
          <t>Open</t>
        </is>
      </c>
      <c r="I191" s="12" t="inlineStr">
        <is>
          <t>Search</t>
        </is>
      </c>
      <c r="J191" s="11" t="inlineStr">
        <is>
          <t>Medium</t>
        </is>
      </c>
      <c r="K191" s="13" t="n">
        <v>20556</v>
      </c>
      <c r="L191" s="11" t="inlineStr">
        <is>
          <t>Muro, 11Th Floor, 2 India Street, London</t>
        </is>
      </c>
      <c r="M191" s="11" t="inlineStr">
        <is>
          <t>EC3N 2AF</t>
        </is>
      </c>
      <c r="N191" s="11" t="inlineStr">
        <is>
          <t>Yes</t>
        </is>
      </c>
      <c r="U191" s="11" t="inlineStr">
        <is>
          <t>Liverpool St - Attlee Centre</t>
        </is>
      </c>
      <c r="V191" s="11" t="n">
        <v>10</v>
      </c>
      <c r="W191" s="11" t="inlineStr">
        <is>
          <t>Whitechapel (18.3)</t>
        </is>
      </c>
      <c r="X191" s="11" t="inlineStr">
        <is>
          <t>Liverpool St - Attlee Centre</t>
        </is>
      </c>
      <c r="Y191" s="11" t="n">
        <v>10</v>
      </c>
      <c r="Z191" s="14">
        <f>IFERROR(INDEX(Venues!$E$2:$E$15,MATCH(X191,Venues!$A$2:$A$15,0)),"Not checked")</f>
        <v/>
      </c>
      <c r="AA191" s="14">
        <f>IFERROR(INDEX(Venues!$F$2:$F$15,MATCH(X191,Venues!$A$2:$A$15,0)),0)</f>
        <v/>
      </c>
      <c r="AB191" s="15">
        <f>IFERROR(INDEX(Venues!$M$2:$M$15,MATCH(X191,Venues!$A$2:$A$15,0)),"")</f>
        <v/>
      </c>
      <c r="AC191" s="14">
        <f>IFERROR(INDEX(Venues!$N$2:$N$15,MATCH(X191,Venues!$A$2:$A$15,0)),"5-a-side")</f>
        <v/>
      </c>
      <c r="AD191" s="16">
        <f>IF(Offer!$C$4="","",Offer!$C$4)</f>
        <v/>
      </c>
      <c r="AE191" s="14">
        <f>X191&amp;" ("&amp;Y191&amp;" min walk) · "&amp;IF(ISNUMBER(AB191),TEXT(AB191,"ddd d mmm, hh:mm"),"slot to confirm with venue")&amp;" · "&amp;AC191&amp;" · "&amp;IF(AD191&lt;&gt;"","£"&amp;TEXT(AD191,"0.00")&amp;" pp","price TBC")</f>
        <v/>
      </c>
      <c r="AF191" s="14">
        <f>"After-work football for "&amp;F191&amp;" · "&amp;X191&amp;", "&amp;Y191&amp;" min from your office"</f>
        <v/>
      </c>
      <c r="AG191" s="14">
        <f>"Hi"&amp;IF(O191&lt;&gt;""," "&amp;O191,"")&amp;","&amp;CHAR(10)&amp;CHAR(10)&amp;"I'm "&amp;IF(AL191&lt;&gt;"",AL191,IF(Offer!$C$5&lt;&gt;"",Offer!$C$5,"[NAME]"))&amp;" from FC Urban. We organise after-work football for teams in the City and Canary Wharf."&amp;CHAR(10)&amp;CHAR(10)&amp;"We have a "&amp;AC191&amp;" pitch at "&amp;X191&amp;", "&amp;IF(OR(Y191=8,Y191=11,Y191=18),"an ","a ")&amp;Y191&amp;"-minute walk from your "&amp;M191&amp;" office, "&amp;IF(ISNUMBER(AB191),"on "&amp;TEXT(AB191,"dddd d mmmm")&amp;" at "&amp;TEXT(AB191,"hh:mm"),"on a weekday evening that suits your team")&amp;". It's "&amp;IF(AD191&lt;&gt;"","£"&amp;IF(AD191=INT(AD191),TEXT(AD191,"0"),TEXT(AD191,"0.00")),"[PRICE PER PLAYER]")&amp;" a player and we handle the pitch booking, sign-ups and payments, so all it takes is one person sharing a link with the team."&amp;CHAR(10)&amp;CHAR(10)&amp;"It works well as a team social or "&amp;IF(ISNUMBER(SEARCH(LEFT(F191,1),"AEIOU")),"an ","a ")&amp;F191&amp;"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LINK]")&amp;CHAR(10)&amp;CHAR(10)&amp;"Best,"&amp;CHAR(10)&amp;IF(AL191&lt;&gt;"",AL191,IF(Offer!$C$5&lt;&gt;"",Offer!$C$5,"[NAME]"))&amp;CHAR(10)&amp;"FC Urban"</f>
        <v/>
      </c>
      <c r="AH191" s="14">
        <f>IF(LEN("Hi"&amp;IF(O191&lt;&gt;""," "&amp;O191,"")&amp;","&amp;" FC Urban runs after-work football for "&amp;IF(D191="Canary Wharf","Canary Wharf","City")&amp;" teams. We have a "&amp;AC191&amp;" pitch at "&amp;X191&amp;", "&amp;Y191&amp;" min from your office, "&amp;IF(ISNUMBER(AB191),TEXT(AB191,"ddd d mmm")&amp;", "&amp;TEXT(AB191,"hh:mm"),"weekday evenings")&amp;", "&amp;IF(AD191&lt;&gt;"","£"&amp;IF(AD191=INT(AD191),TEXT(AD191,"0"),TEXT(AD191,"0.00")),"[PRICE PER PLAYER]")&amp;" a player. We handle booking, sign-ups and payments. Fancy "&amp;IF(ISNUMBER(SEARCH(LEFT(F191,1),"AEIOU")),"an ","a ")&amp;F191&amp;" team game? "&amp;IF(AL191&lt;&gt;"",AL191,IF(Offer!$C$5&lt;&gt;"",Offer!$C$5,"[NAME]")))&lt;=300,"Hi"&amp;IF(O191&lt;&gt;""," "&amp;O191,"")&amp;","&amp;" FC Urban runs after-work football for "&amp;IF(D191="Canary Wharf","Canary Wharf","City")&amp;" teams. We have a "&amp;AC191&amp;" pitch at "&amp;X191&amp;", "&amp;Y191&amp;" min from your office, "&amp;IF(ISNUMBER(AB191),TEXT(AB191,"ddd d mmm")&amp;", "&amp;TEXT(AB191,"hh:mm"),"weekday evenings")&amp;", "&amp;IF(AD191&lt;&gt;"","£"&amp;IF(AD191=INT(AD191),TEXT(AD191,"0"),TEXT(AD191,"0.00")),"[PRICE PER PLAYER]")&amp;" a player. We handle booking, sign-ups and payments. Fancy "&amp;IF(ISNUMBER(SEARCH(LEFT(F191,1),"AEIOU")),"an ","a ")&amp;F191&amp;" team game? "&amp;IF(AL191&lt;&gt;"",AL191,IF(Offer!$C$5&lt;&gt;"",Offer!$C$5,"[NAME]")),LEFT("Hi"&amp;IF(O191&lt;&gt;""," "&amp;O191,"")&amp;","&amp;" FC Urban runs after-work football for "&amp;IF(D191="Canary Wharf","Canary Wharf","City")&amp;" teams: "&amp;AC191&amp;" at "&amp;X191&amp;", "&amp;Y191&amp;" min from your office, "&amp;IF(ISNUMBER(AB191),TEXT(AB191,"ddd d mmm")&amp;", "&amp;TEXT(AB191,"hh:mm"),"weekday evenings")&amp;", "&amp;IF(AD191&lt;&gt;"","£"&amp;IF(AD191=INT(AD191),TEXT(AD191,"0"),TEXT(AD191,"0.00")),"[PRICE PER PLAYER]")&amp;" pp. We handle booking and payments. Up for a team game? "&amp;IF(AL191&lt;&gt;"",AL191,IF(Offer!$C$5&lt;&gt;"",Offer!$C$5,"[NAME]")),300))</f>
        <v/>
      </c>
      <c r="AI191" s="14">
        <f>LEN(AH191)</f>
        <v/>
      </c>
      <c r="AJ191" s="14">
        <f>"Thanks for connecting"&amp;IF(O191&lt;&gt;"",", "&amp;O191,"")&amp;". "&amp;IF(ISNUMBER(AB191),"The "&amp;AC191&amp;" slot at "&amp;X191&amp;" is "&amp;IF(ISNUMBER(AB191),TEXT(AB191,"ddd d mmm")&amp;", "&amp;TEXT(AB191,"hh:mm"),"weekday evenings"),"We can book "&amp;AC191&amp;" at "&amp;X191&amp;" on a weekday evening that suits you")&amp;" and it's "&amp;IF(AD191&lt;&gt;"","£"&amp;IF(AD191=INT(AD191),TEXT(AD191,"0"),TEXT(AD191,"0.00")),"[PRICE PER PLAYER]")&amp;" a player, all booked and paid through one link. If football isn't your thing, who at "&amp;F191&amp;" would be the right person to organise a team game?"&amp;IF(Offer!$C$7&lt;&gt;""," Spots are held until "&amp;TEXT(Offer!$C$7,"dddd d mmmm")&amp;".","")&amp;" "&amp;IF(Offer!$C$6&lt;&gt;"",Offer!$C$6,"[JOINING LINK]")</f>
        <v/>
      </c>
      <c r="AK191" s="14">
        <f>IF(OR(ISNUMBER(SEARCH("[",AG191)),ISNUMBER(SEARCH("[",AJ191))),"Fill placeholders",IF(ISNUMBER(AB191),"Ready to send","Ready · no fixed slot"))</f>
        <v/>
      </c>
      <c r="AN191" s="17" t="n"/>
    </row>
    <row r="192">
      <c r="A192" s="11" t="n">
        <v>190</v>
      </c>
      <c r="B192" s="11" t="n">
        <v>3</v>
      </c>
      <c r="C192" s="11" t="inlineStr">
        <is>
          <t>Insurance / broker</t>
        </is>
      </c>
      <c r="D192" s="11" t="inlineStr">
        <is>
          <t>City of London</t>
        </is>
      </c>
      <c r="E192" s="11" t="inlineStr">
        <is>
          <t>Clegg Gifford &amp; Co Limited</t>
        </is>
      </c>
      <c r="F192" s="11" t="inlineStr">
        <is>
          <t>Clegg Gifford &amp; Co</t>
        </is>
      </c>
      <c r="G192" s="11" t="inlineStr">
        <is>
          <t>02838391</t>
        </is>
      </c>
      <c r="H192" s="12" t="inlineStr">
        <is>
          <t>Open</t>
        </is>
      </c>
      <c r="I192" s="12" t="inlineStr">
        <is>
          <t>Search</t>
        </is>
      </c>
      <c r="J192" s="11" t="inlineStr">
        <is>
          <t>Full</t>
        </is>
      </c>
      <c r="K192" s="13" t="n">
        <v>34172</v>
      </c>
      <c r="L192" s="11" t="inlineStr">
        <is>
          <t>128 Minories, London</t>
        </is>
      </c>
      <c r="M192" s="11" t="inlineStr">
        <is>
          <t>EC3N 1NT</t>
        </is>
      </c>
      <c r="N192" s="11" t="inlineStr">
        <is>
          <t>Yes</t>
        </is>
      </c>
      <c r="U192" s="11" t="inlineStr">
        <is>
          <t>Liverpool St - Attlee Centre</t>
        </is>
      </c>
      <c r="V192" s="11" t="n">
        <v>10</v>
      </c>
      <c r="W192" s="11" t="inlineStr">
        <is>
          <t>Whitechapel (17.8)</t>
        </is>
      </c>
      <c r="X192" s="11" t="inlineStr">
        <is>
          <t>Liverpool St - Attlee Centre</t>
        </is>
      </c>
      <c r="Y192" s="11" t="n">
        <v>10</v>
      </c>
      <c r="Z192" s="14">
        <f>IFERROR(INDEX(Venues!$E$2:$E$15,MATCH(X192,Venues!$A$2:$A$15,0)),"Not checked")</f>
        <v/>
      </c>
      <c r="AA192" s="14">
        <f>IFERROR(INDEX(Venues!$F$2:$F$15,MATCH(X192,Venues!$A$2:$A$15,0)),0)</f>
        <v/>
      </c>
      <c r="AB192" s="15">
        <f>IFERROR(INDEX(Venues!$M$2:$M$15,MATCH(X192,Venues!$A$2:$A$15,0)),"")</f>
        <v/>
      </c>
      <c r="AC192" s="14">
        <f>IFERROR(INDEX(Venues!$N$2:$N$15,MATCH(X192,Venues!$A$2:$A$15,0)),"5-a-side")</f>
        <v/>
      </c>
      <c r="AD192" s="16">
        <f>IF(Offer!$C$4="","",Offer!$C$4)</f>
        <v/>
      </c>
      <c r="AE192" s="14">
        <f>X192&amp;" ("&amp;Y192&amp;" min walk) · "&amp;IF(ISNUMBER(AB192),TEXT(AB192,"ddd d mmm, hh:mm"),"slot to confirm with venue")&amp;" · "&amp;AC192&amp;" · "&amp;IF(AD192&lt;&gt;"","£"&amp;TEXT(AD192,"0.00")&amp;" pp","price TBC")</f>
        <v/>
      </c>
      <c r="AF192" s="14">
        <f>"After-work football for "&amp;F192&amp;" · "&amp;X192&amp;", "&amp;Y192&amp;" min from your office"</f>
        <v/>
      </c>
      <c r="AG192" s="14">
        <f>"Hi"&amp;IF(O192&lt;&gt;""," "&amp;O192,"")&amp;","&amp;CHAR(10)&amp;CHAR(10)&amp;"I'm "&amp;IF(AL192&lt;&gt;"",AL192,IF(Offer!$C$5&lt;&gt;"",Offer!$C$5,"[NAME]"))&amp;" from FC Urban. We organise after-work football for teams in the City and Canary Wharf."&amp;CHAR(10)&amp;CHAR(10)&amp;"We have a "&amp;AC192&amp;" pitch at "&amp;X192&amp;", "&amp;IF(OR(Y192=8,Y192=11,Y192=18),"an ","a ")&amp;Y192&amp;"-minute walk from your "&amp;M192&amp;" office, "&amp;IF(ISNUMBER(AB192),"on "&amp;TEXT(AB192,"dddd d mmmm")&amp;" at "&amp;TEXT(AB192,"hh:mm"),"on a weekday evening that suits your team")&amp;". It's "&amp;IF(AD192&lt;&gt;"","£"&amp;IF(AD192=INT(AD192),TEXT(AD192,"0"),TEXT(AD192,"0.00")),"[PRICE PER PLAYER]")&amp;" a player and we handle the pitch booking, sign-ups and payments, so all it takes is one person sharing a link with the team."&amp;CHAR(10)&amp;CHAR(10)&amp;"It works well as a team social or "&amp;IF(ISNUMBER(SEARCH(LEFT(F192,1),"AEIOU")),"an ","a ")&amp;F192&amp;"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LINK]")&amp;CHAR(10)&amp;CHAR(10)&amp;"Best,"&amp;CHAR(10)&amp;IF(AL192&lt;&gt;"",AL192,IF(Offer!$C$5&lt;&gt;"",Offer!$C$5,"[NAME]"))&amp;CHAR(10)&amp;"FC Urban"</f>
        <v/>
      </c>
      <c r="AH192" s="14">
        <f>IF(LEN("Hi"&amp;IF(O192&lt;&gt;""," "&amp;O192,"")&amp;","&amp;" FC Urban runs after-work football for "&amp;IF(D192="Canary Wharf","Canary Wharf","City")&amp;" teams. We have a "&amp;AC192&amp;" pitch at "&amp;X192&amp;", "&amp;Y192&amp;" min from your office, "&amp;IF(ISNUMBER(AB192),TEXT(AB192,"ddd d mmm")&amp;", "&amp;TEXT(AB192,"hh:mm"),"weekday evenings")&amp;", "&amp;IF(AD192&lt;&gt;"","£"&amp;IF(AD192=INT(AD192),TEXT(AD192,"0"),TEXT(AD192,"0.00")),"[PRICE PER PLAYER]")&amp;" a player. We handle booking, sign-ups and payments. Fancy "&amp;IF(ISNUMBER(SEARCH(LEFT(F192,1),"AEIOU")),"an ","a ")&amp;F192&amp;" team game? "&amp;IF(AL192&lt;&gt;"",AL192,IF(Offer!$C$5&lt;&gt;"",Offer!$C$5,"[NAME]")))&lt;=300,"Hi"&amp;IF(O192&lt;&gt;""," "&amp;O192,"")&amp;","&amp;" FC Urban runs after-work football for "&amp;IF(D192="Canary Wharf","Canary Wharf","City")&amp;" teams. We have a "&amp;AC192&amp;" pitch at "&amp;X192&amp;", "&amp;Y192&amp;" min from your office, "&amp;IF(ISNUMBER(AB192),TEXT(AB192,"ddd d mmm")&amp;", "&amp;TEXT(AB192,"hh:mm"),"weekday evenings")&amp;", "&amp;IF(AD192&lt;&gt;"","£"&amp;IF(AD192=INT(AD192),TEXT(AD192,"0"),TEXT(AD192,"0.00")),"[PRICE PER PLAYER]")&amp;" a player. We handle booking, sign-ups and payments. Fancy "&amp;IF(ISNUMBER(SEARCH(LEFT(F192,1),"AEIOU")),"an ","a ")&amp;F192&amp;" team game? "&amp;IF(AL192&lt;&gt;"",AL192,IF(Offer!$C$5&lt;&gt;"",Offer!$C$5,"[NAME]")),LEFT("Hi"&amp;IF(O192&lt;&gt;""," "&amp;O192,"")&amp;","&amp;" FC Urban runs after-work football for "&amp;IF(D192="Canary Wharf","Canary Wharf","City")&amp;" teams: "&amp;AC192&amp;" at "&amp;X192&amp;", "&amp;Y192&amp;" min from your office, "&amp;IF(ISNUMBER(AB192),TEXT(AB192,"ddd d mmm")&amp;", "&amp;TEXT(AB192,"hh:mm"),"weekday evenings")&amp;", "&amp;IF(AD192&lt;&gt;"","£"&amp;IF(AD192=INT(AD192),TEXT(AD192,"0"),TEXT(AD192,"0.00")),"[PRICE PER PLAYER]")&amp;" pp. We handle booking and payments. Up for a team game? "&amp;IF(AL192&lt;&gt;"",AL192,IF(Offer!$C$5&lt;&gt;"",Offer!$C$5,"[NAME]")),300))</f>
        <v/>
      </c>
      <c r="AI192" s="14">
        <f>LEN(AH192)</f>
        <v/>
      </c>
      <c r="AJ192" s="14">
        <f>"Thanks for connecting"&amp;IF(O192&lt;&gt;"",", "&amp;O192,"")&amp;". "&amp;IF(ISNUMBER(AB192),"The "&amp;AC192&amp;" slot at "&amp;X192&amp;" is "&amp;IF(ISNUMBER(AB192),TEXT(AB192,"ddd d mmm")&amp;", "&amp;TEXT(AB192,"hh:mm"),"weekday evenings"),"We can book "&amp;AC192&amp;" at "&amp;X192&amp;" on a weekday evening that suits you")&amp;" and it's "&amp;IF(AD192&lt;&gt;"","£"&amp;IF(AD192=INT(AD192),TEXT(AD192,"0"),TEXT(AD192,"0.00")),"[PRICE PER PLAYER]")&amp;" a player, all booked and paid through one link. If football isn't your thing, who at "&amp;F192&amp;" would be the right person to organise a team game?"&amp;IF(Offer!$C$7&lt;&gt;""," Spots are held until "&amp;TEXT(Offer!$C$7,"dddd d mmmm")&amp;".","")&amp;" "&amp;IF(Offer!$C$6&lt;&gt;"",Offer!$C$6,"[JOINING LINK]")</f>
        <v/>
      </c>
      <c r="AK192" s="14">
        <f>IF(OR(ISNUMBER(SEARCH("[",AG192)),ISNUMBER(SEARCH("[",AJ192))),"Fill placeholders",IF(ISNUMBER(AB192),"Ready to send","Ready · no fixed slot"))</f>
        <v/>
      </c>
      <c r="AN192" s="17" t="n"/>
    </row>
    <row r="193">
      <c r="A193" s="11" t="n">
        <v>191</v>
      </c>
      <c r="B193" s="11" t="n">
        <v>3</v>
      </c>
      <c r="C193" s="11" t="inlineStr">
        <is>
          <t>Insurance / broker</t>
        </is>
      </c>
      <c r="D193" s="11" t="inlineStr">
        <is>
          <t>City of London</t>
        </is>
      </c>
      <c r="E193" s="11" t="inlineStr">
        <is>
          <t>Crispin Speers &amp; Partners Limited</t>
        </is>
      </c>
      <c r="F193" s="11" t="inlineStr">
        <is>
          <t>Crispin Speers &amp; Partners</t>
        </is>
      </c>
      <c r="G193" s="11" t="inlineStr">
        <is>
          <t>01960404</t>
        </is>
      </c>
      <c r="H193" s="12" t="inlineStr">
        <is>
          <t>Open</t>
        </is>
      </c>
      <c r="I193" s="12" t="inlineStr">
        <is>
          <t>Search</t>
        </is>
      </c>
      <c r="J193" s="11" t="inlineStr">
        <is>
          <t>Full</t>
        </is>
      </c>
      <c r="K193" s="13" t="n">
        <v>31369</v>
      </c>
      <c r="L193" s="11" t="inlineStr">
        <is>
          <t>St Clare House, 30-33 Minories, London</t>
        </is>
      </c>
      <c r="M193" s="11" t="inlineStr">
        <is>
          <t>EC3N 1PE</t>
        </is>
      </c>
      <c r="N193" s="11" t="inlineStr">
        <is>
          <t>Yes</t>
        </is>
      </c>
      <c r="U193" s="11" t="inlineStr">
        <is>
          <t>Liverpool St - Attlee Centre</t>
        </is>
      </c>
      <c r="V193" s="11" t="n">
        <v>10</v>
      </c>
      <c r="W193" s="11" t="inlineStr">
        <is>
          <t>Whitechapel (17.2)</t>
        </is>
      </c>
      <c r="X193" s="11" t="inlineStr">
        <is>
          <t>Liverpool St - Attlee Centre</t>
        </is>
      </c>
      <c r="Y193" s="11" t="n">
        <v>10</v>
      </c>
      <c r="Z193" s="14">
        <f>IFERROR(INDEX(Venues!$E$2:$E$15,MATCH(X193,Venues!$A$2:$A$15,0)),"Not checked")</f>
        <v/>
      </c>
      <c r="AA193" s="14">
        <f>IFERROR(INDEX(Venues!$F$2:$F$15,MATCH(X193,Venues!$A$2:$A$15,0)),0)</f>
        <v/>
      </c>
      <c r="AB193" s="15">
        <f>IFERROR(INDEX(Venues!$M$2:$M$15,MATCH(X193,Venues!$A$2:$A$15,0)),"")</f>
        <v/>
      </c>
      <c r="AC193" s="14">
        <f>IFERROR(INDEX(Venues!$N$2:$N$15,MATCH(X193,Venues!$A$2:$A$15,0)),"5-a-side")</f>
        <v/>
      </c>
      <c r="AD193" s="16">
        <f>IF(Offer!$C$4="","",Offer!$C$4)</f>
        <v/>
      </c>
      <c r="AE193" s="14">
        <f>X193&amp;" ("&amp;Y193&amp;" min walk) · "&amp;IF(ISNUMBER(AB193),TEXT(AB193,"ddd d mmm, hh:mm"),"slot to confirm with venue")&amp;" · "&amp;AC193&amp;" · "&amp;IF(AD193&lt;&gt;"","£"&amp;TEXT(AD193,"0.00")&amp;" pp","price TBC")</f>
        <v/>
      </c>
      <c r="AF193" s="14">
        <f>"After-work football for "&amp;F193&amp;" · "&amp;X193&amp;", "&amp;Y193&amp;" min from your office"</f>
        <v/>
      </c>
      <c r="AG193" s="14">
        <f>"Hi"&amp;IF(O193&lt;&gt;""," "&amp;O193,"")&amp;","&amp;CHAR(10)&amp;CHAR(10)&amp;"I'm "&amp;IF(AL193&lt;&gt;"",AL193,IF(Offer!$C$5&lt;&gt;"",Offer!$C$5,"[NAME]"))&amp;" from FC Urban. We organise after-work football for teams in the City and Canary Wharf."&amp;CHAR(10)&amp;CHAR(10)&amp;"We have a "&amp;AC193&amp;" pitch at "&amp;X193&amp;", "&amp;IF(OR(Y193=8,Y193=11,Y193=18),"an ","a ")&amp;Y193&amp;"-minute walk from your "&amp;M193&amp;" office, "&amp;IF(ISNUMBER(AB193),"on "&amp;TEXT(AB193,"dddd d mmmm")&amp;" at "&amp;TEXT(AB193,"hh:mm"),"on a weekday evening that suits your team")&amp;". It's "&amp;IF(AD193&lt;&gt;"","£"&amp;IF(AD193=INT(AD193),TEXT(AD193,"0"),TEXT(AD193,"0.00")),"[PRICE PER PLAYER]")&amp;" a player and we handle the pitch booking, sign-ups and payments, so all it takes is one person sharing a link with the team."&amp;CHAR(10)&amp;CHAR(10)&amp;"It works well as a team social or "&amp;IF(ISNUMBER(SEARCH(LEFT(F193,1),"AEIOU")),"an ","a ")&amp;F193&amp;"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LINK]")&amp;CHAR(10)&amp;CHAR(10)&amp;"Best,"&amp;CHAR(10)&amp;IF(AL193&lt;&gt;"",AL193,IF(Offer!$C$5&lt;&gt;"",Offer!$C$5,"[NAME]"))&amp;CHAR(10)&amp;"FC Urban"</f>
        <v/>
      </c>
      <c r="AH193" s="14">
        <f>IF(LEN("Hi"&amp;IF(O193&lt;&gt;""," "&amp;O193,"")&amp;","&amp;" FC Urban runs after-work football for "&amp;IF(D193="Canary Wharf","Canary Wharf","City")&amp;" teams. We have a "&amp;AC193&amp;" pitch at "&amp;X193&amp;", "&amp;Y193&amp;" min from your office, "&amp;IF(ISNUMBER(AB193),TEXT(AB193,"ddd d mmm")&amp;", "&amp;TEXT(AB193,"hh:mm"),"weekday evenings")&amp;", "&amp;IF(AD193&lt;&gt;"","£"&amp;IF(AD193=INT(AD193),TEXT(AD193,"0"),TEXT(AD193,"0.00")),"[PRICE PER PLAYER]")&amp;" a player. We handle booking, sign-ups and payments. Fancy "&amp;IF(ISNUMBER(SEARCH(LEFT(F193,1),"AEIOU")),"an ","a ")&amp;F193&amp;" team game? "&amp;IF(AL193&lt;&gt;"",AL193,IF(Offer!$C$5&lt;&gt;"",Offer!$C$5,"[NAME]")))&lt;=300,"Hi"&amp;IF(O193&lt;&gt;""," "&amp;O193,"")&amp;","&amp;" FC Urban runs after-work football for "&amp;IF(D193="Canary Wharf","Canary Wharf","City")&amp;" teams. We have a "&amp;AC193&amp;" pitch at "&amp;X193&amp;", "&amp;Y193&amp;" min from your office, "&amp;IF(ISNUMBER(AB193),TEXT(AB193,"ddd d mmm")&amp;", "&amp;TEXT(AB193,"hh:mm"),"weekday evenings")&amp;", "&amp;IF(AD193&lt;&gt;"","£"&amp;IF(AD193=INT(AD193),TEXT(AD193,"0"),TEXT(AD193,"0.00")),"[PRICE PER PLAYER]")&amp;" a player. We handle booking, sign-ups and payments. Fancy "&amp;IF(ISNUMBER(SEARCH(LEFT(F193,1),"AEIOU")),"an ","a ")&amp;F193&amp;" team game? "&amp;IF(AL193&lt;&gt;"",AL193,IF(Offer!$C$5&lt;&gt;"",Offer!$C$5,"[NAME]")),LEFT("Hi"&amp;IF(O193&lt;&gt;""," "&amp;O193,"")&amp;","&amp;" FC Urban runs after-work football for "&amp;IF(D193="Canary Wharf","Canary Wharf","City")&amp;" teams: "&amp;AC193&amp;" at "&amp;X193&amp;", "&amp;Y193&amp;" min from your office, "&amp;IF(ISNUMBER(AB193),TEXT(AB193,"ddd d mmm")&amp;", "&amp;TEXT(AB193,"hh:mm"),"weekday evenings")&amp;", "&amp;IF(AD193&lt;&gt;"","£"&amp;IF(AD193=INT(AD193),TEXT(AD193,"0"),TEXT(AD193,"0.00")),"[PRICE PER PLAYER]")&amp;" pp. We handle booking and payments. Up for a team game? "&amp;IF(AL193&lt;&gt;"",AL193,IF(Offer!$C$5&lt;&gt;"",Offer!$C$5,"[NAME]")),300))</f>
        <v/>
      </c>
      <c r="AI193" s="14">
        <f>LEN(AH193)</f>
        <v/>
      </c>
      <c r="AJ193" s="14">
        <f>"Thanks for connecting"&amp;IF(O193&lt;&gt;"",", "&amp;O193,"")&amp;". "&amp;IF(ISNUMBER(AB193),"The "&amp;AC193&amp;" slot at "&amp;X193&amp;" is "&amp;IF(ISNUMBER(AB193),TEXT(AB193,"ddd d mmm")&amp;", "&amp;TEXT(AB193,"hh:mm"),"weekday evenings"),"We can book "&amp;AC193&amp;" at "&amp;X193&amp;" on a weekday evening that suits you")&amp;" and it's "&amp;IF(AD193&lt;&gt;"","£"&amp;IF(AD193=INT(AD193),TEXT(AD193,"0"),TEXT(AD193,"0.00")),"[PRICE PER PLAYER]")&amp;" a player, all booked and paid through one link. If football isn't your thing, who at "&amp;F193&amp;" would be the right person to organise a team game?"&amp;IF(Offer!$C$7&lt;&gt;""," Spots are held until "&amp;TEXT(Offer!$C$7,"dddd d mmmm")&amp;".","")&amp;" "&amp;IF(Offer!$C$6&lt;&gt;"",Offer!$C$6,"[JOINING LINK]")</f>
        <v/>
      </c>
      <c r="AK193" s="14">
        <f>IF(OR(ISNUMBER(SEARCH("[",AG193)),ISNUMBER(SEARCH("[",AJ193))),"Fill placeholders",IF(ISNUMBER(AB193),"Ready to send","Ready · no fixed slot"))</f>
        <v/>
      </c>
      <c r="AN193" s="17" t="n"/>
    </row>
    <row r="194">
      <c r="A194" s="11" t="n">
        <v>192</v>
      </c>
      <c r="B194" s="11" t="n">
        <v>3</v>
      </c>
      <c r="C194" s="11" t="inlineStr">
        <is>
          <t>Insurance / broker</t>
        </is>
      </c>
      <c r="D194" s="11" t="inlineStr">
        <is>
          <t>City of London</t>
        </is>
      </c>
      <c r="E194" s="11" t="inlineStr">
        <is>
          <t>Cobalt Underwriting Services Limited</t>
        </is>
      </c>
      <c r="F194" s="11" t="inlineStr">
        <is>
          <t>Cobalt Underwriting</t>
        </is>
      </c>
      <c r="G194" s="11" t="inlineStr">
        <is>
          <t>07979365</t>
        </is>
      </c>
      <c r="H194" s="12" t="inlineStr">
        <is>
          <t>Open</t>
        </is>
      </c>
      <c r="I194" s="12" t="inlineStr">
        <is>
          <t>Search</t>
        </is>
      </c>
      <c r="J194" s="11" t="inlineStr">
        <is>
          <t>Full</t>
        </is>
      </c>
      <c r="K194" s="13" t="n">
        <v>40975</v>
      </c>
      <c r="L194" s="11" t="inlineStr">
        <is>
          <t>9 Bonhill Street, London</t>
        </is>
      </c>
      <c r="M194" s="11" t="inlineStr">
        <is>
          <t>EC2A 4DJ</t>
        </is>
      </c>
      <c r="N194" s="11" t="inlineStr">
        <is>
          <t>No</t>
        </is>
      </c>
      <c r="U194" s="11" t="inlineStr">
        <is>
          <t>Shoreditch Powerleague</t>
        </is>
      </c>
      <c r="V194" s="11" t="n">
        <v>11</v>
      </c>
      <c r="W194" s="11" t="inlineStr">
        <is>
          <t>Liverpool St - Attlee Centre (16.1); Old St - Moreland Primary School (18.6)</t>
        </is>
      </c>
      <c r="X194" s="11" t="inlineStr">
        <is>
          <t>Shoreditch Powerleague</t>
        </is>
      </c>
      <c r="Y194" s="11" t="n">
        <v>11</v>
      </c>
      <c r="Z194" s="14">
        <f>IFERROR(INDEX(Venues!$E$2:$E$15,MATCH(X194,Venues!$A$2:$A$15,0)),"Not checked")</f>
        <v/>
      </c>
      <c r="AA194" s="14">
        <f>IFERROR(INDEX(Venues!$F$2:$F$15,MATCH(X194,Venues!$A$2:$A$15,0)),0)</f>
        <v/>
      </c>
      <c r="AB194" s="15">
        <f>IFERROR(INDEX(Venues!$M$2:$M$15,MATCH(X194,Venues!$A$2:$A$15,0)),"")</f>
        <v/>
      </c>
      <c r="AC194" s="14">
        <f>IFERROR(INDEX(Venues!$N$2:$N$15,MATCH(X194,Venues!$A$2:$A$15,0)),"5-a-side")</f>
        <v/>
      </c>
      <c r="AD194" s="16">
        <f>IF(Offer!$C$4="","",Offer!$C$4)</f>
        <v/>
      </c>
      <c r="AE194" s="14">
        <f>X194&amp;" ("&amp;Y194&amp;" min walk) · "&amp;IF(ISNUMBER(AB194),TEXT(AB194,"ddd d mmm, hh:mm"),"slot to confirm with venue")&amp;" · "&amp;AC194&amp;" · "&amp;IF(AD194&lt;&gt;"","£"&amp;TEXT(AD194,"0.00")&amp;" pp","price TBC")</f>
        <v/>
      </c>
      <c r="AF194" s="14">
        <f>"After-work football for "&amp;F194&amp;" · "&amp;X194&amp;", "&amp;Y194&amp;" min from your office"</f>
        <v/>
      </c>
      <c r="AG194" s="14">
        <f>"Hi"&amp;IF(O194&lt;&gt;""," "&amp;O194,"")&amp;","&amp;CHAR(10)&amp;CHAR(10)&amp;"I'm "&amp;IF(AL194&lt;&gt;"",AL194,IF(Offer!$C$5&lt;&gt;"",Offer!$C$5,"[NAME]"))&amp;" from FC Urban. We organise after-work football for teams in the City and Canary Wharf."&amp;CHAR(10)&amp;CHAR(10)&amp;"We have a "&amp;AC194&amp;" pitch at "&amp;X194&amp;", "&amp;IF(OR(Y194=8,Y194=11,Y194=18),"an ","a ")&amp;Y194&amp;"-minute walk from your "&amp;M194&amp;" office, "&amp;IF(ISNUMBER(AB194),"on "&amp;TEXT(AB194,"dddd d mmmm")&amp;" at "&amp;TEXT(AB194,"hh:mm"),"on a weekday evening that suits your team")&amp;". It's "&amp;IF(AD194&lt;&gt;"","£"&amp;IF(AD194=INT(AD194),TEXT(AD194,"0"),TEXT(AD194,"0.00")),"[PRICE PER PLAYER]")&amp;" a player and we handle the pitch booking, sign-ups and payments, so all it takes is one person sharing a link with the team."&amp;CHAR(10)&amp;CHAR(10)&amp;"It works well as a team social or "&amp;IF(ISNUMBER(SEARCH(LEFT(F194,1),"AEIOU")),"an ","a ")&amp;F194&amp;"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LINK]")&amp;CHAR(10)&amp;CHAR(10)&amp;"Best,"&amp;CHAR(10)&amp;IF(AL194&lt;&gt;"",AL194,IF(Offer!$C$5&lt;&gt;"",Offer!$C$5,"[NAME]"))&amp;CHAR(10)&amp;"FC Urban"</f>
        <v/>
      </c>
      <c r="AH194" s="14">
        <f>IF(LEN("Hi"&amp;IF(O194&lt;&gt;""," "&amp;O194,"")&amp;","&amp;" FC Urban runs after-work football for "&amp;IF(D194="Canary Wharf","Canary Wharf","City")&amp;" teams. We have a "&amp;AC194&amp;" pitch at "&amp;X194&amp;", "&amp;Y194&amp;" min from your office, "&amp;IF(ISNUMBER(AB194),TEXT(AB194,"ddd d mmm")&amp;", "&amp;TEXT(AB194,"hh:mm"),"weekday evenings")&amp;", "&amp;IF(AD194&lt;&gt;"","£"&amp;IF(AD194=INT(AD194),TEXT(AD194,"0"),TEXT(AD194,"0.00")),"[PRICE PER PLAYER]")&amp;" a player. We handle booking, sign-ups and payments. Fancy "&amp;IF(ISNUMBER(SEARCH(LEFT(F194,1),"AEIOU")),"an ","a ")&amp;F194&amp;" team game? "&amp;IF(AL194&lt;&gt;"",AL194,IF(Offer!$C$5&lt;&gt;"",Offer!$C$5,"[NAME]")))&lt;=300,"Hi"&amp;IF(O194&lt;&gt;""," "&amp;O194,"")&amp;","&amp;" FC Urban runs after-work football for "&amp;IF(D194="Canary Wharf","Canary Wharf","City")&amp;" teams. We have a "&amp;AC194&amp;" pitch at "&amp;X194&amp;", "&amp;Y194&amp;" min from your office, "&amp;IF(ISNUMBER(AB194),TEXT(AB194,"ddd d mmm")&amp;", "&amp;TEXT(AB194,"hh:mm"),"weekday evenings")&amp;", "&amp;IF(AD194&lt;&gt;"","£"&amp;IF(AD194=INT(AD194),TEXT(AD194,"0"),TEXT(AD194,"0.00")),"[PRICE PER PLAYER]")&amp;" a player. We handle booking, sign-ups and payments. Fancy "&amp;IF(ISNUMBER(SEARCH(LEFT(F194,1),"AEIOU")),"an ","a ")&amp;F194&amp;" team game? "&amp;IF(AL194&lt;&gt;"",AL194,IF(Offer!$C$5&lt;&gt;"",Offer!$C$5,"[NAME]")),LEFT("Hi"&amp;IF(O194&lt;&gt;""," "&amp;O194,"")&amp;","&amp;" FC Urban runs after-work football for "&amp;IF(D194="Canary Wharf","Canary Wharf","City")&amp;" teams: "&amp;AC194&amp;" at "&amp;X194&amp;", "&amp;Y194&amp;" min from your office, "&amp;IF(ISNUMBER(AB194),TEXT(AB194,"ddd d mmm")&amp;", "&amp;TEXT(AB194,"hh:mm"),"weekday evenings")&amp;", "&amp;IF(AD194&lt;&gt;"","£"&amp;IF(AD194=INT(AD194),TEXT(AD194,"0"),TEXT(AD194,"0.00")),"[PRICE PER PLAYER]")&amp;" pp. We handle booking and payments. Up for a team game? "&amp;IF(AL194&lt;&gt;"",AL194,IF(Offer!$C$5&lt;&gt;"",Offer!$C$5,"[NAME]")),300))</f>
        <v/>
      </c>
      <c r="AI194" s="14">
        <f>LEN(AH194)</f>
        <v/>
      </c>
      <c r="AJ194" s="14">
        <f>"Thanks for connecting"&amp;IF(O194&lt;&gt;"",", "&amp;O194,"")&amp;". "&amp;IF(ISNUMBER(AB194),"The "&amp;AC194&amp;" slot at "&amp;X194&amp;" is "&amp;IF(ISNUMBER(AB194),TEXT(AB194,"ddd d mmm")&amp;", "&amp;TEXT(AB194,"hh:mm"),"weekday evenings"),"We can book "&amp;AC194&amp;" at "&amp;X194&amp;" on a weekday evening that suits you")&amp;" and it's "&amp;IF(AD194&lt;&gt;"","£"&amp;IF(AD194=INT(AD194),TEXT(AD194,"0"),TEXT(AD194,"0.00")),"[PRICE PER PLAYER]")&amp;" a player, all booked and paid through one link. If football isn't your thing, who at "&amp;F194&amp;" would be the right person to organise a team game?"&amp;IF(Offer!$C$7&lt;&gt;""," Spots are held until "&amp;TEXT(Offer!$C$7,"dddd d mmmm")&amp;".","")&amp;" "&amp;IF(Offer!$C$6&lt;&gt;"",Offer!$C$6,"[JOINING LINK]")</f>
        <v/>
      </c>
      <c r="AK194" s="14">
        <f>IF(OR(ISNUMBER(SEARCH("[",AG194)),ISNUMBER(SEARCH("[",AJ194))),"Fill placeholders",IF(ISNUMBER(AB194),"Ready to send","Ready · no fixed slot"))</f>
        <v/>
      </c>
      <c r="AN194" s="17" t="n"/>
    </row>
    <row r="195">
      <c r="A195" s="11" t="n">
        <v>193</v>
      </c>
      <c r="B195" s="11" t="n">
        <v>3</v>
      </c>
      <c r="C195" s="11" t="inlineStr">
        <is>
          <t>Fund / asset manager</t>
        </is>
      </c>
      <c r="D195" s="11" t="inlineStr">
        <is>
          <t>City of London</t>
        </is>
      </c>
      <c r="E195" s="11" t="inlineStr">
        <is>
          <t>Advice Ecosystem Technologies Limited</t>
        </is>
      </c>
      <c r="F195" s="11" t="inlineStr">
        <is>
          <t>Advice Ecosystem Technologies</t>
        </is>
      </c>
      <c r="G195" s="11" t="inlineStr">
        <is>
          <t>15564560</t>
        </is>
      </c>
      <c r="H195" s="12" t="inlineStr">
        <is>
          <t>Open</t>
        </is>
      </c>
      <c r="I195" s="12" t="inlineStr">
        <is>
          <t>Search</t>
        </is>
      </c>
      <c r="J195" s="11" t="inlineStr">
        <is>
          <t>Full</t>
        </is>
      </c>
      <c r="K195" s="13" t="n">
        <v>45366</v>
      </c>
      <c r="L195" s="11" t="inlineStr">
        <is>
          <t>10Th Floor, 135 Bishopsgate, London</t>
        </is>
      </c>
      <c r="M195" s="11" t="inlineStr">
        <is>
          <t>EC2M 3TP</t>
        </is>
      </c>
      <c r="N195" s="11" t="inlineStr">
        <is>
          <t>No</t>
        </is>
      </c>
      <c r="U195" s="11" t="inlineStr">
        <is>
          <t>Liverpool St - Attlee Centre</t>
        </is>
      </c>
      <c r="V195" s="11" t="n">
        <v>8</v>
      </c>
      <c r="W195" s="11" t="inlineStr">
        <is>
          <t>Shoreditch Powerleague (10.7)</t>
        </is>
      </c>
      <c r="X195" s="11" t="inlineStr">
        <is>
          <t>Shoreditch Powerleague</t>
        </is>
      </c>
      <c r="Y195" s="11" t="n">
        <v>11</v>
      </c>
      <c r="Z195" s="14">
        <f>IFERROR(INDEX(Venues!$E$2:$E$15,MATCH(X195,Venues!$A$2:$A$15,0)),"Not checked")</f>
        <v/>
      </c>
      <c r="AA195" s="14">
        <f>IFERROR(INDEX(Venues!$F$2:$F$15,MATCH(X195,Venues!$A$2:$A$15,0)),0)</f>
        <v/>
      </c>
      <c r="AB195" s="15">
        <f>IFERROR(INDEX(Venues!$M$2:$M$15,MATCH(X195,Venues!$A$2:$A$15,0)),"")</f>
        <v/>
      </c>
      <c r="AC195" s="14">
        <f>IFERROR(INDEX(Venues!$N$2:$N$15,MATCH(X195,Venues!$A$2:$A$15,0)),"5-a-side")</f>
        <v/>
      </c>
      <c r="AD195" s="16">
        <f>IF(Offer!$C$4="","",Offer!$C$4)</f>
        <v/>
      </c>
      <c r="AE195" s="14">
        <f>X195&amp;" ("&amp;Y195&amp;" min walk) · "&amp;IF(ISNUMBER(AB195),TEXT(AB195,"ddd d mmm, hh:mm"),"slot to confirm with venue")&amp;" · "&amp;AC195&amp;" · "&amp;IF(AD195&lt;&gt;"","£"&amp;TEXT(AD195,"0.00")&amp;" pp","price TBC")</f>
        <v/>
      </c>
      <c r="AF195" s="14">
        <f>"After-work football for "&amp;F195&amp;" · "&amp;X195&amp;", "&amp;Y195&amp;" min from your office"</f>
        <v/>
      </c>
      <c r="AG195" s="14">
        <f>"Hi"&amp;IF(O195&lt;&gt;""," "&amp;O195,"")&amp;","&amp;CHAR(10)&amp;CHAR(10)&amp;"I'm "&amp;IF(AL195&lt;&gt;"",AL195,IF(Offer!$C$5&lt;&gt;"",Offer!$C$5,"[NAME]"))&amp;" from FC Urban. We organise after-work football for teams in the City and Canary Wharf."&amp;CHAR(10)&amp;CHAR(10)&amp;"We have a "&amp;AC195&amp;" pitch at "&amp;X195&amp;", "&amp;IF(OR(Y195=8,Y195=11,Y195=18),"an ","a ")&amp;Y195&amp;"-minute walk from your "&amp;M195&amp;" office, "&amp;IF(ISNUMBER(AB195),"on "&amp;TEXT(AB195,"dddd d mmmm")&amp;" at "&amp;TEXT(AB195,"hh:mm"),"on a weekday evening that suits your team")&amp;". It's "&amp;IF(AD195&lt;&gt;"","£"&amp;IF(AD195=INT(AD195),TEXT(AD195,"0"),TEXT(AD195,"0.00")),"[PRICE PER PLAYER]")&amp;" a player and we handle the pitch booking, sign-ups and payments, so all it takes is one person sharing a link with the team."&amp;CHAR(10)&amp;CHAR(10)&amp;"It works well as a team social or "&amp;IF(ISNUMBER(SEARCH(LEFT(F195,1),"AEIOU")),"an ","a ")&amp;F195&amp;"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LINK]")&amp;CHAR(10)&amp;CHAR(10)&amp;"Best,"&amp;CHAR(10)&amp;IF(AL195&lt;&gt;"",AL195,IF(Offer!$C$5&lt;&gt;"",Offer!$C$5,"[NAME]"))&amp;CHAR(10)&amp;"FC Urban"</f>
        <v/>
      </c>
      <c r="AH195" s="14">
        <f>IF(LEN("Hi"&amp;IF(O195&lt;&gt;""," "&amp;O195,"")&amp;","&amp;" FC Urban runs after-work football for "&amp;IF(D195="Canary Wharf","Canary Wharf","City")&amp;" teams. We have a "&amp;AC195&amp;" pitch at "&amp;X195&amp;", "&amp;Y195&amp;" min from your office, "&amp;IF(ISNUMBER(AB195),TEXT(AB195,"ddd d mmm")&amp;", "&amp;TEXT(AB195,"hh:mm"),"weekday evenings")&amp;", "&amp;IF(AD195&lt;&gt;"","£"&amp;IF(AD195=INT(AD195),TEXT(AD195,"0"),TEXT(AD195,"0.00")),"[PRICE PER PLAYER]")&amp;" a player. We handle booking, sign-ups and payments. Fancy "&amp;IF(ISNUMBER(SEARCH(LEFT(F195,1),"AEIOU")),"an ","a ")&amp;F195&amp;" team game? "&amp;IF(AL195&lt;&gt;"",AL195,IF(Offer!$C$5&lt;&gt;"",Offer!$C$5,"[NAME]")))&lt;=300,"Hi"&amp;IF(O195&lt;&gt;""," "&amp;O195,"")&amp;","&amp;" FC Urban runs after-work football for "&amp;IF(D195="Canary Wharf","Canary Wharf","City")&amp;" teams. We have a "&amp;AC195&amp;" pitch at "&amp;X195&amp;", "&amp;Y195&amp;" min from your office, "&amp;IF(ISNUMBER(AB195),TEXT(AB195,"ddd d mmm")&amp;", "&amp;TEXT(AB195,"hh:mm"),"weekday evenings")&amp;", "&amp;IF(AD195&lt;&gt;"","£"&amp;IF(AD195=INT(AD195),TEXT(AD195,"0"),TEXT(AD195,"0.00")),"[PRICE PER PLAYER]")&amp;" a player. We handle booking, sign-ups and payments. Fancy "&amp;IF(ISNUMBER(SEARCH(LEFT(F195,1),"AEIOU")),"an ","a ")&amp;F195&amp;" team game? "&amp;IF(AL195&lt;&gt;"",AL195,IF(Offer!$C$5&lt;&gt;"",Offer!$C$5,"[NAME]")),LEFT("Hi"&amp;IF(O195&lt;&gt;""," "&amp;O195,"")&amp;","&amp;" FC Urban runs after-work football for "&amp;IF(D195="Canary Wharf","Canary Wharf","City")&amp;" teams: "&amp;AC195&amp;" at "&amp;X195&amp;", "&amp;Y195&amp;" min from your office, "&amp;IF(ISNUMBER(AB195),TEXT(AB195,"ddd d mmm")&amp;", "&amp;TEXT(AB195,"hh:mm"),"weekday evenings")&amp;", "&amp;IF(AD195&lt;&gt;"","£"&amp;IF(AD195=INT(AD195),TEXT(AD195,"0"),TEXT(AD195,"0.00")),"[PRICE PER PLAYER]")&amp;" pp. We handle booking and payments. Up for a team game? "&amp;IF(AL195&lt;&gt;"",AL195,IF(Offer!$C$5&lt;&gt;"",Offer!$C$5,"[NAME]")),300))</f>
        <v/>
      </c>
      <c r="AI195" s="14">
        <f>LEN(AH195)</f>
        <v/>
      </c>
      <c r="AJ195" s="14">
        <f>"Thanks for connecting"&amp;IF(O195&lt;&gt;"",", "&amp;O195,"")&amp;". "&amp;IF(ISNUMBER(AB195),"The "&amp;AC195&amp;" slot at "&amp;X195&amp;" is "&amp;IF(ISNUMBER(AB195),TEXT(AB195,"ddd d mmm")&amp;", "&amp;TEXT(AB195,"hh:mm"),"weekday evenings"),"We can book "&amp;AC195&amp;" at "&amp;X195&amp;" on a weekday evening that suits you")&amp;" and it's "&amp;IF(AD195&lt;&gt;"","£"&amp;IF(AD195=INT(AD195),TEXT(AD195,"0"),TEXT(AD195,"0.00")),"[PRICE PER PLAYER]")&amp;" a player, all booked and paid through one link. If football isn't your thing, who at "&amp;F195&amp;" would be the right person to organise a team game?"&amp;IF(Offer!$C$7&lt;&gt;""," Spots are held until "&amp;TEXT(Offer!$C$7,"dddd d mmmm")&amp;".","")&amp;" "&amp;IF(Offer!$C$6&lt;&gt;"",Offer!$C$6,"[JOINING LINK]")</f>
        <v/>
      </c>
      <c r="AK195" s="14">
        <f>IF(OR(ISNUMBER(SEARCH("[",AG195)),ISNUMBER(SEARCH("[",AJ195))),"Fill placeholders",IF(ISNUMBER(AB195),"Ready to send","Ready · no fixed slot"))</f>
        <v/>
      </c>
      <c r="AN195" s="17" t="n"/>
    </row>
    <row r="196">
      <c r="A196" s="11" t="n">
        <v>194</v>
      </c>
      <c r="B196" s="11" t="n">
        <v>3</v>
      </c>
      <c r="C196" s="11" t="inlineStr">
        <is>
          <t>Fund / asset manager</t>
        </is>
      </c>
      <c r="D196" s="11" t="inlineStr">
        <is>
          <t>City of London</t>
        </is>
      </c>
      <c r="E196" s="11" t="inlineStr">
        <is>
          <t>Icap Global Derivatives Limited</t>
        </is>
      </c>
      <c r="F196" s="11" t="inlineStr">
        <is>
          <t>TP ICAP</t>
        </is>
      </c>
      <c r="G196" s="11" t="inlineStr">
        <is>
          <t>03635229</t>
        </is>
      </c>
      <c r="H196" s="12" t="inlineStr">
        <is>
          <t>Open</t>
        </is>
      </c>
      <c r="I196" s="12" t="inlineStr">
        <is>
          <t>Search</t>
        </is>
      </c>
      <c r="J196" s="11" t="inlineStr">
        <is>
          <t>Full</t>
        </is>
      </c>
      <c r="K196" s="13" t="n">
        <v>36059</v>
      </c>
      <c r="L196" s="11" t="inlineStr">
        <is>
          <t>135 Bishopsgate, London</t>
        </is>
      </c>
      <c r="M196" s="11" t="inlineStr">
        <is>
          <t>EC2M 3TP</t>
        </is>
      </c>
      <c r="N196" s="11" t="inlineStr">
        <is>
          <t>No</t>
        </is>
      </c>
      <c r="U196" s="11" t="inlineStr">
        <is>
          <t>Liverpool St - Attlee Centre</t>
        </is>
      </c>
      <c r="V196" s="11" t="n">
        <v>8</v>
      </c>
      <c r="W196" s="11" t="inlineStr">
        <is>
          <t>Shoreditch Powerleague (10.7)</t>
        </is>
      </c>
      <c r="X196" s="11" t="inlineStr">
        <is>
          <t>Shoreditch Powerleague</t>
        </is>
      </c>
      <c r="Y196" s="11" t="n">
        <v>11</v>
      </c>
      <c r="Z196" s="14">
        <f>IFERROR(INDEX(Venues!$E$2:$E$15,MATCH(X196,Venues!$A$2:$A$15,0)),"Not checked")</f>
        <v/>
      </c>
      <c r="AA196" s="14">
        <f>IFERROR(INDEX(Venues!$F$2:$F$15,MATCH(X196,Venues!$A$2:$A$15,0)),0)</f>
        <v/>
      </c>
      <c r="AB196" s="15">
        <f>IFERROR(INDEX(Venues!$M$2:$M$15,MATCH(X196,Venues!$A$2:$A$15,0)),"")</f>
        <v/>
      </c>
      <c r="AC196" s="14">
        <f>IFERROR(INDEX(Venues!$N$2:$N$15,MATCH(X196,Venues!$A$2:$A$15,0)),"5-a-side")</f>
        <v/>
      </c>
      <c r="AD196" s="16">
        <f>IF(Offer!$C$4="","",Offer!$C$4)</f>
        <v/>
      </c>
      <c r="AE196" s="14">
        <f>X196&amp;" ("&amp;Y196&amp;" min walk) · "&amp;IF(ISNUMBER(AB196),TEXT(AB196,"ddd d mmm, hh:mm"),"slot to confirm with venue")&amp;" · "&amp;AC196&amp;" · "&amp;IF(AD196&lt;&gt;"","£"&amp;TEXT(AD196,"0.00")&amp;" pp","price TBC")</f>
        <v/>
      </c>
      <c r="AF196" s="14">
        <f>"After-work football for "&amp;F196&amp;" · "&amp;X196&amp;", "&amp;Y196&amp;" min from your office"</f>
        <v/>
      </c>
      <c r="AG196" s="14">
        <f>"Hi"&amp;IF(O196&lt;&gt;""," "&amp;O196,"")&amp;","&amp;CHAR(10)&amp;CHAR(10)&amp;"I'm "&amp;IF(AL196&lt;&gt;"",AL196,IF(Offer!$C$5&lt;&gt;"",Offer!$C$5,"[NAME]"))&amp;" from FC Urban. We organise after-work football for teams in the City and Canary Wharf."&amp;CHAR(10)&amp;CHAR(10)&amp;"We have a "&amp;AC196&amp;" pitch at "&amp;X196&amp;", "&amp;IF(OR(Y196=8,Y196=11,Y196=18),"an ","a ")&amp;Y196&amp;"-minute walk from your "&amp;M196&amp;" office, "&amp;IF(ISNUMBER(AB196),"on "&amp;TEXT(AB196,"dddd d mmmm")&amp;" at "&amp;TEXT(AB196,"hh:mm"),"on a weekday evening that suits your team")&amp;". It's "&amp;IF(AD196&lt;&gt;"","£"&amp;IF(AD196=INT(AD196),TEXT(AD196,"0"),TEXT(AD196,"0.00")),"[PRICE PER PLAYER]")&amp;" a player and we handle the pitch booking, sign-ups and payments, so all it takes is one person sharing a link with the team."&amp;CHAR(10)&amp;CHAR(10)&amp;"It works well as a team social or "&amp;IF(ISNUMBER(SEARCH(LEFT(F196,1),"AEIOU")),"an ","a ")&amp;F196&amp;"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LINK]")&amp;CHAR(10)&amp;CHAR(10)&amp;"Best,"&amp;CHAR(10)&amp;IF(AL196&lt;&gt;"",AL196,IF(Offer!$C$5&lt;&gt;"",Offer!$C$5,"[NAME]"))&amp;CHAR(10)&amp;"FC Urban"</f>
        <v/>
      </c>
      <c r="AH196" s="14">
        <f>IF(LEN("Hi"&amp;IF(O196&lt;&gt;""," "&amp;O196,"")&amp;","&amp;" FC Urban runs after-work football for "&amp;IF(D196="Canary Wharf","Canary Wharf","City")&amp;" teams. We have a "&amp;AC196&amp;" pitch at "&amp;X196&amp;", "&amp;Y196&amp;" min from your office, "&amp;IF(ISNUMBER(AB196),TEXT(AB196,"ddd d mmm")&amp;", "&amp;TEXT(AB196,"hh:mm"),"weekday evenings")&amp;", "&amp;IF(AD196&lt;&gt;"","£"&amp;IF(AD196=INT(AD196),TEXT(AD196,"0"),TEXT(AD196,"0.00")),"[PRICE PER PLAYER]")&amp;" a player. We handle booking, sign-ups and payments. Fancy "&amp;IF(ISNUMBER(SEARCH(LEFT(F196,1),"AEIOU")),"an ","a ")&amp;F196&amp;" team game? "&amp;IF(AL196&lt;&gt;"",AL196,IF(Offer!$C$5&lt;&gt;"",Offer!$C$5,"[NAME]")))&lt;=300,"Hi"&amp;IF(O196&lt;&gt;""," "&amp;O196,"")&amp;","&amp;" FC Urban runs after-work football for "&amp;IF(D196="Canary Wharf","Canary Wharf","City")&amp;" teams. We have a "&amp;AC196&amp;" pitch at "&amp;X196&amp;", "&amp;Y196&amp;" min from your office, "&amp;IF(ISNUMBER(AB196),TEXT(AB196,"ddd d mmm")&amp;", "&amp;TEXT(AB196,"hh:mm"),"weekday evenings")&amp;", "&amp;IF(AD196&lt;&gt;"","£"&amp;IF(AD196=INT(AD196),TEXT(AD196,"0"),TEXT(AD196,"0.00")),"[PRICE PER PLAYER]")&amp;" a player. We handle booking, sign-ups and payments. Fancy "&amp;IF(ISNUMBER(SEARCH(LEFT(F196,1),"AEIOU")),"an ","a ")&amp;F196&amp;" team game? "&amp;IF(AL196&lt;&gt;"",AL196,IF(Offer!$C$5&lt;&gt;"",Offer!$C$5,"[NAME]")),LEFT("Hi"&amp;IF(O196&lt;&gt;""," "&amp;O196,"")&amp;","&amp;" FC Urban runs after-work football for "&amp;IF(D196="Canary Wharf","Canary Wharf","City")&amp;" teams: "&amp;AC196&amp;" at "&amp;X196&amp;", "&amp;Y196&amp;" min from your office, "&amp;IF(ISNUMBER(AB196),TEXT(AB196,"ddd d mmm")&amp;", "&amp;TEXT(AB196,"hh:mm"),"weekday evenings")&amp;", "&amp;IF(AD196&lt;&gt;"","£"&amp;IF(AD196=INT(AD196),TEXT(AD196,"0"),TEXT(AD196,"0.00")),"[PRICE PER PLAYER]")&amp;" pp. We handle booking and payments. Up for a team game? "&amp;IF(AL196&lt;&gt;"",AL196,IF(Offer!$C$5&lt;&gt;"",Offer!$C$5,"[NAME]")),300))</f>
        <v/>
      </c>
      <c r="AI196" s="14">
        <f>LEN(AH196)</f>
        <v/>
      </c>
      <c r="AJ196" s="14">
        <f>"Thanks for connecting"&amp;IF(O196&lt;&gt;"",", "&amp;O196,"")&amp;". "&amp;IF(ISNUMBER(AB196),"The "&amp;AC196&amp;" slot at "&amp;X196&amp;" is "&amp;IF(ISNUMBER(AB196),TEXT(AB196,"ddd d mmm")&amp;", "&amp;TEXT(AB196,"hh:mm"),"weekday evenings"),"We can book "&amp;AC196&amp;" at "&amp;X196&amp;" on a weekday evening that suits you")&amp;" and it's "&amp;IF(AD196&lt;&gt;"","£"&amp;IF(AD196=INT(AD196),TEXT(AD196,"0"),TEXT(AD196,"0.00")),"[PRICE PER PLAYER]")&amp;" a player, all booked and paid through one link. If football isn't your thing, who at "&amp;F196&amp;" would be the right person to organise a team game?"&amp;IF(Offer!$C$7&lt;&gt;""," Spots are held until "&amp;TEXT(Offer!$C$7,"dddd d mmmm")&amp;".","")&amp;" "&amp;IF(Offer!$C$6&lt;&gt;"",Offer!$C$6,"[JOINING LINK]")</f>
        <v/>
      </c>
      <c r="AK196" s="14">
        <f>IF(OR(ISNUMBER(SEARCH("[",AG196)),ISNUMBER(SEARCH("[",AJ196))),"Fill placeholders",IF(ISNUMBER(AB196),"Ready to send","Ready · no fixed slot"))</f>
        <v/>
      </c>
      <c r="AN196" s="17" t="n"/>
    </row>
    <row r="197">
      <c r="A197" s="11" t="n">
        <v>195</v>
      </c>
      <c r="B197" s="11" t="n">
        <v>3</v>
      </c>
      <c r="C197" s="11" t="inlineStr">
        <is>
          <t>Fund / asset manager</t>
        </is>
      </c>
      <c r="D197" s="11" t="inlineStr">
        <is>
          <t>City of London</t>
        </is>
      </c>
      <c r="E197" s="11" t="inlineStr">
        <is>
          <t>Iswap Euro Limited</t>
        </is>
      </c>
      <c r="F197" s="11" t="inlineStr">
        <is>
          <t>Iswap Euro</t>
        </is>
      </c>
      <c r="G197" s="11" t="inlineStr">
        <is>
          <t>07282077</t>
        </is>
      </c>
      <c r="H197" s="12" t="inlineStr">
        <is>
          <t>Open</t>
        </is>
      </c>
      <c r="I197" s="12" t="inlineStr">
        <is>
          <t>Search</t>
        </is>
      </c>
      <c r="J197" s="11" t="inlineStr">
        <is>
          <t>Full</t>
        </is>
      </c>
      <c r="K197" s="13" t="n">
        <v>40340</v>
      </c>
      <c r="L197" s="11" t="inlineStr">
        <is>
          <t>135 Bishopsgate, London</t>
        </is>
      </c>
      <c r="M197" s="11" t="inlineStr">
        <is>
          <t>EC2M 3TP</t>
        </is>
      </c>
      <c r="N197" s="11" t="inlineStr">
        <is>
          <t>No</t>
        </is>
      </c>
      <c r="U197" s="11" t="inlineStr">
        <is>
          <t>Liverpool St - Attlee Centre</t>
        </is>
      </c>
      <c r="V197" s="11" t="n">
        <v>8</v>
      </c>
      <c r="W197" s="11" t="inlineStr">
        <is>
          <t>Shoreditch Powerleague (10.7)</t>
        </is>
      </c>
      <c r="X197" s="11" t="inlineStr">
        <is>
          <t>Shoreditch Powerleague</t>
        </is>
      </c>
      <c r="Y197" s="11" t="n">
        <v>11</v>
      </c>
      <c r="Z197" s="14">
        <f>IFERROR(INDEX(Venues!$E$2:$E$15,MATCH(X197,Venues!$A$2:$A$15,0)),"Not checked")</f>
        <v/>
      </c>
      <c r="AA197" s="14">
        <f>IFERROR(INDEX(Venues!$F$2:$F$15,MATCH(X197,Venues!$A$2:$A$15,0)),0)</f>
        <v/>
      </c>
      <c r="AB197" s="15">
        <f>IFERROR(INDEX(Venues!$M$2:$M$15,MATCH(X197,Venues!$A$2:$A$15,0)),"")</f>
        <v/>
      </c>
      <c r="AC197" s="14">
        <f>IFERROR(INDEX(Venues!$N$2:$N$15,MATCH(X197,Venues!$A$2:$A$15,0)),"5-a-side")</f>
        <v/>
      </c>
      <c r="AD197" s="16">
        <f>IF(Offer!$C$4="","",Offer!$C$4)</f>
        <v/>
      </c>
      <c r="AE197" s="14">
        <f>X197&amp;" ("&amp;Y197&amp;" min walk) · "&amp;IF(ISNUMBER(AB197),TEXT(AB197,"ddd d mmm, hh:mm"),"slot to confirm with venue")&amp;" · "&amp;AC197&amp;" · "&amp;IF(AD197&lt;&gt;"","£"&amp;TEXT(AD197,"0.00")&amp;" pp","price TBC")</f>
        <v/>
      </c>
      <c r="AF197" s="14">
        <f>"After-work football for "&amp;F197&amp;" · "&amp;X197&amp;", "&amp;Y197&amp;" min from your office"</f>
        <v/>
      </c>
      <c r="AG197" s="14">
        <f>"Hi"&amp;IF(O197&lt;&gt;""," "&amp;O197,"")&amp;","&amp;CHAR(10)&amp;CHAR(10)&amp;"I'm "&amp;IF(AL197&lt;&gt;"",AL197,IF(Offer!$C$5&lt;&gt;"",Offer!$C$5,"[NAME]"))&amp;" from FC Urban. We organise after-work football for teams in the City and Canary Wharf."&amp;CHAR(10)&amp;CHAR(10)&amp;"We have a "&amp;AC197&amp;" pitch at "&amp;X197&amp;", "&amp;IF(OR(Y197=8,Y197=11,Y197=18),"an ","a ")&amp;Y197&amp;"-minute walk from your "&amp;M197&amp;" office, "&amp;IF(ISNUMBER(AB197),"on "&amp;TEXT(AB197,"dddd d mmmm")&amp;" at "&amp;TEXT(AB197,"hh:mm"),"on a weekday evening that suits your team")&amp;". It's "&amp;IF(AD197&lt;&gt;"","£"&amp;IF(AD197=INT(AD197),TEXT(AD197,"0"),TEXT(AD197,"0.00")),"[PRICE PER PLAYER]")&amp;" a player and we handle the pitch booking, sign-ups and payments, so all it takes is one person sharing a link with the team."&amp;CHAR(10)&amp;CHAR(10)&amp;"It works well as a team social or "&amp;IF(ISNUMBER(SEARCH(LEFT(F197,1),"AEIOU")),"an ","a ")&amp;F197&amp;"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LINK]")&amp;CHAR(10)&amp;CHAR(10)&amp;"Best,"&amp;CHAR(10)&amp;IF(AL197&lt;&gt;"",AL197,IF(Offer!$C$5&lt;&gt;"",Offer!$C$5,"[NAME]"))&amp;CHAR(10)&amp;"FC Urban"</f>
        <v/>
      </c>
      <c r="AH197" s="14">
        <f>IF(LEN("Hi"&amp;IF(O197&lt;&gt;""," "&amp;O197,"")&amp;","&amp;" FC Urban runs after-work football for "&amp;IF(D197="Canary Wharf","Canary Wharf","City")&amp;" teams. We have a "&amp;AC197&amp;" pitch at "&amp;X197&amp;", "&amp;Y197&amp;" min from your office, "&amp;IF(ISNUMBER(AB197),TEXT(AB197,"ddd d mmm")&amp;", "&amp;TEXT(AB197,"hh:mm"),"weekday evenings")&amp;", "&amp;IF(AD197&lt;&gt;"","£"&amp;IF(AD197=INT(AD197),TEXT(AD197,"0"),TEXT(AD197,"0.00")),"[PRICE PER PLAYER]")&amp;" a player. We handle booking, sign-ups and payments. Fancy "&amp;IF(ISNUMBER(SEARCH(LEFT(F197,1),"AEIOU")),"an ","a ")&amp;F197&amp;" team game? "&amp;IF(AL197&lt;&gt;"",AL197,IF(Offer!$C$5&lt;&gt;"",Offer!$C$5,"[NAME]")))&lt;=300,"Hi"&amp;IF(O197&lt;&gt;""," "&amp;O197,"")&amp;","&amp;" FC Urban runs after-work football for "&amp;IF(D197="Canary Wharf","Canary Wharf","City")&amp;" teams. We have a "&amp;AC197&amp;" pitch at "&amp;X197&amp;", "&amp;Y197&amp;" min from your office, "&amp;IF(ISNUMBER(AB197),TEXT(AB197,"ddd d mmm")&amp;", "&amp;TEXT(AB197,"hh:mm"),"weekday evenings")&amp;", "&amp;IF(AD197&lt;&gt;"","£"&amp;IF(AD197=INT(AD197),TEXT(AD197,"0"),TEXT(AD197,"0.00")),"[PRICE PER PLAYER]")&amp;" a player. We handle booking, sign-ups and payments. Fancy "&amp;IF(ISNUMBER(SEARCH(LEFT(F197,1),"AEIOU")),"an ","a ")&amp;F197&amp;" team game? "&amp;IF(AL197&lt;&gt;"",AL197,IF(Offer!$C$5&lt;&gt;"",Offer!$C$5,"[NAME]")),LEFT("Hi"&amp;IF(O197&lt;&gt;""," "&amp;O197,"")&amp;","&amp;" FC Urban runs after-work football for "&amp;IF(D197="Canary Wharf","Canary Wharf","City")&amp;" teams: "&amp;AC197&amp;" at "&amp;X197&amp;", "&amp;Y197&amp;" min from your office, "&amp;IF(ISNUMBER(AB197),TEXT(AB197,"ddd d mmm")&amp;", "&amp;TEXT(AB197,"hh:mm"),"weekday evenings")&amp;", "&amp;IF(AD197&lt;&gt;"","£"&amp;IF(AD197=INT(AD197),TEXT(AD197,"0"),TEXT(AD197,"0.00")),"[PRICE PER PLAYER]")&amp;" pp. We handle booking and payments. Up for a team game? "&amp;IF(AL197&lt;&gt;"",AL197,IF(Offer!$C$5&lt;&gt;"",Offer!$C$5,"[NAME]")),300))</f>
        <v/>
      </c>
      <c r="AI197" s="14">
        <f>LEN(AH197)</f>
        <v/>
      </c>
      <c r="AJ197" s="14">
        <f>"Thanks for connecting"&amp;IF(O197&lt;&gt;"",", "&amp;O197,"")&amp;". "&amp;IF(ISNUMBER(AB197),"The "&amp;AC197&amp;" slot at "&amp;X197&amp;" is "&amp;IF(ISNUMBER(AB197),TEXT(AB197,"ddd d mmm")&amp;", "&amp;TEXT(AB197,"hh:mm"),"weekday evenings"),"We can book "&amp;AC197&amp;" at "&amp;X197&amp;" on a weekday evening that suits you")&amp;" and it's "&amp;IF(AD197&lt;&gt;"","£"&amp;IF(AD197=INT(AD197),TEXT(AD197,"0"),TEXT(AD197,"0.00")),"[PRICE PER PLAYER]")&amp;" a player, all booked and paid through one link. If football isn't your thing, who at "&amp;F197&amp;" would be the right person to organise a team game?"&amp;IF(Offer!$C$7&lt;&gt;""," Spots are held until "&amp;TEXT(Offer!$C$7,"dddd d mmmm")&amp;".","")&amp;" "&amp;IF(Offer!$C$6&lt;&gt;"",Offer!$C$6,"[JOINING LINK]")</f>
        <v/>
      </c>
      <c r="AK197" s="14">
        <f>IF(OR(ISNUMBER(SEARCH("[",AG197)),ISNUMBER(SEARCH("[",AJ197))),"Fill placeholders",IF(ISNUMBER(AB197),"Ready to send","Ready · no fixed slot"))</f>
        <v/>
      </c>
      <c r="AN197" s="17" t="n"/>
    </row>
    <row r="198">
      <c r="A198" s="11" t="n">
        <v>196</v>
      </c>
      <c r="B198" s="11" t="n">
        <v>3</v>
      </c>
      <c r="C198" s="11" t="inlineStr">
        <is>
          <t>Fund / asset manager</t>
        </is>
      </c>
      <c r="D198" s="11" t="inlineStr">
        <is>
          <t>City of London</t>
        </is>
      </c>
      <c r="E198" s="11" t="inlineStr">
        <is>
          <t>Louis Capital Markets UK LLP</t>
        </is>
      </c>
      <c r="F198" s="11" t="inlineStr">
        <is>
          <t>Louis Capital Markets</t>
        </is>
      </c>
      <c r="G198" s="11" t="inlineStr">
        <is>
          <t>OC305139</t>
        </is>
      </c>
      <c r="H198" s="12" t="inlineStr">
        <is>
          <t>Open</t>
        </is>
      </c>
      <c r="I198" s="12" t="inlineStr">
        <is>
          <t>Search</t>
        </is>
      </c>
      <c r="J198" s="11" t="inlineStr">
        <is>
          <t>Full</t>
        </is>
      </c>
      <c r="K198" s="13" t="n">
        <v>37823</v>
      </c>
      <c r="L198" s="11" t="inlineStr">
        <is>
          <t>135 Bishopsgate, London</t>
        </is>
      </c>
      <c r="M198" s="11" t="inlineStr">
        <is>
          <t>EC2M 3TP</t>
        </is>
      </c>
      <c r="N198" s="11" t="inlineStr">
        <is>
          <t>No</t>
        </is>
      </c>
      <c r="U198" s="11" t="inlineStr">
        <is>
          <t>Liverpool St - Attlee Centre</t>
        </is>
      </c>
      <c r="V198" s="11" t="n">
        <v>8</v>
      </c>
      <c r="W198" s="11" t="inlineStr">
        <is>
          <t>Shoreditch Powerleague (10.7)</t>
        </is>
      </c>
      <c r="X198" s="11" t="inlineStr">
        <is>
          <t>Shoreditch Powerleague</t>
        </is>
      </c>
      <c r="Y198" s="11" t="n">
        <v>11</v>
      </c>
      <c r="Z198" s="14">
        <f>IFERROR(INDEX(Venues!$E$2:$E$15,MATCH(X198,Venues!$A$2:$A$15,0)),"Not checked")</f>
        <v/>
      </c>
      <c r="AA198" s="14">
        <f>IFERROR(INDEX(Venues!$F$2:$F$15,MATCH(X198,Venues!$A$2:$A$15,0)),0)</f>
        <v/>
      </c>
      <c r="AB198" s="15">
        <f>IFERROR(INDEX(Venues!$M$2:$M$15,MATCH(X198,Venues!$A$2:$A$15,0)),"")</f>
        <v/>
      </c>
      <c r="AC198" s="14">
        <f>IFERROR(INDEX(Venues!$N$2:$N$15,MATCH(X198,Venues!$A$2:$A$15,0)),"5-a-side")</f>
        <v/>
      </c>
      <c r="AD198" s="16">
        <f>IF(Offer!$C$4="","",Offer!$C$4)</f>
        <v/>
      </c>
      <c r="AE198" s="14">
        <f>X198&amp;" ("&amp;Y198&amp;" min walk) · "&amp;IF(ISNUMBER(AB198),TEXT(AB198,"ddd d mmm, hh:mm"),"slot to confirm with venue")&amp;" · "&amp;AC198&amp;" · "&amp;IF(AD198&lt;&gt;"","£"&amp;TEXT(AD198,"0.00")&amp;" pp","price TBC")</f>
        <v/>
      </c>
      <c r="AF198" s="14">
        <f>"After-work football for "&amp;F198&amp;" · "&amp;X198&amp;", "&amp;Y198&amp;" min from your office"</f>
        <v/>
      </c>
      <c r="AG198" s="14">
        <f>"Hi"&amp;IF(O198&lt;&gt;""," "&amp;O198,"")&amp;","&amp;CHAR(10)&amp;CHAR(10)&amp;"I'm "&amp;IF(AL198&lt;&gt;"",AL198,IF(Offer!$C$5&lt;&gt;"",Offer!$C$5,"[NAME]"))&amp;" from FC Urban. We organise after-work football for teams in the City and Canary Wharf."&amp;CHAR(10)&amp;CHAR(10)&amp;"We have a "&amp;AC198&amp;" pitch at "&amp;X198&amp;", "&amp;IF(OR(Y198=8,Y198=11,Y198=18),"an ","a ")&amp;Y198&amp;"-minute walk from your "&amp;M198&amp;" office, "&amp;IF(ISNUMBER(AB198),"on "&amp;TEXT(AB198,"dddd d mmmm")&amp;" at "&amp;TEXT(AB198,"hh:mm"),"on a weekday evening that suits your team")&amp;". It's "&amp;IF(AD198&lt;&gt;"","£"&amp;IF(AD198=INT(AD198),TEXT(AD198,"0"),TEXT(AD198,"0.00")),"[PRICE PER PLAYER]")&amp;" a player and we handle the pitch booking, sign-ups and payments, so all it takes is one person sharing a link with the team."&amp;CHAR(10)&amp;CHAR(10)&amp;"It works well as a team social or "&amp;IF(ISNUMBER(SEARCH(LEFT(F198,1),"AEIOU")),"an ","a ")&amp;F198&amp;"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LINK]")&amp;CHAR(10)&amp;CHAR(10)&amp;"Best,"&amp;CHAR(10)&amp;IF(AL198&lt;&gt;"",AL198,IF(Offer!$C$5&lt;&gt;"",Offer!$C$5,"[NAME]"))&amp;CHAR(10)&amp;"FC Urban"</f>
        <v/>
      </c>
      <c r="AH198" s="14">
        <f>IF(LEN("Hi"&amp;IF(O198&lt;&gt;""," "&amp;O198,"")&amp;","&amp;" FC Urban runs after-work football for "&amp;IF(D198="Canary Wharf","Canary Wharf","City")&amp;" teams. We have a "&amp;AC198&amp;" pitch at "&amp;X198&amp;", "&amp;Y198&amp;" min from your office, "&amp;IF(ISNUMBER(AB198),TEXT(AB198,"ddd d mmm")&amp;", "&amp;TEXT(AB198,"hh:mm"),"weekday evenings")&amp;", "&amp;IF(AD198&lt;&gt;"","£"&amp;IF(AD198=INT(AD198),TEXT(AD198,"0"),TEXT(AD198,"0.00")),"[PRICE PER PLAYER]")&amp;" a player. We handle booking, sign-ups and payments. Fancy "&amp;IF(ISNUMBER(SEARCH(LEFT(F198,1),"AEIOU")),"an ","a ")&amp;F198&amp;" team game? "&amp;IF(AL198&lt;&gt;"",AL198,IF(Offer!$C$5&lt;&gt;"",Offer!$C$5,"[NAME]")))&lt;=300,"Hi"&amp;IF(O198&lt;&gt;""," "&amp;O198,"")&amp;","&amp;" FC Urban runs after-work football for "&amp;IF(D198="Canary Wharf","Canary Wharf","City")&amp;" teams. We have a "&amp;AC198&amp;" pitch at "&amp;X198&amp;", "&amp;Y198&amp;" min from your office, "&amp;IF(ISNUMBER(AB198),TEXT(AB198,"ddd d mmm")&amp;", "&amp;TEXT(AB198,"hh:mm"),"weekday evenings")&amp;", "&amp;IF(AD198&lt;&gt;"","£"&amp;IF(AD198=INT(AD198),TEXT(AD198,"0"),TEXT(AD198,"0.00")),"[PRICE PER PLAYER]")&amp;" a player. We handle booking, sign-ups and payments. Fancy "&amp;IF(ISNUMBER(SEARCH(LEFT(F198,1),"AEIOU")),"an ","a ")&amp;F198&amp;" team game? "&amp;IF(AL198&lt;&gt;"",AL198,IF(Offer!$C$5&lt;&gt;"",Offer!$C$5,"[NAME]")),LEFT("Hi"&amp;IF(O198&lt;&gt;""," "&amp;O198,"")&amp;","&amp;" FC Urban runs after-work football for "&amp;IF(D198="Canary Wharf","Canary Wharf","City")&amp;" teams: "&amp;AC198&amp;" at "&amp;X198&amp;", "&amp;Y198&amp;" min from your office, "&amp;IF(ISNUMBER(AB198),TEXT(AB198,"ddd d mmm")&amp;", "&amp;TEXT(AB198,"hh:mm"),"weekday evenings")&amp;", "&amp;IF(AD198&lt;&gt;"","£"&amp;IF(AD198=INT(AD198),TEXT(AD198,"0"),TEXT(AD198,"0.00")),"[PRICE PER PLAYER]")&amp;" pp. We handle booking and payments. Up for a team game? "&amp;IF(AL198&lt;&gt;"",AL198,IF(Offer!$C$5&lt;&gt;"",Offer!$C$5,"[NAME]")),300))</f>
        <v/>
      </c>
      <c r="AI198" s="14">
        <f>LEN(AH198)</f>
        <v/>
      </c>
      <c r="AJ198" s="14">
        <f>"Thanks for connecting"&amp;IF(O198&lt;&gt;"",", "&amp;O198,"")&amp;". "&amp;IF(ISNUMBER(AB198),"The "&amp;AC198&amp;" slot at "&amp;X198&amp;" is "&amp;IF(ISNUMBER(AB198),TEXT(AB198,"ddd d mmm")&amp;", "&amp;TEXT(AB198,"hh:mm"),"weekday evenings"),"We can book "&amp;AC198&amp;" at "&amp;X198&amp;" on a weekday evening that suits you")&amp;" and it's "&amp;IF(AD198&lt;&gt;"","£"&amp;IF(AD198=INT(AD198),TEXT(AD198,"0"),TEXT(AD198,"0.00")),"[PRICE PER PLAYER]")&amp;" a player, all booked and paid through one link. If football isn't your thing, who at "&amp;F198&amp;" would be the right person to organise a team game?"&amp;IF(Offer!$C$7&lt;&gt;""," Spots are held until "&amp;TEXT(Offer!$C$7,"dddd d mmmm")&amp;".","")&amp;" "&amp;IF(Offer!$C$6&lt;&gt;"",Offer!$C$6,"[JOINING LINK]")</f>
        <v/>
      </c>
      <c r="AK198" s="14">
        <f>IF(OR(ISNUMBER(SEARCH("[",AG198)),ISNUMBER(SEARCH("[",AJ198))),"Fill placeholders",IF(ISNUMBER(AB198),"Ready to send","Ready · no fixed slot"))</f>
        <v/>
      </c>
      <c r="AN198" s="17" t="n"/>
    </row>
    <row r="199">
      <c r="A199" s="11" t="n">
        <v>197</v>
      </c>
      <c r="B199" s="11" t="n">
        <v>3</v>
      </c>
      <c r="C199" s="11" t="inlineStr">
        <is>
          <t>Fund / asset manager</t>
        </is>
      </c>
      <c r="D199" s="11" t="inlineStr">
        <is>
          <t>City of London</t>
        </is>
      </c>
      <c r="E199" s="11" t="inlineStr">
        <is>
          <t>Vantage Capital Markets LLP</t>
        </is>
      </c>
      <c r="F199" s="11" t="inlineStr">
        <is>
          <t>Vantage Capital Markets</t>
        </is>
      </c>
      <c r="G199" s="11" t="inlineStr">
        <is>
          <t>OC308882</t>
        </is>
      </c>
      <c r="H199" s="12" t="inlineStr">
        <is>
          <t>Open</t>
        </is>
      </c>
      <c r="I199" s="12" t="inlineStr">
        <is>
          <t>Search</t>
        </is>
      </c>
      <c r="J199" s="11" t="inlineStr">
        <is>
          <t>Full</t>
        </is>
      </c>
      <c r="K199" s="13" t="n">
        <v>38208</v>
      </c>
      <c r="L199" s="11" t="inlineStr">
        <is>
          <t>135 Bishopsgate, London</t>
        </is>
      </c>
      <c r="M199" s="11" t="inlineStr">
        <is>
          <t>EC2M 3TP</t>
        </is>
      </c>
      <c r="N199" s="11" t="inlineStr">
        <is>
          <t>Yes</t>
        </is>
      </c>
      <c r="U199" s="11" t="inlineStr">
        <is>
          <t>Liverpool St - Attlee Centre</t>
        </is>
      </c>
      <c r="V199" s="11" t="n">
        <v>8</v>
      </c>
      <c r="W199" s="11" t="inlineStr">
        <is>
          <t>Shoreditch Powerleague (10.7)</t>
        </is>
      </c>
      <c r="X199" s="11" t="inlineStr">
        <is>
          <t>Shoreditch Powerleague</t>
        </is>
      </c>
      <c r="Y199" s="11" t="n">
        <v>11</v>
      </c>
      <c r="Z199" s="14">
        <f>IFERROR(INDEX(Venues!$E$2:$E$15,MATCH(X199,Venues!$A$2:$A$15,0)),"Not checked")</f>
        <v/>
      </c>
      <c r="AA199" s="14">
        <f>IFERROR(INDEX(Venues!$F$2:$F$15,MATCH(X199,Venues!$A$2:$A$15,0)),0)</f>
        <v/>
      </c>
      <c r="AB199" s="15">
        <f>IFERROR(INDEX(Venues!$M$2:$M$15,MATCH(X199,Venues!$A$2:$A$15,0)),"")</f>
        <v/>
      </c>
      <c r="AC199" s="14">
        <f>IFERROR(INDEX(Venues!$N$2:$N$15,MATCH(X199,Venues!$A$2:$A$15,0)),"5-a-side")</f>
        <v/>
      </c>
      <c r="AD199" s="16">
        <f>IF(Offer!$C$4="","",Offer!$C$4)</f>
        <v/>
      </c>
      <c r="AE199" s="14">
        <f>X199&amp;" ("&amp;Y199&amp;" min walk) · "&amp;IF(ISNUMBER(AB199),TEXT(AB199,"ddd d mmm, hh:mm"),"slot to confirm with venue")&amp;" · "&amp;AC199&amp;" · "&amp;IF(AD199&lt;&gt;"","£"&amp;TEXT(AD199,"0.00")&amp;" pp","price TBC")</f>
        <v/>
      </c>
      <c r="AF199" s="14">
        <f>"After-work football for "&amp;F199&amp;" · "&amp;X199&amp;", "&amp;Y199&amp;" min from your office"</f>
        <v/>
      </c>
      <c r="AG199" s="14">
        <f>"Hi"&amp;IF(O199&lt;&gt;""," "&amp;O199,"")&amp;","&amp;CHAR(10)&amp;CHAR(10)&amp;"I'm "&amp;IF(AL199&lt;&gt;"",AL199,IF(Offer!$C$5&lt;&gt;"",Offer!$C$5,"[NAME]"))&amp;" from FC Urban. We organise after-work football for teams in the City and Canary Wharf."&amp;CHAR(10)&amp;CHAR(10)&amp;"We have a "&amp;AC199&amp;" pitch at "&amp;X199&amp;", "&amp;IF(OR(Y199=8,Y199=11,Y199=18),"an ","a ")&amp;Y199&amp;"-minute walk from your "&amp;M199&amp;" office, "&amp;IF(ISNUMBER(AB199),"on "&amp;TEXT(AB199,"dddd d mmmm")&amp;" at "&amp;TEXT(AB199,"hh:mm"),"on a weekday evening that suits your team")&amp;". It's "&amp;IF(AD199&lt;&gt;"","£"&amp;IF(AD199=INT(AD199),TEXT(AD199,"0"),TEXT(AD199,"0.00")),"[PRICE PER PLAYER]")&amp;" a player and we handle the pitch booking, sign-ups and payments, so all it takes is one person sharing a link with the team."&amp;CHAR(10)&amp;CHAR(10)&amp;"It works well as a team social or "&amp;IF(ISNUMBER(SEARCH(LEFT(F199,1),"AEIOU")),"an ","a ")&amp;F199&amp;"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LINK]")&amp;CHAR(10)&amp;CHAR(10)&amp;"Best,"&amp;CHAR(10)&amp;IF(AL199&lt;&gt;"",AL199,IF(Offer!$C$5&lt;&gt;"",Offer!$C$5,"[NAME]"))&amp;CHAR(10)&amp;"FC Urban"</f>
        <v/>
      </c>
      <c r="AH199" s="14">
        <f>IF(LEN("Hi"&amp;IF(O199&lt;&gt;""," "&amp;O199,"")&amp;","&amp;" FC Urban runs after-work football for "&amp;IF(D199="Canary Wharf","Canary Wharf","City")&amp;" teams. We have a "&amp;AC199&amp;" pitch at "&amp;X199&amp;", "&amp;Y199&amp;" min from your office, "&amp;IF(ISNUMBER(AB199),TEXT(AB199,"ddd d mmm")&amp;", "&amp;TEXT(AB199,"hh:mm"),"weekday evenings")&amp;", "&amp;IF(AD199&lt;&gt;"","£"&amp;IF(AD199=INT(AD199),TEXT(AD199,"0"),TEXT(AD199,"0.00")),"[PRICE PER PLAYER]")&amp;" a player. We handle booking, sign-ups and payments. Fancy "&amp;IF(ISNUMBER(SEARCH(LEFT(F199,1),"AEIOU")),"an ","a ")&amp;F199&amp;" team game? "&amp;IF(AL199&lt;&gt;"",AL199,IF(Offer!$C$5&lt;&gt;"",Offer!$C$5,"[NAME]")))&lt;=300,"Hi"&amp;IF(O199&lt;&gt;""," "&amp;O199,"")&amp;","&amp;" FC Urban runs after-work football for "&amp;IF(D199="Canary Wharf","Canary Wharf","City")&amp;" teams. We have a "&amp;AC199&amp;" pitch at "&amp;X199&amp;", "&amp;Y199&amp;" min from your office, "&amp;IF(ISNUMBER(AB199),TEXT(AB199,"ddd d mmm")&amp;", "&amp;TEXT(AB199,"hh:mm"),"weekday evenings")&amp;", "&amp;IF(AD199&lt;&gt;"","£"&amp;IF(AD199=INT(AD199),TEXT(AD199,"0"),TEXT(AD199,"0.00")),"[PRICE PER PLAYER]")&amp;" a player. We handle booking, sign-ups and payments. Fancy "&amp;IF(ISNUMBER(SEARCH(LEFT(F199,1),"AEIOU")),"an ","a ")&amp;F199&amp;" team game? "&amp;IF(AL199&lt;&gt;"",AL199,IF(Offer!$C$5&lt;&gt;"",Offer!$C$5,"[NAME]")),LEFT("Hi"&amp;IF(O199&lt;&gt;""," "&amp;O199,"")&amp;","&amp;" FC Urban runs after-work football for "&amp;IF(D199="Canary Wharf","Canary Wharf","City")&amp;" teams: "&amp;AC199&amp;" at "&amp;X199&amp;", "&amp;Y199&amp;" min from your office, "&amp;IF(ISNUMBER(AB199),TEXT(AB199,"ddd d mmm")&amp;", "&amp;TEXT(AB199,"hh:mm"),"weekday evenings")&amp;", "&amp;IF(AD199&lt;&gt;"","£"&amp;IF(AD199=INT(AD199),TEXT(AD199,"0"),TEXT(AD199,"0.00")),"[PRICE PER PLAYER]")&amp;" pp. We handle booking and payments. Up for a team game? "&amp;IF(AL199&lt;&gt;"",AL199,IF(Offer!$C$5&lt;&gt;"",Offer!$C$5,"[NAME]")),300))</f>
        <v/>
      </c>
      <c r="AI199" s="14">
        <f>LEN(AH199)</f>
        <v/>
      </c>
      <c r="AJ199" s="14">
        <f>"Thanks for connecting"&amp;IF(O199&lt;&gt;"",", "&amp;O199,"")&amp;". "&amp;IF(ISNUMBER(AB199),"The "&amp;AC199&amp;" slot at "&amp;X199&amp;" is "&amp;IF(ISNUMBER(AB199),TEXT(AB199,"ddd d mmm")&amp;", "&amp;TEXT(AB199,"hh:mm"),"weekday evenings"),"We can book "&amp;AC199&amp;" at "&amp;X199&amp;" on a weekday evening that suits you")&amp;" and it's "&amp;IF(AD199&lt;&gt;"","£"&amp;IF(AD199=INT(AD199),TEXT(AD199,"0"),TEXT(AD199,"0.00")),"[PRICE PER PLAYER]")&amp;" a player, all booked and paid through one link. If football isn't your thing, who at "&amp;F199&amp;" would be the right person to organise a team game?"&amp;IF(Offer!$C$7&lt;&gt;""," Spots are held until "&amp;TEXT(Offer!$C$7,"dddd d mmmm")&amp;".","")&amp;" "&amp;IF(Offer!$C$6&lt;&gt;"",Offer!$C$6,"[JOINING LINK]")</f>
        <v/>
      </c>
      <c r="AK199" s="14">
        <f>IF(OR(ISNUMBER(SEARCH("[",AG199)),ISNUMBER(SEARCH("[",AJ199))),"Fill placeholders",IF(ISNUMBER(AB199),"Ready to send","Ready · no fixed slot"))</f>
        <v/>
      </c>
      <c r="AN199" s="17" t="n"/>
    </row>
    <row r="200">
      <c r="A200" s="11" t="n">
        <v>198</v>
      </c>
      <c r="B200" s="11" t="n">
        <v>3</v>
      </c>
      <c r="C200" s="11" t="inlineStr">
        <is>
          <t>Fund / asset manager</t>
        </is>
      </c>
      <c r="D200" s="11" t="inlineStr">
        <is>
          <t>City of London</t>
        </is>
      </c>
      <c r="E200" s="11" t="inlineStr">
        <is>
          <t>Helford Capital Partners LLP</t>
        </is>
      </c>
      <c r="F200" s="11" t="inlineStr">
        <is>
          <t>Helford Capital Partners</t>
        </is>
      </c>
      <c r="G200" s="11" t="inlineStr">
        <is>
          <t>OC374783</t>
        </is>
      </c>
      <c r="H200" s="12" t="inlineStr">
        <is>
          <t>Open</t>
        </is>
      </c>
      <c r="I200" s="12" t="inlineStr">
        <is>
          <t>Search</t>
        </is>
      </c>
      <c r="J200" s="11" t="inlineStr">
        <is>
          <t>Medium</t>
        </is>
      </c>
      <c r="K200" s="13" t="n">
        <v>41026</v>
      </c>
      <c r="L200" s="11" t="inlineStr">
        <is>
          <t>128 City Road, London</t>
        </is>
      </c>
      <c r="M200" s="11" t="inlineStr">
        <is>
          <t>EC1V 2NX</t>
        </is>
      </c>
      <c r="N200" s="11" t="inlineStr">
        <is>
          <t>No</t>
        </is>
      </c>
      <c r="U200" s="11" t="inlineStr">
        <is>
          <t>Old St - Moreland Primary School</t>
        </is>
      </c>
      <c r="V200" s="11" t="n">
        <v>11</v>
      </c>
      <c r="W200" s="11" t="inlineStr">
        <is>
          <t>Shoreditch Rooftop (14); COLA Shoreditch Park (16)</t>
        </is>
      </c>
      <c r="X200" s="11" t="inlineStr">
        <is>
          <t>Old St - Moreland Primary School</t>
        </is>
      </c>
      <c r="Y200" s="11" t="n">
        <v>11</v>
      </c>
      <c r="Z200" s="14">
        <f>IFERROR(INDEX(Venues!$E$2:$E$15,MATCH(X200,Venues!$A$2:$A$15,0)),"Not checked")</f>
        <v/>
      </c>
      <c r="AA200" s="14">
        <f>IFERROR(INDEX(Venues!$F$2:$F$15,MATCH(X200,Venues!$A$2:$A$15,0)),0)</f>
        <v/>
      </c>
      <c r="AB200" s="15">
        <f>IFERROR(INDEX(Venues!$M$2:$M$15,MATCH(X200,Venues!$A$2:$A$15,0)),"")</f>
        <v/>
      </c>
      <c r="AC200" s="14">
        <f>IFERROR(INDEX(Venues!$N$2:$N$15,MATCH(X200,Venues!$A$2:$A$15,0)),"5-a-side")</f>
        <v/>
      </c>
      <c r="AD200" s="16">
        <f>IF(Offer!$C$4="","",Offer!$C$4)</f>
        <v/>
      </c>
      <c r="AE200" s="14">
        <f>X200&amp;" ("&amp;Y200&amp;" min walk) · "&amp;IF(ISNUMBER(AB200),TEXT(AB200,"ddd d mmm, hh:mm"),"slot to confirm with venue")&amp;" · "&amp;AC200&amp;" · "&amp;IF(AD200&lt;&gt;"","£"&amp;TEXT(AD200,"0.00")&amp;" pp","price TBC")</f>
        <v/>
      </c>
      <c r="AF200" s="14">
        <f>"After-work football for "&amp;F200&amp;" · "&amp;X200&amp;", "&amp;Y200&amp;" min from your office"</f>
        <v/>
      </c>
      <c r="AG200" s="14">
        <f>"Hi"&amp;IF(O200&lt;&gt;""," "&amp;O200,"")&amp;","&amp;CHAR(10)&amp;CHAR(10)&amp;"I'm "&amp;IF(AL200&lt;&gt;"",AL200,IF(Offer!$C$5&lt;&gt;"",Offer!$C$5,"[NAME]"))&amp;" from FC Urban. We organise after-work football for teams in the City and Canary Wharf."&amp;CHAR(10)&amp;CHAR(10)&amp;"We have a "&amp;AC200&amp;" pitch at "&amp;X200&amp;", "&amp;IF(OR(Y200=8,Y200=11,Y200=18),"an ","a ")&amp;Y200&amp;"-minute walk from your "&amp;M200&amp;" office, "&amp;IF(ISNUMBER(AB200),"on "&amp;TEXT(AB200,"dddd d mmmm")&amp;" at "&amp;TEXT(AB200,"hh:mm"),"on a weekday evening that suits your team")&amp;". It's "&amp;IF(AD200&lt;&gt;"","£"&amp;IF(AD200=INT(AD200),TEXT(AD200,"0"),TEXT(AD200,"0.00")),"[PRICE PER PLAYER]")&amp;" a player and we handle the pitch booking, sign-ups and payments, so all it takes is one person sharing a link with the team."&amp;CHAR(10)&amp;CHAR(10)&amp;"It works well as a team social or "&amp;IF(ISNUMBER(SEARCH(LEFT(F200,1),"AEIOU")),"an ","a ")&amp;F200&amp;"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LINK]")&amp;CHAR(10)&amp;CHAR(10)&amp;"Best,"&amp;CHAR(10)&amp;IF(AL200&lt;&gt;"",AL200,IF(Offer!$C$5&lt;&gt;"",Offer!$C$5,"[NAME]"))&amp;CHAR(10)&amp;"FC Urban"</f>
        <v/>
      </c>
      <c r="AH200" s="14">
        <f>IF(LEN("Hi"&amp;IF(O200&lt;&gt;""," "&amp;O200,"")&amp;","&amp;" FC Urban runs after-work football for "&amp;IF(D200="Canary Wharf","Canary Wharf","City")&amp;" teams. We have a "&amp;AC200&amp;" pitch at "&amp;X200&amp;", "&amp;Y200&amp;" min from your office, "&amp;IF(ISNUMBER(AB200),TEXT(AB200,"ddd d mmm")&amp;", "&amp;TEXT(AB200,"hh:mm"),"weekday evenings")&amp;", "&amp;IF(AD200&lt;&gt;"","£"&amp;IF(AD200=INT(AD200),TEXT(AD200,"0"),TEXT(AD200,"0.00")),"[PRICE PER PLAYER]")&amp;" a player. We handle booking, sign-ups and payments. Fancy "&amp;IF(ISNUMBER(SEARCH(LEFT(F200,1),"AEIOU")),"an ","a ")&amp;F200&amp;" team game? "&amp;IF(AL200&lt;&gt;"",AL200,IF(Offer!$C$5&lt;&gt;"",Offer!$C$5,"[NAME]")))&lt;=300,"Hi"&amp;IF(O200&lt;&gt;""," "&amp;O200,"")&amp;","&amp;" FC Urban runs after-work football for "&amp;IF(D200="Canary Wharf","Canary Wharf","City")&amp;" teams. We have a "&amp;AC200&amp;" pitch at "&amp;X200&amp;", "&amp;Y200&amp;" min from your office, "&amp;IF(ISNUMBER(AB200),TEXT(AB200,"ddd d mmm")&amp;", "&amp;TEXT(AB200,"hh:mm"),"weekday evenings")&amp;", "&amp;IF(AD200&lt;&gt;"","£"&amp;IF(AD200=INT(AD200),TEXT(AD200,"0"),TEXT(AD200,"0.00")),"[PRICE PER PLAYER]")&amp;" a player. We handle booking, sign-ups and payments. Fancy "&amp;IF(ISNUMBER(SEARCH(LEFT(F200,1),"AEIOU")),"an ","a ")&amp;F200&amp;" team game? "&amp;IF(AL200&lt;&gt;"",AL200,IF(Offer!$C$5&lt;&gt;"",Offer!$C$5,"[NAME]")),LEFT("Hi"&amp;IF(O200&lt;&gt;""," "&amp;O200,"")&amp;","&amp;" FC Urban runs after-work football for "&amp;IF(D200="Canary Wharf","Canary Wharf","City")&amp;" teams: "&amp;AC200&amp;" at "&amp;X200&amp;", "&amp;Y200&amp;" min from your office, "&amp;IF(ISNUMBER(AB200),TEXT(AB200,"ddd d mmm")&amp;", "&amp;TEXT(AB200,"hh:mm"),"weekday evenings")&amp;", "&amp;IF(AD200&lt;&gt;"","£"&amp;IF(AD200=INT(AD200),TEXT(AD200,"0"),TEXT(AD200,"0.00")),"[PRICE PER PLAYER]")&amp;" pp. We handle booking and payments. Up for a team game? "&amp;IF(AL200&lt;&gt;"",AL200,IF(Offer!$C$5&lt;&gt;"",Offer!$C$5,"[NAME]")),300))</f>
        <v/>
      </c>
      <c r="AI200" s="14">
        <f>LEN(AH200)</f>
        <v/>
      </c>
      <c r="AJ200" s="14">
        <f>"Thanks for connecting"&amp;IF(O200&lt;&gt;"",", "&amp;O200,"")&amp;". "&amp;IF(ISNUMBER(AB200),"The "&amp;AC200&amp;" slot at "&amp;X200&amp;" is "&amp;IF(ISNUMBER(AB200),TEXT(AB200,"ddd d mmm")&amp;", "&amp;TEXT(AB200,"hh:mm"),"weekday evenings"),"We can book "&amp;AC200&amp;" at "&amp;X200&amp;" on a weekday evening that suits you")&amp;" and it's "&amp;IF(AD200&lt;&gt;"","£"&amp;IF(AD200=INT(AD200),TEXT(AD200,"0"),TEXT(AD200,"0.00")),"[PRICE PER PLAYER]")&amp;" a player, all booked and paid through one link. If football isn't your thing, who at "&amp;F200&amp;" would be the right person to organise a team game?"&amp;IF(Offer!$C$7&lt;&gt;""," Spots are held until "&amp;TEXT(Offer!$C$7,"dddd d mmmm")&amp;".","")&amp;" "&amp;IF(Offer!$C$6&lt;&gt;"",Offer!$C$6,"[JOINING LINK]")</f>
        <v/>
      </c>
      <c r="AK200" s="14">
        <f>IF(OR(ISNUMBER(SEARCH("[",AG200)),ISNUMBER(SEARCH("[",AJ200))),"Fill placeholders",IF(ISNUMBER(AB200),"Ready to send","Ready · no fixed slot"))</f>
        <v/>
      </c>
      <c r="AN200" s="17" t="n"/>
    </row>
    <row r="201">
      <c r="A201" s="11" t="n">
        <v>199</v>
      </c>
      <c r="B201" s="11" t="n">
        <v>3</v>
      </c>
      <c r="C201" s="11" t="inlineStr">
        <is>
          <t>Fund / asset manager</t>
        </is>
      </c>
      <c r="D201" s="11" t="inlineStr">
        <is>
          <t>City of London</t>
        </is>
      </c>
      <c r="E201" s="11" t="inlineStr">
        <is>
          <t>Global Insight Solutions Limited</t>
        </is>
      </c>
      <c r="F201" s="11" t="inlineStr">
        <is>
          <t>Global Insight Solutions</t>
        </is>
      </c>
      <c r="G201" s="11" t="inlineStr">
        <is>
          <t>15446806</t>
        </is>
      </c>
      <c r="H201" s="12" t="inlineStr">
        <is>
          <t>Open</t>
        </is>
      </c>
      <c r="I201" s="12" t="inlineStr">
        <is>
          <t>Search</t>
        </is>
      </c>
      <c r="J201" s="11" t="inlineStr">
        <is>
          <t>Full</t>
        </is>
      </c>
      <c r="K201" s="13" t="n">
        <v>45318</v>
      </c>
      <c r="L201" s="11" t="inlineStr">
        <is>
          <t>128 City Road, London</t>
        </is>
      </c>
      <c r="M201" s="11" t="inlineStr">
        <is>
          <t>EC1V 2NX</t>
        </is>
      </c>
      <c r="N201" s="11" t="inlineStr">
        <is>
          <t>No</t>
        </is>
      </c>
      <c r="U201" s="11" t="inlineStr">
        <is>
          <t>Old St - Moreland Primary School</t>
        </is>
      </c>
      <c r="V201" s="11" t="n">
        <v>11</v>
      </c>
      <c r="W201" s="11" t="inlineStr">
        <is>
          <t>Shoreditch Rooftop (14); COLA Shoreditch Park (16)</t>
        </is>
      </c>
      <c r="X201" s="11" t="inlineStr">
        <is>
          <t>Old St - Moreland Primary School</t>
        </is>
      </c>
      <c r="Y201" s="11" t="n">
        <v>11</v>
      </c>
      <c r="Z201" s="14">
        <f>IFERROR(INDEX(Venues!$E$2:$E$15,MATCH(X201,Venues!$A$2:$A$15,0)),"Not checked")</f>
        <v/>
      </c>
      <c r="AA201" s="14">
        <f>IFERROR(INDEX(Venues!$F$2:$F$15,MATCH(X201,Venues!$A$2:$A$15,0)),0)</f>
        <v/>
      </c>
      <c r="AB201" s="15">
        <f>IFERROR(INDEX(Venues!$M$2:$M$15,MATCH(X201,Venues!$A$2:$A$15,0)),"")</f>
        <v/>
      </c>
      <c r="AC201" s="14">
        <f>IFERROR(INDEX(Venues!$N$2:$N$15,MATCH(X201,Venues!$A$2:$A$15,0)),"5-a-side")</f>
        <v/>
      </c>
      <c r="AD201" s="16">
        <f>IF(Offer!$C$4="","",Offer!$C$4)</f>
        <v/>
      </c>
      <c r="AE201" s="14">
        <f>X201&amp;" ("&amp;Y201&amp;" min walk) · "&amp;IF(ISNUMBER(AB201),TEXT(AB201,"ddd d mmm, hh:mm"),"slot to confirm with venue")&amp;" · "&amp;AC201&amp;" · "&amp;IF(AD201&lt;&gt;"","£"&amp;TEXT(AD201,"0.00")&amp;" pp","price TBC")</f>
        <v/>
      </c>
      <c r="AF201" s="14">
        <f>"After-work football for "&amp;F201&amp;" · "&amp;X201&amp;", "&amp;Y201&amp;" min from your office"</f>
        <v/>
      </c>
      <c r="AG201" s="14">
        <f>"Hi"&amp;IF(O201&lt;&gt;""," "&amp;O201,"")&amp;","&amp;CHAR(10)&amp;CHAR(10)&amp;"I'm "&amp;IF(AL201&lt;&gt;"",AL201,IF(Offer!$C$5&lt;&gt;"",Offer!$C$5,"[NAME]"))&amp;" from FC Urban. We organise after-work football for teams in the City and Canary Wharf."&amp;CHAR(10)&amp;CHAR(10)&amp;"We have a "&amp;AC201&amp;" pitch at "&amp;X201&amp;", "&amp;IF(OR(Y201=8,Y201=11,Y201=18),"an ","a ")&amp;Y201&amp;"-minute walk from your "&amp;M201&amp;" office, "&amp;IF(ISNUMBER(AB201),"on "&amp;TEXT(AB201,"dddd d mmmm")&amp;" at "&amp;TEXT(AB201,"hh:mm"),"on a weekday evening that suits your team")&amp;". It's "&amp;IF(AD201&lt;&gt;"","£"&amp;IF(AD201=INT(AD201),TEXT(AD201,"0"),TEXT(AD201,"0.00")),"[PRICE PER PLAYER]")&amp;" a player and we handle the pitch booking, sign-ups and payments, so all it takes is one person sharing a link with the team."&amp;CHAR(10)&amp;CHAR(10)&amp;"It works well as a team social or "&amp;IF(ISNUMBER(SEARCH(LEFT(F201,1),"AEIOU")),"an ","a ")&amp;F201&amp;"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LINK]")&amp;CHAR(10)&amp;CHAR(10)&amp;"Best,"&amp;CHAR(10)&amp;IF(AL201&lt;&gt;"",AL201,IF(Offer!$C$5&lt;&gt;"",Offer!$C$5,"[NAME]"))&amp;CHAR(10)&amp;"FC Urban"</f>
        <v/>
      </c>
      <c r="AH201" s="14">
        <f>IF(LEN("Hi"&amp;IF(O201&lt;&gt;""," "&amp;O201,"")&amp;","&amp;" FC Urban runs after-work football for "&amp;IF(D201="Canary Wharf","Canary Wharf","City")&amp;" teams. We have a "&amp;AC201&amp;" pitch at "&amp;X201&amp;", "&amp;Y201&amp;" min from your office, "&amp;IF(ISNUMBER(AB201),TEXT(AB201,"ddd d mmm")&amp;", "&amp;TEXT(AB201,"hh:mm"),"weekday evenings")&amp;", "&amp;IF(AD201&lt;&gt;"","£"&amp;IF(AD201=INT(AD201),TEXT(AD201,"0"),TEXT(AD201,"0.00")),"[PRICE PER PLAYER]")&amp;" a player. We handle booking, sign-ups and payments. Fancy "&amp;IF(ISNUMBER(SEARCH(LEFT(F201,1),"AEIOU")),"an ","a ")&amp;F201&amp;" team game? "&amp;IF(AL201&lt;&gt;"",AL201,IF(Offer!$C$5&lt;&gt;"",Offer!$C$5,"[NAME]")))&lt;=300,"Hi"&amp;IF(O201&lt;&gt;""," "&amp;O201,"")&amp;","&amp;" FC Urban runs after-work football for "&amp;IF(D201="Canary Wharf","Canary Wharf","City")&amp;" teams. We have a "&amp;AC201&amp;" pitch at "&amp;X201&amp;", "&amp;Y201&amp;" min from your office, "&amp;IF(ISNUMBER(AB201),TEXT(AB201,"ddd d mmm")&amp;", "&amp;TEXT(AB201,"hh:mm"),"weekday evenings")&amp;", "&amp;IF(AD201&lt;&gt;"","£"&amp;IF(AD201=INT(AD201),TEXT(AD201,"0"),TEXT(AD201,"0.00")),"[PRICE PER PLAYER]")&amp;" a player. We handle booking, sign-ups and payments. Fancy "&amp;IF(ISNUMBER(SEARCH(LEFT(F201,1),"AEIOU")),"an ","a ")&amp;F201&amp;" team game? "&amp;IF(AL201&lt;&gt;"",AL201,IF(Offer!$C$5&lt;&gt;"",Offer!$C$5,"[NAME]")),LEFT("Hi"&amp;IF(O201&lt;&gt;""," "&amp;O201,"")&amp;","&amp;" FC Urban runs after-work football for "&amp;IF(D201="Canary Wharf","Canary Wharf","City")&amp;" teams: "&amp;AC201&amp;" at "&amp;X201&amp;", "&amp;Y201&amp;" min from your office, "&amp;IF(ISNUMBER(AB201),TEXT(AB201,"ddd d mmm")&amp;", "&amp;TEXT(AB201,"hh:mm"),"weekday evenings")&amp;", "&amp;IF(AD201&lt;&gt;"","£"&amp;IF(AD201=INT(AD201),TEXT(AD201,"0"),TEXT(AD201,"0.00")),"[PRICE PER PLAYER]")&amp;" pp. We handle booking and payments. Up for a team game? "&amp;IF(AL201&lt;&gt;"",AL201,IF(Offer!$C$5&lt;&gt;"",Offer!$C$5,"[NAME]")),300))</f>
        <v/>
      </c>
      <c r="AI201" s="14">
        <f>LEN(AH201)</f>
        <v/>
      </c>
      <c r="AJ201" s="14">
        <f>"Thanks for connecting"&amp;IF(O201&lt;&gt;"",", "&amp;O201,"")&amp;". "&amp;IF(ISNUMBER(AB201),"The "&amp;AC201&amp;" slot at "&amp;X201&amp;" is "&amp;IF(ISNUMBER(AB201),TEXT(AB201,"ddd d mmm")&amp;", "&amp;TEXT(AB201,"hh:mm"),"weekday evenings"),"We can book "&amp;AC201&amp;" at "&amp;X201&amp;" on a weekday evening that suits you")&amp;" and it's "&amp;IF(AD201&lt;&gt;"","£"&amp;IF(AD201=INT(AD201),TEXT(AD201,"0"),TEXT(AD201,"0.00")),"[PRICE PER PLAYER]")&amp;" a player, all booked and paid through one link. If football isn't your thing, who at "&amp;F201&amp;" would be the right person to organise a team game?"&amp;IF(Offer!$C$7&lt;&gt;""," Spots are held until "&amp;TEXT(Offer!$C$7,"dddd d mmmm")&amp;".","")&amp;" "&amp;IF(Offer!$C$6&lt;&gt;"",Offer!$C$6,"[JOINING LINK]")</f>
        <v/>
      </c>
      <c r="AK201" s="14">
        <f>IF(OR(ISNUMBER(SEARCH("[",AG201)),ISNUMBER(SEARCH("[",AJ201))),"Fill placeholders",IF(ISNUMBER(AB201),"Ready to send","Ready · no fixed slot"))</f>
        <v/>
      </c>
      <c r="AN201" s="17" t="n"/>
    </row>
    <row r="202">
      <c r="A202" s="11" t="n">
        <v>200</v>
      </c>
      <c r="B202" s="11" t="n">
        <v>3</v>
      </c>
      <c r="C202" s="11" t="inlineStr">
        <is>
          <t>Fund / asset manager</t>
        </is>
      </c>
      <c r="D202" s="11" t="inlineStr">
        <is>
          <t>City of London</t>
        </is>
      </c>
      <c r="E202" s="11" t="inlineStr">
        <is>
          <t>LBV Asset Management LLP</t>
        </is>
      </c>
      <c r="F202" s="11" t="inlineStr">
        <is>
          <t>LBV Asset Management</t>
        </is>
      </c>
      <c r="G202" s="11" t="inlineStr">
        <is>
          <t>OC335914</t>
        </is>
      </c>
      <c r="H202" s="12" t="inlineStr">
        <is>
          <t>Open</t>
        </is>
      </c>
      <c r="I202" s="12" t="inlineStr">
        <is>
          <t>Search</t>
        </is>
      </c>
      <c r="J202" s="11" t="inlineStr">
        <is>
          <t>Full</t>
        </is>
      </c>
      <c r="K202" s="13" t="n">
        <v>39532</v>
      </c>
      <c r="L202" s="11" t="inlineStr">
        <is>
          <t>124 City Road, London</t>
        </is>
      </c>
      <c r="M202" s="11" t="inlineStr">
        <is>
          <t>EC1V 2NX</t>
        </is>
      </c>
      <c r="N202" s="11" t="inlineStr">
        <is>
          <t>No</t>
        </is>
      </c>
      <c r="U202" s="11" t="inlineStr">
        <is>
          <t>Old St - Moreland Primary School</t>
        </is>
      </c>
      <c r="V202" s="11" t="n">
        <v>11</v>
      </c>
      <c r="W202" s="11" t="inlineStr">
        <is>
          <t>Shoreditch Rooftop (14); COLA Shoreditch Park (16)</t>
        </is>
      </c>
      <c r="X202" s="11" t="inlineStr">
        <is>
          <t>Old St - Moreland Primary School</t>
        </is>
      </c>
      <c r="Y202" s="11" t="n">
        <v>11</v>
      </c>
      <c r="Z202" s="14">
        <f>IFERROR(INDEX(Venues!$E$2:$E$15,MATCH(X202,Venues!$A$2:$A$15,0)),"Not checked")</f>
        <v/>
      </c>
      <c r="AA202" s="14">
        <f>IFERROR(INDEX(Venues!$F$2:$F$15,MATCH(X202,Venues!$A$2:$A$15,0)),0)</f>
        <v/>
      </c>
      <c r="AB202" s="15">
        <f>IFERROR(INDEX(Venues!$M$2:$M$15,MATCH(X202,Venues!$A$2:$A$15,0)),"")</f>
        <v/>
      </c>
      <c r="AC202" s="14">
        <f>IFERROR(INDEX(Venues!$N$2:$N$15,MATCH(X202,Venues!$A$2:$A$15,0)),"5-a-side")</f>
        <v/>
      </c>
      <c r="AD202" s="16">
        <f>IF(Offer!$C$4="","",Offer!$C$4)</f>
        <v/>
      </c>
      <c r="AE202" s="14">
        <f>X202&amp;" ("&amp;Y202&amp;" min walk) · "&amp;IF(ISNUMBER(AB202),TEXT(AB202,"ddd d mmm, hh:mm"),"slot to confirm with venue")&amp;" · "&amp;AC202&amp;" · "&amp;IF(AD202&lt;&gt;"","£"&amp;TEXT(AD202,"0.00")&amp;" pp","price TBC")</f>
        <v/>
      </c>
      <c r="AF202" s="14">
        <f>"After-work football for "&amp;F202&amp;" · "&amp;X202&amp;", "&amp;Y202&amp;" min from your office"</f>
        <v/>
      </c>
      <c r="AG202" s="14">
        <f>"Hi"&amp;IF(O202&lt;&gt;""," "&amp;O202,"")&amp;","&amp;CHAR(10)&amp;CHAR(10)&amp;"I'm "&amp;IF(AL202&lt;&gt;"",AL202,IF(Offer!$C$5&lt;&gt;"",Offer!$C$5,"[NAME]"))&amp;" from FC Urban. We organise after-work football for teams in the City and Canary Wharf."&amp;CHAR(10)&amp;CHAR(10)&amp;"We have a "&amp;AC202&amp;" pitch at "&amp;X202&amp;", "&amp;IF(OR(Y202=8,Y202=11,Y202=18),"an ","a ")&amp;Y202&amp;"-minute walk from your "&amp;M202&amp;" office, "&amp;IF(ISNUMBER(AB202),"on "&amp;TEXT(AB202,"dddd d mmmm")&amp;" at "&amp;TEXT(AB202,"hh:mm"),"on a weekday evening that suits your team")&amp;". It's "&amp;IF(AD202&lt;&gt;"","£"&amp;IF(AD202=INT(AD202),TEXT(AD202,"0"),TEXT(AD202,"0.00")),"[PRICE PER PLAYER]")&amp;" a player and we handle the pitch booking, sign-ups and payments, so all it takes is one person sharing a link with the team."&amp;CHAR(10)&amp;CHAR(10)&amp;"It works well as a team social or "&amp;IF(ISNUMBER(SEARCH(LEFT(F202,1),"AEIOU")),"an ","a ")&amp;F202&amp;"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LINK]")&amp;CHAR(10)&amp;CHAR(10)&amp;"Best,"&amp;CHAR(10)&amp;IF(AL202&lt;&gt;"",AL202,IF(Offer!$C$5&lt;&gt;"",Offer!$C$5,"[NAME]"))&amp;CHAR(10)&amp;"FC Urban"</f>
        <v/>
      </c>
      <c r="AH202" s="14">
        <f>IF(LEN("Hi"&amp;IF(O202&lt;&gt;""," "&amp;O202,"")&amp;","&amp;" FC Urban runs after-work football for "&amp;IF(D202="Canary Wharf","Canary Wharf","City")&amp;" teams. We have a "&amp;AC202&amp;" pitch at "&amp;X202&amp;", "&amp;Y202&amp;" min from your office, "&amp;IF(ISNUMBER(AB202),TEXT(AB202,"ddd d mmm")&amp;", "&amp;TEXT(AB202,"hh:mm"),"weekday evenings")&amp;", "&amp;IF(AD202&lt;&gt;"","£"&amp;IF(AD202=INT(AD202),TEXT(AD202,"0"),TEXT(AD202,"0.00")),"[PRICE PER PLAYER]")&amp;" a player. We handle booking, sign-ups and payments. Fancy "&amp;IF(ISNUMBER(SEARCH(LEFT(F202,1),"AEIOU")),"an ","a ")&amp;F202&amp;" team game? "&amp;IF(AL202&lt;&gt;"",AL202,IF(Offer!$C$5&lt;&gt;"",Offer!$C$5,"[NAME]")))&lt;=300,"Hi"&amp;IF(O202&lt;&gt;""," "&amp;O202,"")&amp;","&amp;" FC Urban runs after-work football for "&amp;IF(D202="Canary Wharf","Canary Wharf","City")&amp;" teams. We have a "&amp;AC202&amp;" pitch at "&amp;X202&amp;", "&amp;Y202&amp;" min from your office, "&amp;IF(ISNUMBER(AB202),TEXT(AB202,"ddd d mmm")&amp;", "&amp;TEXT(AB202,"hh:mm"),"weekday evenings")&amp;", "&amp;IF(AD202&lt;&gt;"","£"&amp;IF(AD202=INT(AD202),TEXT(AD202,"0"),TEXT(AD202,"0.00")),"[PRICE PER PLAYER]")&amp;" a player. We handle booking, sign-ups and payments. Fancy "&amp;IF(ISNUMBER(SEARCH(LEFT(F202,1),"AEIOU")),"an ","a ")&amp;F202&amp;" team game? "&amp;IF(AL202&lt;&gt;"",AL202,IF(Offer!$C$5&lt;&gt;"",Offer!$C$5,"[NAME]")),LEFT("Hi"&amp;IF(O202&lt;&gt;""," "&amp;O202,"")&amp;","&amp;" FC Urban runs after-work football for "&amp;IF(D202="Canary Wharf","Canary Wharf","City")&amp;" teams: "&amp;AC202&amp;" at "&amp;X202&amp;", "&amp;Y202&amp;" min from your office, "&amp;IF(ISNUMBER(AB202),TEXT(AB202,"ddd d mmm")&amp;", "&amp;TEXT(AB202,"hh:mm"),"weekday evenings")&amp;", "&amp;IF(AD202&lt;&gt;"","£"&amp;IF(AD202=INT(AD202),TEXT(AD202,"0"),TEXT(AD202,"0.00")),"[PRICE PER PLAYER]")&amp;" pp. We handle booking and payments. Up for a team game? "&amp;IF(AL202&lt;&gt;"",AL202,IF(Offer!$C$5&lt;&gt;"",Offer!$C$5,"[NAME]")),300))</f>
        <v/>
      </c>
      <c r="AI202" s="14">
        <f>LEN(AH202)</f>
        <v/>
      </c>
      <c r="AJ202" s="14">
        <f>"Thanks for connecting"&amp;IF(O202&lt;&gt;"",", "&amp;O202,"")&amp;". "&amp;IF(ISNUMBER(AB202),"The "&amp;AC202&amp;" slot at "&amp;X202&amp;" is "&amp;IF(ISNUMBER(AB202),TEXT(AB202,"ddd d mmm")&amp;", "&amp;TEXT(AB202,"hh:mm"),"weekday evenings"),"We can book "&amp;AC202&amp;" at "&amp;X202&amp;" on a weekday evening that suits you")&amp;" and it's "&amp;IF(AD202&lt;&gt;"","£"&amp;IF(AD202=INT(AD202),TEXT(AD202,"0"),TEXT(AD202,"0.00")),"[PRICE PER PLAYER]")&amp;" a player, all booked and paid through one link. If football isn't your thing, who at "&amp;F202&amp;" would be the right person to organise a team game?"&amp;IF(Offer!$C$7&lt;&gt;""," Spots are held until "&amp;TEXT(Offer!$C$7,"dddd d mmmm")&amp;".","")&amp;" "&amp;IF(Offer!$C$6&lt;&gt;"",Offer!$C$6,"[JOINING LINK]")</f>
        <v/>
      </c>
      <c r="AK202" s="14">
        <f>IF(OR(ISNUMBER(SEARCH("[",AG202)),ISNUMBER(SEARCH("[",AJ202))),"Fill placeholders",IF(ISNUMBER(AB202),"Ready to send","Ready · no fixed slot"))</f>
        <v/>
      </c>
      <c r="AN202" s="17" t="n"/>
    </row>
    <row r="203">
      <c r="A203" s="11" t="n">
        <v>201</v>
      </c>
      <c r="B203" s="11" t="n">
        <v>3</v>
      </c>
      <c r="C203" s="11" t="inlineStr">
        <is>
          <t>Insurance / broker</t>
        </is>
      </c>
      <c r="D203" s="11" t="inlineStr">
        <is>
          <t>City of London</t>
        </is>
      </c>
      <c r="E203" s="11" t="inlineStr">
        <is>
          <t>NFG Capital Limited</t>
        </is>
      </c>
      <c r="F203" s="11" t="inlineStr">
        <is>
          <t>NFG Capital</t>
        </is>
      </c>
      <c r="G203" s="11" t="inlineStr">
        <is>
          <t>07714873</t>
        </is>
      </c>
      <c r="H203" s="12" t="inlineStr">
        <is>
          <t>Open</t>
        </is>
      </c>
      <c r="I203" s="12" t="inlineStr">
        <is>
          <t>Search</t>
        </is>
      </c>
      <c r="J203" s="11" t="inlineStr">
        <is>
          <t>Full</t>
        </is>
      </c>
      <c r="K203" s="13" t="n">
        <v>40746</v>
      </c>
      <c r="L203" s="11" t="inlineStr">
        <is>
          <t>Dixon House 5Th Floor, 1 Lloyds Avenue, London</t>
        </is>
      </c>
      <c r="M203" s="11" t="inlineStr">
        <is>
          <t>EC3M 5JD</t>
        </is>
      </c>
      <c r="N203" s="11" t="inlineStr">
        <is>
          <t>Yes</t>
        </is>
      </c>
      <c r="U203" s="11" t="inlineStr">
        <is>
          <t>Liverpool St - Attlee Centre</t>
        </is>
      </c>
      <c r="V203" s="11" t="n">
        <v>11</v>
      </c>
      <c r="W203" s="11" t="n"/>
      <c r="X203" s="11" t="inlineStr">
        <is>
          <t>Liverpool St - Attlee Centre</t>
        </is>
      </c>
      <c r="Y203" s="11" t="n">
        <v>11</v>
      </c>
      <c r="Z203" s="14">
        <f>IFERROR(INDEX(Venues!$E$2:$E$15,MATCH(X203,Venues!$A$2:$A$15,0)),"Not checked")</f>
        <v/>
      </c>
      <c r="AA203" s="14">
        <f>IFERROR(INDEX(Venues!$F$2:$F$15,MATCH(X203,Venues!$A$2:$A$15,0)),0)</f>
        <v/>
      </c>
      <c r="AB203" s="15">
        <f>IFERROR(INDEX(Venues!$M$2:$M$15,MATCH(X203,Venues!$A$2:$A$15,0)),"")</f>
        <v/>
      </c>
      <c r="AC203" s="14">
        <f>IFERROR(INDEX(Venues!$N$2:$N$15,MATCH(X203,Venues!$A$2:$A$15,0)),"5-a-side")</f>
        <v/>
      </c>
      <c r="AD203" s="16">
        <f>IF(Offer!$C$4="","",Offer!$C$4)</f>
        <v/>
      </c>
      <c r="AE203" s="14">
        <f>X203&amp;" ("&amp;Y203&amp;" min walk) · "&amp;IF(ISNUMBER(AB203),TEXT(AB203,"ddd d mmm, hh:mm"),"slot to confirm with venue")&amp;" · "&amp;AC203&amp;" · "&amp;IF(AD203&lt;&gt;"","£"&amp;TEXT(AD203,"0.00")&amp;" pp","price TBC")</f>
        <v/>
      </c>
      <c r="AF203" s="14">
        <f>"After-work football for "&amp;F203&amp;" · "&amp;X203&amp;", "&amp;Y203&amp;" min from your office"</f>
        <v/>
      </c>
      <c r="AG203" s="14">
        <f>"Hi"&amp;IF(O203&lt;&gt;""," "&amp;O203,"")&amp;","&amp;CHAR(10)&amp;CHAR(10)&amp;"I'm "&amp;IF(AL203&lt;&gt;"",AL203,IF(Offer!$C$5&lt;&gt;"",Offer!$C$5,"[NAME]"))&amp;" from FC Urban. We organise after-work football for teams in the City and Canary Wharf."&amp;CHAR(10)&amp;CHAR(10)&amp;"We have a "&amp;AC203&amp;" pitch at "&amp;X203&amp;", "&amp;IF(OR(Y203=8,Y203=11,Y203=18),"an ","a ")&amp;Y203&amp;"-minute walk from your "&amp;M203&amp;" office, "&amp;IF(ISNUMBER(AB203),"on "&amp;TEXT(AB203,"dddd d mmmm")&amp;" at "&amp;TEXT(AB203,"hh:mm"),"on a weekday evening that suits your team")&amp;". It's "&amp;IF(AD203&lt;&gt;"","£"&amp;IF(AD203=INT(AD203),TEXT(AD203,"0"),TEXT(AD203,"0.00")),"[PRICE PER PLAYER]")&amp;" a player and we handle the pitch booking, sign-ups and payments, so all it takes is one person sharing a link with the team."&amp;CHAR(10)&amp;CHAR(10)&amp;"It works well as a team social or "&amp;IF(ISNUMBER(SEARCH(LEFT(F203,1),"AEIOU")),"an ","a ")&amp;F203&amp;"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LINK]")&amp;CHAR(10)&amp;CHAR(10)&amp;"Best,"&amp;CHAR(10)&amp;IF(AL203&lt;&gt;"",AL203,IF(Offer!$C$5&lt;&gt;"",Offer!$C$5,"[NAME]"))&amp;CHAR(10)&amp;"FC Urban"</f>
        <v/>
      </c>
      <c r="AH203" s="14">
        <f>IF(LEN("Hi"&amp;IF(O203&lt;&gt;""," "&amp;O203,"")&amp;","&amp;" FC Urban runs after-work football for "&amp;IF(D203="Canary Wharf","Canary Wharf","City")&amp;" teams. We have a "&amp;AC203&amp;" pitch at "&amp;X203&amp;", "&amp;Y203&amp;" min from your office, "&amp;IF(ISNUMBER(AB203),TEXT(AB203,"ddd d mmm")&amp;", "&amp;TEXT(AB203,"hh:mm"),"weekday evenings")&amp;", "&amp;IF(AD203&lt;&gt;"","£"&amp;IF(AD203=INT(AD203),TEXT(AD203,"0"),TEXT(AD203,"0.00")),"[PRICE PER PLAYER]")&amp;" a player. We handle booking, sign-ups and payments. Fancy "&amp;IF(ISNUMBER(SEARCH(LEFT(F203,1),"AEIOU")),"an ","a ")&amp;F203&amp;" team game? "&amp;IF(AL203&lt;&gt;"",AL203,IF(Offer!$C$5&lt;&gt;"",Offer!$C$5,"[NAME]")))&lt;=300,"Hi"&amp;IF(O203&lt;&gt;""," "&amp;O203,"")&amp;","&amp;" FC Urban runs after-work football for "&amp;IF(D203="Canary Wharf","Canary Wharf","City")&amp;" teams. We have a "&amp;AC203&amp;" pitch at "&amp;X203&amp;", "&amp;Y203&amp;" min from your office, "&amp;IF(ISNUMBER(AB203),TEXT(AB203,"ddd d mmm")&amp;", "&amp;TEXT(AB203,"hh:mm"),"weekday evenings")&amp;", "&amp;IF(AD203&lt;&gt;"","£"&amp;IF(AD203=INT(AD203),TEXT(AD203,"0"),TEXT(AD203,"0.00")),"[PRICE PER PLAYER]")&amp;" a player. We handle booking, sign-ups and payments. Fancy "&amp;IF(ISNUMBER(SEARCH(LEFT(F203,1),"AEIOU")),"an ","a ")&amp;F203&amp;" team game? "&amp;IF(AL203&lt;&gt;"",AL203,IF(Offer!$C$5&lt;&gt;"",Offer!$C$5,"[NAME]")),LEFT("Hi"&amp;IF(O203&lt;&gt;""," "&amp;O203,"")&amp;","&amp;" FC Urban runs after-work football for "&amp;IF(D203="Canary Wharf","Canary Wharf","City")&amp;" teams: "&amp;AC203&amp;" at "&amp;X203&amp;", "&amp;Y203&amp;" min from your office, "&amp;IF(ISNUMBER(AB203),TEXT(AB203,"ddd d mmm")&amp;", "&amp;TEXT(AB203,"hh:mm"),"weekday evenings")&amp;", "&amp;IF(AD203&lt;&gt;"","£"&amp;IF(AD203=INT(AD203),TEXT(AD203,"0"),TEXT(AD203,"0.00")),"[PRICE PER PLAYER]")&amp;" pp. We handle booking and payments. Up for a team game? "&amp;IF(AL203&lt;&gt;"",AL203,IF(Offer!$C$5&lt;&gt;"",Offer!$C$5,"[NAME]")),300))</f>
        <v/>
      </c>
      <c r="AI203" s="14">
        <f>LEN(AH203)</f>
        <v/>
      </c>
      <c r="AJ203" s="14">
        <f>"Thanks for connecting"&amp;IF(O203&lt;&gt;"",", "&amp;O203,"")&amp;". "&amp;IF(ISNUMBER(AB203),"The "&amp;AC203&amp;" slot at "&amp;X203&amp;" is "&amp;IF(ISNUMBER(AB203),TEXT(AB203,"ddd d mmm")&amp;", "&amp;TEXT(AB203,"hh:mm"),"weekday evenings"),"We can book "&amp;AC203&amp;" at "&amp;X203&amp;" on a weekday evening that suits you")&amp;" and it's "&amp;IF(AD203&lt;&gt;"","£"&amp;IF(AD203=INT(AD203),TEXT(AD203,"0"),TEXT(AD203,"0.00")),"[PRICE PER PLAYER]")&amp;" a player, all booked and paid through one link. If football isn't your thing, who at "&amp;F203&amp;" would be the right person to organise a team game?"&amp;IF(Offer!$C$7&lt;&gt;""," Spots are held until "&amp;TEXT(Offer!$C$7,"dddd d mmmm")&amp;".","")&amp;" "&amp;IF(Offer!$C$6&lt;&gt;"",Offer!$C$6,"[JOINING LINK]")</f>
        <v/>
      </c>
      <c r="AK203" s="14">
        <f>IF(OR(ISNUMBER(SEARCH("[",AG203)),ISNUMBER(SEARCH("[",AJ203))),"Fill placeholders",IF(ISNUMBER(AB203),"Ready to send","Ready · no fixed slot"))</f>
        <v/>
      </c>
      <c r="AN203" s="17" t="n"/>
    </row>
    <row r="204">
      <c r="A204" s="11" t="n">
        <v>202</v>
      </c>
      <c r="B204" s="11" t="n">
        <v>3</v>
      </c>
      <c r="C204" s="11" t="inlineStr">
        <is>
          <t>Fund / asset manager</t>
        </is>
      </c>
      <c r="D204" s="11" t="inlineStr">
        <is>
          <t>City of London</t>
        </is>
      </c>
      <c r="E204" s="11" t="inlineStr">
        <is>
          <t>Freetrade Limited</t>
        </is>
      </c>
      <c r="F204" s="11" t="inlineStr">
        <is>
          <t>Freetrade</t>
        </is>
      </c>
      <c r="G204" s="11" t="inlineStr">
        <is>
          <t>09797821</t>
        </is>
      </c>
      <c r="H204" s="12" t="inlineStr">
        <is>
          <t>Open</t>
        </is>
      </c>
      <c r="I204" s="12" t="inlineStr">
        <is>
          <t>Search</t>
        </is>
      </c>
      <c r="J204" s="11" t="inlineStr">
        <is>
          <t>Full</t>
        </is>
      </c>
      <c r="K204" s="13" t="n">
        <v>42275</v>
      </c>
      <c r="L204" s="11" t="inlineStr">
        <is>
          <t>145 City Road, London</t>
        </is>
      </c>
      <c r="M204" s="11" t="inlineStr">
        <is>
          <t>EC1V 1AZ</t>
        </is>
      </c>
      <c r="N204" s="11" t="inlineStr">
        <is>
          <t>Yes</t>
        </is>
      </c>
      <c r="U204" s="11" t="inlineStr">
        <is>
          <t>Old St - Moreland Primary School</t>
        </is>
      </c>
      <c r="V204" s="11" t="n">
        <v>11</v>
      </c>
      <c r="W204" s="11" t="inlineStr">
        <is>
          <t>Shoreditch Rooftop (13.5); COLA Shoreditch Park (15.5)</t>
        </is>
      </c>
      <c r="X204" s="11" t="inlineStr">
        <is>
          <t>Old St - Moreland Primary School</t>
        </is>
      </c>
      <c r="Y204" s="11" t="n">
        <v>11</v>
      </c>
      <c r="Z204" s="14">
        <f>IFERROR(INDEX(Venues!$E$2:$E$15,MATCH(X204,Venues!$A$2:$A$15,0)),"Not checked")</f>
        <v/>
      </c>
      <c r="AA204" s="14">
        <f>IFERROR(INDEX(Venues!$F$2:$F$15,MATCH(X204,Venues!$A$2:$A$15,0)),0)</f>
        <v/>
      </c>
      <c r="AB204" s="15">
        <f>IFERROR(INDEX(Venues!$M$2:$M$15,MATCH(X204,Venues!$A$2:$A$15,0)),"")</f>
        <v/>
      </c>
      <c r="AC204" s="14">
        <f>IFERROR(INDEX(Venues!$N$2:$N$15,MATCH(X204,Venues!$A$2:$A$15,0)),"5-a-side")</f>
        <v/>
      </c>
      <c r="AD204" s="16">
        <f>IF(Offer!$C$4="","",Offer!$C$4)</f>
        <v/>
      </c>
      <c r="AE204" s="14">
        <f>X204&amp;" ("&amp;Y204&amp;" min walk) · "&amp;IF(ISNUMBER(AB204),TEXT(AB204,"ddd d mmm, hh:mm"),"slot to confirm with venue")&amp;" · "&amp;AC204&amp;" · "&amp;IF(AD204&lt;&gt;"","£"&amp;TEXT(AD204,"0.00")&amp;" pp","price TBC")</f>
        <v/>
      </c>
      <c r="AF204" s="14">
        <f>"After-work football for "&amp;F204&amp;" · "&amp;X204&amp;", "&amp;Y204&amp;" min from your office"</f>
        <v/>
      </c>
      <c r="AG204" s="14">
        <f>"Hi"&amp;IF(O204&lt;&gt;""," "&amp;O204,"")&amp;","&amp;CHAR(10)&amp;CHAR(10)&amp;"I'm "&amp;IF(AL204&lt;&gt;"",AL204,IF(Offer!$C$5&lt;&gt;"",Offer!$C$5,"[NAME]"))&amp;" from FC Urban. We organise after-work football for teams in the City and Canary Wharf."&amp;CHAR(10)&amp;CHAR(10)&amp;"We have a "&amp;AC204&amp;" pitch at "&amp;X204&amp;", "&amp;IF(OR(Y204=8,Y204=11,Y204=18),"an ","a ")&amp;Y204&amp;"-minute walk from your "&amp;M204&amp;" office, "&amp;IF(ISNUMBER(AB204),"on "&amp;TEXT(AB204,"dddd d mmmm")&amp;" at "&amp;TEXT(AB204,"hh:mm"),"on a weekday evening that suits your team")&amp;". It's "&amp;IF(AD204&lt;&gt;"","£"&amp;IF(AD204=INT(AD204),TEXT(AD204,"0"),TEXT(AD204,"0.00")),"[PRICE PER PLAYER]")&amp;" a player and we handle the pitch booking, sign-ups and payments, so all it takes is one person sharing a link with the team."&amp;CHAR(10)&amp;CHAR(10)&amp;"It works well as a team social or "&amp;IF(ISNUMBER(SEARCH(LEFT(F204,1),"AEIOU")),"an ","a ")&amp;F204&amp;"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LINK]")&amp;CHAR(10)&amp;CHAR(10)&amp;"Best,"&amp;CHAR(10)&amp;IF(AL204&lt;&gt;"",AL204,IF(Offer!$C$5&lt;&gt;"",Offer!$C$5,"[NAME]"))&amp;CHAR(10)&amp;"FC Urban"</f>
        <v/>
      </c>
      <c r="AH204" s="14">
        <f>IF(LEN("Hi"&amp;IF(O204&lt;&gt;""," "&amp;O204,"")&amp;","&amp;" FC Urban runs after-work football for "&amp;IF(D204="Canary Wharf","Canary Wharf","City")&amp;" teams. We have a "&amp;AC204&amp;" pitch at "&amp;X204&amp;", "&amp;Y204&amp;" min from your office, "&amp;IF(ISNUMBER(AB204),TEXT(AB204,"ddd d mmm")&amp;", "&amp;TEXT(AB204,"hh:mm"),"weekday evenings")&amp;", "&amp;IF(AD204&lt;&gt;"","£"&amp;IF(AD204=INT(AD204),TEXT(AD204,"0"),TEXT(AD204,"0.00")),"[PRICE PER PLAYER]")&amp;" a player. We handle booking, sign-ups and payments. Fancy "&amp;IF(ISNUMBER(SEARCH(LEFT(F204,1),"AEIOU")),"an ","a ")&amp;F204&amp;" team game? "&amp;IF(AL204&lt;&gt;"",AL204,IF(Offer!$C$5&lt;&gt;"",Offer!$C$5,"[NAME]")))&lt;=300,"Hi"&amp;IF(O204&lt;&gt;""," "&amp;O204,"")&amp;","&amp;" FC Urban runs after-work football for "&amp;IF(D204="Canary Wharf","Canary Wharf","City")&amp;" teams. We have a "&amp;AC204&amp;" pitch at "&amp;X204&amp;", "&amp;Y204&amp;" min from your office, "&amp;IF(ISNUMBER(AB204),TEXT(AB204,"ddd d mmm")&amp;", "&amp;TEXT(AB204,"hh:mm"),"weekday evenings")&amp;", "&amp;IF(AD204&lt;&gt;"","£"&amp;IF(AD204=INT(AD204),TEXT(AD204,"0"),TEXT(AD204,"0.00")),"[PRICE PER PLAYER]")&amp;" a player. We handle booking, sign-ups and payments. Fancy "&amp;IF(ISNUMBER(SEARCH(LEFT(F204,1),"AEIOU")),"an ","a ")&amp;F204&amp;" team game? "&amp;IF(AL204&lt;&gt;"",AL204,IF(Offer!$C$5&lt;&gt;"",Offer!$C$5,"[NAME]")),LEFT("Hi"&amp;IF(O204&lt;&gt;""," "&amp;O204,"")&amp;","&amp;" FC Urban runs after-work football for "&amp;IF(D204="Canary Wharf","Canary Wharf","City")&amp;" teams: "&amp;AC204&amp;" at "&amp;X204&amp;", "&amp;Y204&amp;" min from your office, "&amp;IF(ISNUMBER(AB204),TEXT(AB204,"ddd d mmm")&amp;", "&amp;TEXT(AB204,"hh:mm"),"weekday evenings")&amp;", "&amp;IF(AD204&lt;&gt;"","£"&amp;IF(AD204=INT(AD204),TEXT(AD204,"0"),TEXT(AD204,"0.00")),"[PRICE PER PLAYER]")&amp;" pp. We handle booking and payments. Up for a team game? "&amp;IF(AL204&lt;&gt;"",AL204,IF(Offer!$C$5&lt;&gt;"",Offer!$C$5,"[NAME]")),300))</f>
        <v/>
      </c>
      <c r="AI204" s="14">
        <f>LEN(AH204)</f>
        <v/>
      </c>
      <c r="AJ204" s="14">
        <f>"Thanks for connecting"&amp;IF(O204&lt;&gt;"",", "&amp;O204,"")&amp;". "&amp;IF(ISNUMBER(AB204),"The "&amp;AC204&amp;" slot at "&amp;X204&amp;" is "&amp;IF(ISNUMBER(AB204),TEXT(AB204,"ddd d mmm")&amp;", "&amp;TEXT(AB204,"hh:mm"),"weekday evenings"),"We can book "&amp;AC204&amp;" at "&amp;X204&amp;" on a weekday evening that suits you")&amp;" and it's "&amp;IF(AD204&lt;&gt;"","£"&amp;IF(AD204=INT(AD204),TEXT(AD204,"0"),TEXT(AD204,"0.00")),"[PRICE PER PLAYER]")&amp;" a player, all booked and paid through one link. If football isn't your thing, who at "&amp;F204&amp;" would be the right person to organise a team game?"&amp;IF(Offer!$C$7&lt;&gt;""," Spots are held until "&amp;TEXT(Offer!$C$7,"dddd d mmmm")&amp;".","")&amp;" "&amp;IF(Offer!$C$6&lt;&gt;"",Offer!$C$6,"[JOINING LINK]")</f>
        <v/>
      </c>
      <c r="AK204" s="14">
        <f>IF(OR(ISNUMBER(SEARCH("[",AG204)),ISNUMBER(SEARCH("[",AJ204))),"Fill placeholders",IF(ISNUMBER(AB204),"Ready to send","Ready · no fixed slot"))</f>
        <v/>
      </c>
      <c r="AN204" s="17" t="n"/>
    </row>
    <row r="205">
      <c r="A205" s="11" t="n">
        <v>203</v>
      </c>
      <c r="B205" s="11" t="n">
        <v>3</v>
      </c>
      <c r="C205" s="11" t="inlineStr">
        <is>
          <t>Insurance / broker</t>
        </is>
      </c>
      <c r="D205" s="11" t="inlineStr">
        <is>
          <t>City of London</t>
        </is>
      </c>
      <c r="E205" s="11" t="inlineStr">
        <is>
          <t>Nuvu Mga Limited</t>
        </is>
      </c>
      <c r="F205" s="11" t="inlineStr">
        <is>
          <t>Nuvu Mga</t>
        </is>
      </c>
      <c r="G205" s="11" t="inlineStr">
        <is>
          <t>10143052</t>
        </is>
      </c>
      <c r="H205" s="12" t="inlineStr">
        <is>
          <t>Open</t>
        </is>
      </c>
      <c r="I205" s="12" t="inlineStr">
        <is>
          <t>Search</t>
        </is>
      </c>
      <c r="J205" s="11" t="inlineStr">
        <is>
          <t>Full</t>
        </is>
      </c>
      <c r="K205" s="13" t="n">
        <v>42482</v>
      </c>
      <c r="L205" s="11" t="inlineStr">
        <is>
          <t>1 Lloyd'S Avenue, London</t>
        </is>
      </c>
      <c r="M205" s="11" t="inlineStr">
        <is>
          <t>EC3N 3DQ</t>
        </is>
      </c>
      <c r="N205" s="11" t="inlineStr">
        <is>
          <t>Yes</t>
        </is>
      </c>
      <c r="U205" s="11" t="inlineStr">
        <is>
          <t>Liverpool St - Attlee Centre</t>
        </is>
      </c>
      <c r="V205" s="11" t="n">
        <v>12</v>
      </c>
      <c r="W205" s="11" t="n"/>
      <c r="X205" s="11" t="inlineStr">
        <is>
          <t>Liverpool St - Attlee Centre</t>
        </is>
      </c>
      <c r="Y205" s="11" t="n">
        <v>12</v>
      </c>
      <c r="Z205" s="14">
        <f>IFERROR(INDEX(Venues!$E$2:$E$15,MATCH(X205,Venues!$A$2:$A$15,0)),"Not checked")</f>
        <v/>
      </c>
      <c r="AA205" s="14">
        <f>IFERROR(INDEX(Venues!$F$2:$F$15,MATCH(X205,Venues!$A$2:$A$15,0)),0)</f>
        <v/>
      </c>
      <c r="AB205" s="15">
        <f>IFERROR(INDEX(Venues!$M$2:$M$15,MATCH(X205,Venues!$A$2:$A$15,0)),"")</f>
        <v/>
      </c>
      <c r="AC205" s="14">
        <f>IFERROR(INDEX(Venues!$N$2:$N$15,MATCH(X205,Venues!$A$2:$A$15,0)),"5-a-side")</f>
        <v/>
      </c>
      <c r="AD205" s="16">
        <f>IF(Offer!$C$4="","",Offer!$C$4)</f>
        <v/>
      </c>
      <c r="AE205" s="14">
        <f>X205&amp;" ("&amp;Y205&amp;" min walk) · "&amp;IF(ISNUMBER(AB205),TEXT(AB205,"ddd d mmm, hh:mm"),"slot to confirm with venue")&amp;" · "&amp;AC205&amp;" · "&amp;IF(AD205&lt;&gt;"","£"&amp;TEXT(AD205,"0.00")&amp;" pp","price TBC")</f>
        <v/>
      </c>
      <c r="AF205" s="14">
        <f>"After-work football for "&amp;F205&amp;" · "&amp;X205&amp;", "&amp;Y205&amp;" min from your office"</f>
        <v/>
      </c>
      <c r="AG205" s="14">
        <f>"Hi"&amp;IF(O205&lt;&gt;""," "&amp;O205,"")&amp;","&amp;CHAR(10)&amp;CHAR(10)&amp;"I'm "&amp;IF(AL205&lt;&gt;"",AL205,IF(Offer!$C$5&lt;&gt;"",Offer!$C$5,"[NAME]"))&amp;" from FC Urban. We organise after-work football for teams in the City and Canary Wharf."&amp;CHAR(10)&amp;CHAR(10)&amp;"We have a "&amp;AC205&amp;" pitch at "&amp;X205&amp;", "&amp;IF(OR(Y205=8,Y205=11,Y205=18),"an ","a ")&amp;Y205&amp;"-minute walk from your "&amp;M205&amp;" office, "&amp;IF(ISNUMBER(AB205),"on "&amp;TEXT(AB205,"dddd d mmmm")&amp;" at "&amp;TEXT(AB205,"hh:mm"),"on a weekday evening that suits your team")&amp;". It's "&amp;IF(AD205&lt;&gt;"","£"&amp;IF(AD205=INT(AD205),TEXT(AD205,"0"),TEXT(AD205,"0.00")),"[PRICE PER PLAYER]")&amp;" a player and we handle the pitch booking, sign-ups and payments, so all it takes is one person sharing a link with the team."&amp;CHAR(10)&amp;CHAR(10)&amp;"It works well as a team social or "&amp;IF(ISNUMBER(SEARCH(LEFT(F205,1),"AEIOU")),"an ","a ")&amp;F205&amp;"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LINK]")&amp;CHAR(10)&amp;CHAR(10)&amp;"Best,"&amp;CHAR(10)&amp;IF(AL205&lt;&gt;"",AL205,IF(Offer!$C$5&lt;&gt;"",Offer!$C$5,"[NAME]"))&amp;CHAR(10)&amp;"FC Urban"</f>
        <v/>
      </c>
      <c r="AH205" s="14">
        <f>IF(LEN("Hi"&amp;IF(O205&lt;&gt;""," "&amp;O205,"")&amp;","&amp;" FC Urban runs after-work football for "&amp;IF(D205="Canary Wharf","Canary Wharf","City")&amp;" teams. We have a "&amp;AC205&amp;" pitch at "&amp;X205&amp;", "&amp;Y205&amp;" min from your office, "&amp;IF(ISNUMBER(AB205),TEXT(AB205,"ddd d mmm")&amp;", "&amp;TEXT(AB205,"hh:mm"),"weekday evenings")&amp;", "&amp;IF(AD205&lt;&gt;"","£"&amp;IF(AD205=INT(AD205),TEXT(AD205,"0"),TEXT(AD205,"0.00")),"[PRICE PER PLAYER]")&amp;" a player. We handle booking, sign-ups and payments. Fancy "&amp;IF(ISNUMBER(SEARCH(LEFT(F205,1),"AEIOU")),"an ","a ")&amp;F205&amp;" team game? "&amp;IF(AL205&lt;&gt;"",AL205,IF(Offer!$C$5&lt;&gt;"",Offer!$C$5,"[NAME]")))&lt;=300,"Hi"&amp;IF(O205&lt;&gt;""," "&amp;O205,"")&amp;","&amp;" FC Urban runs after-work football for "&amp;IF(D205="Canary Wharf","Canary Wharf","City")&amp;" teams. We have a "&amp;AC205&amp;" pitch at "&amp;X205&amp;", "&amp;Y205&amp;" min from your office, "&amp;IF(ISNUMBER(AB205),TEXT(AB205,"ddd d mmm")&amp;", "&amp;TEXT(AB205,"hh:mm"),"weekday evenings")&amp;", "&amp;IF(AD205&lt;&gt;"","£"&amp;IF(AD205=INT(AD205),TEXT(AD205,"0"),TEXT(AD205,"0.00")),"[PRICE PER PLAYER]")&amp;" a player. We handle booking, sign-ups and payments. Fancy "&amp;IF(ISNUMBER(SEARCH(LEFT(F205,1),"AEIOU")),"an ","a ")&amp;F205&amp;" team game? "&amp;IF(AL205&lt;&gt;"",AL205,IF(Offer!$C$5&lt;&gt;"",Offer!$C$5,"[NAME]")),LEFT("Hi"&amp;IF(O205&lt;&gt;""," "&amp;O205,"")&amp;","&amp;" FC Urban runs after-work football for "&amp;IF(D205="Canary Wharf","Canary Wharf","City")&amp;" teams: "&amp;AC205&amp;" at "&amp;X205&amp;", "&amp;Y205&amp;" min from your office, "&amp;IF(ISNUMBER(AB205),TEXT(AB205,"ddd d mmm")&amp;", "&amp;TEXT(AB205,"hh:mm"),"weekday evenings")&amp;", "&amp;IF(AD205&lt;&gt;"","£"&amp;IF(AD205=INT(AD205),TEXT(AD205,"0"),TEXT(AD205,"0.00")),"[PRICE PER PLAYER]")&amp;" pp. We handle booking and payments. Up for a team game? "&amp;IF(AL205&lt;&gt;"",AL205,IF(Offer!$C$5&lt;&gt;"",Offer!$C$5,"[NAME]")),300))</f>
        <v/>
      </c>
      <c r="AI205" s="14">
        <f>LEN(AH205)</f>
        <v/>
      </c>
      <c r="AJ205" s="14">
        <f>"Thanks for connecting"&amp;IF(O205&lt;&gt;"",", "&amp;O205,"")&amp;". "&amp;IF(ISNUMBER(AB205),"The "&amp;AC205&amp;" slot at "&amp;X205&amp;" is "&amp;IF(ISNUMBER(AB205),TEXT(AB205,"ddd d mmm")&amp;", "&amp;TEXT(AB205,"hh:mm"),"weekday evenings"),"We can book "&amp;AC205&amp;" at "&amp;X205&amp;" on a weekday evening that suits you")&amp;" and it's "&amp;IF(AD205&lt;&gt;"","£"&amp;IF(AD205=INT(AD205),TEXT(AD205,"0"),TEXT(AD205,"0.00")),"[PRICE PER PLAYER]")&amp;" a player, all booked and paid through one link. If football isn't your thing, who at "&amp;F205&amp;" would be the right person to organise a team game?"&amp;IF(Offer!$C$7&lt;&gt;""," Spots are held until "&amp;TEXT(Offer!$C$7,"dddd d mmmm")&amp;".","")&amp;" "&amp;IF(Offer!$C$6&lt;&gt;"",Offer!$C$6,"[JOINING LINK]")</f>
        <v/>
      </c>
      <c r="AK205" s="14">
        <f>IF(OR(ISNUMBER(SEARCH("[",AG205)),ISNUMBER(SEARCH("[",AJ205))),"Fill placeholders",IF(ISNUMBER(AB205),"Ready to send","Ready · no fixed slot"))</f>
        <v/>
      </c>
      <c r="AN205" s="17" t="n"/>
    </row>
    <row r="206">
      <c r="A206" s="11" t="n">
        <v>204</v>
      </c>
      <c r="B206" s="11" t="n">
        <v>3</v>
      </c>
      <c r="C206" s="11" t="inlineStr">
        <is>
          <t>Insurance / broker</t>
        </is>
      </c>
      <c r="D206" s="11" t="inlineStr">
        <is>
          <t>City of London</t>
        </is>
      </c>
      <c r="E206" s="11" t="inlineStr">
        <is>
          <t>Steadfast Group (UK) Ltd</t>
        </is>
      </c>
      <c r="F206" s="11" t="inlineStr">
        <is>
          <t>Steadfast</t>
        </is>
      </c>
      <c r="G206" s="11" t="inlineStr">
        <is>
          <t>11317277</t>
        </is>
      </c>
      <c r="H206" s="12" t="inlineStr">
        <is>
          <t>Open</t>
        </is>
      </c>
      <c r="I206" s="12" t="inlineStr">
        <is>
          <t>Search</t>
        </is>
      </c>
      <c r="J206" s="11" t="inlineStr">
        <is>
          <t>Full</t>
        </is>
      </c>
      <c r="K206" s="13" t="n">
        <v>43208</v>
      </c>
      <c r="L206" s="11" t="inlineStr">
        <is>
          <t>6Th Floor, 1, Lloyd'S Avenue, London</t>
        </is>
      </c>
      <c r="M206" s="11" t="inlineStr">
        <is>
          <t>EC3N 3DQ</t>
        </is>
      </c>
      <c r="N206" s="11" t="inlineStr">
        <is>
          <t>Yes</t>
        </is>
      </c>
      <c r="U206" s="11" t="inlineStr">
        <is>
          <t>Liverpool St - Attlee Centre</t>
        </is>
      </c>
      <c r="V206" s="11" t="n">
        <v>12</v>
      </c>
      <c r="W206" s="11" t="n"/>
      <c r="X206" s="11" t="inlineStr">
        <is>
          <t>Liverpool St - Attlee Centre</t>
        </is>
      </c>
      <c r="Y206" s="11" t="n">
        <v>12</v>
      </c>
      <c r="Z206" s="14">
        <f>IFERROR(INDEX(Venues!$E$2:$E$15,MATCH(X206,Venues!$A$2:$A$15,0)),"Not checked")</f>
        <v/>
      </c>
      <c r="AA206" s="14">
        <f>IFERROR(INDEX(Venues!$F$2:$F$15,MATCH(X206,Venues!$A$2:$A$15,0)),0)</f>
        <v/>
      </c>
      <c r="AB206" s="15">
        <f>IFERROR(INDEX(Venues!$M$2:$M$15,MATCH(X206,Venues!$A$2:$A$15,0)),"")</f>
        <v/>
      </c>
      <c r="AC206" s="14">
        <f>IFERROR(INDEX(Venues!$N$2:$N$15,MATCH(X206,Venues!$A$2:$A$15,0)),"5-a-side")</f>
        <v/>
      </c>
      <c r="AD206" s="16">
        <f>IF(Offer!$C$4="","",Offer!$C$4)</f>
        <v/>
      </c>
      <c r="AE206" s="14">
        <f>X206&amp;" ("&amp;Y206&amp;" min walk) · "&amp;IF(ISNUMBER(AB206),TEXT(AB206,"ddd d mmm, hh:mm"),"slot to confirm with venue")&amp;" · "&amp;AC206&amp;" · "&amp;IF(AD206&lt;&gt;"","£"&amp;TEXT(AD206,"0.00")&amp;" pp","price TBC")</f>
        <v/>
      </c>
      <c r="AF206" s="14">
        <f>"After-work football for "&amp;F206&amp;" · "&amp;X206&amp;", "&amp;Y206&amp;" min from your office"</f>
        <v/>
      </c>
      <c r="AG206" s="14">
        <f>"Hi"&amp;IF(O206&lt;&gt;""," "&amp;O206,"")&amp;","&amp;CHAR(10)&amp;CHAR(10)&amp;"I'm "&amp;IF(AL206&lt;&gt;"",AL206,IF(Offer!$C$5&lt;&gt;"",Offer!$C$5,"[NAME]"))&amp;" from FC Urban. We organise after-work football for teams in the City and Canary Wharf."&amp;CHAR(10)&amp;CHAR(10)&amp;"We have a "&amp;AC206&amp;" pitch at "&amp;X206&amp;", "&amp;IF(OR(Y206=8,Y206=11,Y206=18),"an ","a ")&amp;Y206&amp;"-minute walk from your "&amp;M206&amp;" office, "&amp;IF(ISNUMBER(AB206),"on "&amp;TEXT(AB206,"dddd d mmmm")&amp;" at "&amp;TEXT(AB206,"hh:mm"),"on a weekday evening that suits your team")&amp;". It's "&amp;IF(AD206&lt;&gt;"","£"&amp;IF(AD206=INT(AD206),TEXT(AD206,"0"),TEXT(AD206,"0.00")),"[PRICE PER PLAYER]")&amp;" a player and we handle the pitch booking, sign-ups and payments, so all it takes is one person sharing a link with the team."&amp;CHAR(10)&amp;CHAR(10)&amp;"It works well as a team social or "&amp;IF(ISNUMBER(SEARCH(LEFT(F206,1),"AEIOU")),"an ","a ")&amp;F206&amp;"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LINK]")&amp;CHAR(10)&amp;CHAR(10)&amp;"Best,"&amp;CHAR(10)&amp;IF(AL206&lt;&gt;"",AL206,IF(Offer!$C$5&lt;&gt;"",Offer!$C$5,"[NAME]"))&amp;CHAR(10)&amp;"FC Urban"</f>
        <v/>
      </c>
      <c r="AH206" s="14">
        <f>IF(LEN("Hi"&amp;IF(O206&lt;&gt;""," "&amp;O206,"")&amp;","&amp;" FC Urban runs after-work football for "&amp;IF(D206="Canary Wharf","Canary Wharf","City")&amp;" teams. We have a "&amp;AC206&amp;" pitch at "&amp;X206&amp;", "&amp;Y206&amp;" min from your office, "&amp;IF(ISNUMBER(AB206),TEXT(AB206,"ddd d mmm")&amp;", "&amp;TEXT(AB206,"hh:mm"),"weekday evenings")&amp;", "&amp;IF(AD206&lt;&gt;"","£"&amp;IF(AD206=INT(AD206),TEXT(AD206,"0"),TEXT(AD206,"0.00")),"[PRICE PER PLAYER]")&amp;" a player. We handle booking, sign-ups and payments. Fancy "&amp;IF(ISNUMBER(SEARCH(LEFT(F206,1),"AEIOU")),"an ","a ")&amp;F206&amp;" team game? "&amp;IF(AL206&lt;&gt;"",AL206,IF(Offer!$C$5&lt;&gt;"",Offer!$C$5,"[NAME]")))&lt;=300,"Hi"&amp;IF(O206&lt;&gt;""," "&amp;O206,"")&amp;","&amp;" FC Urban runs after-work football for "&amp;IF(D206="Canary Wharf","Canary Wharf","City")&amp;" teams. We have a "&amp;AC206&amp;" pitch at "&amp;X206&amp;", "&amp;Y206&amp;" min from your office, "&amp;IF(ISNUMBER(AB206),TEXT(AB206,"ddd d mmm")&amp;", "&amp;TEXT(AB206,"hh:mm"),"weekday evenings")&amp;", "&amp;IF(AD206&lt;&gt;"","£"&amp;IF(AD206=INT(AD206),TEXT(AD206,"0"),TEXT(AD206,"0.00")),"[PRICE PER PLAYER]")&amp;" a player. We handle booking, sign-ups and payments. Fancy "&amp;IF(ISNUMBER(SEARCH(LEFT(F206,1),"AEIOU")),"an ","a ")&amp;F206&amp;" team game? "&amp;IF(AL206&lt;&gt;"",AL206,IF(Offer!$C$5&lt;&gt;"",Offer!$C$5,"[NAME]")),LEFT("Hi"&amp;IF(O206&lt;&gt;""," "&amp;O206,"")&amp;","&amp;" FC Urban runs after-work football for "&amp;IF(D206="Canary Wharf","Canary Wharf","City")&amp;" teams: "&amp;AC206&amp;" at "&amp;X206&amp;", "&amp;Y206&amp;" min from your office, "&amp;IF(ISNUMBER(AB206),TEXT(AB206,"ddd d mmm")&amp;", "&amp;TEXT(AB206,"hh:mm"),"weekday evenings")&amp;", "&amp;IF(AD206&lt;&gt;"","£"&amp;IF(AD206=INT(AD206),TEXT(AD206,"0"),TEXT(AD206,"0.00")),"[PRICE PER PLAYER]")&amp;" pp. We handle booking and payments. Up for a team game? "&amp;IF(AL206&lt;&gt;"",AL206,IF(Offer!$C$5&lt;&gt;"",Offer!$C$5,"[NAME]")),300))</f>
        <v/>
      </c>
      <c r="AI206" s="14">
        <f>LEN(AH206)</f>
        <v/>
      </c>
      <c r="AJ206" s="14">
        <f>"Thanks for connecting"&amp;IF(O206&lt;&gt;"",", "&amp;O206,"")&amp;". "&amp;IF(ISNUMBER(AB206),"The "&amp;AC206&amp;" slot at "&amp;X206&amp;" is "&amp;IF(ISNUMBER(AB206),TEXT(AB206,"ddd d mmm")&amp;", "&amp;TEXT(AB206,"hh:mm"),"weekday evenings"),"We can book "&amp;AC206&amp;" at "&amp;X206&amp;" on a weekday evening that suits you")&amp;" and it's "&amp;IF(AD206&lt;&gt;"","£"&amp;IF(AD206=INT(AD206),TEXT(AD206,"0"),TEXT(AD206,"0.00")),"[PRICE PER PLAYER]")&amp;" a player, all booked and paid through one link. If football isn't your thing, who at "&amp;F206&amp;" would be the right person to organise a team game?"&amp;IF(Offer!$C$7&lt;&gt;""," Spots are held until "&amp;TEXT(Offer!$C$7,"dddd d mmmm")&amp;".","")&amp;" "&amp;IF(Offer!$C$6&lt;&gt;"",Offer!$C$6,"[JOINING LINK]")</f>
        <v/>
      </c>
      <c r="AK206" s="14">
        <f>IF(OR(ISNUMBER(SEARCH("[",AG206)),ISNUMBER(SEARCH("[",AJ206))),"Fill placeholders",IF(ISNUMBER(AB206),"Ready to send","Ready · no fixed slot"))</f>
        <v/>
      </c>
      <c r="AN206" s="17" t="n"/>
    </row>
    <row r="207">
      <c r="A207" s="11" t="n">
        <v>205</v>
      </c>
      <c r="B207" s="11" t="n">
        <v>3</v>
      </c>
      <c r="C207" s="11" t="inlineStr">
        <is>
          <t>Fund / asset manager</t>
        </is>
      </c>
      <c r="D207" s="11" t="inlineStr">
        <is>
          <t>City of London</t>
        </is>
      </c>
      <c r="E207" s="11" t="inlineStr">
        <is>
          <t>Jones Lang Lasalle Corporate Finance Limited</t>
        </is>
      </c>
      <c r="F207" s="11" t="inlineStr">
        <is>
          <t>Jones Lang Lasalle Corporate Finance</t>
        </is>
      </c>
      <c r="G207" s="11" t="inlineStr">
        <is>
          <t>01144849</t>
        </is>
      </c>
      <c r="H207" s="12" t="inlineStr">
        <is>
          <t>Open</t>
        </is>
      </c>
      <c r="I207" s="12" t="inlineStr">
        <is>
          <t>Search</t>
        </is>
      </c>
      <c r="J207" s="11" t="inlineStr">
        <is>
          <t>Full</t>
        </is>
      </c>
      <c r="K207" s="13" t="n">
        <v>26980</v>
      </c>
      <c r="L207" s="11" t="inlineStr">
        <is>
          <t>1 Broadgate, London</t>
        </is>
      </c>
      <c r="M207" s="11" t="inlineStr">
        <is>
          <t>EC2M 2QS</t>
        </is>
      </c>
      <c r="N207" s="11" t="inlineStr">
        <is>
          <t>Yes</t>
        </is>
      </c>
      <c r="U207" s="11" t="inlineStr">
        <is>
          <t>Liverpool St - Attlee Centre</t>
        </is>
      </c>
      <c r="V207" s="11" t="n">
        <v>12</v>
      </c>
      <c r="W207" s="11" t="inlineStr">
        <is>
          <t>Shoreditch Powerleague (11.6)</t>
        </is>
      </c>
      <c r="X207" s="11" t="inlineStr">
        <is>
          <t>Shoreditch Powerleague</t>
        </is>
      </c>
      <c r="Y207" s="11" t="n">
        <v>12</v>
      </c>
      <c r="Z207" s="14">
        <f>IFERROR(INDEX(Venues!$E$2:$E$15,MATCH(X207,Venues!$A$2:$A$15,0)),"Not checked")</f>
        <v/>
      </c>
      <c r="AA207" s="14">
        <f>IFERROR(INDEX(Venues!$F$2:$F$15,MATCH(X207,Venues!$A$2:$A$15,0)),0)</f>
        <v/>
      </c>
      <c r="AB207" s="15">
        <f>IFERROR(INDEX(Venues!$M$2:$M$15,MATCH(X207,Venues!$A$2:$A$15,0)),"")</f>
        <v/>
      </c>
      <c r="AC207" s="14">
        <f>IFERROR(INDEX(Venues!$N$2:$N$15,MATCH(X207,Venues!$A$2:$A$15,0)),"5-a-side")</f>
        <v/>
      </c>
      <c r="AD207" s="16">
        <f>IF(Offer!$C$4="","",Offer!$C$4)</f>
        <v/>
      </c>
      <c r="AE207" s="14">
        <f>X207&amp;" ("&amp;Y207&amp;" min walk) · "&amp;IF(ISNUMBER(AB207),TEXT(AB207,"ddd d mmm, hh:mm"),"slot to confirm with venue")&amp;" · "&amp;AC207&amp;" · "&amp;IF(AD207&lt;&gt;"","£"&amp;TEXT(AD207,"0.00")&amp;" pp","price TBC")</f>
        <v/>
      </c>
      <c r="AF207" s="14">
        <f>"After-work football for "&amp;F207&amp;" · "&amp;X207&amp;", "&amp;Y207&amp;" min from your office"</f>
        <v/>
      </c>
      <c r="AG207" s="14">
        <f>"Hi"&amp;IF(O207&lt;&gt;""," "&amp;O207,"")&amp;","&amp;CHAR(10)&amp;CHAR(10)&amp;"I'm "&amp;IF(AL207&lt;&gt;"",AL207,IF(Offer!$C$5&lt;&gt;"",Offer!$C$5,"[NAME]"))&amp;" from FC Urban. We organise after-work football for teams in the City and Canary Wharf."&amp;CHAR(10)&amp;CHAR(10)&amp;"We have a "&amp;AC207&amp;" pitch at "&amp;X207&amp;", "&amp;IF(OR(Y207=8,Y207=11,Y207=18),"an ","a ")&amp;Y207&amp;"-minute walk from your "&amp;M207&amp;" office, "&amp;IF(ISNUMBER(AB207),"on "&amp;TEXT(AB207,"dddd d mmmm")&amp;" at "&amp;TEXT(AB207,"hh:mm"),"on a weekday evening that suits your team")&amp;". It's "&amp;IF(AD207&lt;&gt;"","£"&amp;IF(AD207=INT(AD207),TEXT(AD207,"0"),TEXT(AD207,"0.00")),"[PRICE PER PLAYER]")&amp;" a player and we handle the pitch booking, sign-ups and payments, so all it takes is one person sharing a link with the team."&amp;CHAR(10)&amp;CHAR(10)&amp;"It works well as a team social or "&amp;IF(ISNUMBER(SEARCH(LEFT(F207,1),"AEIOU")),"an ","a ")&amp;F207&amp;"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LINK]")&amp;CHAR(10)&amp;CHAR(10)&amp;"Best,"&amp;CHAR(10)&amp;IF(AL207&lt;&gt;"",AL207,IF(Offer!$C$5&lt;&gt;"",Offer!$C$5,"[NAME]"))&amp;CHAR(10)&amp;"FC Urban"</f>
        <v/>
      </c>
      <c r="AH207" s="14">
        <f>IF(LEN("Hi"&amp;IF(O207&lt;&gt;""," "&amp;O207,"")&amp;","&amp;" FC Urban runs after-work football for "&amp;IF(D207="Canary Wharf","Canary Wharf","City")&amp;" teams. We have a "&amp;AC207&amp;" pitch at "&amp;X207&amp;", "&amp;Y207&amp;" min from your office, "&amp;IF(ISNUMBER(AB207),TEXT(AB207,"ddd d mmm")&amp;", "&amp;TEXT(AB207,"hh:mm"),"weekday evenings")&amp;", "&amp;IF(AD207&lt;&gt;"","£"&amp;IF(AD207=INT(AD207),TEXT(AD207,"0"),TEXT(AD207,"0.00")),"[PRICE PER PLAYER]")&amp;" a player. We handle booking, sign-ups and payments. Fancy "&amp;IF(ISNUMBER(SEARCH(LEFT(F207,1),"AEIOU")),"an ","a ")&amp;F207&amp;" team game? "&amp;IF(AL207&lt;&gt;"",AL207,IF(Offer!$C$5&lt;&gt;"",Offer!$C$5,"[NAME]")))&lt;=300,"Hi"&amp;IF(O207&lt;&gt;""," "&amp;O207,"")&amp;","&amp;" FC Urban runs after-work football for "&amp;IF(D207="Canary Wharf","Canary Wharf","City")&amp;" teams. We have a "&amp;AC207&amp;" pitch at "&amp;X207&amp;", "&amp;Y207&amp;" min from your office, "&amp;IF(ISNUMBER(AB207),TEXT(AB207,"ddd d mmm")&amp;", "&amp;TEXT(AB207,"hh:mm"),"weekday evenings")&amp;", "&amp;IF(AD207&lt;&gt;"","£"&amp;IF(AD207=INT(AD207),TEXT(AD207,"0"),TEXT(AD207,"0.00")),"[PRICE PER PLAYER]")&amp;" a player. We handle booking, sign-ups and payments. Fancy "&amp;IF(ISNUMBER(SEARCH(LEFT(F207,1),"AEIOU")),"an ","a ")&amp;F207&amp;" team game? "&amp;IF(AL207&lt;&gt;"",AL207,IF(Offer!$C$5&lt;&gt;"",Offer!$C$5,"[NAME]")),LEFT("Hi"&amp;IF(O207&lt;&gt;""," "&amp;O207,"")&amp;","&amp;" FC Urban runs after-work football for "&amp;IF(D207="Canary Wharf","Canary Wharf","City")&amp;" teams: "&amp;AC207&amp;" at "&amp;X207&amp;", "&amp;Y207&amp;" min from your office, "&amp;IF(ISNUMBER(AB207),TEXT(AB207,"ddd d mmm")&amp;", "&amp;TEXT(AB207,"hh:mm"),"weekday evenings")&amp;", "&amp;IF(AD207&lt;&gt;"","£"&amp;IF(AD207=INT(AD207),TEXT(AD207,"0"),TEXT(AD207,"0.00")),"[PRICE PER PLAYER]")&amp;" pp. We handle booking and payments. Up for a team game? "&amp;IF(AL207&lt;&gt;"",AL207,IF(Offer!$C$5&lt;&gt;"",Offer!$C$5,"[NAME]")),300))</f>
        <v/>
      </c>
      <c r="AI207" s="14">
        <f>LEN(AH207)</f>
        <v/>
      </c>
      <c r="AJ207" s="14">
        <f>"Thanks for connecting"&amp;IF(O207&lt;&gt;"",", "&amp;O207,"")&amp;". "&amp;IF(ISNUMBER(AB207),"The "&amp;AC207&amp;" slot at "&amp;X207&amp;" is "&amp;IF(ISNUMBER(AB207),TEXT(AB207,"ddd d mmm")&amp;", "&amp;TEXT(AB207,"hh:mm"),"weekday evenings"),"We can book "&amp;AC207&amp;" at "&amp;X207&amp;" on a weekday evening that suits you")&amp;" and it's "&amp;IF(AD207&lt;&gt;"","£"&amp;IF(AD207=INT(AD207),TEXT(AD207,"0"),TEXT(AD207,"0.00")),"[PRICE PER PLAYER]")&amp;" a player, all booked and paid through one link. If football isn't your thing, who at "&amp;F207&amp;" would be the right person to organise a team game?"&amp;IF(Offer!$C$7&lt;&gt;""," Spots are held until "&amp;TEXT(Offer!$C$7,"dddd d mmmm")&amp;".","")&amp;" "&amp;IF(Offer!$C$6&lt;&gt;"",Offer!$C$6,"[JOINING LINK]")</f>
        <v/>
      </c>
      <c r="AK207" s="14">
        <f>IF(OR(ISNUMBER(SEARCH("[",AG207)),ISNUMBER(SEARCH("[",AJ207))),"Fill placeholders",IF(ISNUMBER(AB207),"Ready to send","Ready · no fixed slot"))</f>
        <v/>
      </c>
      <c r="AN207" s="17" t="n"/>
    </row>
    <row r="208">
      <c r="A208" s="11" t="n">
        <v>206</v>
      </c>
      <c r="B208" s="11" t="n">
        <v>3</v>
      </c>
      <c r="C208" s="11" t="inlineStr">
        <is>
          <t>Insurance / broker</t>
        </is>
      </c>
      <c r="D208" s="11" t="inlineStr">
        <is>
          <t>City of London</t>
        </is>
      </c>
      <c r="E208" s="11" t="inlineStr">
        <is>
          <t>Accredited Insurance (UK) Limited</t>
        </is>
      </c>
      <c r="F208" s="11" t="inlineStr">
        <is>
          <t>Accredited Insurance</t>
        </is>
      </c>
      <c r="G208" s="11" t="inlineStr">
        <is>
          <t>14832445</t>
        </is>
      </c>
      <c r="H208" s="12" t="inlineStr">
        <is>
          <t>Open</t>
        </is>
      </c>
      <c r="I208" s="12" t="inlineStr">
        <is>
          <t>Search</t>
        </is>
      </c>
      <c r="J208" s="11" t="inlineStr">
        <is>
          <t>Full</t>
        </is>
      </c>
      <c r="K208" s="13" t="n">
        <v>45043</v>
      </c>
      <c r="L208" s="11" t="inlineStr">
        <is>
          <t>70 Fenchurch Street, London</t>
        </is>
      </c>
      <c r="M208" s="11" t="inlineStr">
        <is>
          <t>EC3M 4BR</t>
        </is>
      </c>
      <c r="N208" s="11" t="inlineStr">
        <is>
          <t>No</t>
        </is>
      </c>
      <c r="U208" s="11" t="inlineStr">
        <is>
          <t>Liverpool St - Attlee Centre</t>
        </is>
      </c>
      <c r="V208" s="11" t="n">
        <v>12</v>
      </c>
      <c r="W208" s="11" t="n"/>
      <c r="X208" s="11" t="inlineStr">
        <is>
          <t>Liverpool St - Attlee Centre</t>
        </is>
      </c>
      <c r="Y208" s="11" t="n">
        <v>12</v>
      </c>
      <c r="Z208" s="14">
        <f>IFERROR(INDEX(Venues!$E$2:$E$15,MATCH(X208,Venues!$A$2:$A$15,0)),"Not checked")</f>
        <v/>
      </c>
      <c r="AA208" s="14">
        <f>IFERROR(INDEX(Venues!$F$2:$F$15,MATCH(X208,Venues!$A$2:$A$15,0)),0)</f>
        <v/>
      </c>
      <c r="AB208" s="15">
        <f>IFERROR(INDEX(Venues!$M$2:$M$15,MATCH(X208,Venues!$A$2:$A$15,0)),"")</f>
        <v/>
      </c>
      <c r="AC208" s="14">
        <f>IFERROR(INDEX(Venues!$N$2:$N$15,MATCH(X208,Venues!$A$2:$A$15,0)),"5-a-side")</f>
        <v/>
      </c>
      <c r="AD208" s="16">
        <f>IF(Offer!$C$4="","",Offer!$C$4)</f>
        <v/>
      </c>
      <c r="AE208" s="14">
        <f>X208&amp;" ("&amp;Y208&amp;" min walk) · "&amp;IF(ISNUMBER(AB208),TEXT(AB208,"ddd d mmm, hh:mm"),"slot to confirm with venue")&amp;" · "&amp;AC208&amp;" · "&amp;IF(AD208&lt;&gt;"","£"&amp;TEXT(AD208,"0.00")&amp;" pp","price TBC")</f>
        <v/>
      </c>
      <c r="AF208" s="14">
        <f>"After-work football for "&amp;F208&amp;" · "&amp;X208&amp;", "&amp;Y208&amp;" min from your office"</f>
        <v/>
      </c>
      <c r="AG208" s="14">
        <f>"Hi"&amp;IF(O208&lt;&gt;""," "&amp;O208,"")&amp;","&amp;CHAR(10)&amp;CHAR(10)&amp;"I'm "&amp;IF(AL208&lt;&gt;"",AL208,IF(Offer!$C$5&lt;&gt;"",Offer!$C$5,"[NAME]"))&amp;" from FC Urban. We organise after-work football for teams in the City and Canary Wharf."&amp;CHAR(10)&amp;CHAR(10)&amp;"We have a "&amp;AC208&amp;" pitch at "&amp;X208&amp;", "&amp;IF(OR(Y208=8,Y208=11,Y208=18),"an ","a ")&amp;Y208&amp;"-minute walk from your "&amp;M208&amp;" office, "&amp;IF(ISNUMBER(AB208),"on "&amp;TEXT(AB208,"dddd d mmmm")&amp;" at "&amp;TEXT(AB208,"hh:mm"),"on a weekday evening that suits your team")&amp;". It's "&amp;IF(AD208&lt;&gt;"","£"&amp;IF(AD208=INT(AD208),TEXT(AD208,"0"),TEXT(AD208,"0.00")),"[PRICE PER PLAYER]")&amp;" a player and we handle the pitch booking, sign-ups and payments, so all it takes is one person sharing a link with the team."&amp;CHAR(10)&amp;CHAR(10)&amp;"It works well as a team social or "&amp;IF(ISNUMBER(SEARCH(LEFT(F208,1),"AEIOU")),"an ","a ")&amp;F208&amp;"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LINK]")&amp;CHAR(10)&amp;CHAR(10)&amp;"Best,"&amp;CHAR(10)&amp;IF(AL208&lt;&gt;"",AL208,IF(Offer!$C$5&lt;&gt;"",Offer!$C$5,"[NAME]"))&amp;CHAR(10)&amp;"FC Urban"</f>
        <v/>
      </c>
      <c r="AH208" s="14">
        <f>IF(LEN("Hi"&amp;IF(O208&lt;&gt;""," "&amp;O208,"")&amp;","&amp;" FC Urban runs after-work football for "&amp;IF(D208="Canary Wharf","Canary Wharf","City")&amp;" teams. We have a "&amp;AC208&amp;" pitch at "&amp;X208&amp;", "&amp;Y208&amp;" min from your office, "&amp;IF(ISNUMBER(AB208),TEXT(AB208,"ddd d mmm")&amp;", "&amp;TEXT(AB208,"hh:mm"),"weekday evenings")&amp;", "&amp;IF(AD208&lt;&gt;"","£"&amp;IF(AD208=INT(AD208),TEXT(AD208,"0"),TEXT(AD208,"0.00")),"[PRICE PER PLAYER]")&amp;" a player. We handle booking, sign-ups and payments. Fancy "&amp;IF(ISNUMBER(SEARCH(LEFT(F208,1),"AEIOU")),"an ","a ")&amp;F208&amp;" team game? "&amp;IF(AL208&lt;&gt;"",AL208,IF(Offer!$C$5&lt;&gt;"",Offer!$C$5,"[NAME]")))&lt;=300,"Hi"&amp;IF(O208&lt;&gt;""," "&amp;O208,"")&amp;","&amp;" FC Urban runs after-work football for "&amp;IF(D208="Canary Wharf","Canary Wharf","City")&amp;" teams. We have a "&amp;AC208&amp;" pitch at "&amp;X208&amp;", "&amp;Y208&amp;" min from your office, "&amp;IF(ISNUMBER(AB208),TEXT(AB208,"ddd d mmm")&amp;", "&amp;TEXT(AB208,"hh:mm"),"weekday evenings")&amp;", "&amp;IF(AD208&lt;&gt;"","£"&amp;IF(AD208=INT(AD208),TEXT(AD208,"0"),TEXT(AD208,"0.00")),"[PRICE PER PLAYER]")&amp;" a player. We handle booking, sign-ups and payments. Fancy "&amp;IF(ISNUMBER(SEARCH(LEFT(F208,1),"AEIOU")),"an ","a ")&amp;F208&amp;" team game? "&amp;IF(AL208&lt;&gt;"",AL208,IF(Offer!$C$5&lt;&gt;"",Offer!$C$5,"[NAME]")),LEFT("Hi"&amp;IF(O208&lt;&gt;""," "&amp;O208,"")&amp;","&amp;" FC Urban runs after-work football for "&amp;IF(D208="Canary Wharf","Canary Wharf","City")&amp;" teams: "&amp;AC208&amp;" at "&amp;X208&amp;", "&amp;Y208&amp;" min from your office, "&amp;IF(ISNUMBER(AB208),TEXT(AB208,"ddd d mmm")&amp;", "&amp;TEXT(AB208,"hh:mm"),"weekday evenings")&amp;", "&amp;IF(AD208&lt;&gt;"","£"&amp;IF(AD208=INT(AD208),TEXT(AD208,"0"),TEXT(AD208,"0.00")),"[PRICE PER PLAYER]")&amp;" pp. We handle booking and payments. Up for a team game? "&amp;IF(AL208&lt;&gt;"",AL208,IF(Offer!$C$5&lt;&gt;"",Offer!$C$5,"[NAME]")),300))</f>
        <v/>
      </c>
      <c r="AI208" s="14">
        <f>LEN(AH208)</f>
        <v/>
      </c>
      <c r="AJ208" s="14">
        <f>"Thanks for connecting"&amp;IF(O208&lt;&gt;"",", "&amp;O208,"")&amp;". "&amp;IF(ISNUMBER(AB208),"The "&amp;AC208&amp;" slot at "&amp;X208&amp;" is "&amp;IF(ISNUMBER(AB208),TEXT(AB208,"ddd d mmm")&amp;", "&amp;TEXT(AB208,"hh:mm"),"weekday evenings"),"We can book "&amp;AC208&amp;" at "&amp;X208&amp;" on a weekday evening that suits you")&amp;" and it's "&amp;IF(AD208&lt;&gt;"","£"&amp;IF(AD208=INT(AD208),TEXT(AD208,"0"),TEXT(AD208,"0.00")),"[PRICE PER PLAYER]")&amp;" a player, all booked and paid through one link. If football isn't your thing, who at "&amp;F208&amp;" would be the right person to organise a team game?"&amp;IF(Offer!$C$7&lt;&gt;""," Spots are held until "&amp;TEXT(Offer!$C$7,"dddd d mmmm")&amp;".","")&amp;" "&amp;IF(Offer!$C$6&lt;&gt;"",Offer!$C$6,"[JOINING LINK]")</f>
        <v/>
      </c>
      <c r="AK208" s="14">
        <f>IF(OR(ISNUMBER(SEARCH("[",AG208)),ISNUMBER(SEARCH("[",AJ208))),"Fill placeholders",IF(ISNUMBER(AB208),"Ready to send","Ready · no fixed slot"))</f>
        <v/>
      </c>
      <c r="AN208" s="17" t="n"/>
    </row>
    <row r="209">
      <c r="A209" s="11" t="n">
        <v>207</v>
      </c>
      <c r="B209" s="11" t="n">
        <v>3</v>
      </c>
      <c r="C209" s="11" t="inlineStr">
        <is>
          <t>Insurance / broker</t>
        </is>
      </c>
      <c r="D209" s="11" t="inlineStr">
        <is>
          <t>City of London</t>
        </is>
      </c>
      <c r="E209" s="11" t="inlineStr">
        <is>
          <t>Attento Underwriting Agency Limited</t>
        </is>
      </c>
      <c r="F209" s="11" t="inlineStr">
        <is>
          <t>Attento Underwriting Agency</t>
        </is>
      </c>
      <c r="G209" s="11" t="inlineStr">
        <is>
          <t>12837407</t>
        </is>
      </c>
      <c r="H209" s="12" t="inlineStr">
        <is>
          <t>Open</t>
        </is>
      </c>
      <c r="I209" s="12" t="inlineStr">
        <is>
          <t>Search</t>
        </is>
      </c>
      <c r="J209" s="11" t="inlineStr">
        <is>
          <t>Full</t>
        </is>
      </c>
      <c r="K209" s="13" t="n">
        <v>44068</v>
      </c>
      <c r="L209" s="11" t="inlineStr">
        <is>
          <t>70 Fenchurch Street, London</t>
        </is>
      </c>
      <c r="M209" s="11" t="inlineStr">
        <is>
          <t>EC3M 4BR</t>
        </is>
      </c>
      <c r="N209" s="11" t="inlineStr">
        <is>
          <t>No</t>
        </is>
      </c>
      <c r="U209" s="11" t="inlineStr">
        <is>
          <t>Liverpool St - Attlee Centre</t>
        </is>
      </c>
      <c r="V209" s="11" t="n">
        <v>12</v>
      </c>
      <c r="W209" s="11" t="n"/>
      <c r="X209" s="11" t="inlineStr">
        <is>
          <t>Liverpool St - Attlee Centre</t>
        </is>
      </c>
      <c r="Y209" s="11" t="n">
        <v>12</v>
      </c>
      <c r="Z209" s="14">
        <f>IFERROR(INDEX(Venues!$E$2:$E$15,MATCH(X209,Venues!$A$2:$A$15,0)),"Not checked")</f>
        <v/>
      </c>
      <c r="AA209" s="14">
        <f>IFERROR(INDEX(Venues!$F$2:$F$15,MATCH(X209,Venues!$A$2:$A$15,0)),0)</f>
        <v/>
      </c>
      <c r="AB209" s="15">
        <f>IFERROR(INDEX(Venues!$M$2:$M$15,MATCH(X209,Venues!$A$2:$A$15,0)),"")</f>
        <v/>
      </c>
      <c r="AC209" s="14">
        <f>IFERROR(INDEX(Venues!$N$2:$N$15,MATCH(X209,Venues!$A$2:$A$15,0)),"5-a-side")</f>
        <v/>
      </c>
      <c r="AD209" s="16">
        <f>IF(Offer!$C$4="","",Offer!$C$4)</f>
        <v/>
      </c>
      <c r="AE209" s="14">
        <f>X209&amp;" ("&amp;Y209&amp;" min walk) · "&amp;IF(ISNUMBER(AB209),TEXT(AB209,"ddd d mmm, hh:mm"),"slot to confirm with venue")&amp;" · "&amp;AC209&amp;" · "&amp;IF(AD209&lt;&gt;"","£"&amp;TEXT(AD209,"0.00")&amp;" pp","price TBC")</f>
        <v/>
      </c>
      <c r="AF209" s="14">
        <f>"After-work football for "&amp;F209&amp;" · "&amp;X209&amp;", "&amp;Y209&amp;" min from your office"</f>
        <v/>
      </c>
      <c r="AG209" s="14">
        <f>"Hi"&amp;IF(O209&lt;&gt;""," "&amp;O209,"")&amp;","&amp;CHAR(10)&amp;CHAR(10)&amp;"I'm "&amp;IF(AL209&lt;&gt;"",AL209,IF(Offer!$C$5&lt;&gt;"",Offer!$C$5,"[NAME]"))&amp;" from FC Urban. We organise after-work football for teams in the City and Canary Wharf."&amp;CHAR(10)&amp;CHAR(10)&amp;"We have a "&amp;AC209&amp;" pitch at "&amp;X209&amp;", "&amp;IF(OR(Y209=8,Y209=11,Y209=18),"an ","a ")&amp;Y209&amp;"-minute walk from your "&amp;M209&amp;" office, "&amp;IF(ISNUMBER(AB209),"on "&amp;TEXT(AB209,"dddd d mmmm")&amp;" at "&amp;TEXT(AB209,"hh:mm"),"on a weekday evening that suits your team")&amp;". It's "&amp;IF(AD209&lt;&gt;"","£"&amp;IF(AD209=INT(AD209),TEXT(AD209,"0"),TEXT(AD209,"0.00")),"[PRICE PER PLAYER]")&amp;" a player and we handle the pitch booking, sign-ups and payments, so all it takes is one person sharing a link with the team."&amp;CHAR(10)&amp;CHAR(10)&amp;"It works well as a team social or "&amp;IF(ISNUMBER(SEARCH(LEFT(F209,1),"AEIOU")),"an ","a ")&amp;F209&amp;"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LINK]")&amp;CHAR(10)&amp;CHAR(10)&amp;"Best,"&amp;CHAR(10)&amp;IF(AL209&lt;&gt;"",AL209,IF(Offer!$C$5&lt;&gt;"",Offer!$C$5,"[NAME]"))&amp;CHAR(10)&amp;"FC Urban"</f>
        <v/>
      </c>
      <c r="AH209" s="14">
        <f>IF(LEN("Hi"&amp;IF(O209&lt;&gt;""," "&amp;O209,"")&amp;","&amp;" FC Urban runs after-work football for "&amp;IF(D209="Canary Wharf","Canary Wharf","City")&amp;" teams. We have a "&amp;AC209&amp;" pitch at "&amp;X209&amp;", "&amp;Y209&amp;" min from your office, "&amp;IF(ISNUMBER(AB209),TEXT(AB209,"ddd d mmm")&amp;", "&amp;TEXT(AB209,"hh:mm"),"weekday evenings")&amp;", "&amp;IF(AD209&lt;&gt;"","£"&amp;IF(AD209=INT(AD209),TEXT(AD209,"0"),TEXT(AD209,"0.00")),"[PRICE PER PLAYER]")&amp;" a player. We handle booking, sign-ups and payments. Fancy "&amp;IF(ISNUMBER(SEARCH(LEFT(F209,1),"AEIOU")),"an ","a ")&amp;F209&amp;" team game? "&amp;IF(AL209&lt;&gt;"",AL209,IF(Offer!$C$5&lt;&gt;"",Offer!$C$5,"[NAME]")))&lt;=300,"Hi"&amp;IF(O209&lt;&gt;""," "&amp;O209,"")&amp;","&amp;" FC Urban runs after-work football for "&amp;IF(D209="Canary Wharf","Canary Wharf","City")&amp;" teams. We have a "&amp;AC209&amp;" pitch at "&amp;X209&amp;", "&amp;Y209&amp;" min from your office, "&amp;IF(ISNUMBER(AB209),TEXT(AB209,"ddd d mmm")&amp;", "&amp;TEXT(AB209,"hh:mm"),"weekday evenings")&amp;", "&amp;IF(AD209&lt;&gt;"","£"&amp;IF(AD209=INT(AD209),TEXT(AD209,"0"),TEXT(AD209,"0.00")),"[PRICE PER PLAYER]")&amp;" a player. We handle booking, sign-ups and payments. Fancy "&amp;IF(ISNUMBER(SEARCH(LEFT(F209,1),"AEIOU")),"an ","a ")&amp;F209&amp;" team game? "&amp;IF(AL209&lt;&gt;"",AL209,IF(Offer!$C$5&lt;&gt;"",Offer!$C$5,"[NAME]")),LEFT("Hi"&amp;IF(O209&lt;&gt;""," "&amp;O209,"")&amp;","&amp;" FC Urban runs after-work football for "&amp;IF(D209="Canary Wharf","Canary Wharf","City")&amp;" teams: "&amp;AC209&amp;" at "&amp;X209&amp;", "&amp;Y209&amp;" min from your office, "&amp;IF(ISNUMBER(AB209),TEXT(AB209,"ddd d mmm")&amp;", "&amp;TEXT(AB209,"hh:mm"),"weekday evenings")&amp;", "&amp;IF(AD209&lt;&gt;"","£"&amp;IF(AD209=INT(AD209),TEXT(AD209,"0"),TEXT(AD209,"0.00")),"[PRICE PER PLAYER]")&amp;" pp. We handle booking and payments. Up for a team game? "&amp;IF(AL209&lt;&gt;"",AL209,IF(Offer!$C$5&lt;&gt;"",Offer!$C$5,"[NAME]")),300))</f>
        <v/>
      </c>
      <c r="AI209" s="14">
        <f>LEN(AH209)</f>
        <v/>
      </c>
      <c r="AJ209" s="14">
        <f>"Thanks for connecting"&amp;IF(O209&lt;&gt;"",", "&amp;O209,"")&amp;". "&amp;IF(ISNUMBER(AB209),"The "&amp;AC209&amp;" slot at "&amp;X209&amp;" is "&amp;IF(ISNUMBER(AB209),TEXT(AB209,"ddd d mmm")&amp;", "&amp;TEXT(AB209,"hh:mm"),"weekday evenings"),"We can book "&amp;AC209&amp;" at "&amp;X209&amp;" on a weekday evening that suits you")&amp;" and it's "&amp;IF(AD209&lt;&gt;"","£"&amp;IF(AD209=INT(AD209),TEXT(AD209,"0"),TEXT(AD209,"0.00")),"[PRICE PER PLAYER]")&amp;" a player, all booked and paid through one link. If football isn't your thing, who at "&amp;F209&amp;" would be the right person to organise a team game?"&amp;IF(Offer!$C$7&lt;&gt;""," Spots are held until "&amp;TEXT(Offer!$C$7,"dddd d mmmm")&amp;".","")&amp;" "&amp;IF(Offer!$C$6&lt;&gt;"",Offer!$C$6,"[JOINING LINK]")</f>
        <v/>
      </c>
      <c r="AK209" s="14">
        <f>IF(OR(ISNUMBER(SEARCH("[",AG209)),ISNUMBER(SEARCH("[",AJ209))),"Fill placeholders",IF(ISNUMBER(AB209),"Ready to send","Ready · no fixed slot"))</f>
        <v/>
      </c>
      <c r="AN209" s="17" t="n"/>
    </row>
    <row r="210">
      <c r="A210" s="11" t="n">
        <v>208</v>
      </c>
      <c r="B210" s="11" t="n">
        <v>3</v>
      </c>
      <c r="C210" s="11" t="inlineStr">
        <is>
          <t>Insurance / broker</t>
        </is>
      </c>
      <c r="D210" s="11" t="inlineStr">
        <is>
          <t>City of London</t>
        </is>
      </c>
      <c r="E210" s="11" t="inlineStr">
        <is>
          <t>Integro Insurance Brokers Holdings Limited</t>
        </is>
      </c>
      <c r="F210" s="11" t="inlineStr">
        <is>
          <t>Integro Insurance Brokers</t>
        </is>
      </c>
      <c r="G210" s="11" t="inlineStr">
        <is>
          <t>04016257</t>
        </is>
      </c>
      <c r="H210" s="12" t="inlineStr">
        <is>
          <t>Open</t>
        </is>
      </c>
      <c r="I210" s="12" t="inlineStr">
        <is>
          <t>Search</t>
        </is>
      </c>
      <c r="J210" s="11" t="inlineStr">
        <is>
          <t>Full</t>
        </is>
      </c>
      <c r="K210" s="13" t="n">
        <v>36693</v>
      </c>
      <c r="L210" s="11" t="inlineStr">
        <is>
          <t>70 Fenchurch Street, London</t>
        </is>
      </c>
      <c r="M210" s="11" t="inlineStr">
        <is>
          <t>EC3M 4BR</t>
        </is>
      </c>
      <c r="N210" s="11" t="inlineStr">
        <is>
          <t>No</t>
        </is>
      </c>
      <c r="U210" s="11" t="inlineStr">
        <is>
          <t>Liverpool St - Attlee Centre</t>
        </is>
      </c>
      <c r="V210" s="11" t="n">
        <v>12</v>
      </c>
      <c r="W210" s="11" t="n"/>
      <c r="X210" s="11" t="inlineStr">
        <is>
          <t>Liverpool St - Attlee Centre</t>
        </is>
      </c>
      <c r="Y210" s="11" t="n">
        <v>12</v>
      </c>
      <c r="Z210" s="14">
        <f>IFERROR(INDEX(Venues!$E$2:$E$15,MATCH(X210,Venues!$A$2:$A$15,0)),"Not checked")</f>
        <v/>
      </c>
      <c r="AA210" s="14">
        <f>IFERROR(INDEX(Venues!$F$2:$F$15,MATCH(X210,Venues!$A$2:$A$15,0)),0)</f>
        <v/>
      </c>
      <c r="AB210" s="15">
        <f>IFERROR(INDEX(Venues!$M$2:$M$15,MATCH(X210,Venues!$A$2:$A$15,0)),"")</f>
        <v/>
      </c>
      <c r="AC210" s="14">
        <f>IFERROR(INDEX(Venues!$N$2:$N$15,MATCH(X210,Venues!$A$2:$A$15,0)),"5-a-side")</f>
        <v/>
      </c>
      <c r="AD210" s="16">
        <f>IF(Offer!$C$4="","",Offer!$C$4)</f>
        <v/>
      </c>
      <c r="AE210" s="14">
        <f>X210&amp;" ("&amp;Y210&amp;" min walk) · "&amp;IF(ISNUMBER(AB210),TEXT(AB210,"ddd d mmm, hh:mm"),"slot to confirm with venue")&amp;" · "&amp;AC210&amp;" · "&amp;IF(AD210&lt;&gt;"","£"&amp;TEXT(AD210,"0.00")&amp;" pp","price TBC")</f>
        <v/>
      </c>
      <c r="AF210" s="14">
        <f>"After-work football for "&amp;F210&amp;" · "&amp;X210&amp;", "&amp;Y210&amp;" min from your office"</f>
        <v/>
      </c>
      <c r="AG210" s="14">
        <f>"Hi"&amp;IF(O210&lt;&gt;""," "&amp;O210,"")&amp;","&amp;CHAR(10)&amp;CHAR(10)&amp;"I'm "&amp;IF(AL210&lt;&gt;"",AL210,IF(Offer!$C$5&lt;&gt;"",Offer!$C$5,"[NAME]"))&amp;" from FC Urban. We organise after-work football for teams in the City and Canary Wharf."&amp;CHAR(10)&amp;CHAR(10)&amp;"We have a "&amp;AC210&amp;" pitch at "&amp;X210&amp;", "&amp;IF(OR(Y210=8,Y210=11,Y210=18),"an ","a ")&amp;Y210&amp;"-minute walk from your "&amp;M210&amp;" office, "&amp;IF(ISNUMBER(AB210),"on "&amp;TEXT(AB210,"dddd d mmmm")&amp;" at "&amp;TEXT(AB210,"hh:mm"),"on a weekday evening that suits your team")&amp;". It's "&amp;IF(AD210&lt;&gt;"","£"&amp;IF(AD210=INT(AD210),TEXT(AD210,"0"),TEXT(AD210,"0.00")),"[PRICE PER PLAYER]")&amp;" a player and we handle the pitch booking, sign-ups and payments, so all it takes is one person sharing a link with the team."&amp;CHAR(10)&amp;CHAR(10)&amp;"It works well as a team social or "&amp;IF(ISNUMBER(SEARCH(LEFT(F210,1),"AEIOU")),"an ","a ")&amp;F210&amp;"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LINK]")&amp;CHAR(10)&amp;CHAR(10)&amp;"Best,"&amp;CHAR(10)&amp;IF(AL210&lt;&gt;"",AL210,IF(Offer!$C$5&lt;&gt;"",Offer!$C$5,"[NAME]"))&amp;CHAR(10)&amp;"FC Urban"</f>
        <v/>
      </c>
      <c r="AH210" s="14">
        <f>IF(LEN("Hi"&amp;IF(O210&lt;&gt;""," "&amp;O210,"")&amp;","&amp;" FC Urban runs after-work football for "&amp;IF(D210="Canary Wharf","Canary Wharf","City")&amp;" teams. We have a "&amp;AC210&amp;" pitch at "&amp;X210&amp;", "&amp;Y210&amp;" min from your office, "&amp;IF(ISNUMBER(AB210),TEXT(AB210,"ddd d mmm")&amp;", "&amp;TEXT(AB210,"hh:mm"),"weekday evenings")&amp;", "&amp;IF(AD210&lt;&gt;"","£"&amp;IF(AD210=INT(AD210),TEXT(AD210,"0"),TEXT(AD210,"0.00")),"[PRICE PER PLAYER]")&amp;" a player. We handle booking, sign-ups and payments. Fancy "&amp;IF(ISNUMBER(SEARCH(LEFT(F210,1),"AEIOU")),"an ","a ")&amp;F210&amp;" team game? "&amp;IF(AL210&lt;&gt;"",AL210,IF(Offer!$C$5&lt;&gt;"",Offer!$C$5,"[NAME]")))&lt;=300,"Hi"&amp;IF(O210&lt;&gt;""," "&amp;O210,"")&amp;","&amp;" FC Urban runs after-work football for "&amp;IF(D210="Canary Wharf","Canary Wharf","City")&amp;" teams. We have a "&amp;AC210&amp;" pitch at "&amp;X210&amp;", "&amp;Y210&amp;" min from your office, "&amp;IF(ISNUMBER(AB210),TEXT(AB210,"ddd d mmm")&amp;", "&amp;TEXT(AB210,"hh:mm"),"weekday evenings")&amp;", "&amp;IF(AD210&lt;&gt;"","£"&amp;IF(AD210=INT(AD210),TEXT(AD210,"0"),TEXT(AD210,"0.00")),"[PRICE PER PLAYER]")&amp;" a player. We handle booking, sign-ups and payments. Fancy "&amp;IF(ISNUMBER(SEARCH(LEFT(F210,1),"AEIOU")),"an ","a ")&amp;F210&amp;" team game? "&amp;IF(AL210&lt;&gt;"",AL210,IF(Offer!$C$5&lt;&gt;"",Offer!$C$5,"[NAME]")),LEFT("Hi"&amp;IF(O210&lt;&gt;""," "&amp;O210,"")&amp;","&amp;" FC Urban runs after-work football for "&amp;IF(D210="Canary Wharf","Canary Wharf","City")&amp;" teams: "&amp;AC210&amp;" at "&amp;X210&amp;", "&amp;Y210&amp;" min from your office, "&amp;IF(ISNUMBER(AB210),TEXT(AB210,"ddd d mmm")&amp;", "&amp;TEXT(AB210,"hh:mm"),"weekday evenings")&amp;", "&amp;IF(AD210&lt;&gt;"","£"&amp;IF(AD210=INT(AD210),TEXT(AD210,"0"),TEXT(AD210,"0.00")),"[PRICE PER PLAYER]")&amp;" pp. We handle booking and payments. Up for a team game? "&amp;IF(AL210&lt;&gt;"",AL210,IF(Offer!$C$5&lt;&gt;"",Offer!$C$5,"[NAME]")),300))</f>
        <v/>
      </c>
      <c r="AI210" s="14">
        <f>LEN(AH210)</f>
        <v/>
      </c>
      <c r="AJ210" s="14">
        <f>"Thanks for connecting"&amp;IF(O210&lt;&gt;"",", "&amp;O210,"")&amp;". "&amp;IF(ISNUMBER(AB210),"The "&amp;AC210&amp;" slot at "&amp;X210&amp;" is "&amp;IF(ISNUMBER(AB210),TEXT(AB210,"ddd d mmm")&amp;", "&amp;TEXT(AB210,"hh:mm"),"weekday evenings"),"We can book "&amp;AC210&amp;" at "&amp;X210&amp;" on a weekday evening that suits you")&amp;" and it's "&amp;IF(AD210&lt;&gt;"","£"&amp;IF(AD210=INT(AD210),TEXT(AD210,"0"),TEXT(AD210,"0.00")),"[PRICE PER PLAYER]")&amp;" a player, all booked and paid through one link. If football isn't your thing, who at "&amp;F210&amp;" would be the right person to organise a team game?"&amp;IF(Offer!$C$7&lt;&gt;""," Spots are held until "&amp;TEXT(Offer!$C$7,"dddd d mmmm")&amp;".","")&amp;" "&amp;IF(Offer!$C$6&lt;&gt;"",Offer!$C$6,"[JOINING LINK]")</f>
        <v/>
      </c>
      <c r="AK210" s="14">
        <f>IF(OR(ISNUMBER(SEARCH("[",AG210)),ISNUMBER(SEARCH("[",AJ210))),"Fill placeholders",IF(ISNUMBER(AB210),"Ready to send","Ready · no fixed slot"))</f>
        <v/>
      </c>
      <c r="AN210" s="17" t="n"/>
    </row>
    <row r="211">
      <c r="A211" s="11" t="n">
        <v>209</v>
      </c>
      <c r="B211" s="11" t="n">
        <v>3</v>
      </c>
      <c r="C211" s="11" t="inlineStr">
        <is>
          <t>Insurance / broker</t>
        </is>
      </c>
      <c r="D211" s="11" t="inlineStr">
        <is>
          <t>City of London</t>
        </is>
      </c>
      <c r="E211" s="11" t="inlineStr">
        <is>
          <t>Line Underwriting Limited</t>
        </is>
      </c>
      <c r="F211" s="11" t="inlineStr">
        <is>
          <t>Line Underwriting</t>
        </is>
      </c>
      <c r="G211" s="11" t="inlineStr">
        <is>
          <t>04518666</t>
        </is>
      </c>
      <c r="H211" s="12" t="inlineStr">
        <is>
          <t>Open</t>
        </is>
      </c>
      <c r="I211" s="12" t="inlineStr">
        <is>
          <t>Search</t>
        </is>
      </c>
      <c r="J211" s="11" t="inlineStr">
        <is>
          <t>Full</t>
        </is>
      </c>
      <c r="K211" s="13" t="n">
        <v>37491</v>
      </c>
      <c r="L211" s="11" t="inlineStr">
        <is>
          <t>70 Fenchurch Street, London</t>
        </is>
      </c>
      <c r="M211" s="11" t="inlineStr">
        <is>
          <t>EC3M 4BR</t>
        </is>
      </c>
      <c r="N211" s="11" t="inlineStr">
        <is>
          <t>No</t>
        </is>
      </c>
      <c r="U211" s="11" t="inlineStr">
        <is>
          <t>Liverpool St - Attlee Centre</t>
        </is>
      </c>
      <c r="V211" s="11" t="n">
        <v>12</v>
      </c>
      <c r="W211" s="11" t="n"/>
      <c r="X211" s="11" t="inlineStr">
        <is>
          <t>Liverpool St - Attlee Centre</t>
        </is>
      </c>
      <c r="Y211" s="11" t="n">
        <v>12</v>
      </c>
      <c r="Z211" s="14">
        <f>IFERROR(INDEX(Venues!$E$2:$E$15,MATCH(X211,Venues!$A$2:$A$15,0)),"Not checked")</f>
        <v/>
      </c>
      <c r="AA211" s="14">
        <f>IFERROR(INDEX(Venues!$F$2:$F$15,MATCH(X211,Venues!$A$2:$A$15,0)),0)</f>
        <v/>
      </c>
      <c r="AB211" s="15">
        <f>IFERROR(INDEX(Venues!$M$2:$M$15,MATCH(X211,Venues!$A$2:$A$15,0)),"")</f>
        <v/>
      </c>
      <c r="AC211" s="14">
        <f>IFERROR(INDEX(Venues!$N$2:$N$15,MATCH(X211,Venues!$A$2:$A$15,0)),"5-a-side")</f>
        <v/>
      </c>
      <c r="AD211" s="16">
        <f>IF(Offer!$C$4="","",Offer!$C$4)</f>
        <v/>
      </c>
      <c r="AE211" s="14">
        <f>X211&amp;" ("&amp;Y211&amp;" min walk) · "&amp;IF(ISNUMBER(AB211),TEXT(AB211,"ddd d mmm, hh:mm"),"slot to confirm with venue")&amp;" · "&amp;AC211&amp;" · "&amp;IF(AD211&lt;&gt;"","£"&amp;TEXT(AD211,"0.00")&amp;" pp","price TBC")</f>
        <v/>
      </c>
      <c r="AF211" s="14">
        <f>"After-work football for "&amp;F211&amp;" · "&amp;X211&amp;", "&amp;Y211&amp;" min from your office"</f>
        <v/>
      </c>
      <c r="AG211" s="14">
        <f>"Hi"&amp;IF(O211&lt;&gt;""," "&amp;O211,"")&amp;","&amp;CHAR(10)&amp;CHAR(10)&amp;"I'm "&amp;IF(AL211&lt;&gt;"",AL211,IF(Offer!$C$5&lt;&gt;"",Offer!$C$5,"[NAME]"))&amp;" from FC Urban. We organise after-work football for teams in the City and Canary Wharf."&amp;CHAR(10)&amp;CHAR(10)&amp;"We have a "&amp;AC211&amp;" pitch at "&amp;X211&amp;", "&amp;IF(OR(Y211=8,Y211=11,Y211=18),"an ","a ")&amp;Y211&amp;"-minute walk from your "&amp;M211&amp;" office, "&amp;IF(ISNUMBER(AB211),"on "&amp;TEXT(AB211,"dddd d mmmm")&amp;" at "&amp;TEXT(AB211,"hh:mm"),"on a weekday evening that suits your team")&amp;". It's "&amp;IF(AD211&lt;&gt;"","£"&amp;IF(AD211=INT(AD211),TEXT(AD211,"0"),TEXT(AD211,"0.00")),"[PRICE PER PLAYER]")&amp;" a player and we handle the pitch booking, sign-ups and payments, so all it takes is one person sharing a link with the team."&amp;CHAR(10)&amp;CHAR(10)&amp;"It works well as a team social or "&amp;IF(ISNUMBER(SEARCH(LEFT(F211,1),"AEIOU")),"an ","a ")&amp;F211&amp;"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LINK]")&amp;CHAR(10)&amp;CHAR(10)&amp;"Best,"&amp;CHAR(10)&amp;IF(AL211&lt;&gt;"",AL211,IF(Offer!$C$5&lt;&gt;"",Offer!$C$5,"[NAME]"))&amp;CHAR(10)&amp;"FC Urban"</f>
        <v/>
      </c>
      <c r="AH211" s="14">
        <f>IF(LEN("Hi"&amp;IF(O211&lt;&gt;""," "&amp;O211,"")&amp;","&amp;" FC Urban runs after-work football for "&amp;IF(D211="Canary Wharf","Canary Wharf","City")&amp;" teams. We have a "&amp;AC211&amp;" pitch at "&amp;X211&amp;", "&amp;Y211&amp;" min from your office, "&amp;IF(ISNUMBER(AB211),TEXT(AB211,"ddd d mmm")&amp;", "&amp;TEXT(AB211,"hh:mm"),"weekday evenings")&amp;", "&amp;IF(AD211&lt;&gt;"","£"&amp;IF(AD211=INT(AD211),TEXT(AD211,"0"),TEXT(AD211,"0.00")),"[PRICE PER PLAYER]")&amp;" a player. We handle booking, sign-ups and payments. Fancy "&amp;IF(ISNUMBER(SEARCH(LEFT(F211,1),"AEIOU")),"an ","a ")&amp;F211&amp;" team game? "&amp;IF(AL211&lt;&gt;"",AL211,IF(Offer!$C$5&lt;&gt;"",Offer!$C$5,"[NAME]")))&lt;=300,"Hi"&amp;IF(O211&lt;&gt;""," "&amp;O211,"")&amp;","&amp;" FC Urban runs after-work football for "&amp;IF(D211="Canary Wharf","Canary Wharf","City")&amp;" teams. We have a "&amp;AC211&amp;" pitch at "&amp;X211&amp;", "&amp;Y211&amp;" min from your office, "&amp;IF(ISNUMBER(AB211),TEXT(AB211,"ddd d mmm")&amp;", "&amp;TEXT(AB211,"hh:mm"),"weekday evenings")&amp;", "&amp;IF(AD211&lt;&gt;"","£"&amp;IF(AD211=INT(AD211),TEXT(AD211,"0"),TEXT(AD211,"0.00")),"[PRICE PER PLAYER]")&amp;" a player. We handle booking, sign-ups and payments. Fancy "&amp;IF(ISNUMBER(SEARCH(LEFT(F211,1),"AEIOU")),"an ","a ")&amp;F211&amp;" team game? "&amp;IF(AL211&lt;&gt;"",AL211,IF(Offer!$C$5&lt;&gt;"",Offer!$C$5,"[NAME]")),LEFT("Hi"&amp;IF(O211&lt;&gt;""," "&amp;O211,"")&amp;","&amp;" FC Urban runs after-work football for "&amp;IF(D211="Canary Wharf","Canary Wharf","City")&amp;" teams: "&amp;AC211&amp;" at "&amp;X211&amp;", "&amp;Y211&amp;" min from your office, "&amp;IF(ISNUMBER(AB211),TEXT(AB211,"ddd d mmm")&amp;", "&amp;TEXT(AB211,"hh:mm"),"weekday evenings")&amp;", "&amp;IF(AD211&lt;&gt;"","£"&amp;IF(AD211=INT(AD211),TEXT(AD211,"0"),TEXT(AD211,"0.00")),"[PRICE PER PLAYER]")&amp;" pp. We handle booking and payments. Up for a team game? "&amp;IF(AL211&lt;&gt;"",AL211,IF(Offer!$C$5&lt;&gt;"",Offer!$C$5,"[NAME]")),300))</f>
        <v/>
      </c>
      <c r="AI211" s="14">
        <f>LEN(AH211)</f>
        <v/>
      </c>
      <c r="AJ211" s="14">
        <f>"Thanks for connecting"&amp;IF(O211&lt;&gt;"",", "&amp;O211,"")&amp;". "&amp;IF(ISNUMBER(AB211),"The "&amp;AC211&amp;" slot at "&amp;X211&amp;" is "&amp;IF(ISNUMBER(AB211),TEXT(AB211,"ddd d mmm")&amp;", "&amp;TEXT(AB211,"hh:mm"),"weekday evenings"),"We can book "&amp;AC211&amp;" at "&amp;X211&amp;" on a weekday evening that suits you")&amp;" and it's "&amp;IF(AD211&lt;&gt;"","£"&amp;IF(AD211=INT(AD211),TEXT(AD211,"0"),TEXT(AD211,"0.00")),"[PRICE PER PLAYER]")&amp;" a player, all booked and paid through one link. If football isn't your thing, who at "&amp;F211&amp;" would be the right person to organise a team game?"&amp;IF(Offer!$C$7&lt;&gt;""," Spots are held until "&amp;TEXT(Offer!$C$7,"dddd d mmmm")&amp;".","")&amp;" "&amp;IF(Offer!$C$6&lt;&gt;"",Offer!$C$6,"[JOINING LINK]")</f>
        <v/>
      </c>
      <c r="AK211" s="14">
        <f>IF(OR(ISNUMBER(SEARCH("[",AG211)),ISNUMBER(SEARCH("[",AJ211))),"Fill placeholders",IF(ISNUMBER(AB211),"Ready to send","Ready · no fixed slot"))</f>
        <v/>
      </c>
      <c r="AN211" s="17" t="n"/>
    </row>
    <row r="212">
      <c r="A212" s="11" t="n">
        <v>210</v>
      </c>
      <c r="B212" s="11" t="n">
        <v>3</v>
      </c>
      <c r="C212" s="11" t="inlineStr">
        <is>
          <t>Insurance / broker</t>
        </is>
      </c>
      <c r="D212" s="11" t="inlineStr">
        <is>
          <t>City of London</t>
        </is>
      </c>
      <c r="E212" s="11" t="inlineStr">
        <is>
          <t>Tyser Group Services Limited</t>
        </is>
      </c>
      <c r="F212" s="11" t="inlineStr">
        <is>
          <t>Tyser</t>
        </is>
      </c>
      <c r="G212" s="11" t="inlineStr">
        <is>
          <t>01224375</t>
        </is>
      </c>
      <c r="H212" s="12" t="inlineStr">
        <is>
          <t>Open</t>
        </is>
      </c>
      <c r="I212" s="12" t="inlineStr">
        <is>
          <t>Search</t>
        </is>
      </c>
      <c r="J212" s="11" t="inlineStr">
        <is>
          <t>Full</t>
        </is>
      </c>
      <c r="K212" s="13" t="n">
        <v>27634</v>
      </c>
      <c r="L212" s="11" t="inlineStr">
        <is>
          <t>70 Fenchurch Street, London</t>
        </is>
      </c>
      <c r="M212" s="11" t="inlineStr">
        <is>
          <t>EC3M 4BR</t>
        </is>
      </c>
      <c r="N212" s="11" t="inlineStr">
        <is>
          <t>No</t>
        </is>
      </c>
      <c r="U212" s="11" t="inlineStr">
        <is>
          <t>Liverpool St - Attlee Centre</t>
        </is>
      </c>
      <c r="V212" s="11" t="n">
        <v>12</v>
      </c>
      <c r="W212" s="11" t="n"/>
      <c r="X212" s="11" t="inlineStr">
        <is>
          <t>Liverpool St - Attlee Centre</t>
        </is>
      </c>
      <c r="Y212" s="11" t="n">
        <v>12</v>
      </c>
      <c r="Z212" s="14">
        <f>IFERROR(INDEX(Venues!$E$2:$E$15,MATCH(X212,Venues!$A$2:$A$15,0)),"Not checked")</f>
        <v/>
      </c>
      <c r="AA212" s="14">
        <f>IFERROR(INDEX(Venues!$F$2:$F$15,MATCH(X212,Venues!$A$2:$A$15,0)),0)</f>
        <v/>
      </c>
      <c r="AB212" s="15">
        <f>IFERROR(INDEX(Venues!$M$2:$M$15,MATCH(X212,Venues!$A$2:$A$15,0)),"")</f>
        <v/>
      </c>
      <c r="AC212" s="14">
        <f>IFERROR(INDEX(Venues!$N$2:$N$15,MATCH(X212,Venues!$A$2:$A$15,0)),"5-a-side")</f>
        <v/>
      </c>
      <c r="AD212" s="16">
        <f>IF(Offer!$C$4="","",Offer!$C$4)</f>
        <v/>
      </c>
      <c r="AE212" s="14">
        <f>X212&amp;" ("&amp;Y212&amp;" min walk) · "&amp;IF(ISNUMBER(AB212),TEXT(AB212,"ddd d mmm, hh:mm"),"slot to confirm with venue")&amp;" · "&amp;AC212&amp;" · "&amp;IF(AD212&lt;&gt;"","£"&amp;TEXT(AD212,"0.00")&amp;" pp","price TBC")</f>
        <v/>
      </c>
      <c r="AF212" s="14">
        <f>"After-work football for "&amp;F212&amp;" · "&amp;X212&amp;", "&amp;Y212&amp;" min from your office"</f>
        <v/>
      </c>
      <c r="AG212" s="14">
        <f>"Hi"&amp;IF(O212&lt;&gt;""," "&amp;O212,"")&amp;","&amp;CHAR(10)&amp;CHAR(10)&amp;"I'm "&amp;IF(AL212&lt;&gt;"",AL212,IF(Offer!$C$5&lt;&gt;"",Offer!$C$5,"[NAME]"))&amp;" from FC Urban. We organise after-work football for teams in the City and Canary Wharf."&amp;CHAR(10)&amp;CHAR(10)&amp;"We have a "&amp;AC212&amp;" pitch at "&amp;X212&amp;", "&amp;IF(OR(Y212=8,Y212=11,Y212=18),"an ","a ")&amp;Y212&amp;"-minute walk from your "&amp;M212&amp;" office, "&amp;IF(ISNUMBER(AB212),"on "&amp;TEXT(AB212,"dddd d mmmm")&amp;" at "&amp;TEXT(AB212,"hh:mm"),"on a weekday evening that suits your team")&amp;". It's "&amp;IF(AD212&lt;&gt;"","£"&amp;IF(AD212=INT(AD212),TEXT(AD212,"0"),TEXT(AD212,"0.00")),"[PRICE PER PLAYER]")&amp;" a player and we handle the pitch booking, sign-ups and payments, so all it takes is one person sharing a link with the team."&amp;CHAR(10)&amp;CHAR(10)&amp;"It works well as a team social or "&amp;IF(ISNUMBER(SEARCH(LEFT(F212,1),"AEIOU")),"an ","a ")&amp;F212&amp;"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LINK]")&amp;CHAR(10)&amp;CHAR(10)&amp;"Best,"&amp;CHAR(10)&amp;IF(AL212&lt;&gt;"",AL212,IF(Offer!$C$5&lt;&gt;"",Offer!$C$5,"[NAME]"))&amp;CHAR(10)&amp;"FC Urban"</f>
        <v/>
      </c>
      <c r="AH212" s="14">
        <f>IF(LEN("Hi"&amp;IF(O212&lt;&gt;""," "&amp;O212,"")&amp;","&amp;" FC Urban runs after-work football for "&amp;IF(D212="Canary Wharf","Canary Wharf","City")&amp;" teams. We have a "&amp;AC212&amp;" pitch at "&amp;X212&amp;", "&amp;Y212&amp;" min from your office, "&amp;IF(ISNUMBER(AB212),TEXT(AB212,"ddd d mmm")&amp;", "&amp;TEXT(AB212,"hh:mm"),"weekday evenings")&amp;", "&amp;IF(AD212&lt;&gt;"","£"&amp;IF(AD212=INT(AD212),TEXT(AD212,"0"),TEXT(AD212,"0.00")),"[PRICE PER PLAYER]")&amp;" a player. We handle booking, sign-ups and payments. Fancy "&amp;IF(ISNUMBER(SEARCH(LEFT(F212,1),"AEIOU")),"an ","a ")&amp;F212&amp;" team game? "&amp;IF(AL212&lt;&gt;"",AL212,IF(Offer!$C$5&lt;&gt;"",Offer!$C$5,"[NAME]")))&lt;=300,"Hi"&amp;IF(O212&lt;&gt;""," "&amp;O212,"")&amp;","&amp;" FC Urban runs after-work football for "&amp;IF(D212="Canary Wharf","Canary Wharf","City")&amp;" teams. We have a "&amp;AC212&amp;" pitch at "&amp;X212&amp;", "&amp;Y212&amp;" min from your office, "&amp;IF(ISNUMBER(AB212),TEXT(AB212,"ddd d mmm")&amp;", "&amp;TEXT(AB212,"hh:mm"),"weekday evenings")&amp;", "&amp;IF(AD212&lt;&gt;"","£"&amp;IF(AD212=INT(AD212),TEXT(AD212,"0"),TEXT(AD212,"0.00")),"[PRICE PER PLAYER]")&amp;" a player. We handle booking, sign-ups and payments. Fancy "&amp;IF(ISNUMBER(SEARCH(LEFT(F212,1),"AEIOU")),"an ","a ")&amp;F212&amp;" team game? "&amp;IF(AL212&lt;&gt;"",AL212,IF(Offer!$C$5&lt;&gt;"",Offer!$C$5,"[NAME]")),LEFT("Hi"&amp;IF(O212&lt;&gt;""," "&amp;O212,"")&amp;","&amp;" FC Urban runs after-work football for "&amp;IF(D212="Canary Wharf","Canary Wharf","City")&amp;" teams: "&amp;AC212&amp;" at "&amp;X212&amp;", "&amp;Y212&amp;" min from your office, "&amp;IF(ISNUMBER(AB212),TEXT(AB212,"ddd d mmm")&amp;", "&amp;TEXT(AB212,"hh:mm"),"weekday evenings")&amp;", "&amp;IF(AD212&lt;&gt;"","£"&amp;IF(AD212=INT(AD212),TEXT(AD212,"0"),TEXT(AD212,"0.00")),"[PRICE PER PLAYER]")&amp;" pp. We handle booking and payments. Up for a team game? "&amp;IF(AL212&lt;&gt;"",AL212,IF(Offer!$C$5&lt;&gt;"",Offer!$C$5,"[NAME]")),300))</f>
        <v/>
      </c>
      <c r="AI212" s="14">
        <f>LEN(AH212)</f>
        <v/>
      </c>
      <c r="AJ212" s="14">
        <f>"Thanks for connecting"&amp;IF(O212&lt;&gt;"",", "&amp;O212,"")&amp;". "&amp;IF(ISNUMBER(AB212),"The "&amp;AC212&amp;" slot at "&amp;X212&amp;" is "&amp;IF(ISNUMBER(AB212),TEXT(AB212,"ddd d mmm")&amp;", "&amp;TEXT(AB212,"hh:mm"),"weekday evenings"),"We can book "&amp;AC212&amp;" at "&amp;X212&amp;" on a weekday evening that suits you")&amp;" and it's "&amp;IF(AD212&lt;&gt;"","£"&amp;IF(AD212=INT(AD212),TEXT(AD212,"0"),TEXT(AD212,"0.00")),"[PRICE PER PLAYER]")&amp;" a player, all booked and paid through one link. If football isn't your thing, who at "&amp;F212&amp;" would be the right person to organise a team game?"&amp;IF(Offer!$C$7&lt;&gt;""," Spots are held until "&amp;TEXT(Offer!$C$7,"dddd d mmmm")&amp;".","")&amp;" "&amp;IF(Offer!$C$6&lt;&gt;"",Offer!$C$6,"[JOINING LINK]")</f>
        <v/>
      </c>
      <c r="AK212" s="14">
        <f>IF(OR(ISNUMBER(SEARCH("[",AG212)),ISNUMBER(SEARCH("[",AJ212))),"Fill placeholders",IF(ISNUMBER(AB212),"Ready to send","Ready · no fixed slot"))</f>
        <v/>
      </c>
      <c r="AN212" s="17" t="n"/>
    </row>
    <row r="213">
      <c r="A213" s="11" t="n">
        <v>211</v>
      </c>
      <c r="B213" s="11" t="n">
        <v>3</v>
      </c>
      <c r="C213" s="11" t="inlineStr">
        <is>
          <t>Insurance / broker</t>
        </is>
      </c>
      <c r="D213" s="11" t="inlineStr">
        <is>
          <t>City of London</t>
        </is>
      </c>
      <c r="E213" s="11" t="inlineStr">
        <is>
          <t>Alpha Insurance Analysts Ltd.</t>
        </is>
      </c>
      <c r="F213" s="11" t="inlineStr">
        <is>
          <t>Alpha Insurance Analysts</t>
        </is>
      </c>
      <c r="G213" s="11" t="inlineStr">
        <is>
          <t>02915929</t>
        </is>
      </c>
      <c r="H213" s="12" t="inlineStr">
        <is>
          <t>Open</t>
        </is>
      </c>
      <c r="I213" s="12" t="inlineStr">
        <is>
          <t>Search</t>
        </is>
      </c>
      <c r="J213" s="11" t="inlineStr">
        <is>
          <t>Full</t>
        </is>
      </c>
      <c r="K213" s="13" t="n">
        <v>34422</v>
      </c>
      <c r="L213" s="11" t="inlineStr">
        <is>
          <t>107 Fenchurch Street, London</t>
        </is>
      </c>
      <c r="M213" s="11" t="inlineStr">
        <is>
          <t>EC3M 5JF</t>
        </is>
      </c>
      <c r="N213" s="11" t="inlineStr">
        <is>
          <t>No</t>
        </is>
      </c>
      <c r="U213" s="11" t="inlineStr">
        <is>
          <t>Liverpool St - Attlee Centre</t>
        </is>
      </c>
      <c r="V213" s="11" t="n">
        <v>12</v>
      </c>
      <c r="W213" s="11" t="n"/>
      <c r="X213" s="11" t="inlineStr">
        <is>
          <t>Liverpool St - Attlee Centre</t>
        </is>
      </c>
      <c r="Y213" s="11" t="n">
        <v>12</v>
      </c>
      <c r="Z213" s="14">
        <f>IFERROR(INDEX(Venues!$E$2:$E$15,MATCH(X213,Venues!$A$2:$A$15,0)),"Not checked")</f>
        <v/>
      </c>
      <c r="AA213" s="14">
        <f>IFERROR(INDEX(Venues!$F$2:$F$15,MATCH(X213,Venues!$A$2:$A$15,0)),0)</f>
        <v/>
      </c>
      <c r="AB213" s="15">
        <f>IFERROR(INDEX(Venues!$M$2:$M$15,MATCH(X213,Venues!$A$2:$A$15,0)),"")</f>
        <v/>
      </c>
      <c r="AC213" s="14">
        <f>IFERROR(INDEX(Venues!$N$2:$N$15,MATCH(X213,Venues!$A$2:$A$15,0)),"5-a-side")</f>
        <v/>
      </c>
      <c r="AD213" s="16">
        <f>IF(Offer!$C$4="","",Offer!$C$4)</f>
        <v/>
      </c>
      <c r="AE213" s="14">
        <f>X213&amp;" ("&amp;Y213&amp;" min walk) · "&amp;IF(ISNUMBER(AB213),TEXT(AB213,"ddd d mmm, hh:mm"),"slot to confirm with venue")&amp;" · "&amp;AC213&amp;" · "&amp;IF(AD213&lt;&gt;"","£"&amp;TEXT(AD213,"0.00")&amp;" pp","price TBC")</f>
        <v/>
      </c>
      <c r="AF213" s="14">
        <f>"After-work football for "&amp;F213&amp;" · "&amp;X213&amp;", "&amp;Y213&amp;" min from your office"</f>
        <v/>
      </c>
      <c r="AG213" s="14">
        <f>"Hi"&amp;IF(O213&lt;&gt;""," "&amp;O213,"")&amp;","&amp;CHAR(10)&amp;CHAR(10)&amp;"I'm "&amp;IF(AL213&lt;&gt;"",AL213,IF(Offer!$C$5&lt;&gt;"",Offer!$C$5,"[NAME]"))&amp;" from FC Urban. We organise after-work football for teams in the City and Canary Wharf."&amp;CHAR(10)&amp;CHAR(10)&amp;"We have a "&amp;AC213&amp;" pitch at "&amp;X213&amp;", "&amp;IF(OR(Y213=8,Y213=11,Y213=18),"an ","a ")&amp;Y213&amp;"-minute walk from your "&amp;M213&amp;" office, "&amp;IF(ISNUMBER(AB213),"on "&amp;TEXT(AB213,"dddd d mmmm")&amp;" at "&amp;TEXT(AB213,"hh:mm"),"on a weekday evening that suits your team")&amp;". It's "&amp;IF(AD213&lt;&gt;"","£"&amp;IF(AD213=INT(AD213),TEXT(AD213,"0"),TEXT(AD213,"0.00")),"[PRICE PER PLAYER]")&amp;" a player and we handle the pitch booking, sign-ups and payments, so all it takes is one person sharing a link with the team."&amp;CHAR(10)&amp;CHAR(10)&amp;"It works well as a team social or "&amp;IF(ISNUMBER(SEARCH(LEFT(F213,1),"AEIOU")),"an ","a ")&amp;F213&amp;"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LINK]")&amp;CHAR(10)&amp;CHAR(10)&amp;"Best,"&amp;CHAR(10)&amp;IF(AL213&lt;&gt;"",AL213,IF(Offer!$C$5&lt;&gt;"",Offer!$C$5,"[NAME]"))&amp;CHAR(10)&amp;"FC Urban"</f>
        <v/>
      </c>
      <c r="AH213" s="14">
        <f>IF(LEN("Hi"&amp;IF(O213&lt;&gt;""," "&amp;O213,"")&amp;","&amp;" FC Urban runs after-work football for "&amp;IF(D213="Canary Wharf","Canary Wharf","City")&amp;" teams. We have a "&amp;AC213&amp;" pitch at "&amp;X213&amp;", "&amp;Y213&amp;" min from your office, "&amp;IF(ISNUMBER(AB213),TEXT(AB213,"ddd d mmm")&amp;", "&amp;TEXT(AB213,"hh:mm"),"weekday evenings")&amp;", "&amp;IF(AD213&lt;&gt;"","£"&amp;IF(AD213=INT(AD213),TEXT(AD213,"0"),TEXT(AD213,"0.00")),"[PRICE PER PLAYER]")&amp;" a player. We handle booking, sign-ups and payments. Fancy "&amp;IF(ISNUMBER(SEARCH(LEFT(F213,1),"AEIOU")),"an ","a ")&amp;F213&amp;" team game? "&amp;IF(AL213&lt;&gt;"",AL213,IF(Offer!$C$5&lt;&gt;"",Offer!$C$5,"[NAME]")))&lt;=300,"Hi"&amp;IF(O213&lt;&gt;""," "&amp;O213,"")&amp;","&amp;" FC Urban runs after-work football for "&amp;IF(D213="Canary Wharf","Canary Wharf","City")&amp;" teams. We have a "&amp;AC213&amp;" pitch at "&amp;X213&amp;", "&amp;Y213&amp;" min from your office, "&amp;IF(ISNUMBER(AB213),TEXT(AB213,"ddd d mmm")&amp;", "&amp;TEXT(AB213,"hh:mm"),"weekday evenings")&amp;", "&amp;IF(AD213&lt;&gt;"","£"&amp;IF(AD213=INT(AD213),TEXT(AD213,"0"),TEXT(AD213,"0.00")),"[PRICE PER PLAYER]")&amp;" a player. We handle booking, sign-ups and payments. Fancy "&amp;IF(ISNUMBER(SEARCH(LEFT(F213,1),"AEIOU")),"an ","a ")&amp;F213&amp;" team game? "&amp;IF(AL213&lt;&gt;"",AL213,IF(Offer!$C$5&lt;&gt;"",Offer!$C$5,"[NAME]")),LEFT("Hi"&amp;IF(O213&lt;&gt;""," "&amp;O213,"")&amp;","&amp;" FC Urban runs after-work football for "&amp;IF(D213="Canary Wharf","Canary Wharf","City")&amp;" teams: "&amp;AC213&amp;" at "&amp;X213&amp;", "&amp;Y213&amp;" min from your office, "&amp;IF(ISNUMBER(AB213),TEXT(AB213,"ddd d mmm")&amp;", "&amp;TEXT(AB213,"hh:mm"),"weekday evenings")&amp;", "&amp;IF(AD213&lt;&gt;"","£"&amp;IF(AD213=INT(AD213),TEXT(AD213,"0"),TEXT(AD213,"0.00")),"[PRICE PER PLAYER]")&amp;" pp. We handle booking and payments. Up for a team game? "&amp;IF(AL213&lt;&gt;"",AL213,IF(Offer!$C$5&lt;&gt;"",Offer!$C$5,"[NAME]")),300))</f>
        <v/>
      </c>
      <c r="AI213" s="14">
        <f>LEN(AH213)</f>
        <v/>
      </c>
      <c r="AJ213" s="14">
        <f>"Thanks for connecting"&amp;IF(O213&lt;&gt;"",", "&amp;O213,"")&amp;". "&amp;IF(ISNUMBER(AB213),"The "&amp;AC213&amp;" slot at "&amp;X213&amp;" is "&amp;IF(ISNUMBER(AB213),TEXT(AB213,"ddd d mmm")&amp;", "&amp;TEXT(AB213,"hh:mm"),"weekday evenings"),"We can book "&amp;AC213&amp;" at "&amp;X213&amp;" on a weekday evening that suits you")&amp;" and it's "&amp;IF(AD213&lt;&gt;"","£"&amp;IF(AD213=INT(AD213),TEXT(AD213,"0"),TEXT(AD213,"0.00")),"[PRICE PER PLAYER]")&amp;" a player, all booked and paid through one link. If football isn't your thing, who at "&amp;F213&amp;" would be the right person to organise a team game?"&amp;IF(Offer!$C$7&lt;&gt;""," Spots are held until "&amp;TEXT(Offer!$C$7,"dddd d mmmm")&amp;".","")&amp;" "&amp;IF(Offer!$C$6&lt;&gt;"",Offer!$C$6,"[JOINING LINK]")</f>
        <v/>
      </c>
      <c r="AK213" s="14">
        <f>IF(OR(ISNUMBER(SEARCH("[",AG213)),ISNUMBER(SEARCH("[",AJ213))),"Fill placeholders",IF(ISNUMBER(AB213),"Ready to send","Ready · no fixed slot"))</f>
        <v/>
      </c>
      <c r="AN213" s="17" t="n"/>
    </row>
    <row r="214">
      <c r="A214" s="11" t="n">
        <v>212</v>
      </c>
      <c r="B214" s="11" t="n">
        <v>3</v>
      </c>
      <c r="C214" s="11" t="inlineStr">
        <is>
          <t>Insurance / broker</t>
        </is>
      </c>
      <c r="D214" s="11" t="inlineStr">
        <is>
          <t>City of London</t>
        </is>
      </c>
      <c r="E214" s="11" t="inlineStr">
        <is>
          <t>BMS Group Limited</t>
        </is>
      </c>
      <c r="F214" s="11" t="inlineStr">
        <is>
          <t>BMS</t>
        </is>
      </c>
      <c r="G214" s="11" t="inlineStr">
        <is>
          <t>01479949</t>
        </is>
      </c>
      <c r="H214" s="12" t="inlineStr">
        <is>
          <t>Open</t>
        </is>
      </c>
      <c r="I214" s="12" t="inlineStr">
        <is>
          <t>Search</t>
        </is>
      </c>
      <c r="J214" s="11" t="inlineStr">
        <is>
          <t>Full</t>
        </is>
      </c>
      <c r="K214" s="13" t="n">
        <v>29269</v>
      </c>
      <c r="L214" s="11" t="inlineStr">
        <is>
          <t>One America Square, London</t>
        </is>
      </c>
      <c r="M214" s="11" t="inlineStr">
        <is>
          <t>EC3N 2LS</t>
        </is>
      </c>
      <c r="N214" s="11" t="inlineStr">
        <is>
          <t>Yes</t>
        </is>
      </c>
      <c r="U214" s="11" t="inlineStr">
        <is>
          <t>Liverpool St - Attlee Centre</t>
        </is>
      </c>
      <c r="V214" s="11" t="n">
        <v>12</v>
      </c>
      <c r="W214" s="11" t="inlineStr">
        <is>
          <t>Whitechapel (18.6)</t>
        </is>
      </c>
      <c r="X214" s="11" t="inlineStr">
        <is>
          <t>Liverpool St - Attlee Centre</t>
        </is>
      </c>
      <c r="Y214" s="11" t="n">
        <v>12</v>
      </c>
      <c r="Z214" s="14">
        <f>IFERROR(INDEX(Venues!$E$2:$E$15,MATCH(X214,Venues!$A$2:$A$15,0)),"Not checked")</f>
        <v/>
      </c>
      <c r="AA214" s="14">
        <f>IFERROR(INDEX(Venues!$F$2:$F$15,MATCH(X214,Venues!$A$2:$A$15,0)),0)</f>
        <v/>
      </c>
      <c r="AB214" s="15">
        <f>IFERROR(INDEX(Venues!$M$2:$M$15,MATCH(X214,Venues!$A$2:$A$15,0)),"")</f>
        <v/>
      </c>
      <c r="AC214" s="14">
        <f>IFERROR(INDEX(Venues!$N$2:$N$15,MATCH(X214,Venues!$A$2:$A$15,0)),"5-a-side")</f>
        <v/>
      </c>
      <c r="AD214" s="16">
        <f>IF(Offer!$C$4="","",Offer!$C$4)</f>
        <v/>
      </c>
      <c r="AE214" s="14">
        <f>X214&amp;" ("&amp;Y214&amp;" min walk) · "&amp;IF(ISNUMBER(AB214),TEXT(AB214,"ddd d mmm, hh:mm"),"slot to confirm with venue")&amp;" · "&amp;AC214&amp;" · "&amp;IF(AD214&lt;&gt;"","£"&amp;TEXT(AD214,"0.00")&amp;" pp","price TBC")</f>
        <v/>
      </c>
      <c r="AF214" s="14">
        <f>"After-work football for "&amp;F214&amp;" · "&amp;X214&amp;", "&amp;Y214&amp;" min from your office"</f>
        <v/>
      </c>
      <c r="AG214" s="14">
        <f>"Hi"&amp;IF(O214&lt;&gt;""," "&amp;O214,"")&amp;","&amp;CHAR(10)&amp;CHAR(10)&amp;"I'm "&amp;IF(AL214&lt;&gt;"",AL214,IF(Offer!$C$5&lt;&gt;"",Offer!$C$5,"[NAME]"))&amp;" from FC Urban. We organise after-work football for teams in the City and Canary Wharf."&amp;CHAR(10)&amp;CHAR(10)&amp;"We have a "&amp;AC214&amp;" pitch at "&amp;X214&amp;", "&amp;IF(OR(Y214=8,Y214=11,Y214=18),"an ","a ")&amp;Y214&amp;"-minute walk from your "&amp;M214&amp;" office, "&amp;IF(ISNUMBER(AB214),"on "&amp;TEXT(AB214,"dddd d mmmm")&amp;" at "&amp;TEXT(AB214,"hh:mm"),"on a weekday evening that suits your team")&amp;". It's "&amp;IF(AD214&lt;&gt;"","£"&amp;IF(AD214=INT(AD214),TEXT(AD214,"0"),TEXT(AD214,"0.00")),"[PRICE PER PLAYER]")&amp;" a player and we handle the pitch booking, sign-ups and payments, so all it takes is one person sharing a link with the team."&amp;CHAR(10)&amp;CHAR(10)&amp;"It works well as a team social or "&amp;IF(ISNUMBER(SEARCH(LEFT(F214,1),"AEIOU")),"an ","a ")&amp;F214&amp;"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LINK]")&amp;CHAR(10)&amp;CHAR(10)&amp;"Best,"&amp;CHAR(10)&amp;IF(AL214&lt;&gt;"",AL214,IF(Offer!$C$5&lt;&gt;"",Offer!$C$5,"[NAME]"))&amp;CHAR(10)&amp;"FC Urban"</f>
        <v/>
      </c>
      <c r="AH214" s="14">
        <f>IF(LEN("Hi"&amp;IF(O214&lt;&gt;""," "&amp;O214,"")&amp;","&amp;" FC Urban runs after-work football for "&amp;IF(D214="Canary Wharf","Canary Wharf","City")&amp;" teams. We have a "&amp;AC214&amp;" pitch at "&amp;X214&amp;", "&amp;Y214&amp;" min from your office, "&amp;IF(ISNUMBER(AB214),TEXT(AB214,"ddd d mmm")&amp;", "&amp;TEXT(AB214,"hh:mm"),"weekday evenings")&amp;", "&amp;IF(AD214&lt;&gt;"","£"&amp;IF(AD214=INT(AD214),TEXT(AD214,"0"),TEXT(AD214,"0.00")),"[PRICE PER PLAYER]")&amp;" a player. We handle booking, sign-ups and payments. Fancy "&amp;IF(ISNUMBER(SEARCH(LEFT(F214,1),"AEIOU")),"an ","a ")&amp;F214&amp;" team game? "&amp;IF(AL214&lt;&gt;"",AL214,IF(Offer!$C$5&lt;&gt;"",Offer!$C$5,"[NAME]")))&lt;=300,"Hi"&amp;IF(O214&lt;&gt;""," "&amp;O214,"")&amp;","&amp;" FC Urban runs after-work football for "&amp;IF(D214="Canary Wharf","Canary Wharf","City")&amp;" teams. We have a "&amp;AC214&amp;" pitch at "&amp;X214&amp;", "&amp;Y214&amp;" min from your office, "&amp;IF(ISNUMBER(AB214),TEXT(AB214,"ddd d mmm")&amp;", "&amp;TEXT(AB214,"hh:mm"),"weekday evenings")&amp;", "&amp;IF(AD214&lt;&gt;"","£"&amp;IF(AD214=INT(AD214),TEXT(AD214,"0"),TEXT(AD214,"0.00")),"[PRICE PER PLAYER]")&amp;" a player. We handle booking, sign-ups and payments. Fancy "&amp;IF(ISNUMBER(SEARCH(LEFT(F214,1),"AEIOU")),"an ","a ")&amp;F214&amp;" team game? "&amp;IF(AL214&lt;&gt;"",AL214,IF(Offer!$C$5&lt;&gt;"",Offer!$C$5,"[NAME]")),LEFT("Hi"&amp;IF(O214&lt;&gt;""," "&amp;O214,"")&amp;","&amp;" FC Urban runs after-work football for "&amp;IF(D214="Canary Wharf","Canary Wharf","City")&amp;" teams: "&amp;AC214&amp;" at "&amp;X214&amp;", "&amp;Y214&amp;" min from your office, "&amp;IF(ISNUMBER(AB214),TEXT(AB214,"ddd d mmm")&amp;", "&amp;TEXT(AB214,"hh:mm"),"weekday evenings")&amp;", "&amp;IF(AD214&lt;&gt;"","£"&amp;IF(AD214=INT(AD214),TEXT(AD214,"0"),TEXT(AD214,"0.00")),"[PRICE PER PLAYER]")&amp;" pp. We handle booking and payments. Up for a team game? "&amp;IF(AL214&lt;&gt;"",AL214,IF(Offer!$C$5&lt;&gt;"",Offer!$C$5,"[NAME]")),300))</f>
        <v/>
      </c>
      <c r="AI214" s="14">
        <f>LEN(AH214)</f>
        <v/>
      </c>
      <c r="AJ214" s="14">
        <f>"Thanks for connecting"&amp;IF(O214&lt;&gt;"",", "&amp;O214,"")&amp;". "&amp;IF(ISNUMBER(AB214),"The "&amp;AC214&amp;" slot at "&amp;X214&amp;" is "&amp;IF(ISNUMBER(AB214),TEXT(AB214,"ddd d mmm")&amp;", "&amp;TEXT(AB214,"hh:mm"),"weekday evenings"),"We can book "&amp;AC214&amp;" at "&amp;X214&amp;" on a weekday evening that suits you")&amp;" and it's "&amp;IF(AD214&lt;&gt;"","£"&amp;IF(AD214=INT(AD214),TEXT(AD214,"0"),TEXT(AD214,"0.00")),"[PRICE PER PLAYER]")&amp;" a player, all booked and paid through one link. If football isn't your thing, who at "&amp;F214&amp;" would be the right person to organise a team game?"&amp;IF(Offer!$C$7&lt;&gt;""," Spots are held until "&amp;TEXT(Offer!$C$7,"dddd d mmmm")&amp;".","")&amp;" "&amp;IF(Offer!$C$6&lt;&gt;"",Offer!$C$6,"[JOINING LINK]")</f>
        <v/>
      </c>
      <c r="AK214" s="14">
        <f>IF(OR(ISNUMBER(SEARCH("[",AG214)),ISNUMBER(SEARCH("[",AJ214))),"Fill placeholders",IF(ISNUMBER(AB214),"Ready to send","Ready · no fixed slot"))</f>
        <v/>
      </c>
      <c r="AN214" s="17" t="n"/>
    </row>
    <row r="215">
      <c r="A215" s="11" t="n">
        <v>213</v>
      </c>
      <c r="B215" s="11" t="n">
        <v>3</v>
      </c>
      <c r="C215" s="11" t="inlineStr">
        <is>
          <t>Insurance / broker</t>
        </is>
      </c>
      <c r="D215" s="11" t="inlineStr">
        <is>
          <t>City of London</t>
        </is>
      </c>
      <c r="E215" s="11" t="inlineStr">
        <is>
          <t>ICEN Risk Limited</t>
        </is>
      </c>
      <c r="F215" s="11" t="inlineStr">
        <is>
          <t>ICEN Risk</t>
        </is>
      </c>
      <c r="G215" s="11" t="inlineStr">
        <is>
          <t>11691390</t>
        </is>
      </c>
      <c r="H215" s="12" t="inlineStr">
        <is>
          <t>Open</t>
        </is>
      </c>
      <c r="I215" s="12" t="inlineStr">
        <is>
          <t>Search</t>
        </is>
      </c>
      <c r="J215" s="11" t="inlineStr">
        <is>
          <t>Full</t>
        </is>
      </c>
      <c r="K215" s="13" t="n">
        <v>43426</v>
      </c>
      <c r="L215" s="11" t="inlineStr">
        <is>
          <t>Fourth Floor, 9A Devonshire Square, London</t>
        </is>
      </c>
      <c r="M215" s="11" t="inlineStr">
        <is>
          <t>EC2M 4YN</t>
        </is>
      </c>
      <c r="N215" s="11" t="inlineStr">
        <is>
          <t>No</t>
        </is>
      </c>
      <c r="U215" s="11" t="inlineStr">
        <is>
          <t>Liverpool St - Attlee Centre</t>
        </is>
      </c>
      <c r="V215" s="11" t="n">
        <v>7</v>
      </c>
      <c r="W215" s="11" t="inlineStr">
        <is>
          <t>Shoreditch Powerleague (12.2)</t>
        </is>
      </c>
      <c r="X215" s="11" t="inlineStr">
        <is>
          <t>Shoreditch Powerleague</t>
        </is>
      </c>
      <c r="Y215" s="11" t="n">
        <v>12</v>
      </c>
      <c r="Z215" s="14">
        <f>IFERROR(INDEX(Venues!$E$2:$E$15,MATCH(X215,Venues!$A$2:$A$15,0)),"Not checked")</f>
        <v/>
      </c>
      <c r="AA215" s="14">
        <f>IFERROR(INDEX(Venues!$F$2:$F$15,MATCH(X215,Venues!$A$2:$A$15,0)),0)</f>
        <v/>
      </c>
      <c r="AB215" s="15">
        <f>IFERROR(INDEX(Venues!$M$2:$M$15,MATCH(X215,Venues!$A$2:$A$15,0)),"")</f>
        <v/>
      </c>
      <c r="AC215" s="14">
        <f>IFERROR(INDEX(Venues!$N$2:$N$15,MATCH(X215,Venues!$A$2:$A$15,0)),"5-a-side")</f>
        <v/>
      </c>
      <c r="AD215" s="16">
        <f>IF(Offer!$C$4="","",Offer!$C$4)</f>
        <v/>
      </c>
      <c r="AE215" s="14">
        <f>X215&amp;" ("&amp;Y215&amp;" min walk) · "&amp;IF(ISNUMBER(AB215),TEXT(AB215,"ddd d mmm, hh:mm"),"slot to confirm with venue")&amp;" · "&amp;AC215&amp;" · "&amp;IF(AD215&lt;&gt;"","£"&amp;TEXT(AD215,"0.00")&amp;" pp","price TBC")</f>
        <v/>
      </c>
      <c r="AF215" s="14">
        <f>"After-work football for "&amp;F215&amp;" · "&amp;X215&amp;", "&amp;Y215&amp;" min from your office"</f>
        <v/>
      </c>
      <c r="AG215" s="14">
        <f>"Hi"&amp;IF(O215&lt;&gt;""," "&amp;O215,"")&amp;","&amp;CHAR(10)&amp;CHAR(10)&amp;"I'm "&amp;IF(AL215&lt;&gt;"",AL215,IF(Offer!$C$5&lt;&gt;"",Offer!$C$5,"[NAME]"))&amp;" from FC Urban. We organise after-work football for teams in the City and Canary Wharf."&amp;CHAR(10)&amp;CHAR(10)&amp;"We have a "&amp;AC215&amp;" pitch at "&amp;X215&amp;", "&amp;IF(OR(Y215=8,Y215=11,Y215=18),"an ","a ")&amp;Y215&amp;"-minute walk from your "&amp;M215&amp;" office, "&amp;IF(ISNUMBER(AB215),"on "&amp;TEXT(AB215,"dddd d mmmm")&amp;" at "&amp;TEXT(AB215,"hh:mm"),"on a weekday evening that suits your team")&amp;". It's "&amp;IF(AD215&lt;&gt;"","£"&amp;IF(AD215=INT(AD215),TEXT(AD215,"0"),TEXT(AD215,"0.00")),"[PRICE PER PLAYER]")&amp;" a player and we handle the pitch booking, sign-ups and payments, so all it takes is one person sharing a link with the team."&amp;CHAR(10)&amp;CHAR(10)&amp;"It works well as a team social or "&amp;IF(ISNUMBER(SEARCH(LEFT(F215,1),"AEIOU")),"an ","a ")&amp;F215&amp;"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LINK]")&amp;CHAR(10)&amp;CHAR(10)&amp;"Best,"&amp;CHAR(10)&amp;IF(AL215&lt;&gt;"",AL215,IF(Offer!$C$5&lt;&gt;"",Offer!$C$5,"[NAME]"))&amp;CHAR(10)&amp;"FC Urban"</f>
        <v/>
      </c>
      <c r="AH215" s="14">
        <f>IF(LEN("Hi"&amp;IF(O215&lt;&gt;""," "&amp;O215,"")&amp;","&amp;" FC Urban runs after-work football for "&amp;IF(D215="Canary Wharf","Canary Wharf","City")&amp;" teams. We have a "&amp;AC215&amp;" pitch at "&amp;X215&amp;", "&amp;Y215&amp;" min from your office, "&amp;IF(ISNUMBER(AB215),TEXT(AB215,"ddd d mmm")&amp;", "&amp;TEXT(AB215,"hh:mm"),"weekday evenings")&amp;", "&amp;IF(AD215&lt;&gt;"","£"&amp;IF(AD215=INT(AD215),TEXT(AD215,"0"),TEXT(AD215,"0.00")),"[PRICE PER PLAYER]")&amp;" a player. We handle booking, sign-ups and payments. Fancy "&amp;IF(ISNUMBER(SEARCH(LEFT(F215,1),"AEIOU")),"an ","a ")&amp;F215&amp;" team game? "&amp;IF(AL215&lt;&gt;"",AL215,IF(Offer!$C$5&lt;&gt;"",Offer!$C$5,"[NAME]")))&lt;=300,"Hi"&amp;IF(O215&lt;&gt;""," "&amp;O215,"")&amp;","&amp;" FC Urban runs after-work football for "&amp;IF(D215="Canary Wharf","Canary Wharf","City")&amp;" teams. We have a "&amp;AC215&amp;" pitch at "&amp;X215&amp;", "&amp;Y215&amp;" min from your office, "&amp;IF(ISNUMBER(AB215),TEXT(AB215,"ddd d mmm")&amp;", "&amp;TEXT(AB215,"hh:mm"),"weekday evenings")&amp;", "&amp;IF(AD215&lt;&gt;"","£"&amp;IF(AD215=INT(AD215),TEXT(AD215,"0"),TEXT(AD215,"0.00")),"[PRICE PER PLAYER]")&amp;" a player. We handle booking, sign-ups and payments. Fancy "&amp;IF(ISNUMBER(SEARCH(LEFT(F215,1),"AEIOU")),"an ","a ")&amp;F215&amp;" team game? "&amp;IF(AL215&lt;&gt;"",AL215,IF(Offer!$C$5&lt;&gt;"",Offer!$C$5,"[NAME]")),LEFT("Hi"&amp;IF(O215&lt;&gt;""," "&amp;O215,"")&amp;","&amp;" FC Urban runs after-work football for "&amp;IF(D215="Canary Wharf","Canary Wharf","City")&amp;" teams: "&amp;AC215&amp;" at "&amp;X215&amp;", "&amp;Y215&amp;" min from your office, "&amp;IF(ISNUMBER(AB215),TEXT(AB215,"ddd d mmm")&amp;", "&amp;TEXT(AB215,"hh:mm"),"weekday evenings")&amp;", "&amp;IF(AD215&lt;&gt;"","£"&amp;IF(AD215=INT(AD215),TEXT(AD215,"0"),TEXT(AD215,"0.00")),"[PRICE PER PLAYER]")&amp;" pp. We handle booking and payments. Up for a team game? "&amp;IF(AL215&lt;&gt;"",AL215,IF(Offer!$C$5&lt;&gt;"",Offer!$C$5,"[NAME]")),300))</f>
        <v/>
      </c>
      <c r="AI215" s="14">
        <f>LEN(AH215)</f>
        <v/>
      </c>
      <c r="AJ215" s="14">
        <f>"Thanks for connecting"&amp;IF(O215&lt;&gt;"",", "&amp;O215,"")&amp;". "&amp;IF(ISNUMBER(AB215),"The "&amp;AC215&amp;" slot at "&amp;X215&amp;" is "&amp;IF(ISNUMBER(AB215),TEXT(AB215,"ddd d mmm")&amp;", "&amp;TEXT(AB215,"hh:mm"),"weekday evenings"),"We can book "&amp;AC215&amp;" at "&amp;X215&amp;" on a weekday evening that suits you")&amp;" and it's "&amp;IF(AD215&lt;&gt;"","£"&amp;IF(AD215=INT(AD215),TEXT(AD215,"0"),TEXT(AD215,"0.00")),"[PRICE PER PLAYER]")&amp;" a player, all booked and paid through one link. If football isn't your thing, who at "&amp;F215&amp;" would be the right person to organise a team game?"&amp;IF(Offer!$C$7&lt;&gt;""," Spots are held until "&amp;TEXT(Offer!$C$7,"dddd d mmmm")&amp;".","")&amp;" "&amp;IF(Offer!$C$6&lt;&gt;"",Offer!$C$6,"[JOINING LINK]")</f>
        <v/>
      </c>
      <c r="AK215" s="14">
        <f>IF(OR(ISNUMBER(SEARCH("[",AG215)),ISNUMBER(SEARCH("[",AJ215))),"Fill placeholders",IF(ISNUMBER(AB215),"Ready to send","Ready · no fixed slot"))</f>
        <v/>
      </c>
      <c r="AN215" s="17" t="n"/>
    </row>
    <row r="216">
      <c r="A216" s="11" t="n">
        <v>214</v>
      </c>
      <c r="B216" s="11" t="n">
        <v>3</v>
      </c>
      <c r="C216" s="11" t="inlineStr">
        <is>
          <t>Fund / asset manager</t>
        </is>
      </c>
      <c r="D216" s="11" t="inlineStr">
        <is>
          <t>City of London</t>
        </is>
      </c>
      <c r="E216" s="11" t="inlineStr">
        <is>
          <t>Unicorn Asset Management Limited</t>
        </is>
      </c>
      <c r="F216" s="11" t="inlineStr">
        <is>
          <t>Unicorn Asset Management</t>
        </is>
      </c>
      <c r="G216" s="11" t="inlineStr">
        <is>
          <t>03919499</t>
        </is>
      </c>
      <c r="H216" s="12" t="inlineStr">
        <is>
          <t>Open</t>
        </is>
      </c>
      <c r="I216" s="12" t="inlineStr">
        <is>
          <t>Search</t>
        </is>
      </c>
      <c r="J216" s="11" t="inlineStr">
        <is>
          <t>Full</t>
        </is>
      </c>
      <c r="K216" s="13" t="n">
        <v>36560</v>
      </c>
      <c r="L216" s="11" t="inlineStr">
        <is>
          <t>First Floor Office Preacher'S Court, The Charterhouse, Charterhouse Square</t>
        </is>
      </c>
      <c r="M216" s="11" t="inlineStr">
        <is>
          <t>EC1M 6AU</t>
        </is>
      </c>
      <c r="N216" s="11" t="inlineStr">
        <is>
          <t>Yes</t>
        </is>
      </c>
      <c r="U216" s="11" t="inlineStr">
        <is>
          <t>Old St - Moreland Primary School</t>
        </is>
      </c>
      <c r="V216" s="11" t="n">
        <v>12</v>
      </c>
      <c r="W216" s="11" t="n"/>
      <c r="X216" s="11" t="inlineStr">
        <is>
          <t>Old St - Moreland Primary School</t>
        </is>
      </c>
      <c r="Y216" s="11" t="n">
        <v>12</v>
      </c>
      <c r="Z216" s="14">
        <f>IFERROR(INDEX(Venues!$E$2:$E$15,MATCH(X216,Venues!$A$2:$A$15,0)),"Not checked")</f>
        <v/>
      </c>
      <c r="AA216" s="14">
        <f>IFERROR(INDEX(Venues!$F$2:$F$15,MATCH(X216,Venues!$A$2:$A$15,0)),0)</f>
        <v/>
      </c>
      <c r="AB216" s="15">
        <f>IFERROR(INDEX(Venues!$M$2:$M$15,MATCH(X216,Venues!$A$2:$A$15,0)),"")</f>
        <v/>
      </c>
      <c r="AC216" s="14">
        <f>IFERROR(INDEX(Venues!$N$2:$N$15,MATCH(X216,Venues!$A$2:$A$15,0)),"5-a-side")</f>
        <v/>
      </c>
      <c r="AD216" s="16">
        <f>IF(Offer!$C$4="","",Offer!$C$4)</f>
        <v/>
      </c>
      <c r="AE216" s="14">
        <f>X216&amp;" ("&amp;Y216&amp;" min walk) · "&amp;IF(ISNUMBER(AB216),TEXT(AB216,"ddd d mmm, hh:mm"),"slot to confirm with venue")&amp;" · "&amp;AC216&amp;" · "&amp;IF(AD216&lt;&gt;"","£"&amp;TEXT(AD216,"0.00")&amp;" pp","price TBC")</f>
        <v/>
      </c>
      <c r="AF216" s="14">
        <f>"After-work football for "&amp;F216&amp;" · "&amp;X216&amp;", "&amp;Y216&amp;" min from your office"</f>
        <v/>
      </c>
      <c r="AG216" s="14">
        <f>"Hi"&amp;IF(O216&lt;&gt;""," "&amp;O216,"")&amp;","&amp;CHAR(10)&amp;CHAR(10)&amp;"I'm "&amp;IF(AL216&lt;&gt;"",AL216,IF(Offer!$C$5&lt;&gt;"",Offer!$C$5,"[NAME]"))&amp;" from FC Urban. We organise after-work football for teams in the City and Canary Wharf."&amp;CHAR(10)&amp;CHAR(10)&amp;"We have a "&amp;AC216&amp;" pitch at "&amp;X216&amp;", "&amp;IF(OR(Y216=8,Y216=11,Y216=18),"an ","a ")&amp;Y216&amp;"-minute walk from your "&amp;M216&amp;" office, "&amp;IF(ISNUMBER(AB216),"on "&amp;TEXT(AB216,"dddd d mmmm")&amp;" at "&amp;TEXT(AB216,"hh:mm"),"on a weekday evening that suits your team")&amp;". It's "&amp;IF(AD216&lt;&gt;"","£"&amp;IF(AD216=INT(AD216),TEXT(AD216,"0"),TEXT(AD216,"0.00")),"[PRICE PER PLAYER]")&amp;" a player and we handle the pitch booking, sign-ups and payments, so all it takes is one person sharing a link with the team."&amp;CHAR(10)&amp;CHAR(10)&amp;"It works well as a team social or "&amp;IF(ISNUMBER(SEARCH(LEFT(F216,1),"AEIOU")),"an ","a ")&amp;F216&amp;"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LINK]")&amp;CHAR(10)&amp;CHAR(10)&amp;"Best,"&amp;CHAR(10)&amp;IF(AL216&lt;&gt;"",AL216,IF(Offer!$C$5&lt;&gt;"",Offer!$C$5,"[NAME]"))&amp;CHAR(10)&amp;"FC Urban"</f>
        <v/>
      </c>
      <c r="AH216" s="14">
        <f>IF(LEN("Hi"&amp;IF(O216&lt;&gt;""," "&amp;O216,"")&amp;","&amp;" FC Urban runs after-work football for "&amp;IF(D216="Canary Wharf","Canary Wharf","City")&amp;" teams. We have a "&amp;AC216&amp;" pitch at "&amp;X216&amp;", "&amp;Y216&amp;" min from your office, "&amp;IF(ISNUMBER(AB216),TEXT(AB216,"ddd d mmm")&amp;", "&amp;TEXT(AB216,"hh:mm"),"weekday evenings")&amp;", "&amp;IF(AD216&lt;&gt;"","£"&amp;IF(AD216=INT(AD216),TEXT(AD216,"0"),TEXT(AD216,"0.00")),"[PRICE PER PLAYER]")&amp;" a player. We handle booking, sign-ups and payments. Fancy "&amp;IF(ISNUMBER(SEARCH(LEFT(F216,1),"AEIOU")),"an ","a ")&amp;F216&amp;" team game? "&amp;IF(AL216&lt;&gt;"",AL216,IF(Offer!$C$5&lt;&gt;"",Offer!$C$5,"[NAME]")))&lt;=300,"Hi"&amp;IF(O216&lt;&gt;""," "&amp;O216,"")&amp;","&amp;" FC Urban runs after-work football for "&amp;IF(D216="Canary Wharf","Canary Wharf","City")&amp;" teams. We have a "&amp;AC216&amp;" pitch at "&amp;X216&amp;", "&amp;Y216&amp;" min from your office, "&amp;IF(ISNUMBER(AB216),TEXT(AB216,"ddd d mmm")&amp;", "&amp;TEXT(AB216,"hh:mm"),"weekday evenings")&amp;", "&amp;IF(AD216&lt;&gt;"","£"&amp;IF(AD216=INT(AD216),TEXT(AD216,"0"),TEXT(AD216,"0.00")),"[PRICE PER PLAYER]")&amp;" a player. We handle booking, sign-ups and payments. Fancy "&amp;IF(ISNUMBER(SEARCH(LEFT(F216,1),"AEIOU")),"an ","a ")&amp;F216&amp;" team game? "&amp;IF(AL216&lt;&gt;"",AL216,IF(Offer!$C$5&lt;&gt;"",Offer!$C$5,"[NAME]")),LEFT("Hi"&amp;IF(O216&lt;&gt;""," "&amp;O216,"")&amp;","&amp;" FC Urban runs after-work football for "&amp;IF(D216="Canary Wharf","Canary Wharf","City")&amp;" teams: "&amp;AC216&amp;" at "&amp;X216&amp;", "&amp;Y216&amp;" min from your office, "&amp;IF(ISNUMBER(AB216),TEXT(AB216,"ddd d mmm")&amp;", "&amp;TEXT(AB216,"hh:mm"),"weekday evenings")&amp;", "&amp;IF(AD216&lt;&gt;"","£"&amp;IF(AD216=INT(AD216),TEXT(AD216,"0"),TEXT(AD216,"0.00")),"[PRICE PER PLAYER]")&amp;" pp. We handle booking and payments. Up for a team game? "&amp;IF(AL216&lt;&gt;"",AL216,IF(Offer!$C$5&lt;&gt;"",Offer!$C$5,"[NAME]")),300))</f>
        <v/>
      </c>
      <c r="AI216" s="14">
        <f>LEN(AH216)</f>
        <v/>
      </c>
      <c r="AJ216" s="14">
        <f>"Thanks for connecting"&amp;IF(O216&lt;&gt;"",", "&amp;O216,"")&amp;". "&amp;IF(ISNUMBER(AB216),"The "&amp;AC216&amp;" slot at "&amp;X216&amp;" is "&amp;IF(ISNUMBER(AB216),TEXT(AB216,"ddd d mmm")&amp;", "&amp;TEXT(AB216,"hh:mm"),"weekday evenings"),"We can book "&amp;AC216&amp;" at "&amp;X216&amp;" on a weekday evening that suits you")&amp;" and it's "&amp;IF(AD216&lt;&gt;"","£"&amp;IF(AD216=INT(AD216),TEXT(AD216,"0"),TEXT(AD216,"0.00")),"[PRICE PER PLAYER]")&amp;" a player, all booked and paid through one link. If football isn't your thing, who at "&amp;F216&amp;" would be the right person to organise a team game?"&amp;IF(Offer!$C$7&lt;&gt;""," Spots are held until "&amp;TEXT(Offer!$C$7,"dddd d mmmm")&amp;".","")&amp;" "&amp;IF(Offer!$C$6&lt;&gt;"",Offer!$C$6,"[JOINING LINK]")</f>
        <v/>
      </c>
      <c r="AK216" s="14">
        <f>IF(OR(ISNUMBER(SEARCH("[",AG216)),ISNUMBER(SEARCH("[",AJ216))),"Fill placeholders",IF(ISNUMBER(AB216),"Ready to send","Ready · no fixed slot"))</f>
        <v/>
      </c>
      <c r="AN216" s="17" t="n"/>
    </row>
    <row r="217">
      <c r="A217" s="11" t="n">
        <v>215</v>
      </c>
      <c r="B217" s="11" t="n">
        <v>3</v>
      </c>
      <c r="C217" s="11" t="inlineStr">
        <is>
          <t>Fund / asset manager</t>
        </is>
      </c>
      <c r="D217" s="11" t="inlineStr">
        <is>
          <t>City of London</t>
        </is>
      </c>
      <c r="E217" s="11" t="inlineStr">
        <is>
          <t>Redress Solutions PLC</t>
        </is>
      </c>
      <c r="F217" s="11" t="inlineStr">
        <is>
          <t>Redress Solutions</t>
        </is>
      </c>
      <c r="G217" s="11" t="inlineStr">
        <is>
          <t>09079980</t>
        </is>
      </c>
      <c r="H217" s="12" t="inlineStr">
        <is>
          <t>Open</t>
        </is>
      </c>
      <c r="I217" s="12" t="inlineStr">
        <is>
          <t>Search</t>
        </is>
      </c>
      <c r="J217" s="11" t="inlineStr">
        <is>
          <t>Full</t>
        </is>
      </c>
      <c r="K217" s="13" t="n">
        <v>41800</v>
      </c>
      <c r="L217" s="11" t="inlineStr">
        <is>
          <t>Coopers' Hall, 13 Devonshire Square, London</t>
        </is>
      </c>
      <c r="M217" s="11" t="inlineStr">
        <is>
          <t>EC2M 4TH</t>
        </is>
      </c>
      <c r="N217" s="11" t="inlineStr">
        <is>
          <t>Yes</t>
        </is>
      </c>
      <c r="U217" s="11" t="inlineStr">
        <is>
          <t>Liverpool St - Attlee Centre</t>
        </is>
      </c>
      <c r="V217" s="11" t="n">
        <v>7</v>
      </c>
      <c r="W217" s="11" t="inlineStr">
        <is>
          <t>Shoreditch Powerleague (12.3)</t>
        </is>
      </c>
      <c r="X217" s="11" t="inlineStr">
        <is>
          <t>Shoreditch Powerleague</t>
        </is>
      </c>
      <c r="Y217" s="11" t="n">
        <v>12</v>
      </c>
      <c r="Z217" s="14">
        <f>IFERROR(INDEX(Venues!$E$2:$E$15,MATCH(X217,Venues!$A$2:$A$15,0)),"Not checked")</f>
        <v/>
      </c>
      <c r="AA217" s="14">
        <f>IFERROR(INDEX(Venues!$F$2:$F$15,MATCH(X217,Venues!$A$2:$A$15,0)),0)</f>
        <v/>
      </c>
      <c r="AB217" s="15">
        <f>IFERROR(INDEX(Venues!$M$2:$M$15,MATCH(X217,Venues!$A$2:$A$15,0)),"")</f>
        <v/>
      </c>
      <c r="AC217" s="14">
        <f>IFERROR(INDEX(Venues!$N$2:$N$15,MATCH(X217,Venues!$A$2:$A$15,0)),"5-a-side")</f>
        <v/>
      </c>
      <c r="AD217" s="16">
        <f>IF(Offer!$C$4="","",Offer!$C$4)</f>
        <v/>
      </c>
      <c r="AE217" s="14">
        <f>X217&amp;" ("&amp;Y217&amp;" min walk) · "&amp;IF(ISNUMBER(AB217),TEXT(AB217,"ddd d mmm, hh:mm"),"slot to confirm with venue")&amp;" · "&amp;AC217&amp;" · "&amp;IF(AD217&lt;&gt;"","£"&amp;TEXT(AD217,"0.00")&amp;" pp","price TBC")</f>
        <v/>
      </c>
      <c r="AF217" s="14">
        <f>"After-work football for "&amp;F217&amp;" · "&amp;X217&amp;", "&amp;Y217&amp;" min from your office"</f>
        <v/>
      </c>
      <c r="AG217" s="14">
        <f>"Hi"&amp;IF(O217&lt;&gt;""," "&amp;O217,"")&amp;","&amp;CHAR(10)&amp;CHAR(10)&amp;"I'm "&amp;IF(AL217&lt;&gt;"",AL217,IF(Offer!$C$5&lt;&gt;"",Offer!$C$5,"[NAME]"))&amp;" from FC Urban. We organise after-work football for teams in the City and Canary Wharf."&amp;CHAR(10)&amp;CHAR(10)&amp;"We have a "&amp;AC217&amp;" pitch at "&amp;X217&amp;", "&amp;IF(OR(Y217=8,Y217=11,Y217=18),"an ","a ")&amp;Y217&amp;"-minute walk from your "&amp;M217&amp;" office, "&amp;IF(ISNUMBER(AB217),"on "&amp;TEXT(AB217,"dddd d mmmm")&amp;" at "&amp;TEXT(AB217,"hh:mm"),"on a weekday evening that suits your team")&amp;". It's "&amp;IF(AD217&lt;&gt;"","£"&amp;IF(AD217=INT(AD217),TEXT(AD217,"0"),TEXT(AD217,"0.00")),"[PRICE PER PLAYER]")&amp;" a player and we handle the pitch booking, sign-ups and payments, so all it takes is one person sharing a link with the team."&amp;CHAR(10)&amp;CHAR(10)&amp;"It works well as a team social or "&amp;IF(ISNUMBER(SEARCH(LEFT(F217,1),"AEIOU")),"an ","a ")&amp;F217&amp;"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LINK]")&amp;CHAR(10)&amp;CHAR(10)&amp;"Best,"&amp;CHAR(10)&amp;IF(AL217&lt;&gt;"",AL217,IF(Offer!$C$5&lt;&gt;"",Offer!$C$5,"[NAME]"))&amp;CHAR(10)&amp;"FC Urban"</f>
        <v/>
      </c>
      <c r="AH217" s="14">
        <f>IF(LEN("Hi"&amp;IF(O217&lt;&gt;""," "&amp;O217,"")&amp;","&amp;" FC Urban runs after-work football for "&amp;IF(D217="Canary Wharf","Canary Wharf","City")&amp;" teams. We have a "&amp;AC217&amp;" pitch at "&amp;X217&amp;", "&amp;Y217&amp;" min from your office, "&amp;IF(ISNUMBER(AB217),TEXT(AB217,"ddd d mmm")&amp;", "&amp;TEXT(AB217,"hh:mm"),"weekday evenings")&amp;", "&amp;IF(AD217&lt;&gt;"","£"&amp;IF(AD217=INT(AD217),TEXT(AD217,"0"),TEXT(AD217,"0.00")),"[PRICE PER PLAYER]")&amp;" a player. We handle booking, sign-ups and payments. Fancy "&amp;IF(ISNUMBER(SEARCH(LEFT(F217,1),"AEIOU")),"an ","a ")&amp;F217&amp;" team game? "&amp;IF(AL217&lt;&gt;"",AL217,IF(Offer!$C$5&lt;&gt;"",Offer!$C$5,"[NAME]")))&lt;=300,"Hi"&amp;IF(O217&lt;&gt;""," "&amp;O217,"")&amp;","&amp;" FC Urban runs after-work football for "&amp;IF(D217="Canary Wharf","Canary Wharf","City")&amp;" teams. We have a "&amp;AC217&amp;" pitch at "&amp;X217&amp;", "&amp;Y217&amp;" min from your office, "&amp;IF(ISNUMBER(AB217),TEXT(AB217,"ddd d mmm")&amp;", "&amp;TEXT(AB217,"hh:mm"),"weekday evenings")&amp;", "&amp;IF(AD217&lt;&gt;"","£"&amp;IF(AD217=INT(AD217),TEXT(AD217,"0"),TEXT(AD217,"0.00")),"[PRICE PER PLAYER]")&amp;" a player. We handle booking, sign-ups and payments. Fancy "&amp;IF(ISNUMBER(SEARCH(LEFT(F217,1),"AEIOU")),"an ","a ")&amp;F217&amp;" team game? "&amp;IF(AL217&lt;&gt;"",AL217,IF(Offer!$C$5&lt;&gt;"",Offer!$C$5,"[NAME]")),LEFT("Hi"&amp;IF(O217&lt;&gt;""," "&amp;O217,"")&amp;","&amp;" FC Urban runs after-work football for "&amp;IF(D217="Canary Wharf","Canary Wharf","City")&amp;" teams: "&amp;AC217&amp;" at "&amp;X217&amp;", "&amp;Y217&amp;" min from your office, "&amp;IF(ISNUMBER(AB217),TEXT(AB217,"ddd d mmm")&amp;", "&amp;TEXT(AB217,"hh:mm"),"weekday evenings")&amp;", "&amp;IF(AD217&lt;&gt;"","£"&amp;IF(AD217=INT(AD217),TEXT(AD217,"0"),TEXT(AD217,"0.00")),"[PRICE PER PLAYER]")&amp;" pp. We handle booking and payments. Up for a team game? "&amp;IF(AL217&lt;&gt;"",AL217,IF(Offer!$C$5&lt;&gt;"",Offer!$C$5,"[NAME]")),300))</f>
        <v/>
      </c>
      <c r="AI217" s="14">
        <f>LEN(AH217)</f>
        <v/>
      </c>
      <c r="AJ217" s="14">
        <f>"Thanks for connecting"&amp;IF(O217&lt;&gt;"",", "&amp;O217,"")&amp;". "&amp;IF(ISNUMBER(AB217),"The "&amp;AC217&amp;" slot at "&amp;X217&amp;" is "&amp;IF(ISNUMBER(AB217),TEXT(AB217,"ddd d mmm")&amp;", "&amp;TEXT(AB217,"hh:mm"),"weekday evenings"),"We can book "&amp;AC217&amp;" at "&amp;X217&amp;" on a weekday evening that suits you")&amp;" and it's "&amp;IF(AD217&lt;&gt;"","£"&amp;IF(AD217=INT(AD217),TEXT(AD217,"0"),TEXT(AD217,"0.00")),"[PRICE PER PLAYER]")&amp;" a player, all booked and paid through one link. If football isn't your thing, who at "&amp;F217&amp;" would be the right person to organise a team game?"&amp;IF(Offer!$C$7&lt;&gt;""," Spots are held until "&amp;TEXT(Offer!$C$7,"dddd d mmmm")&amp;".","")&amp;" "&amp;IF(Offer!$C$6&lt;&gt;"",Offer!$C$6,"[JOINING LINK]")</f>
        <v/>
      </c>
      <c r="AK217" s="14">
        <f>IF(OR(ISNUMBER(SEARCH("[",AG217)),ISNUMBER(SEARCH("[",AJ217))),"Fill placeholders",IF(ISNUMBER(AB217),"Ready to send","Ready · no fixed slot"))</f>
        <v/>
      </c>
      <c r="AN217" s="17" t="n"/>
    </row>
    <row r="218">
      <c r="A218" s="11" t="n">
        <v>216</v>
      </c>
      <c r="B218" s="11" t="n">
        <v>3</v>
      </c>
      <c r="C218" s="11" t="inlineStr">
        <is>
          <t>Fund / asset manager</t>
        </is>
      </c>
      <c r="D218" s="11" t="inlineStr">
        <is>
          <t>City of London</t>
        </is>
      </c>
      <c r="E218" s="11" t="inlineStr">
        <is>
          <t>Two Sigma International Limited</t>
        </is>
      </c>
      <c r="F218" s="11" t="inlineStr">
        <is>
          <t>Two Sigma</t>
        </is>
      </c>
      <c r="G218" s="11" t="inlineStr">
        <is>
          <t>06486331</t>
        </is>
      </c>
      <c r="H218" s="12" t="inlineStr">
        <is>
          <t>Open</t>
        </is>
      </c>
      <c r="I218" s="12" t="inlineStr">
        <is>
          <t>Search</t>
        </is>
      </c>
      <c r="J218" s="11" t="inlineStr">
        <is>
          <t>Full</t>
        </is>
      </c>
      <c r="K218" s="13" t="n">
        <v>39475</v>
      </c>
      <c r="L218" s="11" t="inlineStr">
        <is>
          <t>Level 5, 7 Devonshire Square, London</t>
        </is>
      </c>
      <c r="M218" s="11" t="inlineStr">
        <is>
          <t>EC2M 4YH</t>
        </is>
      </c>
      <c r="N218" s="11" t="inlineStr">
        <is>
          <t>No</t>
        </is>
      </c>
      <c r="U218" s="11" t="inlineStr">
        <is>
          <t>Liverpool St - Attlee Centre</t>
        </is>
      </c>
      <c r="V218" s="11" t="n">
        <v>6</v>
      </c>
      <c r="W218" s="11" t="inlineStr">
        <is>
          <t>Shoreditch Powerleague (12.3)</t>
        </is>
      </c>
      <c r="X218" s="11" t="inlineStr">
        <is>
          <t>Shoreditch Powerleague</t>
        </is>
      </c>
      <c r="Y218" s="11" t="n">
        <v>12</v>
      </c>
      <c r="Z218" s="14">
        <f>IFERROR(INDEX(Venues!$E$2:$E$15,MATCH(X218,Venues!$A$2:$A$15,0)),"Not checked")</f>
        <v/>
      </c>
      <c r="AA218" s="14">
        <f>IFERROR(INDEX(Venues!$F$2:$F$15,MATCH(X218,Venues!$A$2:$A$15,0)),0)</f>
        <v/>
      </c>
      <c r="AB218" s="15">
        <f>IFERROR(INDEX(Venues!$M$2:$M$15,MATCH(X218,Venues!$A$2:$A$15,0)),"")</f>
        <v/>
      </c>
      <c r="AC218" s="14">
        <f>IFERROR(INDEX(Venues!$N$2:$N$15,MATCH(X218,Venues!$A$2:$A$15,0)),"5-a-side")</f>
        <v/>
      </c>
      <c r="AD218" s="16">
        <f>IF(Offer!$C$4="","",Offer!$C$4)</f>
        <v/>
      </c>
      <c r="AE218" s="14">
        <f>X218&amp;" ("&amp;Y218&amp;" min walk) · "&amp;IF(ISNUMBER(AB218),TEXT(AB218,"ddd d mmm, hh:mm"),"slot to confirm with venue")&amp;" · "&amp;AC218&amp;" · "&amp;IF(AD218&lt;&gt;"","£"&amp;TEXT(AD218,"0.00")&amp;" pp","price TBC")</f>
        <v/>
      </c>
      <c r="AF218" s="14">
        <f>"After-work football for "&amp;F218&amp;" · "&amp;X218&amp;", "&amp;Y218&amp;" min from your office"</f>
        <v/>
      </c>
      <c r="AG218" s="14">
        <f>"Hi"&amp;IF(O218&lt;&gt;""," "&amp;O218,"")&amp;","&amp;CHAR(10)&amp;CHAR(10)&amp;"I'm "&amp;IF(AL218&lt;&gt;"",AL218,IF(Offer!$C$5&lt;&gt;"",Offer!$C$5,"[NAME]"))&amp;" from FC Urban. We organise after-work football for teams in the City and Canary Wharf."&amp;CHAR(10)&amp;CHAR(10)&amp;"We have a "&amp;AC218&amp;" pitch at "&amp;X218&amp;", "&amp;IF(OR(Y218=8,Y218=11,Y218=18),"an ","a ")&amp;Y218&amp;"-minute walk from your "&amp;M218&amp;" office, "&amp;IF(ISNUMBER(AB218),"on "&amp;TEXT(AB218,"dddd d mmmm")&amp;" at "&amp;TEXT(AB218,"hh:mm"),"on a weekday evening that suits your team")&amp;". It's "&amp;IF(AD218&lt;&gt;"","£"&amp;IF(AD218=INT(AD218),TEXT(AD218,"0"),TEXT(AD218,"0.00")),"[PRICE PER PLAYER]")&amp;" a player and we handle the pitch booking, sign-ups and payments, so all it takes is one person sharing a link with the team."&amp;CHAR(10)&amp;CHAR(10)&amp;"It works well as a team social or "&amp;IF(ISNUMBER(SEARCH(LEFT(F218,1),"AEIOU")),"an ","a ")&amp;F218&amp;"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LINK]")&amp;CHAR(10)&amp;CHAR(10)&amp;"Best,"&amp;CHAR(10)&amp;IF(AL218&lt;&gt;"",AL218,IF(Offer!$C$5&lt;&gt;"",Offer!$C$5,"[NAME]"))&amp;CHAR(10)&amp;"FC Urban"</f>
        <v/>
      </c>
      <c r="AH218" s="14">
        <f>IF(LEN("Hi"&amp;IF(O218&lt;&gt;""," "&amp;O218,"")&amp;","&amp;" FC Urban runs after-work football for "&amp;IF(D218="Canary Wharf","Canary Wharf","City")&amp;" teams. We have a "&amp;AC218&amp;" pitch at "&amp;X218&amp;", "&amp;Y218&amp;" min from your office, "&amp;IF(ISNUMBER(AB218),TEXT(AB218,"ddd d mmm")&amp;", "&amp;TEXT(AB218,"hh:mm"),"weekday evenings")&amp;", "&amp;IF(AD218&lt;&gt;"","£"&amp;IF(AD218=INT(AD218),TEXT(AD218,"0"),TEXT(AD218,"0.00")),"[PRICE PER PLAYER]")&amp;" a player. We handle booking, sign-ups and payments. Fancy "&amp;IF(ISNUMBER(SEARCH(LEFT(F218,1),"AEIOU")),"an ","a ")&amp;F218&amp;" team game? "&amp;IF(AL218&lt;&gt;"",AL218,IF(Offer!$C$5&lt;&gt;"",Offer!$C$5,"[NAME]")))&lt;=300,"Hi"&amp;IF(O218&lt;&gt;""," "&amp;O218,"")&amp;","&amp;" FC Urban runs after-work football for "&amp;IF(D218="Canary Wharf","Canary Wharf","City")&amp;" teams. We have a "&amp;AC218&amp;" pitch at "&amp;X218&amp;", "&amp;Y218&amp;" min from your office, "&amp;IF(ISNUMBER(AB218),TEXT(AB218,"ddd d mmm")&amp;", "&amp;TEXT(AB218,"hh:mm"),"weekday evenings")&amp;", "&amp;IF(AD218&lt;&gt;"","£"&amp;IF(AD218=INT(AD218),TEXT(AD218,"0"),TEXT(AD218,"0.00")),"[PRICE PER PLAYER]")&amp;" a player. We handle booking, sign-ups and payments. Fancy "&amp;IF(ISNUMBER(SEARCH(LEFT(F218,1),"AEIOU")),"an ","a ")&amp;F218&amp;" team game? "&amp;IF(AL218&lt;&gt;"",AL218,IF(Offer!$C$5&lt;&gt;"",Offer!$C$5,"[NAME]")),LEFT("Hi"&amp;IF(O218&lt;&gt;""," "&amp;O218,"")&amp;","&amp;" FC Urban runs after-work football for "&amp;IF(D218="Canary Wharf","Canary Wharf","City")&amp;" teams: "&amp;AC218&amp;" at "&amp;X218&amp;", "&amp;Y218&amp;" min from your office, "&amp;IF(ISNUMBER(AB218),TEXT(AB218,"ddd d mmm")&amp;", "&amp;TEXT(AB218,"hh:mm"),"weekday evenings")&amp;", "&amp;IF(AD218&lt;&gt;"","£"&amp;IF(AD218=INT(AD218),TEXT(AD218,"0"),TEXT(AD218,"0.00")),"[PRICE PER PLAYER]")&amp;" pp. We handle booking and payments. Up for a team game? "&amp;IF(AL218&lt;&gt;"",AL218,IF(Offer!$C$5&lt;&gt;"",Offer!$C$5,"[NAME]")),300))</f>
        <v/>
      </c>
      <c r="AI218" s="14">
        <f>LEN(AH218)</f>
        <v/>
      </c>
      <c r="AJ218" s="14">
        <f>"Thanks for connecting"&amp;IF(O218&lt;&gt;"",", "&amp;O218,"")&amp;". "&amp;IF(ISNUMBER(AB218),"The "&amp;AC218&amp;" slot at "&amp;X218&amp;" is "&amp;IF(ISNUMBER(AB218),TEXT(AB218,"ddd d mmm")&amp;", "&amp;TEXT(AB218,"hh:mm"),"weekday evenings"),"We can book "&amp;AC218&amp;" at "&amp;X218&amp;" on a weekday evening that suits you")&amp;" and it's "&amp;IF(AD218&lt;&gt;"","£"&amp;IF(AD218=INT(AD218),TEXT(AD218,"0"),TEXT(AD218,"0.00")),"[PRICE PER PLAYER]")&amp;" a player, all booked and paid through one link. If football isn't your thing, who at "&amp;F218&amp;" would be the right person to organise a team game?"&amp;IF(Offer!$C$7&lt;&gt;""," Spots are held until "&amp;TEXT(Offer!$C$7,"dddd d mmmm")&amp;".","")&amp;" "&amp;IF(Offer!$C$6&lt;&gt;"",Offer!$C$6,"[JOINING LINK]")</f>
        <v/>
      </c>
      <c r="AK218" s="14">
        <f>IF(OR(ISNUMBER(SEARCH("[",AG218)),ISNUMBER(SEARCH("[",AJ218))),"Fill placeholders",IF(ISNUMBER(AB218),"Ready to send","Ready · no fixed slot"))</f>
        <v/>
      </c>
      <c r="AN218" s="17" t="n"/>
    </row>
    <row r="219">
      <c r="A219" s="11" t="n">
        <v>217</v>
      </c>
      <c r="B219" s="11" t="n">
        <v>3</v>
      </c>
      <c r="C219" s="11" t="inlineStr">
        <is>
          <t>Insurance / broker</t>
        </is>
      </c>
      <c r="D219" s="11" t="inlineStr">
        <is>
          <t>City of London</t>
        </is>
      </c>
      <c r="E219" s="11" t="inlineStr">
        <is>
          <t>La Reunion Aerienne London Limited</t>
        </is>
      </c>
      <c r="F219" s="11" t="inlineStr">
        <is>
          <t>La Reunion Aerienne London</t>
        </is>
      </c>
      <c r="G219" s="11" t="inlineStr">
        <is>
          <t>00817523</t>
        </is>
      </c>
      <c r="H219" s="12" t="inlineStr">
        <is>
          <t>Open</t>
        </is>
      </c>
      <c r="I219" s="12" t="inlineStr">
        <is>
          <t>Search</t>
        </is>
      </c>
      <c r="J219" s="11" t="inlineStr">
        <is>
          <t>Full</t>
        </is>
      </c>
      <c r="K219" s="13" t="n">
        <v>23616</v>
      </c>
      <c r="L219" s="11" t="inlineStr">
        <is>
          <t>65 Fenchurch Street, London</t>
        </is>
      </c>
      <c r="M219" s="11" t="inlineStr">
        <is>
          <t>EC3M 4BE</t>
        </is>
      </c>
      <c r="N219" s="11" t="inlineStr">
        <is>
          <t>Yes</t>
        </is>
      </c>
      <c r="U219" s="11" t="inlineStr">
        <is>
          <t>Liverpool St - Attlee Centre</t>
        </is>
      </c>
      <c r="V219" s="11" t="n">
        <v>12</v>
      </c>
      <c r="W219" s="11" t="n"/>
      <c r="X219" s="11" t="inlineStr">
        <is>
          <t>Liverpool St - Attlee Centre</t>
        </is>
      </c>
      <c r="Y219" s="11" t="n">
        <v>12</v>
      </c>
      <c r="Z219" s="14">
        <f>IFERROR(INDEX(Venues!$E$2:$E$15,MATCH(X219,Venues!$A$2:$A$15,0)),"Not checked")</f>
        <v/>
      </c>
      <c r="AA219" s="14">
        <f>IFERROR(INDEX(Venues!$F$2:$F$15,MATCH(X219,Venues!$A$2:$A$15,0)),0)</f>
        <v/>
      </c>
      <c r="AB219" s="15">
        <f>IFERROR(INDEX(Venues!$M$2:$M$15,MATCH(X219,Venues!$A$2:$A$15,0)),"")</f>
        <v/>
      </c>
      <c r="AC219" s="14">
        <f>IFERROR(INDEX(Venues!$N$2:$N$15,MATCH(X219,Venues!$A$2:$A$15,0)),"5-a-side")</f>
        <v/>
      </c>
      <c r="AD219" s="16">
        <f>IF(Offer!$C$4="","",Offer!$C$4)</f>
        <v/>
      </c>
      <c r="AE219" s="14">
        <f>X219&amp;" ("&amp;Y219&amp;" min walk) · "&amp;IF(ISNUMBER(AB219),TEXT(AB219,"ddd d mmm, hh:mm"),"slot to confirm with venue")&amp;" · "&amp;AC219&amp;" · "&amp;IF(AD219&lt;&gt;"","£"&amp;TEXT(AD219,"0.00")&amp;" pp","price TBC")</f>
        <v/>
      </c>
      <c r="AF219" s="14">
        <f>"After-work football for "&amp;F219&amp;" · "&amp;X219&amp;", "&amp;Y219&amp;" min from your office"</f>
        <v/>
      </c>
      <c r="AG219" s="14">
        <f>"Hi"&amp;IF(O219&lt;&gt;""," "&amp;O219,"")&amp;","&amp;CHAR(10)&amp;CHAR(10)&amp;"I'm "&amp;IF(AL219&lt;&gt;"",AL219,IF(Offer!$C$5&lt;&gt;"",Offer!$C$5,"[NAME]"))&amp;" from FC Urban. We organise after-work football for teams in the City and Canary Wharf."&amp;CHAR(10)&amp;CHAR(10)&amp;"We have a "&amp;AC219&amp;" pitch at "&amp;X219&amp;", "&amp;IF(OR(Y219=8,Y219=11,Y219=18),"an ","a ")&amp;Y219&amp;"-minute walk from your "&amp;M219&amp;" office, "&amp;IF(ISNUMBER(AB219),"on "&amp;TEXT(AB219,"dddd d mmmm")&amp;" at "&amp;TEXT(AB219,"hh:mm"),"on a weekday evening that suits your team")&amp;". It's "&amp;IF(AD219&lt;&gt;"","£"&amp;IF(AD219=INT(AD219),TEXT(AD219,"0"),TEXT(AD219,"0.00")),"[PRICE PER PLAYER]")&amp;" a player and we handle the pitch booking, sign-ups and payments, so all it takes is one person sharing a link with the team."&amp;CHAR(10)&amp;CHAR(10)&amp;"It works well as a team social or "&amp;IF(ISNUMBER(SEARCH(LEFT(F219,1),"AEIOU")),"an ","a ")&amp;F219&amp;"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LINK]")&amp;CHAR(10)&amp;CHAR(10)&amp;"Best,"&amp;CHAR(10)&amp;IF(AL219&lt;&gt;"",AL219,IF(Offer!$C$5&lt;&gt;"",Offer!$C$5,"[NAME]"))&amp;CHAR(10)&amp;"FC Urban"</f>
        <v/>
      </c>
      <c r="AH219" s="14">
        <f>IF(LEN("Hi"&amp;IF(O219&lt;&gt;""," "&amp;O219,"")&amp;","&amp;" FC Urban runs after-work football for "&amp;IF(D219="Canary Wharf","Canary Wharf","City")&amp;" teams. We have a "&amp;AC219&amp;" pitch at "&amp;X219&amp;", "&amp;Y219&amp;" min from your office, "&amp;IF(ISNUMBER(AB219),TEXT(AB219,"ddd d mmm")&amp;", "&amp;TEXT(AB219,"hh:mm"),"weekday evenings")&amp;", "&amp;IF(AD219&lt;&gt;"","£"&amp;IF(AD219=INT(AD219),TEXT(AD219,"0"),TEXT(AD219,"0.00")),"[PRICE PER PLAYER]")&amp;" a player. We handle booking, sign-ups and payments. Fancy "&amp;IF(ISNUMBER(SEARCH(LEFT(F219,1),"AEIOU")),"an ","a ")&amp;F219&amp;" team game? "&amp;IF(AL219&lt;&gt;"",AL219,IF(Offer!$C$5&lt;&gt;"",Offer!$C$5,"[NAME]")))&lt;=300,"Hi"&amp;IF(O219&lt;&gt;""," "&amp;O219,"")&amp;","&amp;" FC Urban runs after-work football for "&amp;IF(D219="Canary Wharf","Canary Wharf","City")&amp;" teams. We have a "&amp;AC219&amp;" pitch at "&amp;X219&amp;", "&amp;Y219&amp;" min from your office, "&amp;IF(ISNUMBER(AB219),TEXT(AB219,"ddd d mmm")&amp;", "&amp;TEXT(AB219,"hh:mm"),"weekday evenings")&amp;", "&amp;IF(AD219&lt;&gt;"","£"&amp;IF(AD219=INT(AD219),TEXT(AD219,"0"),TEXT(AD219,"0.00")),"[PRICE PER PLAYER]")&amp;" a player. We handle booking, sign-ups and payments. Fancy "&amp;IF(ISNUMBER(SEARCH(LEFT(F219,1),"AEIOU")),"an ","a ")&amp;F219&amp;" team game? "&amp;IF(AL219&lt;&gt;"",AL219,IF(Offer!$C$5&lt;&gt;"",Offer!$C$5,"[NAME]")),LEFT("Hi"&amp;IF(O219&lt;&gt;""," "&amp;O219,"")&amp;","&amp;" FC Urban runs after-work football for "&amp;IF(D219="Canary Wharf","Canary Wharf","City")&amp;" teams: "&amp;AC219&amp;" at "&amp;X219&amp;", "&amp;Y219&amp;" min from your office, "&amp;IF(ISNUMBER(AB219),TEXT(AB219,"ddd d mmm")&amp;", "&amp;TEXT(AB219,"hh:mm"),"weekday evenings")&amp;", "&amp;IF(AD219&lt;&gt;"","£"&amp;IF(AD219=INT(AD219),TEXT(AD219,"0"),TEXT(AD219,"0.00")),"[PRICE PER PLAYER]")&amp;" pp. We handle booking and payments. Up for a team game? "&amp;IF(AL219&lt;&gt;"",AL219,IF(Offer!$C$5&lt;&gt;"",Offer!$C$5,"[NAME]")),300))</f>
        <v/>
      </c>
      <c r="AI219" s="14">
        <f>LEN(AH219)</f>
        <v/>
      </c>
      <c r="AJ219" s="14">
        <f>"Thanks for connecting"&amp;IF(O219&lt;&gt;"",", "&amp;O219,"")&amp;". "&amp;IF(ISNUMBER(AB219),"The "&amp;AC219&amp;" slot at "&amp;X219&amp;" is "&amp;IF(ISNUMBER(AB219),TEXT(AB219,"ddd d mmm")&amp;", "&amp;TEXT(AB219,"hh:mm"),"weekday evenings"),"We can book "&amp;AC219&amp;" at "&amp;X219&amp;" on a weekday evening that suits you")&amp;" and it's "&amp;IF(AD219&lt;&gt;"","£"&amp;IF(AD219=INT(AD219),TEXT(AD219,"0"),TEXT(AD219,"0.00")),"[PRICE PER PLAYER]")&amp;" a player, all booked and paid through one link. If football isn't your thing, who at "&amp;F219&amp;" would be the right person to organise a team game?"&amp;IF(Offer!$C$7&lt;&gt;""," Spots are held until "&amp;TEXT(Offer!$C$7,"dddd d mmmm")&amp;".","")&amp;" "&amp;IF(Offer!$C$6&lt;&gt;"",Offer!$C$6,"[JOINING LINK]")</f>
        <v/>
      </c>
      <c r="AK219" s="14">
        <f>IF(OR(ISNUMBER(SEARCH("[",AG219)),ISNUMBER(SEARCH("[",AJ219))),"Fill placeholders",IF(ISNUMBER(AB219),"Ready to send","Ready · no fixed slot"))</f>
        <v/>
      </c>
      <c r="AN219" s="17" t="n"/>
    </row>
    <row r="220">
      <c r="A220" s="11" t="n">
        <v>218</v>
      </c>
      <c r="B220" s="11" t="n">
        <v>3</v>
      </c>
      <c r="C220" s="11" t="inlineStr">
        <is>
          <t>Fund / asset manager</t>
        </is>
      </c>
      <c r="D220" s="11" t="inlineStr">
        <is>
          <t>City of London</t>
        </is>
      </c>
      <c r="E220" s="11" t="inlineStr">
        <is>
          <t>Better Society Capital Limited</t>
        </is>
      </c>
      <c r="F220" s="11" t="inlineStr">
        <is>
          <t>Better Society Capital</t>
        </is>
      </c>
      <c r="G220" s="11" t="inlineStr">
        <is>
          <t>07599565</t>
        </is>
      </c>
      <c r="H220" s="12" t="inlineStr">
        <is>
          <t>Open</t>
        </is>
      </c>
      <c r="I220" s="12" t="inlineStr">
        <is>
          <t>Search</t>
        </is>
      </c>
      <c r="J220" s="11" t="inlineStr">
        <is>
          <t>Full</t>
        </is>
      </c>
      <c r="K220" s="13" t="n">
        <v>40644</v>
      </c>
      <c r="L220" s="11" t="inlineStr">
        <is>
          <t>Script, 44 Featherstone Street, London</t>
        </is>
      </c>
      <c r="M220" s="11" t="inlineStr">
        <is>
          <t>EC1Y 8RN</t>
        </is>
      </c>
      <c r="N220" s="11" t="inlineStr">
        <is>
          <t>Yes</t>
        </is>
      </c>
      <c r="U220" s="11" t="inlineStr">
        <is>
          <t>Old St - Moreland Primary School</t>
        </is>
      </c>
      <c r="V220" s="11" t="n">
        <v>12</v>
      </c>
      <c r="W220" s="11" t="inlineStr">
        <is>
          <t>Shoreditch Powerleague (15.3); Shoreditch Rooftop (18.3)</t>
        </is>
      </c>
      <c r="X220" s="11" t="inlineStr">
        <is>
          <t>Old St - Moreland Primary School</t>
        </is>
      </c>
      <c r="Y220" s="11" t="n">
        <v>12</v>
      </c>
      <c r="Z220" s="14">
        <f>IFERROR(INDEX(Venues!$E$2:$E$15,MATCH(X220,Venues!$A$2:$A$15,0)),"Not checked")</f>
        <v/>
      </c>
      <c r="AA220" s="14">
        <f>IFERROR(INDEX(Venues!$F$2:$F$15,MATCH(X220,Venues!$A$2:$A$15,0)),0)</f>
        <v/>
      </c>
      <c r="AB220" s="15">
        <f>IFERROR(INDEX(Venues!$M$2:$M$15,MATCH(X220,Venues!$A$2:$A$15,0)),"")</f>
        <v/>
      </c>
      <c r="AC220" s="14">
        <f>IFERROR(INDEX(Venues!$N$2:$N$15,MATCH(X220,Venues!$A$2:$A$15,0)),"5-a-side")</f>
        <v/>
      </c>
      <c r="AD220" s="16">
        <f>IF(Offer!$C$4="","",Offer!$C$4)</f>
        <v/>
      </c>
      <c r="AE220" s="14">
        <f>X220&amp;" ("&amp;Y220&amp;" min walk) · "&amp;IF(ISNUMBER(AB220),TEXT(AB220,"ddd d mmm, hh:mm"),"slot to confirm with venue")&amp;" · "&amp;AC220&amp;" · "&amp;IF(AD220&lt;&gt;"","£"&amp;TEXT(AD220,"0.00")&amp;" pp","price TBC")</f>
        <v/>
      </c>
      <c r="AF220" s="14">
        <f>"After-work football for "&amp;F220&amp;" · "&amp;X220&amp;", "&amp;Y220&amp;" min from your office"</f>
        <v/>
      </c>
      <c r="AG220" s="14">
        <f>"Hi"&amp;IF(O220&lt;&gt;""," "&amp;O220,"")&amp;","&amp;CHAR(10)&amp;CHAR(10)&amp;"I'm "&amp;IF(AL220&lt;&gt;"",AL220,IF(Offer!$C$5&lt;&gt;"",Offer!$C$5,"[NAME]"))&amp;" from FC Urban. We organise after-work football for teams in the City and Canary Wharf."&amp;CHAR(10)&amp;CHAR(10)&amp;"We have a "&amp;AC220&amp;" pitch at "&amp;X220&amp;", "&amp;IF(OR(Y220=8,Y220=11,Y220=18),"an ","a ")&amp;Y220&amp;"-minute walk from your "&amp;M220&amp;" office, "&amp;IF(ISNUMBER(AB220),"on "&amp;TEXT(AB220,"dddd d mmmm")&amp;" at "&amp;TEXT(AB220,"hh:mm"),"on a weekday evening that suits your team")&amp;". It's "&amp;IF(AD220&lt;&gt;"","£"&amp;IF(AD220=INT(AD220),TEXT(AD220,"0"),TEXT(AD220,"0.00")),"[PRICE PER PLAYER]")&amp;" a player and we handle the pitch booking, sign-ups and payments, so all it takes is one person sharing a link with the team."&amp;CHAR(10)&amp;CHAR(10)&amp;"It works well as a team social or "&amp;IF(ISNUMBER(SEARCH(LEFT(F220,1),"AEIOU")),"an ","a ")&amp;F220&amp;"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LINK]")&amp;CHAR(10)&amp;CHAR(10)&amp;"Best,"&amp;CHAR(10)&amp;IF(AL220&lt;&gt;"",AL220,IF(Offer!$C$5&lt;&gt;"",Offer!$C$5,"[NAME]"))&amp;CHAR(10)&amp;"FC Urban"</f>
        <v/>
      </c>
      <c r="AH220" s="14">
        <f>IF(LEN("Hi"&amp;IF(O220&lt;&gt;""," "&amp;O220,"")&amp;","&amp;" FC Urban runs after-work football for "&amp;IF(D220="Canary Wharf","Canary Wharf","City")&amp;" teams. We have a "&amp;AC220&amp;" pitch at "&amp;X220&amp;", "&amp;Y220&amp;" min from your office, "&amp;IF(ISNUMBER(AB220),TEXT(AB220,"ddd d mmm")&amp;", "&amp;TEXT(AB220,"hh:mm"),"weekday evenings")&amp;", "&amp;IF(AD220&lt;&gt;"","£"&amp;IF(AD220=INT(AD220),TEXT(AD220,"0"),TEXT(AD220,"0.00")),"[PRICE PER PLAYER]")&amp;" a player. We handle booking, sign-ups and payments. Fancy "&amp;IF(ISNUMBER(SEARCH(LEFT(F220,1),"AEIOU")),"an ","a ")&amp;F220&amp;" team game? "&amp;IF(AL220&lt;&gt;"",AL220,IF(Offer!$C$5&lt;&gt;"",Offer!$C$5,"[NAME]")))&lt;=300,"Hi"&amp;IF(O220&lt;&gt;""," "&amp;O220,"")&amp;","&amp;" FC Urban runs after-work football for "&amp;IF(D220="Canary Wharf","Canary Wharf","City")&amp;" teams. We have a "&amp;AC220&amp;" pitch at "&amp;X220&amp;", "&amp;Y220&amp;" min from your office, "&amp;IF(ISNUMBER(AB220),TEXT(AB220,"ddd d mmm")&amp;", "&amp;TEXT(AB220,"hh:mm"),"weekday evenings")&amp;", "&amp;IF(AD220&lt;&gt;"","£"&amp;IF(AD220=INT(AD220),TEXT(AD220,"0"),TEXT(AD220,"0.00")),"[PRICE PER PLAYER]")&amp;" a player. We handle booking, sign-ups and payments. Fancy "&amp;IF(ISNUMBER(SEARCH(LEFT(F220,1),"AEIOU")),"an ","a ")&amp;F220&amp;" team game? "&amp;IF(AL220&lt;&gt;"",AL220,IF(Offer!$C$5&lt;&gt;"",Offer!$C$5,"[NAME]")),LEFT("Hi"&amp;IF(O220&lt;&gt;""," "&amp;O220,"")&amp;","&amp;" FC Urban runs after-work football for "&amp;IF(D220="Canary Wharf","Canary Wharf","City")&amp;" teams: "&amp;AC220&amp;" at "&amp;X220&amp;", "&amp;Y220&amp;" min from your office, "&amp;IF(ISNUMBER(AB220),TEXT(AB220,"ddd d mmm")&amp;", "&amp;TEXT(AB220,"hh:mm"),"weekday evenings")&amp;", "&amp;IF(AD220&lt;&gt;"","£"&amp;IF(AD220=INT(AD220),TEXT(AD220,"0"),TEXT(AD220,"0.00")),"[PRICE PER PLAYER]")&amp;" pp. We handle booking and payments. Up for a team game? "&amp;IF(AL220&lt;&gt;"",AL220,IF(Offer!$C$5&lt;&gt;"",Offer!$C$5,"[NAME]")),300))</f>
        <v/>
      </c>
      <c r="AI220" s="14">
        <f>LEN(AH220)</f>
        <v/>
      </c>
      <c r="AJ220" s="14">
        <f>"Thanks for connecting"&amp;IF(O220&lt;&gt;"",", "&amp;O220,"")&amp;". "&amp;IF(ISNUMBER(AB220),"The "&amp;AC220&amp;" slot at "&amp;X220&amp;" is "&amp;IF(ISNUMBER(AB220),TEXT(AB220,"ddd d mmm")&amp;", "&amp;TEXT(AB220,"hh:mm"),"weekday evenings"),"We can book "&amp;AC220&amp;" at "&amp;X220&amp;" on a weekday evening that suits you")&amp;" and it's "&amp;IF(AD220&lt;&gt;"","£"&amp;IF(AD220=INT(AD220),TEXT(AD220,"0"),TEXT(AD220,"0.00")),"[PRICE PER PLAYER]")&amp;" a player, all booked and paid through one link. If football isn't your thing, who at "&amp;F220&amp;" would be the right person to organise a team game?"&amp;IF(Offer!$C$7&lt;&gt;""," Spots are held until "&amp;TEXT(Offer!$C$7,"dddd d mmmm")&amp;".","")&amp;" "&amp;IF(Offer!$C$6&lt;&gt;"",Offer!$C$6,"[JOINING LINK]")</f>
        <v/>
      </c>
      <c r="AK220" s="14">
        <f>IF(OR(ISNUMBER(SEARCH("[",AG220)),ISNUMBER(SEARCH("[",AJ220))),"Fill placeholders",IF(ISNUMBER(AB220),"Ready to send","Ready · no fixed slot"))</f>
        <v/>
      </c>
      <c r="AN220" s="17" t="n"/>
    </row>
    <row r="221">
      <c r="A221" s="11" t="n">
        <v>219</v>
      </c>
      <c r="B221" s="11" t="n">
        <v>3</v>
      </c>
      <c r="C221" s="11" t="inlineStr">
        <is>
          <t>Fund / asset manager</t>
        </is>
      </c>
      <c r="D221" s="11" t="inlineStr">
        <is>
          <t>City of London</t>
        </is>
      </c>
      <c r="E221" s="11" t="inlineStr">
        <is>
          <t>IMC London Services Limited</t>
        </is>
      </c>
      <c r="F221" s="11" t="inlineStr">
        <is>
          <t>IMC London</t>
        </is>
      </c>
      <c r="G221" s="11" t="inlineStr">
        <is>
          <t>15698735</t>
        </is>
      </c>
      <c r="H221" s="12" t="inlineStr">
        <is>
          <t>Open</t>
        </is>
      </c>
      <c r="I221" s="12" t="inlineStr">
        <is>
          <t>Search</t>
        </is>
      </c>
      <c r="J221" s="11" t="inlineStr">
        <is>
          <t>Full</t>
        </is>
      </c>
      <c r="K221" s="13" t="n">
        <v>45413</v>
      </c>
      <c r="L221" s="11" t="inlineStr">
        <is>
          <t>100 Liverpool Street, London</t>
        </is>
      </c>
      <c r="M221" s="11" t="inlineStr">
        <is>
          <t>EC2M 2AU</t>
        </is>
      </c>
      <c r="N221" s="11" t="inlineStr">
        <is>
          <t>No</t>
        </is>
      </c>
      <c r="U221" s="11" t="inlineStr">
        <is>
          <t>Liverpool St - Attlee Centre</t>
        </is>
      </c>
      <c r="V221" s="11" t="n">
        <v>12</v>
      </c>
      <c r="W221" s="11" t="inlineStr">
        <is>
          <t>Shoreditch Powerleague (12.5)</t>
        </is>
      </c>
      <c r="X221" s="11" t="inlineStr">
        <is>
          <t>Shoreditch Powerleague</t>
        </is>
      </c>
      <c r="Y221" s="11" t="n">
        <v>12</v>
      </c>
      <c r="Z221" s="14">
        <f>IFERROR(INDEX(Venues!$E$2:$E$15,MATCH(X221,Venues!$A$2:$A$15,0)),"Not checked")</f>
        <v/>
      </c>
      <c r="AA221" s="14">
        <f>IFERROR(INDEX(Venues!$F$2:$F$15,MATCH(X221,Venues!$A$2:$A$15,0)),0)</f>
        <v/>
      </c>
      <c r="AB221" s="15">
        <f>IFERROR(INDEX(Venues!$M$2:$M$15,MATCH(X221,Venues!$A$2:$A$15,0)),"")</f>
        <v/>
      </c>
      <c r="AC221" s="14">
        <f>IFERROR(INDEX(Venues!$N$2:$N$15,MATCH(X221,Venues!$A$2:$A$15,0)),"5-a-side")</f>
        <v/>
      </c>
      <c r="AD221" s="16">
        <f>IF(Offer!$C$4="","",Offer!$C$4)</f>
        <v/>
      </c>
      <c r="AE221" s="14">
        <f>X221&amp;" ("&amp;Y221&amp;" min walk) · "&amp;IF(ISNUMBER(AB221),TEXT(AB221,"ddd d mmm, hh:mm"),"slot to confirm with venue")&amp;" · "&amp;AC221&amp;" · "&amp;IF(AD221&lt;&gt;"","£"&amp;TEXT(AD221,"0.00")&amp;" pp","price TBC")</f>
        <v/>
      </c>
      <c r="AF221" s="14">
        <f>"After-work football for "&amp;F221&amp;" · "&amp;X221&amp;", "&amp;Y221&amp;" min from your office"</f>
        <v/>
      </c>
      <c r="AG221" s="14">
        <f>"Hi"&amp;IF(O221&lt;&gt;""," "&amp;O221,"")&amp;","&amp;CHAR(10)&amp;CHAR(10)&amp;"I'm "&amp;IF(AL221&lt;&gt;"",AL221,IF(Offer!$C$5&lt;&gt;"",Offer!$C$5,"[NAME]"))&amp;" from FC Urban. We organise after-work football for teams in the City and Canary Wharf."&amp;CHAR(10)&amp;CHAR(10)&amp;"We have a "&amp;AC221&amp;" pitch at "&amp;X221&amp;", "&amp;IF(OR(Y221=8,Y221=11,Y221=18),"an ","a ")&amp;Y221&amp;"-minute walk from your "&amp;M221&amp;" office, "&amp;IF(ISNUMBER(AB221),"on "&amp;TEXT(AB221,"dddd d mmmm")&amp;" at "&amp;TEXT(AB221,"hh:mm"),"on a weekday evening that suits your team")&amp;". It's "&amp;IF(AD221&lt;&gt;"","£"&amp;IF(AD221=INT(AD221),TEXT(AD221,"0"),TEXT(AD221,"0.00")),"[PRICE PER PLAYER]")&amp;" a player and we handle the pitch booking, sign-ups and payments, so all it takes is one person sharing a link with the team."&amp;CHAR(10)&amp;CHAR(10)&amp;"It works well as a team social or "&amp;IF(ISNUMBER(SEARCH(LEFT(F221,1),"AEIOU")),"an ","a ")&amp;F221&amp;"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LINK]")&amp;CHAR(10)&amp;CHAR(10)&amp;"Best,"&amp;CHAR(10)&amp;IF(AL221&lt;&gt;"",AL221,IF(Offer!$C$5&lt;&gt;"",Offer!$C$5,"[NAME]"))&amp;CHAR(10)&amp;"FC Urban"</f>
        <v/>
      </c>
      <c r="AH221" s="14">
        <f>IF(LEN("Hi"&amp;IF(O221&lt;&gt;""," "&amp;O221,"")&amp;","&amp;" FC Urban runs after-work football for "&amp;IF(D221="Canary Wharf","Canary Wharf","City")&amp;" teams. We have a "&amp;AC221&amp;" pitch at "&amp;X221&amp;", "&amp;Y221&amp;" min from your office, "&amp;IF(ISNUMBER(AB221),TEXT(AB221,"ddd d mmm")&amp;", "&amp;TEXT(AB221,"hh:mm"),"weekday evenings")&amp;", "&amp;IF(AD221&lt;&gt;"","£"&amp;IF(AD221=INT(AD221),TEXT(AD221,"0"),TEXT(AD221,"0.00")),"[PRICE PER PLAYER]")&amp;" a player. We handle booking, sign-ups and payments. Fancy "&amp;IF(ISNUMBER(SEARCH(LEFT(F221,1),"AEIOU")),"an ","a ")&amp;F221&amp;" team game? "&amp;IF(AL221&lt;&gt;"",AL221,IF(Offer!$C$5&lt;&gt;"",Offer!$C$5,"[NAME]")))&lt;=300,"Hi"&amp;IF(O221&lt;&gt;""," "&amp;O221,"")&amp;","&amp;" FC Urban runs after-work football for "&amp;IF(D221="Canary Wharf","Canary Wharf","City")&amp;" teams. We have a "&amp;AC221&amp;" pitch at "&amp;X221&amp;", "&amp;Y221&amp;" min from your office, "&amp;IF(ISNUMBER(AB221),TEXT(AB221,"ddd d mmm")&amp;", "&amp;TEXT(AB221,"hh:mm"),"weekday evenings")&amp;", "&amp;IF(AD221&lt;&gt;"","£"&amp;IF(AD221=INT(AD221),TEXT(AD221,"0"),TEXT(AD221,"0.00")),"[PRICE PER PLAYER]")&amp;" a player. We handle booking, sign-ups and payments. Fancy "&amp;IF(ISNUMBER(SEARCH(LEFT(F221,1),"AEIOU")),"an ","a ")&amp;F221&amp;" team game? "&amp;IF(AL221&lt;&gt;"",AL221,IF(Offer!$C$5&lt;&gt;"",Offer!$C$5,"[NAME]")),LEFT("Hi"&amp;IF(O221&lt;&gt;""," "&amp;O221,"")&amp;","&amp;" FC Urban runs after-work football for "&amp;IF(D221="Canary Wharf","Canary Wharf","City")&amp;" teams: "&amp;AC221&amp;" at "&amp;X221&amp;", "&amp;Y221&amp;" min from your office, "&amp;IF(ISNUMBER(AB221),TEXT(AB221,"ddd d mmm")&amp;", "&amp;TEXT(AB221,"hh:mm"),"weekday evenings")&amp;", "&amp;IF(AD221&lt;&gt;"","£"&amp;IF(AD221=INT(AD221),TEXT(AD221,"0"),TEXT(AD221,"0.00")),"[PRICE PER PLAYER]")&amp;" pp. We handle booking and payments. Up for a team game? "&amp;IF(AL221&lt;&gt;"",AL221,IF(Offer!$C$5&lt;&gt;"",Offer!$C$5,"[NAME]")),300))</f>
        <v/>
      </c>
      <c r="AI221" s="14">
        <f>LEN(AH221)</f>
        <v/>
      </c>
      <c r="AJ221" s="14">
        <f>"Thanks for connecting"&amp;IF(O221&lt;&gt;"",", "&amp;O221,"")&amp;". "&amp;IF(ISNUMBER(AB221),"The "&amp;AC221&amp;" slot at "&amp;X221&amp;" is "&amp;IF(ISNUMBER(AB221),TEXT(AB221,"ddd d mmm")&amp;", "&amp;TEXT(AB221,"hh:mm"),"weekday evenings"),"We can book "&amp;AC221&amp;" at "&amp;X221&amp;" on a weekday evening that suits you")&amp;" and it's "&amp;IF(AD221&lt;&gt;"","£"&amp;IF(AD221=INT(AD221),TEXT(AD221,"0"),TEXT(AD221,"0.00")),"[PRICE PER PLAYER]")&amp;" a player, all booked and paid through one link. If football isn't your thing, who at "&amp;F221&amp;" would be the right person to organise a team game?"&amp;IF(Offer!$C$7&lt;&gt;""," Spots are held until "&amp;TEXT(Offer!$C$7,"dddd d mmmm")&amp;".","")&amp;" "&amp;IF(Offer!$C$6&lt;&gt;"",Offer!$C$6,"[JOINING LINK]")</f>
        <v/>
      </c>
      <c r="AK221" s="14">
        <f>IF(OR(ISNUMBER(SEARCH("[",AG221)),ISNUMBER(SEARCH("[",AJ221))),"Fill placeholders",IF(ISNUMBER(AB221),"Ready to send","Ready · no fixed slot"))</f>
        <v/>
      </c>
      <c r="AN221" s="17" t="n"/>
    </row>
    <row r="222">
      <c r="A222" s="11" t="n">
        <v>220</v>
      </c>
      <c r="B222" s="11" t="n">
        <v>3</v>
      </c>
      <c r="C222" s="11" t="inlineStr">
        <is>
          <t>Insurance / broker</t>
        </is>
      </c>
      <c r="D222" s="11" t="inlineStr">
        <is>
          <t>City of London</t>
        </is>
      </c>
      <c r="E222" s="11" t="inlineStr">
        <is>
          <t>Berkley Offshore Underwriting Managers UK, Limited</t>
        </is>
      </c>
      <c r="F222" s="11" t="inlineStr">
        <is>
          <t>Berkley Offshore Underwriting Managers</t>
        </is>
      </c>
      <c r="G222" s="11" t="inlineStr">
        <is>
          <t>06773428</t>
        </is>
      </c>
      <c r="H222" s="12" t="inlineStr">
        <is>
          <t>Open</t>
        </is>
      </c>
      <c r="I222" s="12" t="inlineStr">
        <is>
          <t>Search</t>
        </is>
      </c>
      <c r="J222" s="11" t="inlineStr">
        <is>
          <t>Full</t>
        </is>
      </c>
      <c r="K222" s="13" t="n">
        <v>39797</v>
      </c>
      <c r="L222" s="11" t="inlineStr">
        <is>
          <t>Level 13, 52 Lime Street, London</t>
        </is>
      </c>
      <c r="M222" s="11" t="inlineStr">
        <is>
          <t>EC3M 7AF</t>
        </is>
      </c>
      <c r="N222" s="11" t="inlineStr">
        <is>
          <t>Yes</t>
        </is>
      </c>
      <c r="U222" s="11" t="inlineStr">
        <is>
          <t>Liverpool St - Attlee Centre</t>
        </is>
      </c>
      <c r="V222" s="11" t="n">
        <v>13</v>
      </c>
      <c r="W222" s="11" t="n"/>
      <c r="X222" s="11" t="inlineStr">
        <is>
          <t>Liverpool St - Attlee Centre</t>
        </is>
      </c>
      <c r="Y222" s="11" t="n">
        <v>13</v>
      </c>
      <c r="Z222" s="14">
        <f>IFERROR(INDEX(Venues!$E$2:$E$15,MATCH(X222,Venues!$A$2:$A$15,0)),"Not checked")</f>
        <v/>
      </c>
      <c r="AA222" s="14">
        <f>IFERROR(INDEX(Venues!$F$2:$F$15,MATCH(X222,Venues!$A$2:$A$15,0)),0)</f>
        <v/>
      </c>
      <c r="AB222" s="15">
        <f>IFERROR(INDEX(Venues!$M$2:$M$15,MATCH(X222,Venues!$A$2:$A$15,0)),"")</f>
        <v/>
      </c>
      <c r="AC222" s="14">
        <f>IFERROR(INDEX(Venues!$N$2:$N$15,MATCH(X222,Venues!$A$2:$A$15,0)),"5-a-side")</f>
        <v/>
      </c>
      <c r="AD222" s="16">
        <f>IF(Offer!$C$4="","",Offer!$C$4)</f>
        <v/>
      </c>
      <c r="AE222" s="14">
        <f>X222&amp;" ("&amp;Y222&amp;" min walk) · "&amp;IF(ISNUMBER(AB222),TEXT(AB222,"ddd d mmm, hh:mm"),"slot to confirm with venue")&amp;" · "&amp;AC222&amp;" · "&amp;IF(AD222&lt;&gt;"","£"&amp;TEXT(AD222,"0.00")&amp;" pp","price TBC")</f>
        <v/>
      </c>
      <c r="AF222" s="14">
        <f>"After-work football for "&amp;F222&amp;" · "&amp;X222&amp;", "&amp;Y222&amp;" min from your office"</f>
        <v/>
      </c>
      <c r="AG222" s="14">
        <f>"Hi"&amp;IF(O222&lt;&gt;""," "&amp;O222,"")&amp;","&amp;CHAR(10)&amp;CHAR(10)&amp;"I'm "&amp;IF(AL222&lt;&gt;"",AL222,IF(Offer!$C$5&lt;&gt;"",Offer!$C$5,"[NAME]"))&amp;" from FC Urban. We organise after-work football for teams in the City and Canary Wharf."&amp;CHAR(10)&amp;CHAR(10)&amp;"We have a "&amp;AC222&amp;" pitch at "&amp;X222&amp;", "&amp;IF(OR(Y222=8,Y222=11,Y222=18),"an ","a ")&amp;Y222&amp;"-minute walk from your "&amp;M222&amp;" office, "&amp;IF(ISNUMBER(AB222),"on "&amp;TEXT(AB222,"dddd d mmmm")&amp;" at "&amp;TEXT(AB222,"hh:mm"),"on a weekday evening that suits your team")&amp;". It's "&amp;IF(AD222&lt;&gt;"","£"&amp;IF(AD222=INT(AD222),TEXT(AD222,"0"),TEXT(AD222,"0.00")),"[PRICE PER PLAYER]")&amp;" a player and we handle the pitch booking, sign-ups and payments, so all it takes is one person sharing a link with the team."&amp;CHAR(10)&amp;CHAR(10)&amp;"It works well as a team social or "&amp;IF(ISNUMBER(SEARCH(LEFT(F222,1),"AEIOU")),"an ","a ")&amp;F222&amp;"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LINK]")&amp;CHAR(10)&amp;CHAR(10)&amp;"Best,"&amp;CHAR(10)&amp;IF(AL222&lt;&gt;"",AL222,IF(Offer!$C$5&lt;&gt;"",Offer!$C$5,"[NAME]"))&amp;CHAR(10)&amp;"FC Urban"</f>
        <v/>
      </c>
      <c r="AH222" s="14">
        <f>IF(LEN("Hi"&amp;IF(O222&lt;&gt;""," "&amp;O222,"")&amp;","&amp;" FC Urban runs after-work football for "&amp;IF(D222="Canary Wharf","Canary Wharf","City")&amp;" teams. We have a "&amp;AC222&amp;" pitch at "&amp;X222&amp;", "&amp;Y222&amp;" min from your office, "&amp;IF(ISNUMBER(AB222),TEXT(AB222,"ddd d mmm")&amp;", "&amp;TEXT(AB222,"hh:mm"),"weekday evenings")&amp;", "&amp;IF(AD222&lt;&gt;"","£"&amp;IF(AD222=INT(AD222),TEXT(AD222,"0"),TEXT(AD222,"0.00")),"[PRICE PER PLAYER]")&amp;" a player. We handle booking, sign-ups and payments. Fancy "&amp;IF(ISNUMBER(SEARCH(LEFT(F222,1),"AEIOU")),"an ","a ")&amp;F222&amp;" team game? "&amp;IF(AL222&lt;&gt;"",AL222,IF(Offer!$C$5&lt;&gt;"",Offer!$C$5,"[NAME]")))&lt;=300,"Hi"&amp;IF(O222&lt;&gt;""," "&amp;O222,"")&amp;","&amp;" FC Urban runs after-work football for "&amp;IF(D222="Canary Wharf","Canary Wharf","City")&amp;" teams. We have a "&amp;AC222&amp;" pitch at "&amp;X222&amp;", "&amp;Y222&amp;" min from your office, "&amp;IF(ISNUMBER(AB222),TEXT(AB222,"ddd d mmm")&amp;", "&amp;TEXT(AB222,"hh:mm"),"weekday evenings")&amp;", "&amp;IF(AD222&lt;&gt;"","£"&amp;IF(AD222=INT(AD222),TEXT(AD222,"0"),TEXT(AD222,"0.00")),"[PRICE PER PLAYER]")&amp;" a player. We handle booking, sign-ups and payments. Fancy "&amp;IF(ISNUMBER(SEARCH(LEFT(F222,1),"AEIOU")),"an ","a ")&amp;F222&amp;" team game? "&amp;IF(AL222&lt;&gt;"",AL222,IF(Offer!$C$5&lt;&gt;"",Offer!$C$5,"[NAME]")),LEFT("Hi"&amp;IF(O222&lt;&gt;""," "&amp;O222,"")&amp;","&amp;" FC Urban runs after-work football for "&amp;IF(D222="Canary Wharf","Canary Wharf","City")&amp;" teams: "&amp;AC222&amp;" at "&amp;X222&amp;", "&amp;Y222&amp;" min from your office, "&amp;IF(ISNUMBER(AB222),TEXT(AB222,"ddd d mmm")&amp;", "&amp;TEXT(AB222,"hh:mm"),"weekday evenings")&amp;", "&amp;IF(AD222&lt;&gt;"","£"&amp;IF(AD222=INT(AD222),TEXT(AD222,"0"),TEXT(AD222,"0.00")),"[PRICE PER PLAYER]")&amp;" pp. We handle booking and payments. Up for a team game? "&amp;IF(AL222&lt;&gt;"",AL222,IF(Offer!$C$5&lt;&gt;"",Offer!$C$5,"[NAME]")),300))</f>
        <v/>
      </c>
      <c r="AI222" s="14">
        <f>LEN(AH222)</f>
        <v/>
      </c>
      <c r="AJ222" s="14">
        <f>"Thanks for connecting"&amp;IF(O222&lt;&gt;"",", "&amp;O222,"")&amp;". "&amp;IF(ISNUMBER(AB222),"The "&amp;AC222&amp;" slot at "&amp;X222&amp;" is "&amp;IF(ISNUMBER(AB222),TEXT(AB222,"ddd d mmm")&amp;", "&amp;TEXT(AB222,"hh:mm"),"weekday evenings"),"We can book "&amp;AC222&amp;" at "&amp;X222&amp;" on a weekday evening that suits you")&amp;" and it's "&amp;IF(AD222&lt;&gt;"","£"&amp;IF(AD222=INT(AD222),TEXT(AD222,"0"),TEXT(AD222,"0.00")),"[PRICE PER PLAYER]")&amp;" a player, all booked and paid through one link. If football isn't your thing, who at "&amp;F222&amp;" would be the right person to organise a team game?"&amp;IF(Offer!$C$7&lt;&gt;""," Spots are held until "&amp;TEXT(Offer!$C$7,"dddd d mmmm")&amp;".","")&amp;" "&amp;IF(Offer!$C$6&lt;&gt;"",Offer!$C$6,"[JOINING LINK]")</f>
        <v/>
      </c>
      <c r="AK222" s="14">
        <f>IF(OR(ISNUMBER(SEARCH("[",AG222)),ISNUMBER(SEARCH("[",AJ222))),"Fill placeholders",IF(ISNUMBER(AB222),"Ready to send","Ready · no fixed slot"))</f>
        <v/>
      </c>
      <c r="AN222" s="17" t="n"/>
    </row>
    <row r="223">
      <c r="A223" s="11" t="n">
        <v>221</v>
      </c>
      <c r="B223" s="11" t="n">
        <v>3</v>
      </c>
      <c r="C223" s="11" t="inlineStr">
        <is>
          <t>Insurance / broker</t>
        </is>
      </c>
      <c r="D223" s="11" t="inlineStr">
        <is>
          <t>City of London</t>
        </is>
      </c>
      <c r="E223" s="11" t="inlineStr">
        <is>
          <t>Berry Palmer &amp; Lyle Limited</t>
        </is>
      </c>
      <c r="F223" s="11" t="inlineStr">
        <is>
          <t>Berry Palmer &amp; Lyle</t>
        </is>
      </c>
      <c r="G223" s="11" t="inlineStr">
        <is>
          <t>01661686</t>
        </is>
      </c>
      <c r="H223" s="12" t="inlineStr">
        <is>
          <t>Open</t>
        </is>
      </c>
      <c r="I223" s="12" t="inlineStr">
        <is>
          <t>Search</t>
        </is>
      </c>
      <c r="J223" s="11" t="inlineStr">
        <is>
          <t>Full</t>
        </is>
      </c>
      <c r="K223" s="13" t="n">
        <v>30197</v>
      </c>
      <c r="L223" s="11" t="inlineStr">
        <is>
          <t>52 Lime Street, London</t>
        </is>
      </c>
      <c r="M223" s="11" t="inlineStr">
        <is>
          <t>EC3M 7AF</t>
        </is>
      </c>
      <c r="N223" s="11" t="inlineStr">
        <is>
          <t>No</t>
        </is>
      </c>
      <c r="U223" s="11" t="inlineStr">
        <is>
          <t>Liverpool St - Attlee Centre</t>
        </is>
      </c>
      <c r="V223" s="11" t="n">
        <v>13</v>
      </c>
      <c r="W223" s="11" t="n"/>
      <c r="X223" s="11" t="inlineStr">
        <is>
          <t>Liverpool St - Attlee Centre</t>
        </is>
      </c>
      <c r="Y223" s="11" t="n">
        <v>13</v>
      </c>
      <c r="Z223" s="14">
        <f>IFERROR(INDEX(Venues!$E$2:$E$15,MATCH(X223,Venues!$A$2:$A$15,0)),"Not checked")</f>
        <v/>
      </c>
      <c r="AA223" s="14">
        <f>IFERROR(INDEX(Venues!$F$2:$F$15,MATCH(X223,Venues!$A$2:$A$15,0)),0)</f>
        <v/>
      </c>
      <c r="AB223" s="15">
        <f>IFERROR(INDEX(Venues!$M$2:$M$15,MATCH(X223,Venues!$A$2:$A$15,0)),"")</f>
        <v/>
      </c>
      <c r="AC223" s="14">
        <f>IFERROR(INDEX(Venues!$N$2:$N$15,MATCH(X223,Venues!$A$2:$A$15,0)),"5-a-side")</f>
        <v/>
      </c>
      <c r="AD223" s="16">
        <f>IF(Offer!$C$4="","",Offer!$C$4)</f>
        <v/>
      </c>
      <c r="AE223" s="14">
        <f>X223&amp;" ("&amp;Y223&amp;" min walk) · "&amp;IF(ISNUMBER(AB223),TEXT(AB223,"ddd d mmm, hh:mm"),"slot to confirm with venue")&amp;" · "&amp;AC223&amp;" · "&amp;IF(AD223&lt;&gt;"","£"&amp;TEXT(AD223,"0.00")&amp;" pp","price TBC")</f>
        <v/>
      </c>
      <c r="AF223" s="14">
        <f>"After-work football for "&amp;F223&amp;" · "&amp;X223&amp;", "&amp;Y223&amp;" min from your office"</f>
        <v/>
      </c>
      <c r="AG223" s="14">
        <f>"Hi"&amp;IF(O223&lt;&gt;""," "&amp;O223,"")&amp;","&amp;CHAR(10)&amp;CHAR(10)&amp;"I'm "&amp;IF(AL223&lt;&gt;"",AL223,IF(Offer!$C$5&lt;&gt;"",Offer!$C$5,"[NAME]"))&amp;" from FC Urban. We organise after-work football for teams in the City and Canary Wharf."&amp;CHAR(10)&amp;CHAR(10)&amp;"We have a "&amp;AC223&amp;" pitch at "&amp;X223&amp;", "&amp;IF(OR(Y223=8,Y223=11,Y223=18),"an ","a ")&amp;Y223&amp;"-minute walk from your "&amp;M223&amp;" office, "&amp;IF(ISNUMBER(AB223),"on "&amp;TEXT(AB223,"dddd d mmmm")&amp;" at "&amp;TEXT(AB223,"hh:mm"),"on a weekday evening that suits your team")&amp;". It's "&amp;IF(AD223&lt;&gt;"","£"&amp;IF(AD223=INT(AD223),TEXT(AD223,"0"),TEXT(AD223,"0.00")),"[PRICE PER PLAYER]")&amp;" a player and we handle the pitch booking, sign-ups and payments, so all it takes is one person sharing a link with the team."&amp;CHAR(10)&amp;CHAR(10)&amp;"It works well as a team social or "&amp;IF(ISNUMBER(SEARCH(LEFT(F223,1),"AEIOU")),"an ","a ")&amp;F223&amp;"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LINK]")&amp;CHAR(10)&amp;CHAR(10)&amp;"Best,"&amp;CHAR(10)&amp;IF(AL223&lt;&gt;"",AL223,IF(Offer!$C$5&lt;&gt;"",Offer!$C$5,"[NAME]"))&amp;CHAR(10)&amp;"FC Urban"</f>
        <v/>
      </c>
      <c r="AH223" s="14">
        <f>IF(LEN("Hi"&amp;IF(O223&lt;&gt;""," "&amp;O223,"")&amp;","&amp;" FC Urban runs after-work football for "&amp;IF(D223="Canary Wharf","Canary Wharf","City")&amp;" teams. We have a "&amp;AC223&amp;" pitch at "&amp;X223&amp;", "&amp;Y223&amp;" min from your office, "&amp;IF(ISNUMBER(AB223),TEXT(AB223,"ddd d mmm")&amp;", "&amp;TEXT(AB223,"hh:mm"),"weekday evenings")&amp;", "&amp;IF(AD223&lt;&gt;"","£"&amp;IF(AD223=INT(AD223),TEXT(AD223,"0"),TEXT(AD223,"0.00")),"[PRICE PER PLAYER]")&amp;" a player. We handle booking, sign-ups and payments. Fancy "&amp;IF(ISNUMBER(SEARCH(LEFT(F223,1),"AEIOU")),"an ","a ")&amp;F223&amp;" team game? "&amp;IF(AL223&lt;&gt;"",AL223,IF(Offer!$C$5&lt;&gt;"",Offer!$C$5,"[NAME]")))&lt;=300,"Hi"&amp;IF(O223&lt;&gt;""," "&amp;O223,"")&amp;","&amp;" FC Urban runs after-work football for "&amp;IF(D223="Canary Wharf","Canary Wharf","City")&amp;" teams. We have a "&amp;AC223&amp;" pitch at "&amp;X223&amp;", "&amp;Y223&amp;" min from your office, "&amp;IF(ISNUMBER(AB223),TEXT(AB223,"ddd d mmm")&amp;", "&amp;TEXT(AB223,"hh:mm"),"weekday evenings")&amp;", "&amp;IF(AD223&lt;&gt;"","£"&amp;IF(AD223=INT(AD223),TEXT(AD223,"0"),TEXT(AD223,"0.00")),"[PRICE PER PLAYER]")&amp;" a player. We handle booking, sign-ups and payments. Fancy "&amp;IF(ISNUMBER(SEARCH(LEFT(F223,1),"AEIOU")),"an ","a ")&amp;F223&amp;" team game? "&amp;IF(AL223&lt;&gt;"",AL223,IF(Offer!$C$5&lt;&gt;"",Offer!$C$5,"[NAME]")),LEFT("Hi"&amp;IF(O223&lt;&gt;""," "&amp;O223,"")&amp;","&amp;" FC Urban runs after-work football for "&amp;IF(D223="Canary Wharf","Canary Wharf","City")&amp;" teams: "&amp;AC223&amp;" at "&amp;X223&amp;", "&amp;Y223&amp;" min from your office, "&amp;IF(ISNUMBER(AB223),TEXT(AB223,"ddd d mmm")&amp;", "&amp;TEXT(AB223,"hh:mm"),"weekday evenings")&amp;", "&amp;IF(AD223&lt;&gt;"","£"&amp;IF(AD223=INT(AD223),TEXT(AD223,"0"),TEXT(AD223,"0.00")),"[PRICE PER PLAYER]")&amp;" pp. We handle booking and payments. Up for a team game? "&amp;IF(AL223&lt;&gt;"",AL223,IF(Offer!$C$5&lt;&gt;"",Offer!$C$5,"[NAME]")),300))</f>
        <v/>
      </c>
      <c r="AI223" s="14">
        <f>LEN(AH223)</f>
        <v/>
      </c>
      <c r="AJ223" s="14">
        <f>"Thanks for connecting"&amp;IF(O223&lt;&gt;"",", "&amp;O223,"")&amp;". "&amp;IF(ISNUMBER(AB223),"The "&amp;AC223&amp;" slot at "&amp;X223&amp;" is "&amp;IF(ISNUMBER(AB223),TEXT(AB223,"ddd d mmm")&amp;", "&amp;TEXT(AB223,"hh:mm"),"weekday evenings"),"We can book "&amp;AC223&amp;" at "&amp;X223&amp;" on a weekday evening that suits you")&amp;" and it's "&amp;IF(AD223&lt;&gt;"","£"&amp;IF(AD223=INT(AD223),TEXT(AD223,"0"),TEXT(AD223,"0.00")),"[PRICE PER PLAYER]")&amp;" a player, all booked and paid through one link. If football isn't your thing, who at "&amp;F223&amp;" would be the right person to organise a team game?"&amp;IF(Offer!$C$7&lt;&gt;""," Spots are held until "&amp;TEXT(Offer!$C$7,"dddd d mmmm")&amp;".","")&amp;" "&amp;IF(Offer!$C$6&lt;&gt;"",Offer!$C$6,"[JOINING LINK]")</f>
        <v/>
      </c>
      <c r="AK223" s="14">
        <f>IF(OR(ISNUMBER(SEARCH("[",AG223)),ISNUMBER(SEARCH("[",AJ223))),"Fill placeholders",IF(ISNUMBER(AB223),"Ready to send","Ready · no fixed slot"))</f>
        <v/>
      </c>
      <c r="AN223" s="17" t="n"/>
    </row>
    <row r="224">
      <c r="A224" s="11" t="n">
        <v>222</v>
      </c>
      <c r="B224" s="11" t="n">
        <v>3</v>
      </c>
      <c r="C224" s="11" t="inlineStr">
        <is>
          <t>Insurance / broker</t>
        </is>
      </c>
      <c r="D224" s="11" t="inlineStr">
        <is>
          <t>City of London</t>
        </is>
      </c>
      <c r="E224" s="11" t="inlineStr">
        <is>
          <t>Chaucer Syndicates Limited</t>
        </is>
      </c>
      <c r="F224" s="11" t="inlineStr">
        <is>
          <t>Chaucer Syndicates</t>
        </is>
      </c>
      <c r="G224" s="11" t="inlineStr">
        <is>
          <t>00184915</t>
        </is>
      </c>
      <c r="H224" s="12" t="inlineStr">
        <is>
          <t>Open</t>
        </is>
      </c>
      <c r="I224" s="12" t="inlineStr">
        <is>
          <t>Search</t>
        </is>
      </c>
      <c r="J224" s="11" t="inlineStr">
        <is>
          <t>Full</t>
        </is>
      </c>
      <c r="K224" s="13" t="n">
        <v>8319</v>
      </c>
      <c r="L224" s="11" t="inlineStr">
        <is>
          <t>52 Lime Street, London</t>
        </is>
      </c>
      <c r="M224" s="11" t="inlineStr">
        <is>
          <t>EC3M 7AF</t>
        </is>
      </c>
      <c r="N224" s="11" t="inlineStr">
        <is>
          <t>No</t>
        </is>
      </c>
      <c r="U224" s="11" t="inlineStr">
        <is>
          <t>Liverpool St - Attlee Centre</t>
        </is>
      </c>
      <c r="V224" s="11" t="n">
        <v>13</v>
      </c>
      <c r="W224" s="11" t="n"/>
      <c r="X224" s="11" t="inlineStr">
        <is>
          <t>Liverpool St - Attlee Centre</t>
        </is>
      </c>
      <c r="Y224" s="11" t="n">
        <v>13</v>
      </c>
      <c r="Z224" s="14">
        <f>IFERROR(INDEX(Venues!$E$2:$E$15,MATCH(X224,Venues!$A$2:$A$15,0)),"Not checked")</f>
        <v/>
      </c>
      <c r="AA224" s="14">
        <f>IFERROR(INDEX(Venues!$F$2:$F$15,MATCH(X224,Venues!$A$2:$A$15,0)),0)</f>
        <v/>
      </c>
      <c r="AB224" s="15">
        <f>IFERROR(INDEX(Venues!$M$2:$M$15,MATCH(X224,Venues!$A$2:$A$15,0)),"")</f>
        <v/>
      </c>
      <c r="AC224" s="14">
        <f>IFERROR(INDEX(Venues!$N$2:$N$15,MATCH(X224,Venues!$A$2:$A$15,0)),"5-a-side")</f>
        <v/>
      </c>
      <c r="AD224" s="16">
        <f>IF(Offer!$C$4="","",Offer!$C$4)</f>
        <v/>
      </c>
      <c r="AE224" s="14">
        <f>X224&amp;" ("&amp;Y224&amp;" min walk) · "&amp;IF(ISNUMBER(AB224),TEXT(AB224,"ddd d mmm, hh:mm"),"slot to confirm with venue")&amp;" · "&amp;AC224&amp;" · "&amp;IF(AD224&lt;&gt;"","£"&amp;TEXT(AD224,"0.00")&amp;" pp","price TBC")</f>
        <v/>
      </c>
      <c r="AF224" s="14">
        <f>"After-work football for "&amp;F224&amp;" · "&amp;X224&amp;", "&amp;Y224&amp;" min from your office"</f>
        <v/>
      </c>
      <c r="AG224" s="14">
        <f>"Hi"&amp;IF(O224&lt;&gt;""," "&amp;O224,"")&amp;","&amp;CHAR(10)&amp;CHAR(10)&amp;"I'm "&amp;IF(AL224&lt;&gt;"",AL224,IF(Offer!$C$5&lt;&gt;"",Offer!$C$5,"[NAME]"))&amp;" from FC Urban. We organise after-work football for teams in the City and Canary Wharf."&amp;CHAR(10)&amp;CHAR(10)&amp;"We have a "&amp;AC224&amp;" pitch at "&amp;X224&amp;", "&amp;IF(OR(Y224=8,Y224=11,Y224=18),"an ","a ")&amp;Y224&amp;"-minute walk from your "&amp;M224&amp;" office, "&amp;IF(ISNUMBER(AB224),"on "&amp;TEXT(AB224,"dddd d mmmm")&amp;" at "&amp;TEXT(AB224,"hh:mm"),"on a weekday evening that suits your team")&amp;". It's "&amp;IF(AD224&lt;&gt;"","£"&amp;IF(AD224=INT(AD224),TEXT(AD224,"0"),TEXT(AD224,"0.00")),"[PRICE PER PLAYER]")&amp;" a player and we handle the pitch booking, sign-ups and payments, so all it takes is one person sharing a link with the team."&amp;CHAR(10)&amp;CHAR(10)&amp;"It works well as a team social or "&amp;IF(ISNUMBER(SEARCH(LEFT(F224,1),"AEIOU")),"an ","a ")&amp;F224&amp;"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LINK]")&amp;CHAR(10)&amp;CHAR(10)&amp;"Best,"&amp;CHAR(10)&amp;IF(AL224&lt;&gt;"",AL224,IF(Offer!$C$5&lt;&gt;"",Offer!$C$5,"[NAME]"))&amp;CHAR(10)&amp;"FC Urban"</f>
        <v/>
      </c>
      <c r="AH224" s="14">
        <f>IF(LEN("Hi"&amp;IF(O224&lt;&gt;""," "&amp;O224,"")&amp;","&amp;" FC Urban runs after-work football for "&amp;IF(D224="Canary Wharf","Canary Wharf","City")&amp;" teams. We have a "&amp;AC224&amp;" pitch at "&amp;X224&amp;", "&amp;Y224&amp;" min from your office, "&amp;IF(ISNUMBER(AB224),TEXT(AB224,"ddd d mmm")&amp;", "&amp;TEXT(AB224,"hh:mm"),"weekday evenings")&amp;", "&amp;IF(AD224&lt;&gt;"","£"&amp;IF(AD224=INT(AD224),TEXT(AD224,"0"),TEXT(AD224,"0.00")),"[PRICE PER PLAYER]")&amp;" a player. We handle booking, sign-ups and payments. Fancy "&amp;IF(ISNUMBER(SEARCH(LEFT(F224,1),"AEIOU")),"an ","a ")&amp;F224&amp;" team game? "&amp;IF(AL224&lt;&gt;"",AL224,IF(Offer!$C$5&lt;&gt;"",Offer!$C$5,"[NAME]")))&lt;=300,"Hi"&amp;IF(O224&lt;&gt;""," "&amp;O224,"")&amp;","&amp;" FC Urban runs after-work football for "&amp;IF(D224="Canary Wharf","Canary Wharf","City")&amp;" teams. We have a "&amp;AC224&amp;" pitch at "&amp;X224&amp;", "&amp;Y224&amp;" min from your office, "&amp;IF(ISNUMBER(AB224),TEXT(AB224,"ddd d mmm")&amp;", "&amp;TEXT(AB224,"hh:mm"),"weekday evenings")&amp;", "&amp;IF(AD224&lt;&gt;"","£"&amp;IF(AD224=INT(AD224),TEXT(AD224,"0"),TEXT(AD224,"0.00")),"[PRICE PER PLAYER]")&amp;" a player. We handle booking, sign-ups and payments. Fancy "&amp;IF(ISNUMBER(SEARCH(LEFT(F224,1),"AEIOU")),"an ","a ")&amp;F224&amp;" team game? "&amp;IF(AL224&lt;&gt;"",AL224,IF(Offer!$C$5&lt;&gt;"",Offer!$C$5,"[NAME]")),LEFT("Hi"&amp;IF(O224&lt;&gt;""," "&amp;O224,"")&amp;","&amp;" FC Urban runs after-work football for "&amp;IF(D224="Canary Wharf","Canary Wharf","City")&amp;" teams: "&amp;AC224&amp;" at "&amp;X224&amp;", "&amp;Y224&amp;" min from your office, "&amp;IF(ISNUMBER(AB224),TEXT(AB224,"ddd d mmm")&amp;", "&amp;TEXT(AB224,"hh:mm"),"weekday evenings")&amp;", "&amp;IF(AD224&lt;&gt;"","£"&amp;IF(AD224=INT(AD224),TEXT(AD224,"0"),TEXT(AD224,"0.00")),"[PRICE PER PLAYER]")&amp;" pp. We handle booking and payments. Up for a team game? "&amp;IF(AL224&lt;&gt;"",AL224,IF(Offer!$C$5&lt;&gt;"",Offer!$C$5,"[NAME]")),300))</f>
        <v/>
      </c>
      <c r="AI224" s="14">
        <f>LEN(AH224)</f>
        <v/>
      </c>
      <c r="AJ224" s="14">
        <f>"Thanks for connecting"&amp;IF(O224&lt;&gt;"",", "&amp;O224,"")&amp;". "&amp;IF(ISNUMBER(AB224),"The "&amp;AC224&amp;" slot at "&amp;X224&amp;" is "&amp;IF(ISNUMBER(AB224),TEXT(AB224,"ddd d mmm")&amp;", "&amp;TEXT(AB224,"hh:mm"),"weekday evenings"),"We can book "&amp;AC224&amp;" at "&amp;X224&amp;" on a weekday evening that suits you")&amp;" and it's "&amp;IF(AD224&lt;&gt;"","£"&amp;IF(AD224=INT(AD224),TEXT(AD224,"0"),TEXT(AD224,"0.00")),"[PRICE PER PLAYER]")&amp;" a player, all booked and paid through one link. If football isn't your thing, who at "&amp;F224&amp;" would be the right person to organise a team game?"&amp;IF(Offer!$C$7&lt;&gt;""," Spots are held until "&amp;TEXT(Offer!$C$7,"dddd d mmmm")&amp;".","")&amp;" "&amp;IF(Offer!$C$6&lt;&gt;"",Offer!$C$6,"[JOINING LINK]")</f>
        <v/>
      </c>
      <c r="AK224" s="14">
        <f>IF(OR(ISNUMBER(SEARCH("[",AG224)),ISNUMBER(SEARCH("[",AJ224))),"Fill placeholders",IF(ISNUMBER(AB224),"Ready to send","Ready · no fixed slot"))</f>
        <v/>
      </c>
      <c r="AN224" s="17" t="n"/>
    </row>
    <row r="225">
      <c r="A225" s="11" t="n">
        <v>223</v>
      </c>
      <c r="B225" s="11" t="n">
        <v>3</v>
      </c>
      <c r="C225" s="11" t="inlineStr">
        <is>
          <t>Insurance / broker</t>
        </is>
      </c>
      <c r="D225" s="11" t="inlineStr">
        <is>
          <t>City of London</t>
        </is>
      </c>
      <c r="E225" s="11" t="inlineStr">
        <is>
          <t>China Re UK Limited</t>
        </is>
      </c>
      <c r="F225" s="11" t="inlineStr">
        <is>
          <t>China Re</t>
        </is>
      </c>
      <c r="G225" s="11" t="inlineStr">
        <is>
          <t>07790365</t>
        </is>
      </c>
      <c r="H225" s="12" t="inlineStr">
        <is>
          <t>Open</t>
        </is>
      </c>
      <c r="I225" s="12" t="inlineStr">
        <is>
          <t>Search</t>
        </is>
      </c>
      <c r="J225" s="11" t="inlineStr">
        <is>
          <t>Full</t>
        </is>
      </c>
      <c r="K225" s="13" t="n">
        <v>40814</v>
      </c>
      <c r="L225" s="11" t="inlineStr">
        <is>
          <t>52 Lime Street, London</t>
        </is>
      </c>
      <c r="M225" s="11" t="inlineStr">
        <is>
          <t>EC3M 7AF</t>
        </is>
      </c>
      <c r="N225" s="11" t="inlineStr">
        <is>
          <t>No</t>
        </is>
      </c>
      <c r="U225" s="11" t="inlineStr">
        <is>
          <t>Liverpool St - Attlee Centre</t>
        </is>
      </c>
      <c r="V225" s="11" t="n">
        <v>13</v>
      </c>
      <c r="W225" s="11" t="n"/>
      <c r="X225" s="11" t="inlineStr">
        <is>
          <t>Liverpool St - Attlee Centre</t>
        </is>
      </c>
      <c r="Y225" s="11" t="n">
        <v>13</v>
      </c>
      <c r="Z225" s="14">
        <f>IFERROR(INDEX(Venues!$E$2:$E$15,MATCH(X225,Venues!$A$2:$A$15,0)),"Not checked")</f>
        <v/>
      </c>
      <c r="AA225" s="14">
        <f>IFERROR(INDEX(Venues!$F$2:$F$15,MATCH(X225,Venues!$A$2:$A$15,0)),0)</f>
        <v/>
      </c>
      <c r="AB225" s="15">
        <f>IFERROR(INDEX(Venues!$M$2:$M$15,MATCH(X225,Venues!$A$2:$A$15,0)),"")</f>
        <v/>
      </c>
      <c r="AC225" s="14">
        <f>IFERROR(INDEX(Venues!$N$2:$N$15,MATCH(X225,Venues!$A$2:$A$15,0)),"5-a-side")</f>
        <v/>
      </c>
      <c r="AD225" s="16">
        <f>IF(Offer!$C$4="","",Offer!$C$4)</f>
        <v/>
      </c>
      <c r="AE225" s="14">
        <f>X225&amp;" ("&amp;Y225&amp;" min walk) · "&amp;IF(ISNUMBER(AB225),TEXT(AB225,"ddd d mmm, hh:mm"),"slot to confirm with venue")&amp;" · "&amp;AC225&amp;" · "&amp;IF(AD225&lt;&gt;"","£"&amp;TEXT(AD225,"0.00")&amp;" pp","price TBC")</f>
        <v/>
      </c>
      <c r="AF225" s="14">
        <f>"After-work football for "&amp;F225&amp;" · "&amp;X225&amp;", "&amp;Y225&amp;" min from your office"</f>
        <v/>
      </c>
      <c r="AG225" s="14">
        <f>"Hi"&amp;IF(O225&lt;&gt;""," "&amp;O225,"")&amp;","&amp;CHAR(10)&amp;CHAR(10)&amp;"I'm "&amp;IF(AL225&lt;&gt;"",AL225,IF(Offer!$C$5&lt;&gt;"",Offer!$C$5,"[NAME]"))&amp;" from FC Urban. We organise after-work football for teams in the City and Canary Wharf."&amp;CHAR(10)&amp;CHAR(10)&amp;"We have a "&amp;AC225&amp;" pitch at "&amp;X225&amp;", "&amp;IF(OR(Y225=8,Y225=11,Y225=18),"an ","a ")&amp;Y225&amp;"-minute walk from your "&amp;M225&amp;" office, "&amp;IF(ISNUMBER(AB225),"on "&amp;TEXT(AB225,"dddd d mmmm")&amp;" at "&amp;TEXT(AB225,"hh:mm"),"on a weekday evening that suits your team")&amp;". It's "&amp;IF(AD225&lt;&gt;"","£"&amp;IF(AD225=INT(AD225),TEXT(AD225,"0"),TEXT(AD225,"0.00")),"[PRICE PER PLAYER]")&amp;" a player and we handle the pitch booking, sign-ups and payments, so all it takes is one person sharing a link with the team."&amp;CHAR(10)&amp;CHAR(10)&amp;"It works well as a team social or "&amp;IF(ISNUMBER(SEARCH(LEFT(F225,1),"AEIOU")),"an ","a ")&amp;F225&amp;"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LINK]")&amp;CHAR(10)&amp;CHAR(10)&amp;"Best,"&amp;CHAR(10)&amp;IF(AL225&lt;&gt;"",AL225,IF(Offer!$C$5&lt;&gt;"",Offer!$C$5,"[NAME]"))&amp;CHAR(10)&amp;"FC Urban"</f>
        <v/>
      </c>
      <c r="AH225" s="14">
        <f>IF(LEN("Hi"&amp;IF(O225&lt;&gt;""," "&amp;O225,"")&amp;","&amp;" FC Urban runs after-work football for "&amp;IF(D225="Canary Wharf","Canary Wharf","City")&amp;" teams. We have a "&amp;AC225&amp;" pitch at "&amp;X225&amp;", "&amp;Y225&amp;" min from your office, "&amp;IF(ISNUMBER(AB225),TEXT(AB225,"ddd d mmm")&amp;", "&amp;TEXT(AB225,"hh:mm"),"weekday evenings")&amp;", "&amp;IF(AD225&lt;&gt;"","£"&amp;IF(AD225=INT(AD225),TEXT(AD225,"0"),TEXT(AD225,"0.00")),"[PRICE PER PLAYER]")&amp;" a player. We handle booking, sign-ups and payments. Fancy "&amp;IF(ISNUMBER(SEARCH(LEFT(F225,1),"AEIOU")),"an ","a ")&amp;F225&amp;" team game? "&amp;IF(AL225&lt;&gt;"",AL225,IF(Offer!$C$5&lt;&gt;"",Offer!$C$5,"[NAME]")))&lt;=300,"Hi"&amp;IF(O225&lt;&gt;""," "&amp;O225,"")&amp;","&amp;" FC Urban runs after-work football for "&amp;IF(D225="Canary Wharf","Canary Wharf","City")&amp;" teams. We have a "&amp;AC225&amp;" pitch at "&amp;X225&amp;", "&amp;Y225&amp;" min from your office, "&amp;IF(ISNUMBER(AB225),TEXT(AB225,"ddd d mmm")&amp;", "&amp;TEXT(AB225,"hh:mm"),"weekday evenings")&amp;", "&amp;IF(AD225&lt;&gt;"","£"&amp;IF(AD225=INT(AD225),TEXT(AD225,"0"),TEXT(AD225,"0.00")),"[PRICE PER PLAYER]")&amp;" a player. We handle booking, sign-ups and payments. Fancy "&amp;IF(ISNUMBER(SEARCH(LEFT(F225,1),"AEIOU")),"an ","a ")&amp;F225&amp;" team game? "&amp;IF(AL225&lt;&gt;"",AL225,IF(Offer!$C$5&lt;&gt;"",Offer!$C$5,"[NAME]")),LEFT("Hi"&amp;IF(O225&lt;&gt;""," "&amp;O225,"")&amp;","&amp;" FC Urban runs after-work football for "&amp;IF(D225="Canary Wharf","Canary Wharf","City")&amp;" teams: "&amp;AC225&amp;" at "&amp;X225&amp;", "&amp;Y225&amp;" min from your office, "&amp;IF(ISNUMBER(AB225),TEXT(AB225,"ddd d mmm")&amp;", "&amp;TEXT(AB225,"hh:mm"),"weekday evenings")&amp;", "&amp;IF(AD225&lt;&gt;"","£"&amp;IF(AD225=INT(AD225),TEXT(AD225,"0"),TEXT(AD225,"0.00")),"[PRICE PER PLAYER]")&amp;" pp. We handle booking and payments. Up for a team game? "&amp;IF(AL225&lt;&gt;"",AL225,IF(Offer!$C$5&lt;&gt;"",Offer!$C$5,"[NAME]")),300))</f>
        <v/>
      </c>
      <c r="AI225" s="14">
        <f>LEN(AH225)</f>
        <v/>
      </c>
      <c r="AJ225" s="14">
        <f>"Thanks for connecting"&amp;IF(O225&lt;&gt;"",", "&amp;O225,"")&amp;". "&amp;IF(ISNUMBER(AB225),"The "&amp;AC225&amp;" slot at "&amp;X225&amp;" is "&amp;IF(ISNUMBER(AB225),TEXT(AB225,"ddd d mmm")&amp;", "&amp;TEXT(AB225,"hh:mm"),"weekday evenings"),"We can book "&amp;AC225&amp;" at "&amp;X225&amp;" on a weekday evening that suits you")&amp;" and it's "&amp;IF(AD225&lt;&gt;"","£"&amp;IF(AD225=INT(AD225),TEXT(AD225,"0"),TEXT(AD225,"0.00")),"[PRICE PER PLAYER]")&amp;" a player, all booked and paid through one link. If football isn't your thing, who at "&amp;F225&amp;" would be the right person to organise a team game?"&amp;IF(Offer!$C$7&lt;&gt;""," Spots are held until "&amp;TEXT(Offer!$C$7,"dddd d mmmm")&amp;".","")&amp;" "&amp;IF(Offer!$C$6&lt;&gt;"",Offer!$C$6,"[JOINING LINK]")</f>
        <v/>
      </c>
      <c r="AK225" s="14">
        <f>IF(OR(ISNUMBER(SEARCH("[",AG225)),ISNUMBER(SEARCH("[",AJ225))),"Fill placeholders",IF(ISNUMBER(AB225),"Ready to send","Ready · no fixed slot"))</f>
        <v/>
      </c>
      <c r="AN225" s="17" t="n"/>
    </row>
    <row r="226">
      <c r="A226" s="11" t="n">
        <v>224</v>
      </c>
      <c r="B226" s="11" t="n">
        <v>3</v>
      </c>
      <c r="C226" s="11" t="inlineStr">
        <is>
          <t>Insurance / broker</t>
        </is>
      </c>
      <c r="D226" s="11" t="inlineStr">
        <is>
          <t>City of London</t>
        </is>
      </c>
      <c r="E226" s="11" t="inlineStr">
        <is>
          <t>Convex Insurance UK Limited</t>
        </is>
      </c>
      <c r="F226" s="11" t="inlineStr">
        <is>
          <t>Convex Insurance</t>
        </is>
      </c>
      <c r="G226" s="11" t="inlineStr">
        <is>
          <t>11796392</t>
        </is>
      </c>
      <c r="H226" s="12" t="inlineStr">
        <is>
          <t>Open</t>
        </is>
      </c>
      <c r="I226" s="12" t="inlineStr">
        <is>
          <t>Search</t>
        </is>
      </c>
      <c r="J226" s="11" t="inlineStr">
        <is>
          <t>Full</t>
        </is>
      </c>
      <c r="K226" s="13" t="n">
        <v>43495</v>
      </c>
      <c r="L226" s="11" t="inlineStr">
        <is>
          <t>52 Lime Street, London</t>
        </is>
      </c>
      <c r="M226" s="11" t="inlineStr">
        <is>
          <t>EC3M 7AF</t>
        </is>
      </c>
      <c r="N226" s="11" t="inlineStr">
        <is>
          <t>No</t>
        </is>
      </c>
      <c r="U226" s="11" t="inlineStr">
        <is>
          <t>Liverpool St - Attlee Centre</t>
        </is>
      </c>
      <c r="V226" s="11" t="n">
        <v>13</v>
      </c>
      <c r="W226" s="11" t="n"/>
      <c r="X226" s="11" t="inlineStr">
        <is>
          <t>Liverpool St - Attlee Centre</t>
        </is>
      </c>
      <c r="Y226" s="11" t="n">
        <v>13</v>
      </c>
      <c r="Z226" s="14">
        <f>IFERROR(INDEX(Venues!$E$2:$E$15,MATCH(X226,Venues!$A$2:$A$15,0)),"Not checked")</f>
        <v/>
      </c>
      <c r="AA226" s="14">
        <f>IFERROR(INDEX(Venues!$F$2:$F$15,MATCH(X226,Venues!$A$2:$A$15,0)),0)</f>
        <v/>
      </c>
      <c r="AB226" s="15">
        <f>IFERROR(INDEX(Venues!$M$2:$M$15,MATCH(X226,Venues!$A$2:$A$15,0)),"")</f>
        <v/>
      </c>
      <c r="AC226" s="14">
        <f>IFERROR(INDEX(Venues!$N$2:$N$15,MATCH(X226,Venues!$A$2:$A$15,0)),"5-a-side")</f>
        <v/>
      </c>
      <c r="AD226" s="16">
        <f>IF(Offer!$C$4="","",Offer!$C$4)</f>
        <v/>
      </c>
      <c r="AE226" s="14">
        <f>X226&amp;" ("&amp;Y226&amp;" min walk) · "&amp;IF(ISNUMBER(AB226),TEXT(AB226,"ddd d mmm, hh:mm"),"slot to confirm with venue")&amp;" · "&amp;AC226&amp;" · "&amp;IF(AD226&lt;&gt;"","£"&amp;TEXT(AD226,"0.00")&amp;" pp","price TBC")</f>
        <v/>
      </c>
      <c r="AF226" s="14">
        <f>"After-work football for "&amp;F226&amp;" · "&amp;X226&amp;", "&amp;Y226&amp;" min from your office"</f>
        <v/>
      </c>
      <c r="AG226" s="14">
        <f>"Hi"&amp;IF(O226&lt;&gt;""," "&amp;O226,"")&amp;","&amp;CHAR(10)&amp;CHAR(10)&amp;"I'm "&amp;IF(AL226&lt;&gt;"",AL226,IF(Offer!$C$5&lt;&gt;"",Offer!$C$5,"[NAME]"))&amp;" from FC Urban. We organise after-work football for teams in the City and Canary Wharf."&amp;CHAR(10)&amp;CHAR(10)&amp;"We have a "&amp;AC226&amp;" pitch at "&amp;X226&amp;", "&amp;IF(OR(Y226=8,Y226=11,Y226=18),"an ","a ")&amp;Y226&amp;"-minute walk from your "&amp;M226&amp;" office, "&amp;IF(ISNUMBER(AB226),"on "&amp;TEXT(AB226,"dddd d mmmm")&amp;" at "&amp;TEXT(AB226,"hh:mm"),"on a weekday evening that suits your team")&amp;". It's "&amp;IF(AD226&lt;&gt;"","£"&amp;IF(AD226=INT(AD226),TEXT(AD226,"0"),TEXT(AD226,"0.00")),"[PRICE PER PLAYER]")&amp;" a player and we handle the pitch booking, sign-ups and payments, so all it takes is one person sharing a link with the team."&amp;CHAR(10)&amp;CHAR(10)&amp;"It works well as a team social or "&amp;IF(ISNUMBER(SEARCH(LEFT(F226,1),"AEIOU")),"an ","a ")&amp;F226&amp;"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LINK]")&amp;CHAR(10)&amp;CHAR(10)&amp;"Best,"&amp;CHAR(10)&amp;IF(AL226&lt;&gt;"",AL226,IF(Offer!$C$5&lt;&gt;"",Offer!$C$5,"[NAME]"))&amp;CHAR(10)&amp;"FC Urban"</f>
        <v/>
      </c>
      <c r="AH226" s="14">
        <f>IF(LEN("Hi"&amp;IF(O226&lt;&gt;""," "&amp;O226,"")&amp;","&amp;" FC Urban runs after-work football for "&amp;IF(D226="Canary Wharf","Canary Wharf","City")&amp;" teams. We have a "&amp;AC226&amp;" pitch at "&amp;X226&amp;", "&amp;Y226&amp;" min from your office, "&amp;IF(ISNUMBER(AB226),TEXT(AB226,"ddd d mmm")&amp;", "&amp;TEXT(AB226,"hh:mm"),"weekday evenings")&amp;", "&amp;IF(AD226&lt;&gt;"","£"&amp;IF(AD226=INT(AD226),TEXT(AD226,"0"),TEXT(AD226,"0.00")),"[PRICE PER PLAYER]")&amp;" a player. We handle booking, sign-ups and payments. Fancy "&amp;IF(ISNUMBER(SEARCH(LEFT(F226,1),"AEIOU")),"an ","a ")&amp;F226&amp;" team game? "&amp;IF(AL226&lt;&gt;"",AL226,IF(Offer!$C$5&lt;&gt;"",Offer!$C$5,"[NAME]")))&lt;=300,"Hi"&amp;IF(O226&lt;&gt;""," "&amp;O226,"")&amp;","&amp;" FC Urban runs after-work football for "&amp;IF(D226="Canary Wharf","Canary Wharf","City")&amp;" teams. We have a "&amp;AC226&amp;" pitch at "&amp;X226&amp;", "&amp;Y226&amp;" min from your office, "&amp;IF(ISNUMBER(AB226),TEXT(AB226,"ddd d mmm")&amp;", "&amp;TEXT(AB226,"hh:mm"),"weekday evenings")&amp;", "&amp;IF(AD226&lt;&gt;"","£"&amp;IF(AD226=INT(AD226),TEXT(AD226,"0"),TEXT(AD226,"0.00")),"[PRICE PER PLAYER]")&amp;" a player. We handle booking, sign-ups and payments. Fancy "&amp;IF(ISNUMBER(SEARCH(LEFT(F226,1),"AEIOU")),"an ","a ")&amp;F226&amp;" team game? "&amp;IF(AL226&lt;&gt;"",AL226,IF(Offer!$C$5&lt;&gt;"",Offer!$C$5,"[NAME]")),LEFT("Hi"&amp;IF(O226&lt;&gt;""," "&amp;O226,"")&amp;","&amp;" FC Urban runs after-work football for "&amp;IF(D226="Canary Wharf","Canary Wharf","City")&amp;" teams: "&amp;AC226&amp;" at "&amp;X226&amp;", "&amp;Y226&amp;" min from your office, "&amp;IF(ISNUMBER(AB226),TEXT(AB226,"ddd d mmm")&amp;", "&amp;TEXT(AB226,"hh:mm"),"weekday evenings")&amp;", "&amp;IF(AD226&lt;&gt;"","£"&amp;IF(AD226=INT(AD226),TEXT(AD226,"0"),TEXT(AD226,"0.00")),"[PRICE PER PLAYER]")&amp;" pp. We handle booking and payments. Up for a team game? "&amp;IF(AL226&lt;&gt;"",AL226,IF(Offer!$C$5&lt;&gt;"",Offer!$C$5,"[NAME]")),300))</f>
        <v/>
      </c>
      <c r="AI226" s="14">
        <f>LEN(AH226)</f>
        <v/>
      </c>
      <c r="AJ226" s="14">
        <f>"Thanks for connecting"&amp;IF(O226&lt;&gt;"",", "&amp;O226,"")&amp;". "&amp;IF(ISNUMBER(AB226),"The "&amp;AC226&amp;" slot at "&amp;X226&amp;" is "&amp;IF(ISNUMBER(AB226),TEXT(AB226,"ddd d mmm")&amp;", "&amp;TEXT(AB226,"hh:mm"),"weekday evenings"),"We can book "&amp;AC226&amp;" at "&amp;X226&amp;" on a weekday evening that suits you")&amp;" and it's "&amp;IF(AD226&lt;&gt;"","£"&amp;IF(AD226=INT(AD226),TEXT(AD226,"0"),TEXT(AD226,"0.00")),"[PRICE PER PLAYER]")&amp;" a player, all booked and paid through one link. If football isn't your thing, who at "&amp;F226&amp;" would be the right person to organise a team game?"&amp;IF(Offer!$C$7&lt;&gt;""," Spots are held until "&amp;TEXT(Offer!$C$7,"dddd d mmmm")&amp;".","")&amp;" "&amp;IF(Offer!$C$6&lt;&gt;"",Offer!$C$6,"[JOINING LINK]")</f>
        <v/>
      </c>
      <c r="AK226" s="14">
        <f>IF(OR(ISNUMBER(SEARCH("[",AG226)),ISNUMBER(SEARCH("[",AJ226))),"Fill placeholders",IF(ISNUMBER(AB226),"Ready to send","Ready · no fixed slot"))</f>
        <v/>
      </c>
      <c r="AN226" s="17" t="n"/>
    </row>
    <row r="227">
      <c r="A227" s="11" t="n">
        <v>225</v>
      </c>
      <c r="B227" s="11" t="n">
        <v>3</v>
      </c>
      <c r="C227" s="11" t="inlineStr">
        <is>
          <t>Insurance / broker</t>
        </is>
      </c>
      <c r="D227" s="11" t="inlineStr">
        <is>
          <t>City of London</t>
        </is>
      </c>
      <c r="E227" s="11" t="inlineStr">
        <is>
          <t>Lonham Group Limited</t>
        </is>
      </c>
      <c r="F227" s="11" t="inlineStr">
        <is>
          <t>Lonham</t>
        </is>
      </c>
      <c r="G227" s="11" t="inlineStr">
        <is>
          <t>01679607</t>
        </is>
      </c>
      <c r="H227" s="12" t="inlineStr">
        <is>
          <t>Open</t>
        </is>
      </c>
      <c r="I227" s="12" t="inlineStr">
        <is>
          <t>Search</t>
        </is>
      </c>
      <c r="J227" s="11" t="inlineStr">
        <is>
          <t>Full</t>
        </is>
      </c>
      <c r="K227" s="13" t="n">
        <v>30273</v>
      </c>
      <c r="L227" s="11" t="inlineStr">
        <is>
          <t>52 Lime Street, London</t>
        </is>
      </c>
      <c r="M227" s="11" t="inlineStr">
        <is>
          <t>EC3M 7AF</t>
        </is>
      </c>
      <c r="N227" s="11" t="inlineStr">
        <is>
          <t>No</t>
        </is>
      </c>
      <c r="U227" s="11" t="inlineStr">
        <is>
          <t>Liverpool St - Attlee Centre</t>
        </is>
      </c>
      <c r="V227" s="11" t="n">
        <v>13</v>
      </c>
      <c r="W227" s="11" t="n"/>
      <c r="X227" s="11" t="inlineStr">
        <is>
          <t>Liverpool St - Attlee Centre</t>
        </is>
      </c>
      <c r="Y227" s="11" t="n">
        <v>13</v>
      </c>
      <c r="Z227" s="14">
        <f>IFERROR(INDEX(Venues!$E$2:$E$15,MATCH(X227,Venues!$A$2:$A$15,0)),"Not checked")</f>
        <v/>
      </c>
      <c r="AA227" s="14">
        <f>IFERROR(INDEX(Venues!$F$2:$F$15,MATCH(X227,Venues!$A$2:$A$15,0)),0)</f>
        <v/>
      </c>
      <c r="AB227" s="15">
        <f>IFERROR(INDEX(Venues!$M$2:$M$15,MATCH(X227,Venues!$A$2:$A$15,0)),"")</f>
        <v/>
      </c>
      <c r="AC227" s="14">
        <f>IFERROR(INDEX(Venues!$N$2:$N$15,MATCH(X227,Venues!$A$2:$A$15,0)),"5-a-side")</f>
        <v/>
      </c>
      <c r="AD227" s="16">
        <f>IF(Offer!$C$4="","",Offer!$C$4)</f>
        <v/>
      </c>
      <c r="AE227" s="14">
        <f>X227&amp;" ("&amp;Y227&amp;" min walk) · "&amp;IF(ISNUMBER(AB227),TEXT(AB227,"ddd d mmm, hh:mm"),"slot to confirm with venue")&amp;" · "&amp;AC227&amp;" · "&amp;IF(AD227&lt;&gt;"","£"&amp;TEXT(AD227,"0.00")&amp;" pp","price TBC")</f>
        <v/>
      </c>
      <c r="AF227" s="14">
        <f>"After-work football for "&amp;F227&amp;" · "&amp;X227&amp;", "&amp;Y227&amp;" min from your office"</f>
        <v/>
      </c>
      <c r="AG227" s="14">
        <f>"Hi"&amp;IF(O227&lt;&gt;""," "&amp;O227,"")&amp;","&amp;CHAR(10)&amp;CHAR(10)&amp;"I'm "&amp;IF(AL227&lt;&gt;"",AL227,IF(Offer!$C$5&lt;&gt;"",Offer!$C$5,"[NAME]"))&amp;" from FC Urban. We organise after-work football for teams in the City and Canary Wharf."&amp;CHAR(10)&amp;CHAR(10)&amp;"We have a "&amp;AC227&amp;" pitch at "&amp;X227&amp;", "&amp;IF(OR(Y227=8,Y227=11,Y227=18),"an ","a ")&amp;Y227&amp;"-minute walk from your "&amp;M227&amp;" office, "&amp;IF(ISNUMBER(AB227),"on "&amp;TEXT(AB227,"dddd d mmmm")&amp;" at "&amp;TEXT(AB227,"hh:mm"),"on a weekday evening that suits your team")&amp;". It's "&amp;IF(AD227&lt;&gt;"","£"&amp;IF(AD227=INT(AD227),TEXT(AD227,"0"),TEXT(AD227,"0.00")),"[PRICE PER PLAYER]")&amp;" a player and we handle the pitch booking, sign-ups and payments, so all it takes is one person sharing a link with the team."&amp;CHAR(10)&amp;CHAR(10)&amp;"It works well as a team social or "&amp;IF(ISNUMBER(SEARCH(LEFT(F227,1),"AEIOU")),"an ","a ")&amp;F227&amp;"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LINK]")&amp;CHAR(10)&amp;CHAR(10)&amp;"Best,"&amp;CHAR(10)&amp;IF(AL227&lt;&gt;"",AL227,IF(Offer!$C$5&lt;&gt;"",Offer!$C$5,"[NAME]"))&amp;CHAR(10)&amp;"FC Urban"</f>
        <v/>
      </c>
      <c r="AH227" s="14">
        <f>IF(LEN("Hi"&amp;IF(O227&lt;&gt;""," "&amp;O227,"")&amp;","&amp;" FC Urban runs after-work football for "&amp;IF(D227="Canary Wharf","Canary Wharf","City")&amp;" teams. We have a "&amp;AC227&amp;" pitch at "&amp;X227&amp;", "&amp;Y227&amp;" min from your office, "&amp;IF(ISNUMBER(AB227),TEXT(AB227,"ddd d mmm")&amp;", "&amp;TEXT(AB227,"hh:mm"),"weekday evenings")&amp;", "&amp;IF(AD227&lt;&gt;"","£"&amp;IF(AD227=INT(AD227),TEXT(AD227,"0"),TEXT(AD227,"0.00")),"[PRICE PER PLAYER]")&amp;" a player. We handle booking, sign-ups and payments. Fancy "&amp;IF(ISNUMBER(SEARCH(LEFT(F227,1),"AEIOU")),"an ","a ")&amp;F227&amp;" team game? "&amp;IF(AL227&lt;&gt;"",AL227,IF(Offer!$C$5&lt;&gt;"",Offer!$C$5,"[NAME]")))&lt;=300,"Hi"&amp;IF(O227&lt;&gt;""," "&amp;O227,"")&amp;","&amp;" FC Urban runs after-work football for "&amp;IF(D227="Canary Wharf","Canary Wharf","City")&amp;" teams. We have a "&amp;AC227&amp;" pitch at "&amp;X227&amp;", "&amp;Y227&amp;" min from your office, "&amp;IF(ISNUMBER(AB227),TEXT(AB227,"ddd d mmm")&amp;", "&amp;TEXT(AB227,"hh:mm"),"weekday evenings")&amp;", "&amp;IF(AD227&lt;&gt;"","£"&amp;IF(AD227=INT(AD227),TEXT(AD227,"0"),TEXT(AD227,"0.00")),"[PRICE PER PLAYER]")&amp;" a player. We handle booking, sign-ups and payments. Fancy "&amp;IF(ISNUMBER(SEARCH(LEFT(F227,1),"AEIOU")),"an ","a ")&amp;F227&amp;" team game? "&amp;IF(AL227&lt;&gt;"",AL227,IF(Offer!$C$5&lt;&gt;"",Offer!$C$5,"[NAME]")),LEFT("Hi"&amp;IF(O227&lt;&gt;""," "&amp;O227,"")&amp;","&amp;" FC Urban runs after-work football for "&amp;IF(D227="Canary Wharf","Canary Wharf","City")&amp;" teams: "&amp;AC227&amp;" at "&amp;X227&amp;", "&amp;Y227&amp;" min from your office, "&amp;IF(ISNUMBER(AB227),TEXT(AB227,"ddd d mmm")&amp;", "&amp;TEXT(AB227,"hh:mm"),"weekday evenings")&amp;", "&amp;IF(AD227&lt;&gt;"","£"&amp;IF(AD227=INT(AD227),TEXT(AD227,"0"),TEXT(AD227,"0.00")),"[PRICE PER PLAYER]")&amp;" pp. We handle booking and payments. Up for a team game? "&amp;IF(AL227&lt;&gt;"",AL227,IF(Offer!$C$5&lt;&gt;"",Offer!$C$5,"[NAME]")),300))</f>
        <v/>
      </c>
      <c r="AI227" s="14">
        <f>LEN(AH227)</f>
        <v/>
      </c>
      <c r="AJ227" s="14">
        <f>"Thanks for connecting"&amp;IF(O227&lt;&gt;"",", "&amp;O227,"")&amp;". "&amp;IF(ISNUMBER(AB227),"The "&amp;AC227&amp;" slot at "&amp;X227&amp;" is "&amp;IF(ISNUMBER(AB227),TEXT(AB227,"ddd d mmm")&amp;", "&amp;TEXT(AB227,"hh:mm"),"weekday evenings"),"We can book "&amp;AC227&amp;" at "&amp;X227&amp;" on a weekday evening that suits you")&amp;" and it's "&amp;IF(AD227&lt;&gt;"","£"&amp;IF(AD227=INT(AD227),TEXT(AD227,"0"),TEXT(AD227,"0.00")),"[PRICE PER PLAYER]")&amp;" a player, all booked and paid through one link. If football isn't your thing, who at "&amp;F227&amp;" would be the right person to organise a team game?"&amp;IF(Offer!$C$7&lt;&gt;""," Spots are held until "&amp;TEXT(Offer!$C$7,"dddd d mmmm")&amp;".","")&amp;" "&amp;IF(Offer!$C$6&lt;&gt;"",Offer!$C$6,"[JOINING LINK]")</f>
        <v/>
      </c>
      <c r="AK227" s="14">
        <f>IF(OR(ISNUMBER(SEARCH("[",AG227)),ISNUMBER(SEARCH("[",AJ227))),"Fill placeholders",IF(ISNUMBER(AB227),"Ready to send","Ready · no fixed slot"))</f>
        <v/>
      </c>
      <c r="AN227" s="17" t="n"/>
    </row>
    <row r="228">
      <c r="A228" s="11" t="n">
        <v>226</v>
      </c>
      <c r="B228" s="11" t="n">
        <v>3</v>
      </c>
      <c r="C228" s="11" t="inlineStr">
        <is>
          <t>Fund / asset manager</t>
        </is>
      </c>
      <c r="D228" s="11" t="inlineStr">
        <is>
          <t>City of London</t>
        </is>
      </c>
      <c r="E228" s="11" t="inlineStr">
        <is>
          <t>Local Pensions Partnership Investments Ltd</t>
        </is>
      </c>
      <c r="F228" s="11" t="inlineStr">
        <is>
          <t>Local Pensions Partnership Investments</t>
        </is>
      </c>
      <c r="G228" s="11" t="inlineStr">
        <is>
          <t>09835244</t>
        </is>
      </c>
      <c r="H228" s="12" t="inlineStr">
        <is>
          <t>Open</t>
        </is>
      </c>
      <c r="I228" s="12" t="inlineStr">
        <is>
          <t>Search</t>
        </is>
      </c>
      <c r="J228" s="11" t="inlineStr">
        <is>
          <t>Full</t>
        </is>
      </c>
      <c r="K228" s="13" t="n">
        <v>42298</v>
      </c>
      <c r="L228" s="11" t="inlineStr">
        <is>
          <t>First Floor, 1 Finsbury Avenue, London</t>
        </is>
      </c>
      <c r="M228" s="11" t="inlineStr">
        <is>
          <t>EC2M 2PF</t>
        </is>
      </c>
      <c r="N228" s="11" t="inlineStr">
        <is>
          <t>No</t>
        </is>
      </c>
      <c r="U228" s="11" t="inlineStr">
        <is>
          <t>Shoreditch Powerleague</t>
        </is>
      </c>
      <c r="V228" s="11" t="n">
        <v>13</v>
      </c>
      <c r="W228" s="11" t="inlineStr">
        <is>
          <t>Liverpool St - Attlee Centre (13.8)</t>
        </is>
      </c>
      <c r="X228" s="11" t="inlineStr">
        <is>
          <t>Shoreditch Powerleague</t>
        </is>
      </c>
      <c r="Y228" s="11" t="n">
        <v>13</v>
      </c>
      <c r="Z228" s="14">
        <f>IFERROR(INDEX(Venues!$E$2:$E$15,MATCH(X228,Venues!$A$2:$A$15,0)),"Not checked")</f>
        <v/>
      </c>
      <c r="AA228" s="14">
        <f>IFERROR(INDEX(Venues!$F$2:$F$15,MATCH(X228,Venues!$A$2:$A$15,0)),0)</f>
        <v/>
      </c>
      <c r="AB228" s="15">
        <f>IFERROR(INDEX(Venues!$M$2:$M$15,MATCH(X228,Venues!$A$2:$A$15,0)),"")</f>
        <v/>
      </c>
      <c r="AC228" s="14">
        <f>IFERROR(INDEX(Venues!$N$2:$N$15,MATCH(X228,Venues!$A$2:$A$15,0)),"5-a-side")</f>
        <v/>
      </c>
      <c r="AD228" s="16">
        <f>IF(Offer!$C$4="","",Offer!$C$4)</f>
        <v/>
      </c>
      <c r="AE228" s="14">
        <f>X228&amp;" ("&amp;Y228&amp;" min walk) · "&amp;IF(ISNUMBER(AB228),TEXT(AB228,"ddd d mmm, hh:mm"),"slot to confirm with venue")&amp;" · "&amp;AC228&amp;" · "&amp;IF(AD228&lt;&gt;"","£"&amp;TEXT(AD228,"0.00")&amp;" pp","price TBC")</f>
        <v/>
      </c>
      <c r="AF228" s="14">
        <f>"After-work football for "&amp;F228&amp;" · "&amp;X228&amp;", "&amp;Y228&amp;" min from your office"</f>
        <v/>
      </c>
      <c r="AG228" s="14">
        <f>"Hi"&amp;IF(O228&lt;&gt;""," "&amp;O228,"")&amp;","&amp;CHAR(10)&amp;CHAR(10)&amp;"I'm "&amp;IF(AL228&lt;&gt;"",AL228,IF(Offer!$C$5&lt;&gt;"",Offer!$C$5,"[NAME]"))&amp;" from FC Urban. We organise after-work football for teams in the City and Canary Wharf."&amp;CHAR(10)&amp;CHAR(10)&amp;"We have a "&amp;AC228&amp;" pitch at "&amp;X228&amp;", "&amp;IF(OR(Y228=8,Y228=11,Y228=18),"an ","a ")&amp;Y228&amp;"-minute walk from your "&amp;M228&amp;" office, "&amp;IF(ISNUMBER(AB228),"on "&amp;TEXT(AB228,"dddd d mmmm")&amp;" at "&amp;TEXT(AB228,"hh:mm"),"on a weekday evening that suits your team")&amp;". It's "&amp;IF(AD228&lt;&gt;"","£"&amp;IF(AD228=INT(AD228),TEXT(AD228,"0"),TEXT(AD228,"0.00")),"[PRICE PER PLAYER]")&amp;" a player and we handle the pitch booking, sign-ups and payments, so all it takes is one person sharing a link with the team."&amp;CHAR(10)&amp;CHAR(10)&amp;"It works well as a team social or "&amp;IF(ISNUMBER(SEARCH(LEFT(F228,1),"AEIOU")),"an ","a ")&amp;F228&amp;"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LINK]")&amp;CHAR(10)&amp;CHAR(10)&amp;"Best,"&amp;CHAR(10)&amp;IF(AL228&lt;&gt;"",AL228,IF(Offer!$C$5&lt;&gt;"",Offer!$C$5,"[NAME]"))&amp;CHAR(10)&amp;"FC Urban"</f>
        <v/>
      </c>
      <c r="AH228" s="14">
        <f>IF(LEN("Hi"&amp;IF(O228&lt;&gt;""," "&amp;O228,"")&amp;","&amp;" FC Urban runs after-work football for "&amp;IF(D228="Canary Wharf","Canary Wharf","City")&amp;" teams. We have a "&amp;AC228&amp;" pitch at "&amp;X228&amp;", "&amp;Y228&amp;" min from your office, "&amp;IF(ISNUMBER(AB228),TEXT(AB228,"ddd d mmm")&amp;", "&amp;TEXT(AB228,"hh:mm"),"weekday evenings")&amp;", "&amp;IF(AD228&lt;&gt;"","£"&amp;IF(AD228=INT(AD228),TEXT(AD228,"0"),TEXT(AD228,"0.00")),"[PRICE PER PLAYER]")&amp;" a player. We handle booking, sign-ups and payments. Fancy "&amp;IF(ISNUMBER(SEARCH(LEFT(F228,1),"AEIOU")),"an ","a ")&amp;F228&amp;" team game? "&amp;IF(AL228&lt;&gt;"",AL228,IF(Offer!$C$5&lt;&gt;"",Offer!$C$5,"[NAME]")))&lt;=300,"Hi"&amp;IF(O228&lt;&gt;""," "&amp;O228,"")&amp;","&amp;" FC Urban runs after-work football for "&amp;IF(D228="Canary Wharf","Canary Wharf","City")&amp;" teams. We have a "&amp;AC228&amp;" pitch at "&amp;X228&amp;", "&amp;Y228&amp;" min from your office, "&amp;IF(ISNUMBER(AB228),TEXT(AB228,"ddd d mmm")&amp;", "&amp;TEXT(AB228,"hh:mm"),"weekday evenings")&amp;", "&amp;IF(AD228&lt;&gt;"","£"&amp;IF(AD228=INT(AD228),TEXT(AD228,"0"),TEXT(AD228,"0.00")),"[PRICE PER PLAYER]")&amp;" a player. We handle booking, sign-ups and payments. Fancy "&amp;IF(ISNUMBER(SEARCH(LEFT(F228,1),"AEIOU")),"an ","a ")&amp;F228&amp;" team game? "&amp;IF(AL228&lt;&gt;"",AL228,IF(Offer!$C$5&lt;&gt;"",Offer!$C$5,"[NAME]")),LEFT("Hi"&amp;IF(O228&lt;&gt;""," "&amp;O228,"")&amp;","&amp;" FC Urban runs after-work football for "&amp;IF(D228="Canary Wharf","Canary Wharf","City")&amp;" teams: "&amp;AC228&amp;" at "&amp;X228&amp;", "&amp;Y228&amp;" min from your office, "&amp;IF(ISNUMBER(AB228),TEXT(AB228,"ddd d mmm")&amp;", "&amp;TEXT(AB228,"hh:mm"),"weekday evenings")&amp;", "&amp;IF(AD228&lt;&gt;"","£"&amp;IF(AD228=INT(AD228),TEXT(AD228,"0"),TEXT(AD228,"0.00")),"[PRICE PER PLAYER]")&amp;" pp. We handle booking and payments. Up for a team game? "&amp;IF(AL228&lt;&gt;"",AL228,IF(Offer!$C$5&lt;&gt;"",Offer!$C$5,"[NAME]")),300))</f>
        <v/>
      </c>
      <c r="AI228" s="14">
        <f>LEN(AH228)</f>
        <v/>
      </c>
      <c r="AJ228" s="14">
        <f>"Thanks for connecting"&amp;IF(O228&lt;&gt;"",", "&amp;O228,"")&amp;". "&amp;IF(ISNUMBER(AB228),"The "&amp;AC228&amp;" slot at "&amp;X228&amp;" is "&amp;IF(ISNUMBER(AB228),TEXT(AB228,"ddd d mmm")&amp;", "&amp;TEXT(AB228,"hh:mm"),"weekday evenings"),"We can book "&amp;AC228&amp;" at "&amp;X228&amp;" on a weekday evening that suits you")&amp;" and it's "&amp;IF(AD228&lt;&gt;"","£"&amp;IF(AD228=INT(AD228),TEXT(AD228,"0"),TEXT(AD228,"0.00")),"[PRICE PER PLAYER]")&amp;" a player, all booked and paid through one link. If football isn't your thing, who at "&amp;F228&amp;" would be the right person to organise a team game?"&amp;IF(Offer!$C$7&lt;&gt;""," Spots are held until "&amp;TEXT(Offer!$C$7,"dddd d mmmm")&amp;".","")&amp;" "&amp;IF(Offer!$C$6&lt;&gt;"",Offer!$C$6,"[JOINING LINK]")</f>
        <v/>
      </c>
      <c r="AK228" s="14">
        <f>IF(OR(ISNUMBER(SEARCH("[",AG228)),ISNUMBER(SEARCH("[",AJ228))),"Fill placeholders",IF(ISNUMBER(AB228),"Ready to send","Ready · no fixed slot"))</f>
        <v/>
      </c>
      <c r="AN228" s="17" t="n"/>
    </row>
    <row r="229">
      <c r="A229" s="11" t="n">
        <v>227</v>
      </c>
      <c r="B229" s="11" t="n">
        <v>3</v>
      </c>
      <c r="C229" s="11" t="inlineStr">
        <is>
          <t>Fund / asset manager</t>
        </is>
      </c>
      <c r="D229" s="11" t="inlineStr">
        <is>
          <t>City of London</t>
        </is>
      </c>
      <c r="E229" s="11" t="inlineStr">
        <is>
          <t>Navera Investment Management Limited</t>
        </is>
      </c>
      <c r="F229" s="11" t="inlineStr">
        <is>
          <t>Navera Investment Management</t>
        </is>
      </c>
      <c r="G229" s="11" t="inlineStr">
        <is>
          <t>12516583</t>
        </is>
      </c>
      <c r="H229" s="12" t="inlineStr">
        <is>
          <t>Open</t>
        </is>
      </c>
      <c r="I229" s="12" t="inlineStr">
        <is>
          <t>Search</t>
        </is>
      </c>
      <c r="J229" s="11" t="inlineStr">
        <is>
          <t>Full</t>
        </is>
      </c>
      <c r="K229" s="13" t="n">
        <v>43903</v>
      </c>
      <c r="L229" s="11" t="inlineStr">
        <is>
          <t>Riverside House, 2A Southwark Bridge Road, London</t>
        </is>
      </c>
      <c r="M229" s="11" t="inlineStr">
        <is>
          <t>SE1 9HA</t>
        </is>
      </c>
      <c r="N229" s="11" t="inlineStr">
        <is>
          <t>No</t>
        </is>
      </c>
      <c r="U229" s="11" t="inlineStr">
        <is>
          <t>Borough Academy</t>
        </is>
      </c>
      <c r="V229" s="11" t="n">
        <v>13</v>
      </c>
      <c r="W229" s="11" t="n"/>
      <c r="X229" s="11" t="inlineStr">
        <is>
          <t>Borough Academy</t>
        </is>
      </c>
      <c r="Y229" s="11" t="n">
        <v>13</v>
      </c>
      <c r="Z229" s="14">
        <f>IFERROR(INDEX(Venues!$E$2:$E$15,MATCH(X229,Venues!$A$2:$A$15,0)),"Not checked")</f>
        <v/>
      </c>
      <c r="AA229" s="14">
        <f>IFERROR(INDEX(Venues!$F$2:$F$15,MATCH(X229,Venues!$A$2:$A$15,0)),0)</f>
        <v/>
      </c>
      <c r="AB229" s="15">
        <f>IFERROR(INDEX(Venues!$M$2:$M$15,MATCH(X229,Venues!$A$2:$A$15,0)),"")</f>
        <v/>
      </c>
      <c r="AC229" s="14">
        <f>IFERROR(INDEX(Venues!$N$2:$N$15,MATCH(X229,Venues!$A$2:$A$15,0)),"5-a-side")</f>
        <v/>
      </c>
      <c r="AD229" s="16">
        <f>IF(Offer!$C$4="","",Offer!$C$4)</f>
        <v/>
      </c>
      <c r="AE229" s="14">
        <f>X229&amp;" ("&amp;Y229&amp;" min walk) · "&amp;IF(ISNUMBER(AB229),TEXT(AB229,"ddd d mmm, hh:mm"),"slot to confirm with venue")&amp;" · "&amp;AC229&amp;" · "&amp;IF(AD229&lt;&gt;"","£"&amp;TEXT(AD229,"0.00")&amp;" pp","price TBC")</f>
        <v/>
      </c>
      <c r="AF229" s="14">
        <f>"After-work football for "&amp;F229&amp;" · "&amp;X229&amp;", "&amp;Y229&amp;" min from your office"</f>
        <v/>
      </c>
      <c r="AG229" s="14">
        <f>"Hi"&amp;IF(O229&lt;&gt;""," "&amp;O229,"")&amp;","&amp;CHAR(10)&amp;CHAR(10)&amp;"I'm "&amp;IF(AL229&lt;&gt;"",AL229,IF(Offer!$C$5&lt;&gt;"",Offer!$C$5,"[NAME]"))&amp;" from FC Urban. We organise after-work football for teams in the City and Canary Wharf."&amp;CHAR(10)&amp;CHAR(10)&amp;"We have a "&amp;AC229&amp;" pitch at "&amp;X229&amp;", "&amp;IF(OR(Y229=8,Y229=11,Y229=18),"an ","a ")&amp;Y229&amp;"-minute walk from your "&amp;M229&amp;" office, "&amp;IF(ISNUMBER(AB229),"on "&amp;TEXT(AB229,"dddd d mmmm")&amp;" at "&amp;TEXT(AB229,"hh:mm"),"on a weekday evening that suits your team")&amp;". It's "&amp;IF(AD229&lt;&gt;"","£"&amp;IF(AD229=INT(AD229),TEXT(AD229,"0"),TEXT(AD229,"0.00")),"[PRICE PER PLAYER]")&amp;" a player and we handle the pitch booking, sign-ups and payments, so all it takes is one person sharing a link with the team."&amp;CHAR(10)&amp;CHAR(10)&amp;"It works well as a team social or "&amp;IF(ISNUMBER(SEARCH(LEFT(F229,1),"AEIOU")),"an ","a ")&amp;F229&amp;"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LINK]")&amp;CHAR(10)&amp;CHAR(10)&amp;"Best,"&amp;CHAR(10)&amp;IF(AL229&lt;&gt;"",AL229,IF(Offer!$C$5&lt;&gt;"",Offer!$C$5,"[NAME]"))&amp;CHAR(10)&amp;"FC Urban"</f>
        <v/>
      </c>
      <c r="AH229" s="14">
        <f>IF(LEN("Hi"&amp;IF(O229&lt;&gt;""," "&amp;O229,"")&amp;","&amp;" FC Urban runs after-work football for "&amp;IF(D229="Canary Wharf","Canary Wharf","City")&amp;" teams. We have a "&amp;AC229&amp;" pitch at "&amp;X229&amp;", "&amp;Y229&amp;" min from your office, "&amp;IF(ISNUMBER(AB229),TEXT(AB229,"ddd d mmm")&amp;", "&amp;TEXT(AB229,"hh:mm"),"weekday evenings")&amp;", "&amp;IF(AD229&lt;&gt;"","£"&amp;IF(AD229=INT(AD229),TEXT(AD229,"0"),TEXT(AD229,"0.00")),"[PRICE PER PLAYER]")&amp;" a player. We handle booking, sign-ups and payments. Fancy "&amp;IF(ISNUMBER(SEARCH(LEFT(F229,1),"AEIOU")),"an ","a ")&amp;F229&amp;" team game? "&amp;IF(AL229&lt;&gt;"",AL229,IF(Offer!$C$5&lt;&gt;"",Offer!$C$5,"[NAME]")))&lt;=300,"Hi"&amp;IF(O229&lt;&gt;""," "&amp;O229,"")&amp;","&amp;" FC Urban runs after-work football for "&amp;IF(D229="Canary Wharf","Canary Wharf","City")&amp;" teams. We have a "&amp;AC229&amp;" pitch at "&amp;X229&amp;", "&amp;Y229&amp;" min from your office, "&amp;IF(ISNUMBER(AB229),TEXT(AB229,"ddd d mmm")&amp;", "&amp;TEXT(AB229,"hh:mm"),"weekday evenings")&amp;", "&amp;IF(AD229&lt;&gt;"","£"&amp;IF(AD229=INT(AD229),TEXT(AD229,"0"),TEXT(AD229,"0.00")),"[PRICE PER PLAYER]")&amp;" a player. We handle booking, sign-ups and payments. Fancy "&amp;IF(ISNUMBER(SEARCH(LEFT(F229,1),"AEIOU")),"an ","a ")&amp;F229&amp;" team game? "&amp;IF(AL229&lt;&gt;"",AL229,IF(Offer!$C$5&lt;&gt;"",Offer!$C$5,"[NAME]")),LEFT("Hi"&amp;IF(O229&lt;&gt;""," "&amp;O229,"")&amp;","&amp;" FC Urban runs after-work football for "&amp;IF(D229="Canary Wharf","Canary Wharf","City")&amp;" teams: "&amp;AC229&amp;" at "&amp;X229&amp;", "&amp;Y229&amp;" min from your office, "&amp;IF(ISNUMBER(AB229),TEXT(AB229,"ddd d mmm")&amp;", "&amp;TEXT(AB229,"hh:mm"),"weekday evenings")&amp;", "&amp;IF(AD229&lt;&gt;"","£"&amp;IF(AD229=INT(AD229),TEXT(AD229,"0"),TEXT(AD229,"0.00")),"[PRICE PER PLAYER]")&amp;" pp. We handle booking and payments. Up for a team game? "&amp;IF(AL229&lt;&gt;"",AL229,IF(Offer!$C$5&lt;&gt;"",Offer!$C$5,"[NAME]")),300))</f>
        <v/>
      </c>
      <c r="AI229" s="14">
        <f>LEN(AH229)</f>
        <v/>
      </c>
      <c r="AJ229" s="14">
        <f>"Thanks for connecting"&amp;IF(O229&lt;&gt;"",", "&amp;O229,"")&amp;". "&amp;IF(ISNUMBER(AB229),"The "&amp;AC229&amp;" slot at "&amp;X229&amp;" is "&amp;IF(ISNUMBER(AB229),TEXT(AB229,"ddd d mmm")&amp;", "&amp;TEXT(AB229,"hh:mm"),"weekday evenings"),"We can book "&amp;AC229&amp;" at "&amp;X229&amp;" on a weekday evening that suits you")&amp;" and it's "&amp;IF(AD229&lt;&gt;"","£"&amp;IF(AD229=INT(AD229),TEXT(AD229,"0"),TEXT(AD229,"0.00")),"[PRICE PER PLAYER]")&amp;" a player, all booked and paid through one link. If football isn't your thing, who at "&amp;F229&amp;" would be the right person to organise a team game?"&amp;IF(Offer!$C$7&lt;&gt;""," Spots are held until "&amp;TEXT(Offer!$C$7,"dddd d mmmm")&amp;".","")&amp;" "&amp;IF(Offer!$C$6&lt;&gt;"",Offer!$C$6,"[JOINING LINK]")</f>
        <v/>
      </c>
      <c r="AK229" s="14">
        <f>IF(OR(ISNUMBER(SEARCH("[",AG229)),ISNUMBER(SEARCH("[",AJ229))),"Fill placeholders",IF(ISNUMBER(AB229),"Ready to send","Ready · no fixed slot"))</f>
        <v/>
      </c>
      <c r="AN229" s="17" t="n"/>
    </row>
    <row r="230">
      <c r="A230" s="11" t="n">
        <v>228</v>
      </c>
      <c r="B230" s="11" t="n">
        <v>3</v>
      </c>
      <c r="C230" s="11" t="inlineStr">
        <is>
          <t>Fund / asset manager</t>
        </is>
      </c>
      <c r="D230" s="11" t="inlineStr">
        <is>
          <t>City of London</t>
        </is>
      </c>
      <c r="E230" s="11" t="inlineStr">
        <is>
          <t>Pragma Wealth Management Ltd.</t>
        </is>
      </c>
      <c r="F230" s="11" t="inlineStr">
        <is>
          <t>Pragma Wealth Management</t>
        </is>
      </c>
      <c r="G230" s="11" t="inlineStr">
        <is>
          <t>04191349</t>
        </is>
      </c>
      <c r="H230" s="12" t="inlineStr">
        <is>
          <t>Open</t>
        </is>
      </c>
      <c r="I230" s="12" t="inlineStr">
        <is>
          <t>Search</t>
        </is>
      </c>
      <c r="J230" s="11" t="inlineStr">
        <is>
          <t>Full</t>
        </is>
      </c>
      <c r="K230" s="13" t="n">
        <v>36980</v>
      </c>
      <c r="L230" s="11" t="inlineStr">
        <is>
          <t>The Scalpel, 18Th Floor, 52 Lime Street, London</t>
        </is>
      </c>
      <c r="M230" s="11" t="inlineStr">
        <is>
          <t>EC3M 7AF</t>
        </is>
      </c>
      <c r="N230" s="11" t="inlineStr">
        <is>
          <t>No</t>
        </is>
      </c>
      <c r="U230" s="11" t="inlineStr">
        <is>
          <t>Liverpool St - Attlee Centre</t>
        </is>
      </c>
      <c r="V230" s="11" t="n">
        <v>13</v>
      </c>
      <c r="W230" s="11" t="n"/>
      <c r="X230" s="11" t="inlineStr">
        <is>
          <t>Liverpool St - Attlee Centre</t>
        </is>
      </c>
      <c r="Y230" s="11" t="n">
        <v>13</v>
      </c>
      <c r="Z230" s="14">
        <f>IFERROR(INDEX(Venues!$E$2:$E$15,MATCH(X230,Venues!$A$2:$A$15,0)),"Not checked")</f>
        <v/>
      </c>
      <c r="AA230" s="14">
        <f>IFERROR(INDEX(Venues!$F$2:$F$15,MATCH(X230,Venues!$A$2:$A$15,0)),0)</f>
        <v/>
      </c>
      <c r="AB230" s="15">
        <f>IFERROR(INDEX(Venues!$M$2:$M$15,MATCH(X230,Venues!$A$2:$A$15,0)),"")</f>
        <v/>
      </c>
      <c r="AC230" s="14">
        <f>IFERROR(INDEX(Venues!$N$2:$N$15,MATCH(X230,Venues!$A$2:$A$15,0)),"5-a-side")</f>
        <v/>
      </c>
      <c r="AD230" s="16">
        <f>IF(Offer!$C$4="","",Offer!$C$4)</f>
        <v/>
      </c>
      <c r="AE230" s="14">
        <f>X230&amp;" ("&amp;Y230&amp;" min walk) · "&amp;IF(ISNUMBER(AB230),TEXT(AB230,"ddd d mmm, hh:mm"),"slot to confirm with venue")&amp;" · "&amp;AC230&amp;" · "&amp;IF(AD230&lt;&gt;"","£"&amp;TEXT(AD230,"0.00")&amp;" pp","price TBC")</f>
        <v/>
      </c>
      <c r="AF230" s="14">
        <f>"After-work football for "&amp;F230&amp;" · "&amp;X230&amp;", "&amp;Y230&amp;" min from your office"</f>
        <v/>
      </c>
      <c r="AG230" s="14">
        <f>"Hi"&amp;IF(O230&lt;&gt;""," "&amp;O230,"")&amp;","&amp;CHAR(10)&amp;CHAR(10)&amp;"I'm "&amp;IF(AL230&lt;&gt;"",AL230,IF(Offer!$C$5&lt;&gt;"",Offer!$C$5,"[NAME]"))&amp;" from FC Urban. We organise after-work football for teams in the City and Canary Wharf."&amp;CHAR(10)&amp;CHAR(10)&amp;"We have a "&amp;AC230&amp;" pitch at "&amp;X230&amp;", "&amp;IF(OR(Y230=8,Y230=11,Y230=18),"an ","a ")&amp;Y230&amp;"-minute walk from your "&amp;M230&amp;" office, "&amp;IF(ISNUMBER(AB230),"on "&amp;TEXT(AB230,"dddd d mmmm")&amp;" at "&amp;TEXT(AB230,"hh:mm"),"on a weekday evening that suits your team")&amp;". It's "&amp;IF(AD230&lt;&gt;"","£"&amp;IF(AD230=INT(AD230),TEXT(AD230,"0"),TEXT(AD230,"0.00")),"[PRICE PER PLAYER]")&amp;" a player and we handle the pitch booking, sign-ups and payments, so all it takes is one person sharing a link with the team."&amp;CHAR(10)&amp;CHAR(10)&amp;"It works well as a team social or "&amp;IF(ISNUMBER(SEARCH(LEFT(F230,1),"AEIOU")),"an ","a ")&amp;F230&amp;"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LINK]")&amp;CHAR(10)&amp;CHAR(10)&amp;"Best,"&amp;CHAR(10)&amp;IF(AL230&lt;&gt;"",AL230,IF(Offer!$C$5&lt;&gt;"",Offer!$C$5,"[NAME]"))&amp;CHAR(10)&amp;"FC Urban"</f>
        <v/>
      </c>
      <c r="AH230" s="14">
        <f>IF(LEN("Hi"&amp;IF(O230&lt;&gt;""," "&amp;O230,"")&amp;","&amp;" FC Urban runs after-work football for "&amp;IF(D230="Canary Wharf","Canary Wharf","City")&amp;" teams. We have a "&amp;AC230&amp;" pitch at "&amp;X230&amp;", "&amp;Y230&amp;" min from your office, "&amp;IF(ISNUMBER(AB230),TEXT(AB230,"ddd d mmm")&amp;", "&amp;TEXT(AB230,"hh:mm"),"weekday evenings")&amp;", "&amp;IF(AD230&lt;&gt;"","£"&amp;IF(AD230=INT(AD230),TEXT(AD230,"0"),TEXT(AD230,"0.00")),"[PRICE PER PLAYER]")&amp;" a player. We handle booking, sign-ups and payments. Fancy "&amp;IF(ISNUMBER(SEARCH(LEFT(F230,1),"AEIOU")),"an ","a ")&amp;F230&amp;" team game? "&amp;IF(AL230&lt;&gt;"",AL230,IF(Offer!$C$5&lt;&gt;"",Offer!$C$5,"[NAME]")))&lt;=300,"Hi"&amp;IF(O230&lt;&gt;""," "&amp;O230,"")&amp;","&amp;" FC Urban runs after-work football for "&amp;IF(D230="Canary Wharf","Canary Wharf","City")&amp;" teams. We have a "&amp;AC230&amp;" pitch at "&amp;X230&amp;", "&amp;Y230&amp;" min from your office, "&amp;IF(ISNUMBER(AB230),TEXT(AB230,"ddd d mmm")&amp;", "&amp;TEXT(AB230,"hh:mm"),"weekday evenings")&amp;", "&amp;IF(AD230&lt;&gt;"","£"&amp;IF(AD230=INT(AD230),TEXT(AD230,"0"),TEXT(AD230,"0.00")),"[PRICE PER PLAYER]")&amp;" a player. We handle booking, sign-ups and payments. Fancy "&amp;IF(ISNUMBER(SEARCH(LEFT(F230,1),"AEIOU")),"an ","a ")&amp;F230&amp;" team game? "&amp;IF(AL230&lt;&gt;"",AL230,IF(Offer!$C$5&lt;&gt;"",Offer!$C$5,"[NAME]")),LEFT("Hi"&amp;IF(O230&lt;&gt;""," "&amp;O230,"")&amp;","&amp;" FC Urban runs after-work football for "&amp;IF(D230="Canary Wharf","Canary Wharf","City")&amp;" teams: "&amp;AC230&amp;" at "&amp;X230&amp;", "&amp;Y230&amp;" min from your office, "&amp;IF(ISNUMBER(AB230),TEXT(AB230,"ddd d mmm")&amp;", "&amp;TEXT(AB230,"hh:mm"),"weekday evenings")&amp;", "&amp;IF(AD230&lt;&gt;"","£"&amp;IF(AD230=INT(AD230),TEXT(AD230,"0"),TEXT(AD230,"0.00")),"[PRICE PER PLAYER]")&amp;" pp. We handle booking and payments. Up for a team game? "&amp;IF(AL230&lt;&gt;"",AL230,IF(Offer!$C$5&lt;&gt;"",Offer!$C$5,"[NAME]")),300))</f>
        <v/>
      </c>
      <c r="AI230" s="14">
        <f>LEN(AH230)</f>
        <v/>
      </c>
      <c r="AJ230" s="14">
        <f>"Thanks for connecting"&amp;IF(O230&lt;&gt;"",", "&amp;O230,"")&amp;". "&amp;IF(ISNUMBER(AB230),"The "&amp;AC230&amp;" slot at "&amp;X230&amp;" is "&amp;IF(ISNUMBER(AB230),TEXT(AB230,"ddd d mmm")&amp;", "&amp;TEXT(AB230,"hh:mm"),"weekday evenings"),"We can book "&amp;AC230&amp;" at "&amp;X230&amp;" on a weekday evening that suits you")&amp;" and it's "&amp;IF(AD230&lt;&gt;"","£"&amp;IF(AD230=INT(AD230),TEXT(AD230,"0"),TEXT(AD230,"0.00")),"[PRICE PER PLAYER]")&amp;" a player, all booked and paid through one link. If football isn't your thing, who at "&amp;F230&amp;" would be the right person to organise a team game?"&amp;IF(Offer!$C$7&lt;&gt;""," Spots are held until "&amp;TEXT(Offer!$C$7,"dddd d mmmm")&amp;".","")&amp;" "&amp;IF(Offer!$C$6&lt;&gt;"",Offer!$C$6,"[JOINING LINK]")</f>
        <v/>
      </c>
      <c r="AK230" s="14">
        <f>IF(OR(ISNUMBER(SEARCH("[",AG230)),ISNUMBER(SEARCH("[",AJ230))),"Fill placeholders",IF(ISNUMBER(AB230),"Ready to send","Ready · no fixed slot"))</f>
        <v/>
      </c>
      <c r="AN230" s="17" t="n"/>
    </row>
    <row r="231">
      <c r="A231" s="11" t="n">
        <v>229</v>
      </c>
      <c r="B231" s="11" t="n">
        <v>3</v>
      </c>
      <c r="C231" s="11" t="inlineStr">
        <is>
          <t>Insurance / broker</t>
        </is>
      </c>
      <c r="D231" s="11" t="inlineStr">
        <is>
          <t>City of London</t>
        </is>
      </c>
      <c r="E231" s="11" t="inlineStr">
        <is>
          <t>Hamilton Managing Agency Limited</t>
        </is>
      </c>
      <c r="F231" s="11" t="inlineStr">
        <is>
          <t>Hamilton Managing Agency</t>
        </is>
      </c>
      <c r="G231" s="11" t="inlineStr">
        <is>
          <t>05832065</t>
        </is>
      </c>
      <c r="H231" s="12" t="inlineStr">
        <is>
          <t>Open</t>
        </is>
      </c>
      <c r="I231" s="12" t="inlineStr">
        <is>
          <t>Search</t>
        </is>
      </c>
      <c r="J231" s="11" t="inlineStr">
        <is>
          <t>Full</t>
        </is>
      </c>
      <c r="K231" s="13" t="n">
        <v>38867</v>
      </c>
      <c r="L231" s="11" t="inlineStr">
        <is>
          <t>Level 3, 8 Fenchurch Place, London</t>
        </is>
      </c>
      <c r="M231" s="11" t="inlineStr">
        <is>
          <t>EC3M 4AJ</t>
        </is>
      </c>
      <c r="N231" s="11" t="inlineStr">
        <is>
          <t>No</t>
        </is>
      </c>
      <c r="U231" s="11" t="inlineStr">
        <is>
          <t>Liverpool St - Attlee Centre</t>
        </is>
      </c>
      <c r="V231" s="11" t="n">
        <v>13</v>
      </c>
      <c r="W231" s="11" t="n"/>
      <c r="X231" s="11" t="inlineStr">
        <is>
          <t>Liverpool St - Attlee Centre</t>
        </is>
      </c>
      <c r="Y231" s="11" t="n">
        <v>13</v>
      </c>
      <c r="Z231" s="14">
        <f>IFERROR(INDEX(Venues!$E$2:$E$15,MATCH(X231,Venues!$A$2:$A$15,0)),"Not checked")</f>
        <v/>
      </c>
      <c r="AA231" s="14">
        <f>IFERROR(INDEX(Venues!$F$2:$F$15,MATCH(X231,Venues!$A$2:$A$15,0)),0)</f>
        <v/>
      </c>
      <c r="AB231" s="15">
        <f>IFERROR(INDEX(Venues!$M$2:$M$15,MATCH(X231,Venues!$A$2:$A$15,0)),"")</f>
        <v/>
      </c>
      <c r="AC231" s="14">
        <f>IFERROR(INDEX(Venues!$N$2:$N$15,MATCH(X231,Venues!$A$2:$A$15,0)),"5-a-side")</f>
        <v/>
      </c>
      <c r="AD231" s="16">
        <f>IF(Offer!$C$4="","",Offer!$C$4)</f>
        <v/>
      </c>
      <c r="AE231" s="14">
        <f>X231&amp;" ("&amp;Y231&amp;" min walk) · "&amp;IF(ISNUMBER(AB231),TEXT(AB231,"ddd d mmm, hh:mm"),"slot to confirm with venue")&amp;" · "&amp;AC231&amp;" · "&amp;IF(AD231&lt;&gt;"","£"&amp;TEXT(AD231,"0.00")&amp;" pp","price TBC")</f>
        <v/>
      </c>
      <c r="AF231" s="14">
        <f>"After-work football for "&amp;F231&amp;" · "&amp;X231&amp;", "&amp;Y231&amp;" min from your office"</f>
        <v/>
      </c>
      <c r="AG231" s="14">
        <f>"Hi"&amp;IF(O231&lt;&gt;""," "&amp;O231,"")&amp;","&amp;CHAR(10)&amp;CHAR(10)&amp;"I'm "&amp;IF(AL231&lt;&gt;"",AL231,IF(Offer!$C$5&lt;&gt;"",Offer!$C$5,"[NAME]"))&amp;" from FC Urban. We organise after-work football for teams in the City and Canary Wharf."&amp;CHAR(10)&amp;CHAR(10)&amp;"We have a "&amp;AC231&amp;" pitch at "&amp;X231&amp;", "&amp;IF(OR(Y231=8,Y231=11,Y231=18),"an ","a ")&amp;Y231&amp;"-minute walk from your "&amp;M231&amp;" office, "&amp;IF(ISNUMBER(AB231),"on "&amp;TEXT(AB231,"dddd d mmmm")&amp;" at "&amp;TEXT(AB231,"hh:mm"),"on a weekday evening that suits your team")&amp;". It's "&amp;IF(AD231&lt;&gt;"","£"&amp;IF(AD231=INT(AD231),TEXT(AD231,"0"),TEXT(AD231,"0.00")),"[PRICE PER PLAYER]")&amp;" a player and we handle the pitch booking, sign-ups and payments, so all it takes is one person sharing a link with the team."&amp;CHAR(10)&amp;CHAR(10)&amp;"It works well as a team social or "&amp;IF(ISNUMBER(SEARCH(LEFT(F231,1),"AEIOU")),"an ","a ")&amp;F231&amp;"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LINK]")&amp;CHAR(10)&amp;CHAR(10)&amp;"Best,"&amp;CHAR(10)&amp;IF(AL231&lt;&gt;"",AL231,IF(Offer!$C$5&lt;&gt;"",Offer!$C$5,"[NAME]"))&amp;CHAR(10)&amp;"FC Urban"</f>
        <v/>
      </c>
      <c r="AH231" s="14">
        <f>IF(LEN("Hi"&amp;IF(O231&lt;&gt;""," "&amp;O231,"")&amp;","&amp;" FC Urban runs after-work football for "&amp;IF(D231="Canary Wharf","Canary Wharf","City")&amp;" teams. We have a "&amp;AC231&amp;" pitch at "&amp;X231&amp;", "&amp;Y231&amp;" min from your office, "&amp;IF(ISNUMBER(AB231),TEXT(AB231,"ddd d mmm")&amp;", "&amp;TEXT(AB231,"hh:mm"),"weekday evenings")&amp;", "&amp;IF(AD231&lt;&gt;"","£"&amp;IF(AD231=INT(AD231),TEXT(AD231,"0"),TEXT(AD231,"0.00")),"[PRICE PER PLAYER]")&amp;" a player. We handle booking, sign-ups and payments. Fancy "&amp;IF(ISNUMBER(SEARCH(LEFT(F231,1),"AEIOU")),"an ","a ")&amp;F231&amp;" team game? "&amp;IF(AL231&lt;&gt;"",AL231,IF(Offer!$C$5&lt;&gt;"",Offer!$C$5,"[NAME]")))&lt;=300,"Hi"&amp;IF(O231&lt;&gt;""," "&amp;O231,"")&amp;","&amp;" FC Urban runs after-work football for "&amp;IF(D231="Canary Wharf","Canary Wharf","City")&amp;" teams. We have a "&amp;AC231&amp;" pitch at "&amp;X231&amp;", "&amp;Y231&amp;" min from your office, "&amp;IF(ISNUMBER(AB231),TEXT(AB231,"ddd d mmm")&amp;", "&amp;TEXT(AB231,"hh:mm"),"weekday evenings")&amp;", "&amp;IF(AD231&lt;&gt;"","£"&amp;IF(AD231=INT(AD231),TEXT(AD231,"0"),TEXT(AD231,"0.00")),"[PRICE PER PLAYER]")&amp;" a player. We handle booking, sign-ups and payments. Fancy "&amp;IF(ISNUMBER(SEARCH(LEFT(F231,1),"AEIOU")),"an ","a ")&amp;F231&amp;" team game? "&amp;IF(AL231&lt;&gt;"",AL231,IF(Offer!$C$5&lt;&gt;"",Offer!$C$5,"[NAME]")),LEFT("Hi"&amp;IF(O231&lt;&gt;""," "&amp;O231,"")&amp;","&amp;" FC Urban runs after-work football for "&amp;IF(D231="Canary Wharf","Canary Wharf","City")&amp;" teams: "&amp;AC231&amp;" at "&amp;X231&amp;", "&amp;Y231&amp;" min from your office, "&amp;IF(ISNUMBER(AB231),TEXT(AB231,"ddd d mmm")&amp;", "&amp;TEXT(AB231,"hh:mm"),"weekday evenings")&amp;", "&amp;IF(AD231&lt;&gt;"","£"&amp;IF(AD231=INT(AD231),TEXT(AD231,"0"),TEXT(AD231,"0.00")),"[PRICE PER PLAYER]")&amp;" pp. We handle booking and payments. Up for a team game? "&amp;IF(AL231&lt;&gt;"",AL231,IF(Offer!$C$5&lt;&gt;"",Offer!$C$5,"[NAME]")),300))</f>
        <v/>
      </c>
      <c r="AI231" s="14">
        <f>LEN(AH231)</f>
        <v/>
      </c>
      <c r="AJ231" s="14">
        <f>"Thanks for connecting"&amp;IF(O231&lt;&gt;"",", "&amp;O231,"")&amp;". "&amp;IF(ISNUMBER(AB231),"The "&amp;AC231&amp;" slot at "&amp;X231&amp;" is "&amp;IF(ISNUMBER(AB231),TEXT(AB231,"ddd d mmm")&amp;", "&amp;TEXT(AB231,"hh:mm"),"weekday evenings"),"We can book "&amp;AC231&amp;" at "&amp;X231&amp;" on a weekday evening that suits you")&amp;" and it's "&amp;IF(AD231&lt;&gt;"","£"&amp;IF(AD231=INT(AD231),TEXT(AD231,"0"),TEXT(AD231,"0.00")),"[PRICE PER PLAYER]")&amp;" a player, all booked and paid through one link. If football isn't your thing, who at "&amp;F231&amp;" would be the right person to organise a team game?"&amp;IF(Offer!$C$7&lt;&gt;""," Spots are held until "&amp;TEXT(Offer!$C$7,"dddd d mmmm")&amp;".","")&amp;" "&amp;IF(Offer!$C$6&lt;&gt;"",Offer!$C$6,"[JOINING LINK]")</f>
        <v/>
      </c>
      <c r="AK231" s="14">
        <f>IF(OR(ISNUMBER(SEARCH("[",AG231)),ISNUMBER(SEARCH("[",AJ231))),"Fill placeholders",IF(ISNUMBER(AB231),"Ready to send","Ready · no fixed slot"))</f>
        <v/>
      </c>
      <c r="AN231" s="17" t="n"/>
    </row>
    <row r="232">
      <c r="A232" s="11" t="n">
        <v>230</v>
      </c>
      <c r="B232" s="11" t="n">
        <v>3</v>
      </c>
      <c r="C232" s="11" t="inlineStr">
        <is>
          <t>Fund / asset manager</t>
        </is>
      </c>
      <c r="D232" s="11" t="inlineStr">
        <is>
          <t>City of London</t>
        </is>
      </c>
      <c r="E232" s="11" t="inlineStr">
        <is>
          <t>Smart Investment Management Limited</t>
        </is>
      </c>
      <c r="F232" s="11" t="inlineStr">
        <is>
          <t>Smart Investment Management</t>
        </is>
      </c>
      <c r="G232" s="11" t="inlineStr">
        <is>
          <t>08704800</t>
        </is>
      </c>
      <c r="H232" s="12" t="inlineStr">
        <is>
          <t>Open</t>
        </is>
      </c>
      <c r="I232" s="12" t="inlineStr">
        <is>
          <t>Search</t>
        </is>
      </c>
      <c r="J232" s="11" t="inlineStr">
        <is>
          <t>Full</t>
        </is>
      </c>
      <c r="K232" s="13" t="n">
        <v>41542</v>
      </c>
      <c r="L232" s="11" t="inlineStr">
        <is>
          <t>1 Oliver'S Yard, 55-71 City Road, London</t>
        </is>
      </c>
      <c r="M232" s="11" t="inlineStr">
        <is>
          <t>EC1Y 1HQ</t>
        </is>
      </c>
      <c r="N232" s="11" t="inlineStr">
        <is>
          <t>No</t>
        </is>
      </c>
      <c r="U232" s="11" t="inlineStr">
        <is>
          <t>Shoreditch Powerleague</t>
        </is>
      </c>
      <c r="V232" s="11" t="n">
        <v>13</v>
      </c>
      <c r="W232" s="11" t="inlineStr">
        <is>
          <t>Old St - Moreland Primary School (15); Shoreditch Rooftop (18.9)</t>
        </is>
      </c>
      <c r="X232" s="11" t="inlineStr">
        <is>
          <t>Shoreditch Powerleague</t>
        </is>
      </c>
      <c r="Y232" s="11" t="n">
        <v>13</v>
      </c>
      <c r="Z232" s="14">
        <f>IFERROR(INDEX(Venues!$E$2:$E$15,MATCH(X232,Venues!$A$2:$A$15,0)),"Not checked")</f>
        <v/>
      </c>
      <c r="AA232" s="14">
        <f>IFERROR(INDEX(Venues!$F$2:$F$15,MATCH(X232,Venues!$A$2:$A$15,0)),0)</f>
        <v/>
      </c>
      <c r="AB232" s="15">
        <f>IFERROR(INDEX(Venues!$M$2:$M$15,MATCH(X232,Venues!$A$2:$A$15,0)),"")</f>
        <v/>
      </c>
      <c r="AC232" s="14">
        <f>IFERROR(INDEX(Venues!$N$2:$N$15,MATCH(X232,Venues!$A$2:$A$15,0)),"5-a-side")</f>
        <v/>
      </c>
      <c r="AD232" s="16">
        <f>IF(Offer!$C$4="","",Offer!$C$4)</f>
        <v/>
      </c>
      <c r="AE232" s="14">
        <f>X232&amp;" ("&amp;Y232&amp;" min walk) · "&amp;IF(ISNUMBER(AB232),TEXT(AB232,"ddd d mmm, hh:mm"),"slot to confirm with venue")&amp;" · "&amp;AC232&amp;" · "&amp;IF(AD232&lt;&gt;"","£"&amp;TEXT(AD232,"0.00")&amp;" pp","price TBC")</f>
        <v/>
      </c>
      <c r="AF232" s="14">
        <f>"After-work football for "&amp;F232&amp;" · "&amp;X232&amp;", "&amp;Y232&amp;" min from your office"</f>
        <v/>
      </c>
      <c r="AG232" s="14">
        <f>"Hi"&amp;IF(O232&lt;&gt;""," "&amp;O232,"")&amp;","&amp;CHAR(10)&amp;CHAR(10)&amp;"I'm "&amp;IF(AL232&lt;&gt;"",AL232,IF(Offer!$C$5&lt;&gt;"",Offer!$C$5,"[NAME]"))&amp;" from FC Urban. We organise after-work football for teams in the City and Canary Wharf."&amp;CHAR(10)&amp;CHAR(10)&amp;"We have a "&amp;AC232&amp;" pitch at "&amp;X232&amp;", "&amp;IF(OR(Y232=8,Y232=11,Y232=18),"an ","a ")&amp;Y232&amp;"-minute walk from your "&amp;M232&amp;" office, "&amp;IF(ISNUMBER(AB232),"on "&amp;TEXT(AB232,"dddd d mmmm")&amp;" at "&amp;TEXT(AB232,"hh:mm"),"on a weekday evening that suits your team")&amp;". It's "&amp;IF(AD232&lt;&gt;"","£"&amp;IF(AD232=INT(AD232),TEXT(AD232,"0"),TEXT(AD232,"0.00")),"[PRICE PER PLAYER]")&amp;" a player and we handle the pitch booking, sign-ups and payments, so all it takes is one person sharing a link with the team."&amp;CHAR(10)&amp;CHAR(10)&amp;"It works well as a team social or "&amp;IF(ISNUMBER(SEARCH(LEFT(F232,1),"AEIOU")),"an ","a ")&amp;F232&amp;"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LINK]")&amp;CHAR(10)&amp;CHAR(10)&amp;"Best,"&amp;CHAR(10)&amp;IF(AL232&lt;&gt;"",AL232,IF(Offer!$C$5&lt;&gt;"",Offer!$C$5,"[NAME]"))&amp;CHAR(10)&amp;"FC Urban"</f>
        <v/>
      </c>
      <c r="AH232" s="14">
        <f>IF(LEN("Hi"&amp;IF(O232&lt;&gt;""," "&amp;O232,"")&amp;","&amp;" FC Urban runs after-work football for "&amp;IF(D232="Canary Wharf","Canary Wharf","City")&amp;" teams. We have a "&amp;AC232&amp;" pitch at "&amp;X232&amp;", "&amp;Y232&amp;" min from your office, "&amp;IF(ISNUMBER(AB232),TEXT(AB232,"ddd d mmm")&amp;", "&amp;TEXT(AB232,"hh:mm"),"weekday evenings")&amp;", "&amp;IF(AD232&lt;&gt;"","£"&amp;IF(AD232=INT(AD232),TEXT(AD232,"0"),TEXT(AD232,"0.00")),"[PRICE PER PLAYER]")&amp;" a player. We handle booking, sign-ups and payments. Fancy "&amp;IF(ISNUMBER(SEARCH(LEFT(F232,1),"AEIOU")),"an ","a ")&amp;F232&amp;" team game? "&amp;IF(AL232&lt;&gt;"",AL232,IF(Offer!$C$5&lt;&gt;"",Offer!$C$5,"[NAME]")))&lt;=300,"Hi"&amp;IF(O232&lt;&gt;""," "&amp;O232,"")&amp;","&amp;" FC Urban runs after-work football for "&amp;IF(D232="Canary Wharf","Canary Wharf","City")&amp;" teams. We have a "&amp;AC232&amp;" pitch at "&amp;X232&amp;", "&amp;Y232&amp;" min from your office, "&amp;IF(ISNUMBER(AB232),TEXT(AB232,"ddd d mmm")&amp;", "&amp;TEXT(AB232,"hh:mm"),"weekday evenings")&amp;", "&amp;IF(AD232&lt;&gt;"","£"&amp;IF(AD232=INT(AD232),TEXT(AD232,"0"),TEXT(AD232,"0.00")),"[PRICE PER PLAYER]")&amp;" a player. We handle booking, sign-ups and payments. Fancy "&amp;IF(ISNUMBER(SEARCH(LEFT(F232,1),"AEIOU")),"an ","a ")&amp;F232&amp;" team game? "&amp;IF(AL232&lt;&gt;"",AL232,IF(Offer!$C$5&lt;&gt;"",Offer!$C$5,"[NAME]")),LEFT("Hi"&amp;IF(O232&lt;&gt;""," "&amp;O232,"")&amp;","&amp;" FC Urban runs after-work football for "&amp;IF(D232="Canary Wharf","Canary Wharf","City")&amp;" teams: "&amp;AC232&amp;" at "&amp;X232&amp;", "&amp;Y232&amp;" min from your office, "&amp;IF(ISNUMBER(AB232),TEXT(AB232,"ddd d mmm")&amp;", "&amp;TEXT(AB232,"hh:mm"),"weekday evenings")&amp;", "&amp;IF(AD232&lt;&gt;"","£"&amp;IF(AD232=INT(AD232),TEXT(AD232,"0"),TEXT(AD232,"0.00")),"[PRICE PER PLAYER]")&amp;" pp. We handle booking and payments. Up for a team game? "&amp;IF(AL232&lt;&gt;"",AL232,IF(Offer!$C$5&lt;&gt;"",Offer!$C$5,"[NAME]")),300))</f>
        <v/>
      </c>
      <c r="AI232" s="14">
        <f>LEN(AH232)</f>
        <v/>
      </c>
      <c r="AJ232" s="14">
        <f>"Thanks for connecting"&amp;IF(O232&lt;&gt;"",", "&amp;O232,"")&amp;". "&amp;IF(ISNUMBER(AB232),"The "&amp;AC232&amp;" slot at "&amp;X232&amp;" is "&amp;IF(ISNUMBER(AB232),TEXT(AB232,"ddd d mmm")&amp;", "&amp;TEXT(AB232,"hh:mm"),"weekday evenings"),"We can book "&amp;AC232&amp;" at "&amp;X232&amp;" on a weekday evening that suits you")&amp;" and it's "&amp;IF(AD232&lt;&gt;"","£"&amp;IF(AD232=INT(AD232),TEXT(AD232,"0"),TEXT(AD232,"0.00")),"[PRICE PER PLAYER]")&amp;" a player, all booked and paid through one link. If football isn't your thing, who at "&amp;F232&amp;" would be the right person to organise a team game?"&amp;IF(Offer!$C$7&lt;&gt;""," Spots are held until "&amp;TEXT(Offer!$C$7,"dddd d mmmm")&amp;".","")&amp;" "&amp;IF(Offer!$C$6&lt;&gt;"",Offer!$C$6,"[JOINING LINK]")</f>
        <v/>
      </c>
      <c r="AK232" s="14">
        <f>IF(OR(ISNUMBER(SEARCH("[",AG232)),ISNUMBER(SEARCH("[",AJ232))),"Fill placeholders",IF(ISNUMBER(AB232),"Ready to send","Ready · no fixed slot"))</f>
        <v/>
      </c>
      <c r="AN232" s="17" t="n"/>
    </row>
    <row r="233">
      <c r="A233" s="11" t="n">
        <v>231</v>
      </c>
      <c r="B233" s="11" t="n">
        <v>3</v>
      </c>
      <c r="C233" s="11" t="inlineStr">
        <is>
          <t>Insurance / broker</t>
        </is>
      </c>
      <c r="D233" s="11" t="inlineStr">
        <is>
          <t>City of London</t>
        </is>
      </c>
      <c r="E233" s="11" t="inlineStr">
        <is>
          <t>Hunter George &amp; Partners Limited</t>
        </is>
      </c>
      <c r="F233" s="11" t="inlineStr">
        <is>
          <t>Hunter George &amp; Partners</t>
        </is>
      </c>
      <c r="G233" s="11" t="inlineStr">
        <is>
          <t>08699396</t>
        </is>
      </c>
      <c r="H233" s="12" t="inlineStr">
        <is>
          <t>Open</t>
        </is>
      </c>
      <c r="I233" s="12" t="inlineStr">
        <is>
          <t>Search</t>
        </is>
      </c>
      <c r="J233" s="11" t="inlineStr">
        <is>
          <t>Full</t>
        </is>
      </c>
      <c r="K233" s="13" t="n">
        <v>41537</v>
      </c>
      <c r="L233" s="11" t="inlineStr">
        <is>
          <t>6Th Floor, 25 Fenchurch Avenue, London</t>
        </is>
      </c>
      <c r="M233" s="11" t="inlineStr">
        <is>
          <t>EC3M 5AD</t>
        </is>
      </c>
      <c r="N233" s="11" t="inlineStr">
        <is>
          <t>No</t>
        </is>
      </c>
      <c r="U233" s="11" t="inlineStr">
        <is>
          <t>Liverpool St - Attlee Centre</t>
        </is>
      </c>
      <c r="V233" s="11" t="n">
        <v>13</v>
      </c>
      <c r="W233" s="11" t="n"/>
      <c r="X233" s="11" t="inlineStr">
        <is>
          <t>Liverpool St - Attlee Centre</t>
        </is>
      </c>
      <c r="Y233" s="11" t="n">
        <v>13</v>
      </c>
      <c r="Z233" s="14">
        <f>IFERROR(INDEX(Venues!$E$2:$E$15,MATCH(X233,Venues!$A$2:$A$15,0)),"Not checked")</f>
        <v/>
      </c>
      <c r="AA233" s="14">
        <f>IFERROR(INDEX(Venues!$F$2:$F$15,MATCH(X233,Venues!$A$2:$A$15,0)),0)</f>
        <v/>
      </c>
      <c r="AB233" s="15">
        <f>IFERROR(INDEX(Venues!$M$2:$M$15,MATCH(X233,Venues!$A$2:$A$15,0)),"")</f>
        <v/>
      </c>
      <c r="AC233" s="14">
        <f>IFERROR(INDEX(Venues!$N$2:$N$15,MATCH(X233,Venues!$A$2:$A$15,0)),"5-a-side")</f>
        <v/>
      </c>
      <c r="AD233" s="16">
        <f>IF(Offer!$C$4="","",Offer!$C$4)</f>
        <v/>
      </c>
      <c r="AE233" s="14">
        <f>X233&amp;" ("&amp;Y233&amp;" min walk) · "&amp;IF(ISNUMBER(AB233),TEXT(AB233,"ddd d mmm, hh:mm"),"slot to confirm with venue")&amp;" · "&amp;AC233&amp;" · "&amp;IF(AD233&lt;&gt;"","£"&amp;TEXT(AD233,"0.00")&amp;" pp","price TBC")</f>
        <v/>
      </c>
      <c r="AF233" s="14">
        <f>"After-work football for "&amp;F233&amp;" · "&amp;X233&amp;", "&amp;Y233&amp;" min from your office"</f>
        <v/>
      </c>
      <c r="AG233" s="14">
        <f>"Hi"&amp;IF(O233&lt;&gt;""," "&amp;O233,"")&amp;","&amp;CHAR(10)&amp;CHAR(10)&amp;"I'm "&amp;IF(AL233&lt;&gt;"",AL233,IF(Offer!$C$5&lt;&gt;"",Offer!$C$5,"[NAME]"))&amp;" from FC Urban. We organise after-work football for teams in the City and Canary Wharf."&amp;CHAR(10)&amp;CHAR(10)&amp;"We have a "&amp;AC233&amp;" pitch at "&amp;X233&amp;", "&amp;IF(OR(Y233=8,Y233=11,Y233=18),"an ","a ")&amp;Y233&amp;"-minute walk from your "&amp;M233&amp;" office, "&amp;IF(ISNUMBER(AB233),"on "&amp;TEXT(AB233,"dddd d mmmm")&amp;" at "&amp;TEXT(AB233,"hh:mm"),"on a weekday evening that suits your team")&amp;". It's "&amp;IF(AD233&lt;&gt;"","£"&amp;IF(AD233=INT(AD233),TEXT(AD233,"0"),TEXT(AD233,"0.00")),"[PRICE PER PLAYER]")&amp;" a player and we handle the pitch booking, sign-ups and payments, so all it takes is one person sharing a link with the team."&amp;CHAR(10)&amp;CHAR(10)&amp;"It works well as a team social or "&amp;IF(ISNUMBER(SEARCH(LEFT(F233,1),"AEIOU")),"an ","a ")&amp;F233&amp;"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LINK]")&amp;CHAR(10)&amp;CHAR(10)&amp;"Best,"&amp;CHAR(10)&amp;IF(AL233&lt;&gt;"",AL233,IF(Offer!$C$5&lt;&gt;"",Offer!$C$5,"[NAME]"))&amp;CHAR(10)&amp;"FC Urban"</f>
        <v/>
      </c>
      <c r="AH233" s="14">
        <f>IF(LEN("Hi"&amp;IF(O233&lt;&gt;""," "&amp;O233,"")&amp;","&amp;" FC Urban runs after-work football for "&amp;IF(D233="Canary Wharf","Canary Wharf","City")&amp;" teams. We have a "&amp;AC233&amp;" pitch at "&amp;X233&amp;", "&amp;Y233&amp;" min from your office, "&amp;IF(ISNUMBER(AB233),TEXT(AB233,"ddd d mmm")&amp;", "&amp;TEXT(AB233,"hh:mm"),"weekday evenings")&amp;", "&amp;IF(AD233&lt;&gt;"","£"&amp;IF(AD233=INT(AD233),TEXT(AD233,"0"),TEXT(AD233,"0.00")),"[PRICE PER PLAYER]")&amp;" a player. We handle booking, sign-ups and payments. Fancy "&amp;IF(ISNUMBER(SEARCH(LEFT(F233,1),"AEIOU")),"an ","a ")&amp;F233&amp;" team game? "&amp;IF(AL233&lt;&gt;"",AL233,IF(Offer!$C$5&lt;&gt;"",Offer!$C$5,"[NAME]")))&lt;=300,"Hi"&amp;IF(O233&lt;&gt;""," "&amp;O233,"")&amp;","&amp;" FC Urban runs after-work football for "&amp;IF(D233="Canary Wharf","Canary Wharf","City")&amp;" teams. We have a "&amp;AC233&amp;" pitch at "&amp;X233&amp;", "&amp;Y233&amp;" min from your office, "&amp;IF(ISNUMBER(AB233),TEXT(AB233,"ddd d mmm")&amp;", "&amp;TEXT(AB233,"hh:mm"),"weekday evenings")&amp;", "&amp;IF(AD233&lt;&gt;"","£"&amp;IF(AD233=INT(AD233),TEXT(AD233,"0"),TEXT(AD233,"0.00")),"[PRICE PER PLAYER]")&amp;" a player. We handle booking, sign-ups and payments. Fancy "&amp;IF(ISNUMBER(SEARCH(LEFT(F233,1),"AEIOU")),"an ","a ")&amp;F233&amp;" team game? "&amp;IF(AL233&lt;&gt;"",AL233,IF(Offer!$C$5&lt;&gt;"",Offer!$C$5,"[NAME]")),LEFT("Hi"&amp;IF(O233&lt;&gt;""," "&amp;O233,"")&amp;","&amp;" FC Urban runs after-work football for "&amp;IF(D233="Canary Wharf","Canary Wharf","City")&amp;" teams: "&amp;AC233&amp;" at "&amp;X233&amp;", "&amp;Y233&amp;" min from your office, "&amp;IF(ISNUMBER(AB233),TEXT(AB233,"ddd d mmm")&amp;", "&amp;TEXT(AB233,"hh:mm"),"weekday evenings")&amp;", "&amp;IF(AD233&lt;&gt;"","£"&amp;IF(AD233=INT(AD233),TEXT(AD233,"0"),TEXT(AD233,"0.00")),"[PRICE PER PLAYER]")&amp;" pp. We handle booking and payments. Up for a team game? "&amp;IF(AL233&lt;&gt;"",AL233,IF(Offer!$C$5&lt;&gt;"",Offer!$C$5,"[NAME]")),300))</f>
        <v/>
      </c>
      <c r="AI233" s="14">
        <f>LEN(AH233)</f>
        <v/>
      </c>
      <c r="AJ233" s="14">
        <f>"Thanks for connecting"&amp;IF(O233&lt;&gt;"",", "&amp;O233,"")&amp;". "&amp;IF(ISNUMBER(AB233),"The "&amp;AC233&amp;" slot at "&amp;X233&amp;" is "&amp;IF(ISNUMBER(AB233),TEXT(AB233,"ddd d mmm")&amp;", "&amp;TEXT(AB233,"hh:mm"),"weekday evenings"),"We can book "&amp;AC233&amp;" at "&amp;X233&amp;" on a weekday evening that suits you")&amp;" and it's "&amp;IF(AD233&lt;&gt;"","£"&amp;IF(AD233=INT(AD233),TEXT(AD233,"0"),TEXT(AD233,"0.00")),"[PRICE PER PLAYER]")&amp;" a player, all booked and paid through one link. If football isn't your thing, who at "&amp;F233&amp;" would be the right person to organise a team game?"&amp;IF(Offer!$C$7&lt;&gt;""," Spots are held until "&amp;TEXT(Offer!$C$7,"dddd d mmmm")&amp;".","")&amp;" "&amp;IF(Offer!$C$6&lt;&gt;"",Offer!$C$6,"[JOINING LINK]")</f>
        <v/>
      </c>
      <c r="AK233" s="14">
        <f>IF(OR(ISNUMBER(SEARCH("[",AG233)),ISNUMBER(SEARCH("[",AJ233))),"Fill placeholders",IF(ISNUMBER(AB233),"Ready to send","Ready · no fixed slot"))</f>
        <v/>
      </c>
      <c r="AN233" s="17" t="n"/>
    </row>
    <row r="234">
      <c r="A234" s="11" t="n">
        <v>232</v>
      </c>
      <c r="B234" s="11" t="n">
        <v>3</v>
      </c>
      <c r="C234" s="11" t="inlineStr">
        <is>
          <t>Insurance / broker</t>
        </is>
      </c>
      <c r="D234" s="11" t="inlineStr">
        <is>
          <t>City of London</t>
        </is>
      </c>
      <c r="E234" s="11" t="inlineStr">
        <is>
          <t>Ryan Specialty International Limited</t>
        </is>
      </c>
      <c r="F234" s="11" t="inlineStr">
        <is>
          <t>Ryan Specialty</t>
        </is>
      </c>
      <c r="G234" s="11" t="inlineStr">
        <is>
          <t>07164987</t>
        </is>
      </c>
      <c r="H234" s="12" t="inlineStr">
        <is>
          <t>Open</t>
        </is>
      </c>
      <c r="I234" s="12" t="inlineStr">
        <is>
          <t>Search</t>
        </is>
      </c>
      <c r="J234" s="11" t="inlineStr">
        <is>
          <t>Full</t>
        </is>
      </c>
      <c r="K234" s="13" t="n">
        <v>40231</v>
      </c>
      <c r="L234" s="11" t="inlineStr">
        <is>
          <t>6Th Floor, 25 Fenchurch Avenue, London</t>
        </is>
      </c>
      <c r="M234" s="11" t="inlineStr">
        <is>
          <t>EC3M 5AD</t>
        </is>
      </c>
      <c r="N234" s="11" t="inlineStr">
        <is>
          <t>No</t>
        </is>
      </c>
      <c r="U234" s="11" t="inlineStr">
        <is>
          <t>Liverpool St - Attlee Centre</t>
        </is>
      </c>
      <c r="V234" s="11" t="n">
        <v>13</v>
      </c>
      <c r="W234" s="11" t="n"/>
      <c r="X234" s="11" t="inlineStr">
        <is>
          <t>Liverpool St - Attlee Centre</t>
        </is>
      </c>
      <c r="Y234" s="11" t="n">
        <v>13</v>
      </c>
      <c r="Z234" s="14">
        <f>IFERROR(INDEX(Venues!$E$2:$E$15,MATCH(X234,Venues!$A$2:$A$15,0)),"Not checked")</f>
        <v/>
      </c>
      <c r="AA234" s="14">
        <f>IFERROR(INDEX(Venues!$F$2:$F$15,MATCH(X234,Venues!$A$2:$A$15,0)),0)</f>
        <v/>
      </c>
      <c r="AB234" s="15">
        <f>IFERROR(INDEX(Venues!$M$2:$M$15,MATCH(X234,Venues!$A$2:$A$15,0)),"")</f>
        <v/>
      </c>
      <c r="AC234" s="14">
        <f>IFERROR(INDEX(Venues!$N$2:$N$15,MATCH(X234,Venues!$A$2:$A$15,0)),"5-a-side")</f>
        <v/>
      </c>
      <c r="AD234" s="16">
        <f>IF(Offer!$C$4="","",Offer!$C$4)</f>
        <v/>
      </c>
      <c r="AE234" s="14">
        <f>X234&amp;" ("&amp;Y234&amp;" min walk) · "&amp;IF(ISNUMBER(AB234),TEXT(AB234,"ddd d mmm, hh:mm"),"slot to confirm with venue")&amp;" · "&amp;AC234&amp;" · "&amp;IF(AD234&lt;&gt;"","£"&amp;TEXT(AD234,"0.00")&amp;" pp","price TBC")</f>
        <v/>
      </c>
      <c r="AF234" s="14">
        <f>"After-work football for "&amp;F234&amp;" · "&amp;X234&amp;", "&amp;Y234&amp;" min from your office"</f>
        <v/>
      </c>
      <c r="AG234" s="14">
        <f>"Hi"&amp;IF(O234&lt;&gt;""," "&amp;O234,"")&amp;","&amp;CHAR(10)&amp;CHAR(10)&amp;"I'm "&amp;IF(AL234&lt;&gt;"",AL234,IF(Offer!$C$5&lt;&gt;"",Offer!$C$5,"[NAME]"))&amp;" from FC Urban. We organise after-work football for teams in the City and Canary Wharf."&amp;CHAR(10)&amp;CHAR(10)&amp;"We have a "&amp;AC234&amp;" pitch at "&amp;X234&amp;", "&amp;IF(OR(Y234=8,Y234=11,Y234=18),"an ","a ")&amp;Y234&amp;"-minute walk from your "&amp;M234&amp;" office, "&amp;IF(ISNUMBER(AB234),"on "&amp;TEXT(AB234,"dddd d mmmm")&amp;" at "&amp;TEXT(AB234,"hh:mm"),"on a weekday evening that suits your team")&amp;". It's "&amp;IF(AD234&lt;&gt;"","£"&amp;IF(AD234=INT(AD234),TEXT(AD234,"0"),TEXT(AD234,"0.00")),"[PRICE PER PLAYER]")&amp;" a player and we handle the pitch booking, sign-ups and payments, so all it takes is one person sharing a link with the team."&amp;CHAR(10)&amp;CHAR(10)&amp;"It works well as a team social or "&amp;IF(ISNUMBER(SEARCH(LEFT(F234,1),"AEIOU")),"an ","a ")&amp;F234&amp;"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LINK]")&amp;CHAR(10)&amp;CHAR(10)&amp;"Best,"&amp;CHAR(10)&amp;IF(AL234&lt;&gt;"",AL234,IF(Offer!$C$5&lt;&gt;"",Offer!$C$5,"[NAME]"))&amp;CHAR(10)&amp;"FC Urban"</f>
        <v/>
      </c>
      <c r="AH234" s="14">
        <f>IF(LEN("Hi"&amp;IF(O234&lt;&gt;""," "&amp;O234,"")&amp;","&amp;" FC Urban runs after-work football for "&amp;IF(D234="Canary Wharf","Canary Wharf","City")&amp;" teams. We have a "&amp;AC234&amp;" pitch at "&amp;X234&amp;", "&amp;Y234&amp;" min from your office, "&amp;IF(ISNUMBER(AB234),TEXT(AB234,"ddd d mmm")&amp;", "&amp;TEXT(AB234,"hh:mm"),"weekday evenings")&amp;", "&amp;IF(AD234&lt;&gt;"","£"&amp;IF(AD234=INT(AD234),TEXT(AD234,"0"),TEXT(AD234,"0.00")),"[PRICE PER PLAYER]")&amp;" a player. We handle booking, sign-ups and payments. Fancy "&amp;IF(ISNUMBER(SEARCH(LEFT(F234,1),"AEIOU")),"an ","a ")&amp;F234&amp;" team game? "&amp;IF(AL234&lt;&gt;"",AL234,IF(Offer!$C$5&lt;&gt;"",Offer!$C$5,"[NAME]")))&lt;=300,"Hi"&amp;IF(O234&lt;&gt;""," "&amp;O234,"")&amp;","&amp;" FC Urban runs after-work football for "&amp;IF(D234="Canary Wharf","Canary Wharf","City")&amp;" teams. We have a "&amp;AC234&amp;" pitch at "&amp;X234&amp;", "&amp;Y234&amp;" min from your office, "&amp;IF(ISNUMBER(AB234),TEXT(AB234,"ddd d mmm")&amp;", "&amp;TEXT(AB234,"hh:mm"),"weekday evenings")&amp;", "&amp;IF(AD234&lt;&gt;"","£"&amp;IF(AD234=INT(AD234),TEXT(AD234,"0"),TEXT(AD234,"0.00")),"[PRICE PER PLAYER]")&amp;" a player. We handle booking, sign-ups and payments. Fancy "&amp;IF(ISNUMBER(SEARCH(LEFT(F234,1),"AEIOU")),"an ","a ")&amp;F234&amp;" team game? "&amp;IF(AL234&lt;&gt;"",AL234,IF(Offer!$C$5&lt;&gt;"",Offer!$C$5,"[NAME]")),LEFT("Hi"&amp;IF(O234&lt;&gt;""," "&amp;O234,"")&amp;","&amp;" FC Urban runs after-work football for "&amp;IF(D234="Canary Wharf","Canary Wharf","City")&amp;" teams: "&amp;AC234&amp;" at "&amp;X234&amp;", "&amp;Y234&amp;" min from your office, "&amp;IF(ISNUMBER(AB234),TEXT(AB234,"ddd d mmm")&amp;", "&amp;TEXT(AB234,"hh:mm"),"weekday evenings")&amp;", "&amp;IF(AD234&lt;&gt;"","£"&amp;IF(AD234=INT(AD234),TEXT(AD234,"0"),TEXT(AD234,"0.00")),"[PRICE PER PLAYER]")&amp;" pp. We handle booking and payments. Up for a team game? "&amp;IF(AL234&lt;&gt;"",AL234,IF(Offer!$C$5&lt;&gt;"",Offer!$C$5,"[NAME]")),300))</f>
        <v/>
      </c>
      <c r="AI234" s="14">
        <f>LEN(AH234)</f>
        <v/>
      </c>
      <c r="AJ234" s="14">
        <f>"Thanks for connecting"&amp;IF(O234&lt;&gt;"",", "&amp;O234,"")&amp;". "&amp;IF(ISNUMBER(AB234),"The "&amp;AC234&amp;" slot at "&amp;X234&amp;" is "&amp;IF(ISNUMBER(AB234),TEXT(AB234,"ddd d mmm")&amp;", "&amp;TEXT(AB234,"hh:mm"),"weekday evenings"),"We can book "&amp;AC234&amp;" at "&amp;X234&amp;" on a weekday evening that suits you")&amp;" and it's "&amp;IF(AD234&lt;&gt;"","£"&amp;IF(AD234=INT(AD234),TEXT(AD234,"0"),TEXT(AD234,"0.00")),"[PRICE PER PLAYER]")&amp;" a player, all booked and paid through one link. If football isn't your thing, who at "&amp;F234&amp;" would be the right person to organise a team game?"&amp;IF(Offer!$C$7&lt;&gt;""," Spots are held until "&amp;TEXT(Offer!$C$7,"dddd d mmmm")&amp;".","")&amp;" "&amp;IF(Offer!$C$6&lt;&gt;"",Offer!$C$6,"[JOINING LINK]")</f>
        <v/>
      </c>
      <c r="AK234" s="14">
        <f>IF(OR(ISNUMBER(SEARCH("[",AG234)),ISNUMBER(SEARCH("[",AJ234))),"Fill placeholders",IF(ISNUMBER(AB234),"Ready to send","Ready · no fixed slot"))</f>
        <v/>
      </c>
      <c r="AN234" s="17" t="n"/>
    </row>
    <row r="235">
      <c r="A235" s="11" t="n">
        <v>233</v>
      </c>
      <c r="B235" s="11" t="n">
        <v>3</v>
      </c>
      <c r="C235" s="11" t="inlineStr">
        <is>
          <t>Insurance / broker</t>
        </is>
      </c>
      <c r="D235" s="11" t="inlineStr">
        <is>
          <t>City of London</t>
        </is>
      </c>
      <c r="E235" s="11" t="inlineStr">
        <is>
          <t>Starr Underwriting Agents Limited</t>
        </is>
      </c>
      <c r="F235" s="11" t="inlineStr">
        <is>
          <t>Starr Underwriting Agents</t>
        </is>
      </c>
      <c r="G235" s="11" t="inlineStr">
        <is>
          <t>02973661</t>
        </is>
      </c>
      <c r="H235" s="12" t="inlineStr">
        <is>
          <t>Open</t>
        </is>
      </c>
      <c r="I235" s="12" t="inlineStr">
        <is>
          <t>Search</t>
        </is>
      </c>
      <c r="J235" s="11" t="inlineStr">
        <is>
          <t>Full</t>
        </is>
      </c>
      <c r="K235" s="13" t="n">
        <v>34612</v>
      </c>
      <c r="L235" s="11" t="inlineStr">
        <is>
          <t>30 Fenchurch Avenue, London</t>
        </is>
      </c>
      <c r="M235" s="11" t="inlineStr">
        <is>
          <t>EC3M 5AD</t>
        </is>
      </c>
      <c r="N235" s="11" t="inlineStr">
        <is>
          <t>Yes</t>
        </is>
      </c>
      <c r="U235" s="11" t="inlineStr">
        <is>
          <t>Liverpool St - Attlee Centre</t>
        </is>
      </c>
      <c r="V235" s="11" t="n">
        <v>13</v>
      </c>
      <c r="W235" s="11" t="n"/>
      <c r="X235" s="11" t="inlineStr">
        <is>
          <t>Liverpool St - Attlee Centre</t>
        </is>
      </c>
      <c r="Y235" s="11" t="n">
        <v>13</v>
      </c>
      <c r="Z235" s="14">
        <f>IFERROR(INDEX(Venues!$E$2:$E$15,MATCH(X235,Venues!$A$2:$A$15,0)),"Not checked")</f>
        <v/>
      </c>
      <c r="AA235" s="14">
        <f>IFERROR(INDEX(Venues!$F$2:$F$15,MATCH(X235,Venues!$A$2:$A$15,0)),0)</f>
        <v/>
      </c>
      <c r="AB235" s="15">
        <f>IFERROR(INDEX(Venues!$M$2:$M$15,MATCH(X235,Venues!$A$2:$A$15,0)),"")</f>
        <v/>
      </c>
      <c r="AC235" s="14">
        <f>IFERROR(INDEX(Venues!$N$2:$N$15,MATCH(X235,Venues!$A$2:$A$15,0)),"5-a-side")</f>
        <v/>
      </c>
      <c r="AD235" s="16">
        <f>IF(Offer!$C$4="","",Offer!$C$4)</f>
        <v/>
      </c>
      <c r="AE235" s="14">
        <f>X235&amp;" ("&amp;Y235&amp;" min walk) · "&amp;IF(ISNUMBER(AB235),TEXT(AB235,"ddd d mmm, hh:mm"),"slot to confirm with venue")&amp;" · "&amp;AC235&amp;" · "&amp;IF(AD235&lt;&gt;"","£"&amp;TEXT(AD235,"0.00")&amp;" pp","price TBC")</f>
        <v/>
      </c>
      <c r="AF235" s="14">
        <f>"After-work football for "&amp;F235&amp;" · "&amp;X235&amp;", "&amp;Y235&amp;" min from your office"</f>
        <v/>
      </c>
      <c r="AG235" s="14">
        <f>"Hi"&amp;IF(O235&lt;&gt;""," "&amp;O235,"")&amp;","&amp;CHAR(10)&amp;CHAR(10)&amp;"I'm "&amp;IF(AL235&lt;&gt;"",AL235,IF(Offer!$C$5&lt;&gt;"",Offer!$C$5,"[NAME]"))&amp;" from FC Urban. We organise after-work football for teams in the City and Canary Wharf."&amp;CHAR(10)&amp;CHAR(10)&amp;"We have a "&amp;AC235&amp;" pitch at "&amp;X235&amp;", "&amp;IF(OR(Y235=8,Y235=11,Y235=18),"an ","a ")&amp;Y235&amp;"-minute walk from your "&amp;M235&amp;" office, "&amp;IF(ISNUMBER(AB235),"on "&amp;TEXT(AB235,"dddd d mmmm")&amp;" at "&amp;TEXT(AB235,"hh:mm"),"on a weekday evening that suits your team")&amp;". It's "&amp;IF(AD235&lt;&gt;"","£"&amp;IF(AD235=INT(AD235),TEXT(AD235,"0"),TEXT(AD235,"0.00")),"[PRICE PER PLAYER]")&amp;" a player and we handle the pitch booking, sign-ups and payments, so all it takes is one person sharing a link with the team."&amp;CHAR(10)&amp;CHAR(10)&amp;"It works well as a team social or "&amp;IF(ISNUMBER(SEARCH(LEFT(F235,1),"AEIOU")),"an ","a ")&amp;F235&amp;"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LINK]")&amp;CHAR(10)&amp;CHAR(10)&amp;"Best,"&amp;CHAR(10)&amp;IF(AL235&lt;&gt;"",AL235,IF(Offer!$C$5&lt;&gt;"",Offer!$C$5,"[NAME]"))&amp;CHAR(10)&amp;"FC Urban"</f>
        <v/>
      </c>
      <c r="AH235" s="14">
        <f>IF(LEN("Hi"&amp;IF(O235&lt;&gt;""," "&amp;O235,"")&amp;","&amp;" FC Urban runs after-work football for "&amp;IF(D235="Canary Wharf","Canary Wharf","City")&amp;" teams. We have a "&amp;AC235&amp;" pitch at "&amp;X235&amp;", "&amp;Y235&amp;" min from your office, "&amp;IF(ISNUMBER(AB235),TEXT(AB235,"ddd d mmm")&amp;", "&amp;TEXT(AB235,"hh:mm"),"weekday evenings")&amp;", "&amp;IF(AD235&lt;&gt;"","£"&amp;IF(AD235=INT(AD235),TEXT(AD235,"0"),TEXT(AD235,"0.00")),"[PRICE PER PLAYER]")&amp;" a player. We handle booking, sign-ups and payments. Fancy "&amp;IF(ISNUMBER(SEARCH(LEFT(F235,1),"AEIOU")),"an ","a ")&amp;F235&amp;" team game? "&amp;IF(AL235&lt;&gt;"",AL235,IF(Offer!$C$5&lt;&gt;"",Offer!$C$5,"[NAME]")))&lt;=300,"Hi"&amp;IF(O235&lt;&gt;""," "&amp;O235,"")&amp;","&amp;" FC Urban runs after-work football for "&amp;IF(D235="Canary Wharf","Canary Wharf","City")&amp;" teams. We have a "&amp;AC235&amp;" pitch at "&amp;X235&amp;", "&amp;Y235&amp;" min from your office, "&amp;IF(ISNUMBER(AB235),TEXT(AB235,"ddd d mmm")&amp;", "&amp;TEXT(AB235,"hh:mm"),"weekday evenings")&amp;", "&amp;IF(AD235&lt;&gt;"","£"&amp;IF(AD235=INT(AD235),TEXT(AD235,"0"),TEXT(AD235,"0.00")),"[PRICE PER PLAYER]")&amp;" a player. We handle booking, sign-ups and payments. Fancy "&amp;IF(ISNUMBER(SEARCH(LEFT(F235,1),"AEIOU")),"an ","a ")&amp;F235&amp;" team game? "&amp;IF(AL235&lt;&gt;"",AL235,IF(Offer!$C$5&lt;&gt;"",Offer!$C$5,"[NAME]")),LEFT("Hi"&amp;IF(O235&lt;&gt;""," "&amp;O235,"")&amp;","&amp;" FC Urban runs after-work football for "&amp;IF(D235="Canary Wharf","Canary Wharf","City")&amp;" teams: "&amp;AC235&amp;" at "&amp;X235&amp;", "&amp;Y235&amp;" min from your office, "&amp;IF(ISNUMBER(AB235),TEXT(AB235,"ddd d mmm")&amp;", "&amp;TEXT(AB235,"hh:mm"),"weekday evenings")&amp;", "&amp;IF(AD235&lt;&gt;"","£"&amp;IF(AD235=INT(AD235),TEXT(AD235,"0"),TEXT(AD235,"0.00")),"[PRICE PER PLAYER]")&amp;" pp. We handle booking and payments. Up for a team game? "&amp;IF(AL235&lt;&gt;"",AL235,IF(Offer!$C$5&lt;&gt;"",Offer!$C$5,"[NAME]")),300))</f>
        <v/>
      </c>
      <c r="AI235" s="14">
        <f>LEN(AH235)</f>
        <v/>
      </c>
      <c r="AJ235" s="14">
        <f>"Thanks for connecting"&amp;IF(O235&lt;&gt;"",", "&amp;O235,"")&amp;". "&amp;IF(ISNUMBER(AB235),"The "&amp;AC235&amp;" slot at "&amp;X235&amp;" is "&amp;IF(ISNUMBER(AB235),TEXT(AB235,"ddd d mmm")&amp;", "&amp;TEXT(AB235,"hh:mm"),"weekday evenings"),"We can book "&amp;AC235&amp;" at "&amp;X235&amp;" on a weekday evening that suits you")&amp;" and it's "&amp;IF(AD235&lt;&gt;"","£"&amp;IF(AD235=INT(AD235),TEXT(AD235,"0"),TEXT(AD235,"0.00")),"[PRICE PER PLAYER]")&amp;" a player, all booked and paid through one link. If football isn't your thing, who at "&amp;F235&amp;" would be the right person to organise a team game?"&amp;IF(Offer!$C$7&lt;&gt;""," Spots are held until "&amp;TEXT(Offer!$C$7,"dddd d mmmm")&amp;".","")&amp;" "&amp;IF(Offer!$C$6&lt;&gt;"",Offer!$C$6,"[JOINING LINK]")</f>
        <v/>
      </c>
      <c r="AK235" s="14">
        <f>IF(OR(ISNUMBER(SEARCH("[",AG235)),ISNUMBER(SEARCH("[",AJ235))),"Fill placeholders",IF(ISNUMBER(AB235),"Ready to send","Ready · no fixed slot"))</f>
        <v/>
      </c>
      <c r="AN235" s="17" t="n"/>
    </row>
    <row r="236">
      <c r="A236" s="11" t="n">
        <v>234</v>
      </c>
      <c r="B236" s="11" t="n">
        <v>3</v>
      </c>
      <c r="C236" s="11" t="inlineStr">
        <is>
          <t>Insurance / broker</t>
        </is>
      </c>
      <c r="D236" s="11" t="inlineStr">
        <is>
          <t>City of London</t>
        </is>
      </c>
      <c r="E236" s="11" t="inlineStr">
        <is>
          <t>American International Group UK Limited</t>
        </is>
      </c>
      <c r="F236" s="11" t="inlineStr">
        <is>
          <t>AIG UK</t>
        </is>
      </c>
      <c r="G236" s="11" t="inlineStr">
        <is>
          <t>10737370</t>
        </is>
      </c>
      <c r="H236" s="12" t="inlineStr">
        <is>
          <t>Open</t>
        </is>
      </c>
      <c r="I236" s="12" t="inlineStr">
        <is>
          <t>Search</t>
        </is>
      </c>
      <c r="J236" s="11" t="inlineStr">
        <is>
          <t>Full</t>
        </is>
      </c>
      <c r="K236" s="13" t="n">
        <v>42849</v>
      </c>
      <c r="L236" s="11" t="inlineStr">
        <is>
          <t>The Aig Building, 58 Fenchurch Street, London</t>
        </is>
      </c>
      <c r="M236" s="11" t="inlineStr">
        <is>
          <t>EC3M 4AB</t>
        </is>
      </c>
      <c r="N236" s="11" t="inlineStr">
        <is>
          <t>No</t>
        </is>
      </c>
      <c r="U236" s="11" t="inlineStr">
        <is>
          <t>Liverpool St - Attlee Centre</t>
        </is>
      </c>
      <c r="V236" s="11" t="n">
        <v>13</v>
      </c>
      <c r="W236" s="11" t="n"/>
      <c r="X236" s="11" t="inlineStr">
        <is>
          <t>Liverpool St - Attlee Centre</t>
        </is>
      </c>
      <c r="Y236" s="11" t="n">
        <v>13</v>
      </c>
      <c r="Z236" s="14">
        <f>IFERROR(INDEX(Venues!$E$2:$E$15,MATCH(X236,Venues!$A$2:$A$15,0)),"Not checked")</f>
        <v/>
      </c>
      <c r="AA236" s="14">
        <f>IFERROR(INDEX(Venues!$F$2:$F$15,MATCH(X236,Venues!$A$2:$A$15,0)),0)</f>
        <v/>
      </c>
      <c r="AB236" s="15">
        <f>IFERROR(INDEX(Venues!$M$2:$M$15,MATCH(X236,Venues!$A$2:$A$15,0)),"")</f>
        <v/>
      </c>
      <c r="AC236" s="14">
        <f>IFERROR(INDEX(Venues!$N$2:$N$15,MATCH(X236,Venues!$A$2:$A$15,0)),"5-a-side")</f>
        <v/>
      </c>
      <c r="AD236" s="16">
        <f>IF(Offer!$C$4="","",Offer!$C$4)</f>
        <v/>
      </c>
      <c r="AE236" s="14">
        <f>X236&amp;" ("&amp;Y236&amp;" min walk) · "&amp;IF(ISNUMBER(AB236),TEXT(AB236,"ddd d mmm, hh:mm"),"slot to confirm with venue")&amp;" · "&amp;AC236&amp;" · "&amp;IF(AD236&lt;&gt;"","£"&amp;TEXT(AD236,"0.00")&amp;" pp","price TBC")</f>
        <v/>
      </c>
      <c r="AF236" s="14">
        <f>"After-work football for "&amp;F236&amp;" · "&amp;X236&amp;", "&amp;Y236&amp;" min from your office"</f>
        <v/>
      </c>
      <c r="AG236" s="14">
        <f>"Hi"&amp;IF(O236&lt;&gt;""," "&amp;O236,"")&amp;","&amp;CHAR(10)&amp;CHAR(10)&amp;"I'm "&amp;IF(AL236&lt;&gt;"",AL236,IF(Offer!$C$5&lt;&gt;"",Offer!$C$5,"[NAME]"))&amp;" from FC Urban. We organise after-work football for teams in the City and Canary Wharf."&amp;CHAR(10)&amp;CHAR(10)&amp;"We have a "&amp;AC236&amp;" pitch at "&amp;X236&amp;", "&amp;IF(OR(Y236=8,Y236=11,Y236=18),"an ","a ")&amp;Y236&amp;"-minute walk from your "&amp;M236&amp;" office, "&amp;IF(ISNUMBER(AB236),"on "&amp;TEXT(AB236,"dddd d mmmm")&amp;" at "&amp;TEXT(AB236,"hh:mm"),"on a weekday evening that suits your team")&amp;". It's "&amp;IF(AD236&lt;&gt;"","£"&amp;IF(AD236=INT(AD236),TEXT(AD236,"0"),TEXT(AD236,"0.00")),"[PRICE PER PLAYER]")&amp;" a player and we handle the pitch booking, sign-ups and payments, so all it takes is one person sharing a link with the team."&amp;CHAR(10)&amp;CHAR(10)&amp;"It works well as a team social or "&amp;IF(ISNUMBER(SEARCH(LEFT(F236,1),"AEIOU")),"an ","a ")&amp;F236&amp;"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LINK]")&amp;CHAR(10)&amp;CHAR(10)&amp;"Best,"&amp;CHAR(10)&amp;IF(AL236&lt;&gt;"",AL236,IF(Offer!$C$5&lt;&gt;"",Offer!$C$5,"[NAME]"))&amp;CHAR(10)&amp;"FC Urban"</f>
        <v/>
      </c>
      <c r="AH236" s="14">
        <f>IF(LEN("Hi"&amp;IF(O236&lt;&gt;""," "&amp;O236,"")&amp;","&amp;" FC Urban runs after-work football for "&amp;IF(D236="Canary Wharf","Canary Wharf","City")&amp;" teams. We have a "&amp;AC236&amp;" pitch at "&amp;X236&amp;", "&amp;Y236&amp;" min from your office, "&amp;IF(ISNUMBER(AB236),TEXT(AB236,"ddd d mmm")&amp;", "&amp;TEXT(AB236,"hh:mm"),"weekday evenings")&amp;", "&amp;IF(AD236&lt;&gt;"","£"&amp;IF(AD236=INT(AD236),TEXT(AD236,"0"),TEXT(AD236,"0.00")),"[PRICE PER PLAYER]")&amp;" a player. We handle booking, sign-ups and payments. Fancy "&amp;IF(ISNUMBER(SEARCH(LEFT(F236,1),"AEIOU")),"an ","a ")&amp;F236&amp;" team game? "&amp;IF(AL236&lt;&gt;"",AL236,IF(Offer!$C$5&lt;&gt;"",Offer!$C$5,"[NAME]")))&lt;=300,"Hi"&amp;IF(O236&lt;&gt;""," "&amp;O236,"")&amp;","&amp;" FC Urban runs after-work football for "&amp;IF(D236="Canary Wharf","Canary Wharf","City")&amp;" teams. We have a "&amp;AC236&amp;" pitch at "&amp;X236&amp;", "&amp;Y236&amp;" min from your office, "&amp;IF(ISNUMBER(AB236),TEXT(AB236,"ddd d mmm")&amp;", "&amp;TEXT(AB236,"hh:mm"),"weekday evenings")&amp;", "&amp;IF(AD236&lt;&gt;"","£"&amp;IF(AD236=INT(AD236),TEXT(AD236,"0"),TEXT(AD236,"0.00")),"[PRICE PER PLAYER]")&amp;" a player. We handle booking, sign-ups and payments. Fancy "&amp;IF(ISNUMBER(SEARCH(LEFT(F236,1),"AEIOU")),"an ","a ")&amp;F236&amp;" team game? "&amp;IF(AL236&lt;&gt;"",AL236,IF(Offer!$C$5&lt;&gt;"",Offer!$C$5,"[NAME]")),LEFT("Hi"&amp;IF(O236&lt;&gt;""," "&amp;O236,"")&amp;","&amp;" FC Urban runs after-work football for "&amp;IF(D236="Canary Wharf","Canary Wharf","City")&amp;" teams: "&amp;AC236&amp;" at "&amp;X236&amp;", "&amp;Y236&amp;" min from your office, "&amp;IF(ISNUMBER(AB236),TEXT(AB236,"ddd d mmm")&amp;", "&amp;TEXT(AB236,"hh:mm"),"weekday evenings")&amp;", "&amp;IF(AD236&lt;&gt;"","£"&amp;IF(AD236=INT(AD236),TEXT(AD236,"0"),TEXT(AD236,"0.00")),"[PRICE PER PLAYER]")&amp;" pp. We handle booking and payments. Up for a team game? "&amp;IF(AL236&lt;&gt;"",AL236,IF(Offer!$C$5&lt;&gt;"",Offer!$C$5,"[NAME]")),300))</f>
        <v/>
      </c>
      <c r="AI236" s="14">
        <f>LEN(AH236)</f>
        <v/>
      </c>
      <c r="AJ236" s="14">
        <f>"Thanks for connecting"&amp;IF(O236&lt;&gt;"",", "&amp;O236,"")&amp;". "&amp;IF(ISNUMBER(AB236),"The "&amp;AC236&amp;" slot at "&amp;X236&amp;" is "&amp;IF(ISNUMBER(AB236),TEXT(AB236,"ddd d mmm")&amp;", "&amp;TEXT(AB236,"hh:mm"),"weekday evenings"),"We can book "&amp;AC236&amp;" at "&amp;X236&amp;" on a weekday evening that suits you")&amp;" and it's "&amp;IF(AD236&lt;&gt;"","£"&amp;IF(AD236=INT(AD236),TEXT(AD236,"0"),TEXT(AD236,"0.00")),"[PRICE PER PLAYER]")&amp;" a player, all booked and paid through one link. If football isn't your thing, who at "&amp;F236&amp;" would be the right person to organise a team game?"&amp;IF(Offer!$C$7&lt;&gt;""," Spots are held until "&amp;TEXT(Offer!$C$7,"dddd d mmmm")&amp;".","")&amp;" "&amp;IF(Offer!$C$6&lt;&gt;"",Offer!$C$6,"[JOINING LINK]")</f>
        <v/>
      </c>
      <c r="AK236" s="14">
        <f>IF(OR(ISNUMBER(SEARCH("[",AG236)),ISNUMBER(SEARCH("[",AJ236))),"Fill placeholders",IF(ISNUMBER(AB236),"Ready to send","Ready · no fixed slot"))</f>
        <v/>
      </c>
      <c r="AN236" s="17" t="n"/>
    </row>
    <row r="237">
      <c r="A237" s="11" t="n">
        <v>235</v>
      </c>
      <c r="B237" s="11" t="n">
        <v>3</v>
      </c>
      <c r="C237" s="11" t="inlineStr">
        <is>
          <t>Insurance / broker</t>
        </is>
      </c>
      <c r="D237" s="11" t="inlineStr">
        <is>
          <t>City of London</t>
        </is>
      </c>
      <c r="E237" s="11" t="inlineStr">
        <is>
          <t>Talbot Underwriting Ltd</t>
        </is>
      </c>
      <c r="F237" s="11" t="inlineStr">
        <is>
          <t>Talbot Underwriting</t>
        </is>
      </c>
      <c r="G237" s="11" t="inlineStr">
        <is>
          <t>02202362</t>
        </is>
      </c>
      <c r="H237" s="12" t="inlineStr">
        <is>
          <t>Open</t>
        </is>
      </c>
      <c r="I237" s="12" t="inlineStr">
        <is>
          <t>Search</t>
        </is>
      </c>
      <c r="J237" s="11" t="inlineStr">
        <is>
          <t>Full</t>
        </is>
      </c>
      <c r="K237" s="13" t="n">
        <v>32114</v>
      </c>
      <c r="L237" s="11" t="inlineStr">
        <is>
          <t>The Aig Building, 58 Fenchurch Street, London</t>
        </is>
      </c>
      <c r="M237" s="11" t="inlineStr">
        <is>
          <t>EC3M 4AB</t>
        </is>
      </c>
      <c r="N237" s="11" t="inlineStr">
        <is>
          <t>No</t>
        </is>
      </c>
      <c r="U237" s="11" t="inlineStr">
        <is>
          <t>Liverpool St - Attlee Centre</t>
        </is>
      </c>
      <c r="V237" s="11" t="n">
        <v>13</v>
      </c>
      <c r="W237" s="11" t="n"/>
      <c r="X237" s="11" t="inlineStr">
        <is>
          <t>Liverpool St - Attlee Centre</t>
        </is>
      </c>
      <c r="Y237" s="11" t="n">
        <v>13</v>
      </c>
      <c r="Z237" s="14">
        <f>IFERROR(INDEX(Venues!$E$2:$E$15,MATCH(X237,Venues!$A$2:$A$15,0)),"Not checked")</f>
        <v/>
      </c>
      <c r="AA237" s="14">
        <f>IFERROR(INDEX(Venues!$F$2:$F$15,MATCH(X237,Venues!$A$2:$A$15,0)),0)</f>
        <v/>
      </c>
      <c r="AB237" s="15">
        <f>IFERROR(INDEX(Venues!$M$2:$M$15,MATCH(X237,Venues!$A$2:$A$15,0)),"")</f>
        <v/>
      </c>
      <c r="AC237" s="14">
        <f>IFERROR(INDEX(Venues!$N$2:$N$15,MATCH(X237,Venues!$A$2:$A$15,0)),"5-a-side")</f>
        <v/>
      </c>
      <c r="AD237" s="16">
        <f>IF(Offer!$C$4="","",Offer!$C$4)</f>
        <v/>
      </c>
      <c r="AE237" s="14">
        <f>X237&amp;" ("&amp;Y237&amp;" min walk) · "&amp;IF(ISNUMBER(AB237),TEXT(AB237,"ddd d mmm, hh:mm"),"slot to confirm with venue")&amp;" · "&amp;AC237&amp;" · "&amp;IF(AD237&lt;&gt;"","£"&amp;TEXT(AD237,"0.00")&amp;" pp","price TBC")</f>
        <v/>
      </c>
      <c r="AF237" s="14">
        <f>"After-work football for "&amp;F237&amp;" · "&amp;X237&amp;", "&amp;Y237&amp;" min from your office"</f>
        <v/>
      </c>
      <c r="AG237" s="14">
        <f>"Hi"&amp;IF(O237&lt;&gt;""," "&amp;O237,"")&amp;","&amp;CHAR(10)&amp;CHAR(10)&amp;"I'm "&amp;IF(AL237&lt;&gt;"",AL237,IF(Offer!$C$5&lt;&gt;"",Offer!$C$5,"[NAME]"))&amp;" from FC Urban. We organise after-work football for teams in the City and Canary Wharf."&amp;CHAR(10)&amp;CHAR(10)&amp;"We have a "&amp;AC237&amp;" pitch at "&amp;X237&amp;", "&amp;IF(OR(Y237=8,Y237=11,Y237=18),"an ","a ")&amp;Y237&amp;"-minute walk from your "&amp;M237&amp;" office, "&amp;IF(ISNUMBER(AB237),"on "&amp;TEXT(AB237,"dddd d mmmm")&amp;" at "&amp;TEXT(AB237,"hh:mm"),"on a weekday evening that suits your team")&amp;". It's "&amp;IF(AD237&lt;&gt;"","£"&amp;IF(AD237=INT(AD237),TEXT(AD237,"0"),TEXT(AD237,"0.00")),"[PRICE PER PLAYER]")&amp;" a player and we handle the pitch booking, sign-ups and payments, so all it takes is one person sharing a link with the team."&amp;CHAR(10)&amp;CHAR(10)&amp;"It works well as a team social or "&amp;IF(ISNUMBER(SEARCH(LEFT(F237,1),"AEIOU")),"an ","a ")&amp;F237&amp;"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LINK]")&amp;CHAR(10)&amp;CHAR(10)&amp;"Best,"&amp;CHAR(10)&amp;IF(AL237&lt;&gt;"",AL237,IF(Offer!$C$5&lt;&gt;"",Offer!$C$5,"[NAME]"))&amp;CHAR(10)&amp;"FC Urban"</f>
        <v/>
      </c>
      <c r="AH237" s="14">
        <f>IF(LEN("Hi"&amp;IF(O237&lt;&gt;""," "&amp;O237,"")&amp;","&amp;" FC Urban runs after-work football for "&amp;IF(D237="Canary Wharf","Canary Wharf","City")&amp;" teams. We have a "&amp;AC237&amp;" pitch at "&amp;X237&amp;", "&amp;Y237&amp;" min from your office, "&amp;IF(ISNUMBER(AB237),TEXT(AB237,"ddd d mmm")&amp;", "&amp;TEXT(AB237,"hh:mm"),"weekday evenings")&amp;", "&amp;IF(AD237&lt;&gt;"","£"&amp;IF(AD237=INT(AD237),TEXT(AD237,"0"),TEXT(AD237,"0.00")),"[PRICE PER PLAYER]")&amp;" a player. We handle booking, sign-ups and payments. Fancy "&amp;IF(ISNUMBER(SEARCH(LEFT(F237,1),"AEIOU")),"an ","a ")&amp;F237&amp;" team game? "&amp;IF(AL237&lt;&gt;"",AL237,IF(Offer!$C$5&lt;&gt;"",Offer!$C$5,"[NAME]")))&lt;=300,"Hi"&amp;IF(O237&lt;&gt;""," "&amp;O237,"")&amp;","&amp;" FC Urban runs after-work football for "&amp;IF(D237="Canary Wharf","Canary Wharf","City")&amp;" teams. We have a "&amp;AC237&amp;" pitch at "&amp;X237&amp;", "&amp;Y237&amp;" min from your office, "&amp;IF(ISNUMBER(AB237),TEXT(AB237,"ddd d mmm")&amp;", "&amp;TEXT(AB237,"hh:mm"),"weekday evenings")&amp;", "&amp;IF(AD237&lt;&gt;"","£"&amp;IF(AD237=INT(AD237),TEXT(AD237,"0"),TEXT(AD237,"0.00")),"[PRICE PER PLAYER]")&amp;" a player. We handle booking, sign-ups and payments. Fancy "&amp;IF(ISNUMBER(SEARCH(LEFT(F237,1),"AEIOU")),"an ","a ")&amp;F237&amp;" team game? "&amp;IF(AL237&lt;&gt;"",AL237,IF(Offer!$C$5&lt;&gt;"",Offer!$C$5,"[NAME]")),LEFT("Hi"&amp;IF(O237&lt;&gt;""," "&amp;O237,"")&amp;","&amp;" FC Urban runs after-work football for "&amp;IF(D237="Canary Wharf","Canary Wharf","City")&amp;" teams: "&amp;AC237&amp;" at "&amp;X237&amp;", "&amp;Y237&amp;" min from your office, "&amp;IF(ISNUMBER(AB237),TEXT(AB237,"ddd d mmm")&amp;", "&amp;TEXT(AB237,"hh:mm"),"weekday evenings")&amp;", "&amp;IF(AD237&lt;&gt;"","£"&amp;IF(AD237=INT(AD237),TEXT(AD237,"0"),TEXT(AD237,"0.00")),"[PRICE PER PLAYER]")&amp;" pp. We handle booking and payments. Up for a team game? "&amp;IF(AL237&lt;&gt;"",AL237,IF(Offer!$C$5&lt;&gt;"",Offer!$C$5,"[NAME]")),300))</f>
        <v/>
      </c>
      <c r="AI237" s="14">
        <f>LEN(AH237)</f>
        <v/>
      </c>
      <c r="AJ237" s="14">
        <f>"Thanks for connecting"&amp;IF(O237&lt;&gt;"",", "&amp;O237,"")&amp;". "&amp;IF(ISNUMBER(AB237),"The "&amp;AC237&amp;" slot at "&amp;X237&amp;" is "&amp;IF(ISNUMBER(AB237),TEXT(AB237,"ddd d mmm")&amp;", "&amp;TEXT(AB237,"hh:mm"),"weekday evenings"),"We can book "&amp;AC237&amp;" at "&amp;X237&amp;" on a weekday evening that suits you")&amp;" and it's "&amp;IF(AD237&lt;&gt;"","£"&amp;IF(AD237=INT(AD237),TEXT(AD237,"0"),TEXT(AD237,"0.00")),"[PRICE PER PLAYER]")&amp;" a player, all booked and paid through one link. If football isn't your thing, who at "&amp;F237&amp;" would be the right person to organise a team game?"&amp;IF(Offer!$C$7&lt;&gt;""," Spots are held until "&amp;TEXT(Offer!$C$7,"dddd d mmmm")&amp;".","")&amp;" "&amp;IF(Offer!$C$6&lt;&gt;"",Offer!$C$6,"[JOINING LINK]")</f>
        <v/>
      </c>
      <c r="AK237" s="14">
        <f>IF(OR(ISNUMBER(SEARCH("[",AG237)),ISNUMBER(SEARCH("[",AJ237))),"Fill placeholders",IF(ISNUMBER(AB237),"Ready to send","Ready · no fixed slot"))</f>
        <v/>
      </c>
      <c r="AN237" s="17" t="n"/>
    </row>
    <row r="238">
      <c r="A238" s="11" t="n">
        <v>236</v>
      </c>
      <c r="B238" s="11" t="n">
        <v>3</v>
      </c>
      <c r="C238" s="11" t="inlineStr">
        <is>
          <t>Insurance / broker</t>
        </is>
      </c>
      <c r="D238" s="11" t="inlineStr">
        <is>
          <t>City of London</t>
        </is>
      </c>
      <c r="E238" s="11" t="inlineStr">
        <is>
          <t>Uzbekinvest International Insurance Company Limited</t>
        </is>
      </c>
      <c r="F238" s="11" t="inlineStr">
        <is>
          <t>Uzbekinvest International Insurance Company</t>
        </is>
      </c>
      <c r="G238" s="11" t="inlineStr">
        <is>
          <t>02997845</t>
        </is>
      </c>
      <c r="H238" s="12" t="inlineStr">
        <is>
          <t>Open</t>
        </is>
      </c>
      <c r="I238" s="12" t="inlineStr">
        <is>
          <t>Search</t>
        </is>
      </c>
      <c r="J238" s="11" t="inlineStr">
        <is>
          <t>Full</t>
        </is>
      </c>
      <c r="K238" s="13" t="n">
        <v>34667</v>
      </c>
      <c r="L238" s="11" t="inlineStr">
        <is>
          <t>The Aig Building, 58 Fenchurch Street, London</t>
        </is>
      </c>
      <c r="M238" s="11" t="inlineStr">
        <is>
          <t>EC3M 4AB</t>
        </is>
      </c>
      <c r="N238" s="11" t="inlineStr">
        <is>
          <t>No</t>
        </is>
      </c>
      <c r="U238" s="11" t="inlineStr">
        <is>
          <t>Liverpool St - Attlee Centre</t>
        </is>
      </c>
      <c r="V238" s="11" t="n">
        <v>13</v>
      </c>
      <c r="W238" s="11" t="n"/>
      <c r="X238" s="11" t="inlineStr">
        <is>
          <t>Liverpool St - Attlee Centre</t>
        </is>
      </c>
      <c r="Y238" s="11" t="n">
        <v>13</v>
      </c>
      <c r="Z238" s="14">
        <f>IFERROR(INDEX(Venues!$E$2:$E$15,MATCH(X238,Venues!$A$2:$A$15,0)),"Not checked")</f>
        <v/>
      </c>
      <c r="AA238" s="14">
        <f>IFERROR(INDEX(Venues!$F$2:$F$15,MATCH(X238,Venues!$A$2:$A$15,0)),0)</f>
        <v/>
      </c>
      <c r="AB238" s="15">
        <f>IFERROR(INDEX(Venues!$M$2:$M$15,MATCH(X238,Venues!$A$2:$A$15,0)),"")</f>
        <v/>
      </c>
      <c r="AC238" s="14">
        <f>IFERROR(INDEX(Venues!$N$2:$N$15,MATCH(X238,Venues!$A$2:$A$15,0)),"5-a-side")</f>
        <v/>
      </c>
      <c r="AD238" s="16">
        <f>IF(Offer!$C$4="","",Offer!$C$4)</f>
        <v/>
      </c>
      <c r="AE238" s="14">
        <f>X238&amp;" ("&amp;Y238&amp;" min walk) · "&amp;IF(ISNUMBER(AB238),TEXT(AB238,"ddd d mmm, hh:mm"),"slot to confirm with venue")&amp;" · "&amp;AC238&amp;" · "&amp;IF(AD238&lt;&gt;"","£"&amp;TEXT(AD238,"0.00")&amp;" pp","price TBC")</f>
        <v/>
      </c>
      <c r="AF238" s="14">
        <f>"After-work football for "&amp;F238&amp;" · "&amp;X238&amp;", "&amp;Y238&amp;" min from your office"</f>
        <v/>
      </c>
      <c r="AG238" s="14">
        <f>"Hi"&amp;IF(O238&lt;&gt;""," "&amp;O238,"")&amp;","&amp;CHAR(10)&amp;CHAR(10)&amp;"I'm "&amp;IF(AL238&lt;&gt;"",AL238,IF(Offer!$C$5&lt;&gt;"",Offer!$C$5,"[NAME]"))&amp;" from FC Urban. We organise after-work football for teams in the City and Canary Wharf."&amp;CHAR(10)&amp;CHAR(10)&amp;"We have a "&amp;AC238&amp;" pitch at "&amp;X238&amp;", "&amp;IF(OR(Y238=8,Y238=11,Y238=18),"an ","a ")&amp;Y238&amp;"-minute walk from your "&amp;M238&amp;" office, "&amp;IF(ISNUMBER(AB238),"on "&amp;TEXT(AB238,"dddd d mmmm")&amp;" at "&amp;TEXT(AB238,"hh:mm"),"on a weekday evening that suits your team")&amp;". It's "&amp;IF(AD238&lt;&gt;"","£"&amp;IF(AD238=INT(AD238),TEXT(AD238,"0"),TEXT(AD238,"0.00")),"[PRICE PER PLAYER]")&amp;" a player and we handle the pitch booking, sign-ups and payments, so all it takes is one person sharing a link with the team."&amp;CHAR(10)&amp;CHAR(10)&amp;"It works well as a team social or "&amp;IF(ISNUMBER(SEARCH(LEFT(F238,1),"AEIOU")),"an ","a ")&amp;F238&amp;"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LINK]")&amp;CHAR(10)&amp;CHAR(10)&amp;"Best,"&amp;CHAR(10)&amp;IF(AL238&lt;&gt;"",AL238,IF(Offer!$C$5&lt;&gt;"",Offer!$C$5,"[NAME]"))&amp;CHAR(10)&amp;"FC Urban"</f>
        <v/>
      </c>
      <c r="AH238" s="14">
        <f>IF(LEN("Hi"&amp;IF(O238&lt;&gt;""," "&amp;O238,"")&amp;","&amp;" FC Urban runs after-work football for "&amp;IF(D238="Canary Wharf","Canary Wharf","City")&amp;" teams. We have a "&amp;AC238&amp;" pitch at "&amp;X238&amp;", "&amp;Y238&amp;" min from your office, "&amp;IF(ISNUMBER(AB238),TEXT(AB238,"ddd d mmm")&amp;", "&amp;TEXT(AB238,"hh:mm"),"weekday evenings")&amp;", "&amp;IF(AD238&lt;&gt;"","£"&amp;IF(AD238=INT(AD238),TEXT(AD238,"0"),TEXT(AD238,"0.00")),"[PRICE PER PLAYER]")&amp;" a player. We handle booking, sign-ups and payments. Fancy "&amp;IF(ISNUMBER(SEARCH(LEFT(F238,1),"AEIOU")),"an ","a ")&amp;F238&amp;" team game? "&amp;IF(AL238&lt;&gt;"",AL238,IF(Offer!$C$5&lt;&gt;"",Offer!$C$5,"[NAME]")))&lt;=300,"Hi"&amp;IF(O238&lt;&gt;""," "&amp;O238,"")&amp;","&amp;" FC Urban runs after-work football for "&amp;IF(D238="Canary Wharf","Canary Wharf","City")&amp;" teams. We have a "&amp;AC238&amp;" pitch at "&amp;X238&amp;", "&amp;Y238&amp;" min from your office, "&amp;IF(ISNUMBER(AB238),TEXT(AB238,"ddd d mmm")&amp;", "&amp;TEXT(AB238,"hh:mm"),"weekday evenings")&amp;", "&amp;IF(AD238&lt;&gt;"","£"&amp;IF(AD238=INT(AD238),TEXT(AD238,"0"),TEXT(AD238,"0.00")),"[PRICE PER PLAYER]")&amp;" a player. We handle booking, sign-ups and payments. Fancy "&amp;IF(ISNUMBER(SEARCH(LEFT(F238,1),"AEIOU")),"an ","a ")&amp;F238&amp;" team game? "&amp;IF(AL238&lt;&gt;"",AL238,IF(Offer!$C$5&lt;&gt;"",Offer!$C$5,"[NAME]")),LEFT("Hi"&amp;IF(O238&lt;&gt;""," "&amp;O238,"")&amp;","&amp;" FC Urban runs after-work football for "&amp;IF(D238="Canary Wharf","Canary Wharf","City")&amp;" teams: "&amp;AC238&amp;" at "&amp;X238&amp;", "&amp;Y238&amp;" min from your office, "&amp;IF(ISNUMBER(AB238),TEXT(AB238,"ddd d mmm")&amp;", "&amp;TEXT(AB238,"hh:mm"),"weekday evenings")&amp;", "&amp;IF(AD238&lt;&gt;"","£"&amp;IF(AD238=INT(AD238),TEXT(AD238,"0"),TEXT(AD238,"0.00")),"[PRICE PER PLAYER]")&amp;" pp. We handle booking and payments. Up for a team game? "&amp;IF(AL238&lt;&gt;"",AL238,IF(Offer!$C$5&lt;&gt;"",Offer!$C$5,"[NAME]")),300))</f>
        <v/>
      </c>
      <c r="AI238" s="14">
        <f>LEN(AH238)</f>
        <v/>
      </c>
      <c r="AJ238" s="14">
        <f>"Thanks for connecting"&amp;IF(O238&lt;&gt;"",", "&amp;O238,"")&amp;". "&amp;IF(ISNUMBER(AB238),"The "&amp;AC238&amp;" slot at "&amp;X238&amp;" is "&amp;IF(ISNUMBER(AB238),TEXT(AB238,"ddd d mmm")&amp;", "&amp;TEXT(AB238,"hh:mm"),"weekday evenings"),"We can book "&amp;AC238&amp;" at "&amp;X238&amp;" on a weekday evening that suits you")&amp;" and it's "&amp;IF(AD238&lt;&gt;"","£"&amp;IF(AD238=INT(AD238),TEXT(AD238,"0"),TEXT(AD238,"0.00")),"[PRICE PER PLAYER]")&amp;" a player, all booked and paid through one link. If football isn't your thing, who at "&amp;F238&amp;" would be the right person to organise a team game?"&amp;IF(Offer!$C$7&lt;&gt;""," Spots are held until "&amp;TEXT(Offer!$C$7,"dddd d mmmm")&amp;".","")&amp;" "&amp;IF(Offer!$C$6&lt;&gt;"",Offer!$C$6,"[JOINING LINK]")</f>
        <v/>
      </c>
      <c r="AK238" s="14">
        <f>IF(OR(ISNUMBER(SEARCH("[",AG238)),ISNUMBER(SEARCH("[",AJ238))),"Fill placeholders",IF(ISNUMBER(AB238),"Ready to send","Ready · no fixed slot"))</f>
        <v/>
      </c>
      <c r="AN238" s="17" t="n"/>
    </row>
    <row r="239">
      <c r="A239" s="11" t="n">
        <v>237</v>
      </c>
      <c r="B239" s="11" t="n">
        <v>3</v>
      </c>
      <c r="C239" s="11" t="inlineStr">
        <is>
          <t>Insurance / broker</t>
        </is>
      </c>
      <c r="D239" s="11" t="inlineStr">
        <is>
          <t>City of London</t>
        </is>
      </c>
      <c r="E239" s="11" t="inlineStr">
        <is>
          <t>Marshmallow Financial Services Limited</t>
        </is>
      </c>
      <c r="F239" s="11" t="inlineStr">
        <is>
          <t>Marshmallow Financial</t>
        </is>
      </c>
      <c r="G239" s="11" t="inlineStr">
        <is>
          <t>11005345</t>
        </is>
      </c>
      <c r="H239" s="12" t="inlineStr">
        <is>
          <t>Open</t>
        </is>
      </c>
      <c r="I239" s="12" t="inlineStr">
        <is>
          <t>Search</t>
        </is>
      </c>
      <c r="J239" s="11" t="inlineStr">
        <is>
          <t>Full</t>
        </is>
      </c>
      <c r="K239" s="13" t="n">
        <v>43018</v>
      </c>
      <c r="L239" s="11" t="inlineStr">
        <is>
          <t>1St Floor The Featherstone Building, 66 City Road, London</t>
        </is>
      </c>
      <c r="M239" s="11" t="inlineStr">
        <is>
          <t>EC1Y 1BD</t>
        </is>
      </c>
      <c r="N239" s="11" t="inlineStr">
        <is>
          <t>Yes</t>
        </is>
      </c>
      <c r="U239" s="11" t="inlineStr">
        <is>
          <t>Shoreditch Powerleague</t>
        </is>
      </c>
      <c r="V239" s="11" t="n">
        <v>13</v>
      </c>
      <c r="W239" s="11" t="inlineStr">
        <is>
          <t>Old St - Moreland Primary School (14.1); Shoreditch Rooftop (17.6)</t>
        </is>
      </c>
      <c r="X239" s="11" t="inlineStr">
        <is>
          <t>Shoreditch Powerleague</t>
        </is>
      </c>
      <c r="Y239" s="11" t="n">
        <v>13</v>
      </c>
      <c r="Z239" s="14">
        <f>IFERROR(INDEX(Venues!$E$2:$E$15,MATCH(X239,Venues!$A$2:$A$15,0)),"Not checked")</f>
        <v/>
      </c>
      <c r="AA239" s="14">
        <f>IFERROR(INDEX(Venues!$F$2:$F$15,MATCH(X239,Venues!$A$2:$A$15,0)),0)</f>
        <v/>
      </c>
      <c r="AB239" s="15">
        <f>IFERROR(INDEX(Venues!$M$2:$M$15,MATCH(X239,Venues!$A$2:$A$15,0)),"")</f>
        <v/>
      </c>
      <c r="AC239" s="14">
        <f>IFERROR(INDEX(Venues!$N$2:$N$15,MATCH(X239,Venues!$A$2:$A$15,0)),"5-a-side")</f>
        <v/>
      </c>
      <c r="AD239" s="16">
        <f>IF(Offer!$C$4="","",Offer!$C$4)</f>
        <v/>
      </c>
      <c r="AE239" s="14">
        <f>X239&amp;" ("&amp;Y239&amp;" min walk) · "&amp;IF(ISNUMBER(AB239),TEXT(AB239,"ddd d mmm, hh:mm"),"slot to confirm with venue")&amp;" · "&amp;AC239&amp;" · "&amp;IF(AD239&lt;&gt;"","£"&amp;TEXT(AD239,"0.00")&amp;" pp","price TBC")</f>
        <v/>
      </c>
      <c r="AF239" s="14">
        <f>"After-work football for "&amp;F239&amp;" · "&amp;X239&amp;", "&amp;Y239&amp;" min from your office"</f>
        <v/>
      </c>
      <c r="AG239" s="14">
        <f>"Hi"&amp;IF(O239&lt;&gt;""," "&amp;O239,"")&amp;","&amp;CHAR(10)&amp;CHAR(10)&amp;"I'm "&amp;IF(AL239&lt;&gt;"",AL239,IF(Offer!$C$5&lt;&gt;"",Offer!$C$5,"[NAME]"))&amp;" from FC Urban. We organise after-work football for teams in the City and Canary Wharf."&amp;CHAR(10)&amp;CHAR(10)&amp;"We have a "&amp;AC239&amp;" pitch at "&amp;X239&amp;", "&amp;IF(OR(Y239=8,Y239=11,Y239=18),"an ","a ")&amp;Y239&amp;"-minute walk from your "&amp;M239&amp;" office, "&amp;IF(ISNUMBER(AB239),"on "&amp;TEXT(AB239,"dddd d mmmm")&amp;" at "&amp;TEXT(AB239,"hh:mm"),"on a weekday evening that suits your team")&amp;". It's "&amp;IF(AD239&lt;&gt;"","£"&amp;IF(AD239=INT(AD239),TEXT(AD239,"0"),TEXT(AD239,"0.00")),"[PRICE PER PLAYER]")&amp;" a player and we handle the pitch booking, sign-ups and payments, so all it takes is one person sharing a link with the team."&amp;CHAR(10)&amp;CHAR(10)&amp;"It works well as a team social or "&amp;IF(ISNUMBER(SEARCH(LEFT(F239,1),"AEIOU")),"an ","a ")&amp;F239&amp;"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LINK]")&amp;CHAR(10)&amp;CHAR(10)&amp;"Best,"&amp;CHAR(10)&amp;IF(AL239&lt;&gt;"",AL239,IF(Offer!$C$5&lt;&gt;"",Offer!$C$5,"[NAME]"))&amp;CHAR(10)&amp;"FC Urban"</f>
        <v/>
      </c>
      <c r="AH239" s="14">
        <f>IF(LEN("Hi"&amp;IF(O239&lt;&gt;""," "&amp;O239,"")&amp;","&amp;" FC Urban runs after-work football for "&amp;IF(D239="Canary Wharf","Canary Wharf","City")&amp;" teams. We have a "&amp;AC239&amp;" pitch at "&amp;X239&amp;", "&amp;Y239&amp;" min from your office, "&amp;IF(ISNUMBER(AB239),TEXT(AB239,"ddd d mmm")&amp;", "&amp;TEXT(AB239,"hh:mm"),"weekday evenings")&amp;", "&amp;IF(AD239&lt;&gt;"","£"&amp;IF(AD239=INT(AD239),TEXT(AD239,"0"),TEXT(AD239,"0.00")),"[PRICE PER PLAYER]")&amp;" a player. We handle booking, sign-ups and payments. Fancy "&amp;IF(ISNUMBER(SEARCH(LEFT(F239,1),"AEIOU")),"an ","a ")&amp;F239&amp;" team game? "&amp;IF(AL239&lt;&gt;"",AL239,IF(Offer!$C$5&lt;&gt;"",Offer!$C$5,"[NAME]")))&lt;=300,"Hi"&amp;IF(O239&lt;&gt;""," "&amp;O239,"")&amp;","&amp;" FC Urban runs after-work football for "&amp;IF(D239="Canary Wharf","Canary Wharf","City")&amp;" teams. We have a "&amp;AC239&amp;" pitch at "&amp;X239&amp;", "&amp;Y239&amp;" min from your office, "&amp;IF(ISNUMBER(AB239),TEXT(AB239,"ddd d mmm")&amp;", "&amp;TEXT(AB239,"hh:mm"),"weekday evenings")&amp;", "&amp;IF(AD239&lt;&gt;"","£"&amp;IF(AD239=INT(AD239),TEXT(AD239,"0"),TEXT(AD239,"0.00")),"[PRICE PER PLAYER]")&amp;" a player. We handle booking, sign-ups and payments. Fancy "&amp;IF(ISNUMBER(SEARCH(LEFT(F239,1),"AEIOU")),"an ","a ")&amp;F239&amp;" team game? "&amp;IF(AL239&lt;&gt;"",AL239,IF(Offer!$C$5&lt;&gt;"",Offer!$C$5,"[NAME]")),LEFT("Hi"&amp;IF(O239&lt;&gt;""," "&amp;O239,"")&amp;","&amp;" FC Urban runs after-work football for "&amp;IF(D239="Canary Wharf","Canary Wharf","City")&amp;" teams: "&amp;AC239&amp;" at "&amp;X239&amp;", "&amp;Y239&amp;" min from your office, "&amp;IF(ISNUMBER(AB239),TEXT(AB239,"ddd d mmm")&amp;", "&amp;TEXT(AB239,"hh:mm"),"weekday evenings")&amp;", "&amp;IF(AD239&lt;&gt;"","£"&amp;IF(AD239=INT(AD239),TEXT(AD239,"0"),TEXT(AD239,"0.00")),"[PRICE PER PLAYER]")&amp;" pp. We handle booking and payments. Up for a team game? "&amp;IF(AL239&lt;&gt;"",AL239,IF(Offer!$C$5&lt;&gt;"",Offer!$C$5,"[NAME]")),300))</f>
        <v/>
      </c>
      <c r="AI239" s="14">
        <f>LEN(AH239)</f>
        <v/>
      </c>
      <c r="AJ239" s="14">
        <f>"Thanks for connecting"&amp;IF(O239&lt;&gt;"",", "&amp;O239,"")&amp;". "&amp;IF(ISNUMBER(AB239),"The "&amp;AC239&amp;" slot at "&amp;X239&amp;" is "&amp;IF(ISNUMBER(AB239),TEXT(AB239,"ddd d mmm")&amp;", "&amp;TEXT(AB239,"hh:mm"),"weekday evenings"),"We can book "&amp;AC239&amp;" at "&amp;X239&amp;" on a weekday evening that suits you")&amp;" and it's "&amp;IF(AD239&lt;&gt;"","£"&amp;IF(AD239=INT(AD239),TEXT(AD239,"0"),TEXT(AD239,"0.00")),"[PRICE PER PLAYER]")&amp;" a player, all booked and paid through one link. If football isn't your thing, who at "&amp;F239&amp;" would be the right person to organise a team game?"&amp;IF(Offer!$C$7&lt;&gt;""," Spots are held until "&amp;TEXT(Offer!$C$7,"dddd d mmmm")&amp;".","")&amp;" "&amp;IF(Offer!$C$6&lt;&gt;"",Offer!$C$6,"[JOINING LINK]")</f>
        <v/>
      </c>
      <c r="AK239" s="14">
        <f>IF(OR(ISNUMBER(SEARCH("[",AG239)),ISNUMBER(SEARCH("[",AJ239))),"Fill placeholders",IF(ISNUMBER(AB239),"Ready to send","Ready · no fixed slot"))</f>
        <v/>
      </c>
      <c r="AN239" s="17" t="n"/>
    </row>
    <row r="240">
      <c r="A240" s="11" t="n">
        <v>238</v>
      </c>
      <c r="B240" s="11" t="n">
        <v>3</v>
      </c>
      <c r="C240" s="11" t="inlineStr">
        <is>
          <t>Insurance / broker</t>
        </is>
      </c>
      <c r="D240" s="11" t="inlineStr">
        <is>
          <t>City of London</t>
        </is>
      </c>
      <c r="E240" s="11" t="inlineStr">
        <is>
          <t>Arch Europe Insurance Services Ltd</t>
        </is>
      </c>
      <c r="F240" s="11" t="inlineStr">
        <is>
          <t>Arch Europe Insurance</t>
        </is>
      </c>
      <c r="G240" s="11" t="inlineStr">
        <is>
          <t>06645619</t>
        </is>
      </c>
      <c r="H240" s="12" t="inlineStr">
        <is>
          <t>Open</t>
        </is>
      </c>
      <c r="I240" s="12" t="inlineStr">
        <is>
          <t>Search</t>
        </is>
      </c>
      <c r="J240" s="11" t="inlineStr">
        <is>
          <t>Full</t>
        </is>
      </c>
      <c r="K240" s="13" t="n">
        <v>39643</v>
      </c>
      <c r="L240" s="11" t="inlineStr">
        <is>
          <t>4Th Floor, 10 Fenchurch Avenue, London</t>
        </is>
      </c>
      <c r="M240" s="11" t="inlineStr">
        <is>
          <t>EC3M 5BN</t>
        </is>
      </c>
      <c r="N240" s="11" t="inlineStr">
        <is>
          <t>No</t>
        </is>
      </c>
      <c r="U240" s="11" t="inlineStr">
        <is>
          <t>Liverpool St - Attlee Centre</t>
        </is>
      </c>
      <c r="V240" s="11" t="n">
        <v>14</v>
      </c>
      <c r="W240" s="11" t="n"/>
      <c r="X240" s="11" t="inlineStr">
        <is>
          <t>Liverpool St - Attlee Centre</t>
        </is>
      </c>
      <c r="Y240" s="11" t="n">
        <v>14</v>
      </c>
      <c r="Z240" s="14">
        <f>IFERROR(INDEX(Venues!$E$2:$E$15,MATCH(X240,Venues!$A$2:$A$15,0)),"Not checked")</f>
        <v/>
      </c>
      <c r="AA240" s="14">
        <f>IFERROR(INDEX(Venues!$F$2:$F$15,MATCH(X240,Venues!$A$2:$A$15,0)),0)</f>
        <v/>
      </c>
      <c r="AB240" s="15">
        <f>IFERROR(INDEX(Venues!$M$2:$M$15,MATCH(X240,Venues!$A$2:$A$15,0)),"")</f>
        <v/>
      </c>
      <c r="AC240" s="14">
        <f>IFERROR(INDEX(Venues!$N$2:$N$15,MATCH(X240,Venues!$A$2:$A$15,0)),"5-a-side")</f>
        <v/>
      </c>
      <c r="AD240" s="16">
        <f>IF(Offer!$C$4="","",Offer!$C$4)</f>
        <v/>
      </c>
      <c r="AE240" s="14">
        <f>X240&amp;" ("&amp;Y240&amp;" min walk) · "&amp;IF(ISNUMBER(AB240),TEXT(AB240,"ddd d mmm, hh:mm"),"slot to confirm with venue")&amp;" · "&amp;AC240&amp;" · "&amp;IF(AD240&lt;&gt;"","£"&amp;TEXT(AD240,"0.00")&amp;" pp","price TBC")</f>
        <v/>
      </c>
      <c r="AF240" s="14">
        <f>"After-work football for "&amp;F240&amp;" · "&amp;X240&amp;", "&amp;Y240&amp;" min from your office"</f>
        <v/>
      </c>
      <c r="AG240" s="14">
        <f>"Hi"&amp;IF(O240&lt;&gt;""," "&amp;O240,"")&amp;","&amp;CHAR(10)&amp;CHAR(10)&amp;"I'm "&amp;IF(AL240&lt;&gt;"",AL240,IF(Offer!$C$5&lt;&gt;"",Offer!$C$5,"[NAME]"))&amp;" from FC Urban. We organise after-work football for teams in the City and Canary Wharf."&amp;CHAR(10)&amp;CHAR(10)&amp;"We have a "&amp;AC240&amp;" pitch at "&amp;X240&amp;", "&amp;IF(OR(Y240=8,Y240=11,Y240=18),"an ","a ")&amp;Y240&amp;"-minute walk from your "&amp;M240&amp;" office, "&amp;IF(ISNUMBER(AB240),"on "&amp;TEXT(AB240,"dddd d mmmm")&amp;" at "&amp;TEXT(AB240,"hh:mm"),"on a weekday evening that suits your team")&amp;". It's "&amp;IF(AD240&lt;&gt;"","£"&amp;IF(AD240=INT(AD240),TEXT(AD240,"0"),TEXT(AD240,"0.00")),"[PRICE PER PLAYER]")&amp;" a player and we handle the pitch booking, sign-ups and payments, so all it takes is one person sharing a link with the team."&amp;CHAR(10)&amp;CHAR(10)&amp;"It works well as a team social or "&amp;IF(ISNUMBER(SEARCH(LEFT(F240,1),"AEIOU")),"an ","a ")&amp;F240&amp;"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LINK]")&amp;CHAR(10)&amp;CHAR(10)&amp;"Best,"&amp;CHAR(10)&amp;IF(AL240&lt;&gt;"",AL240,IF(Offer!$C$5&lt;&gt;"",Offer!$C$5,"[NAME]"))&amp;CHAR(10)&amp;"FC Urban"</f>
        <v/>
      </c>
      <c r="AH240" s="14">
        <f>IF(LEN("Hi"&amp;IF(O240&lt;&gt;""," "&amp;O240,"")&amp;","&amp;" FC Urban runs after-work football for "&amp;IF(D240="Canary Wharf","Canary Wharf","City")&amp;" teams. We have a "&amp;AC240&amp;" pitch at "&amp;X240&amp;", "&amp;Y240&amp;" min from your office, "&amp;IF(ISNUMBER(AB240),TEXT(AB240,"ddd d mmm")&amp;", "&amp;TEXT(AB240,"hh:mm"),"weekday evenings")&amp;", "&amp;IF(AD240&lt;&gt;"","£"&amp;IF(AD240=INT(AD240),TEXT(AD240,"0"),TEXT(AD240,"0.00")),"[PRICE PER PLAYER]")&amp;" a player. We handle booking, sign-ups and payments. Fancy "&amp;IF(ISNUMBER(SEARCH(LEFT(F240,1),"AEIOU")),"an ","a ")&amp;F240&amp;" team game? "&amp;IF(AL240&lt;&gt;"",AL240,IF(Offer!$C$5&lt;&gt;"",Offer!$C$5,"[NAME]")))&lt;=300,"Hi"&amp;IF(O240&lt;&gt;""," "&amp;O240,"")&amp;","&amp;" FC Urban runs after-work football for "&amp;IF(D240="Canary Wharf","Canary Wharf","City")&amp;" teams. We have a "&amp;AC240&amp;" pitch at "&amp;X240&amp;", "&amp;Y240&amp;" min from your office, "&amp;IF(ISNUMBER(AB240),TEXT(AB240,"ddd d mmm")&amp;", "&amp;TEXT(AB240,"hh:mm"),"weekday evenings")&amp;", "&amp;IF(AD240&lt;&gt;"","£"&amp;IF(AD240=INT(AD240),TEXT(AD240,"0"),TEXT(AD240,"0.00")),"[PRICE PER PLAYER]")&amp;" a player. We handle booking, sign-ups and payments. Fancy "&amp;IF(ISNUMBER(SEARCH(LEFT(F240,1),"AEIOU")),"an ","a ")&amp;F240&amp;" team game? "&amp;IF(AL240&lt;&gt;"",AL240,IF(Offer!$C$5&lt;&gt;"",Offer!$C$5,"[NAME]")),LEFT("Hi"&amp;IF(O240&lt;&gt;""," "&amp;O240,"")&amp;","&amp;" FC Urban runs after-work football for "&amp;IF(D240="Canary Wharf","Canary Wharf","City")&amp;" teams: "&amp;AC240&amp;" at "&amp;X240&amp;", "&amp;Y240&amp;" min from your office, "&amp;IF(ISNUMBER(AB240),TEXT(AB240,"ddd d mmm")&amp;", "&amp;TEXT(AB240,"hh:mm"),"weekday evenings")&amp;", "&amp;IF(AD240&lt;&gt;"","£"&amp;IF(AD240=INT(AD240),TEXT(AD240,"0"),TEXT(AD240,"0.00")),"[PRICE PER PLAYER]")&amp;" pp. We handle booking and payments. Up for a team game? "&amp;IF(AL240&lt;&gt;"",AL240,IF(Offer!$C$5&lt;&gt;"",Offer!$C$5,"[NAME]")),300))</f>
        <v/>
      </c>
      <c r="AI240" s="14">
        <f>LEN(AH240)</f>
        <v/>
      </c>
      <c r="AJ240" s="14">
        <f>"Thanks for connecting"&amp;IF(O240&lt;&gt;"",", "&amp;O240,"")&amp;". "&amp;IF(ISNUMBER(AB240),"The "&amp;AC240&amp;" slot at "&amp;X240&amp;" is "&amp;IF(ISNUMBER(AB240),TEXT(AB240,"ddd d mmm")&amp;", "&amp;TEXT(AB240,"hh:mm"),"weekday evenings"),"We can book "&amp;AC240&amp;" at "&amp;X240&amp;" on a weekday evening that suits you")&amp;" and it's "&amp;IF(AD240&lt;&gt;"","£"&amp;IF(AD240=INT(AD240),TEXT(AD240,"0"),TEXT(AD240,"0.00")),"[PRICE PER PLAYER]")&amp;" a player, all booked and paid through one link. If football isn't your thing, who at "&amp;F240&amp;" would be the right person to organise a team game?"&amp;IF(Offer!$C$7&lt;&gt;""," Spots are held until "&amp;TEXT(Offer!$C$7,"dddd d mmmm")&amp;".","")&amp;" "&amp;IF(Offer!$C$6&lt;&gt;"",Offer!$C$6,"[JOINING LINK]")</f>
        <v/>
      </c>
      <c r="AK240" s="14">
        <f>IF(OR(ISNUMBER(SEARCH("[",AG240)),ISNUMBER(SEARCH("[",AJ240))),"Fill placeholders",IF(ISNUMBER(AB240),"Ready to send","Ready · no fixed slot"))</f>
        <v/>
      </c>
      <c r="AN240" s="17" t="n"/>
    </row>
    <row r="241">
      <c r="A241" s="11" t="n">
        <v>239</v>
      </c>
      <c r="B241" s="11" t="n">
        <v>3</v>
      </c>
      <c r="C241" s="11" t="inlineStr">
        <is>
          <t>Insurance / broker</t>
        </is>
      </c>
      <c r="D241" s="11" t="inlineStr">
        <is>
          <t>City of London</t>
        </is>
      </c>
      <c r="E241" s="11" t="inlineStr">
        <is>
          <t>Bell &amp; Clements Limited</t>
        </is>
      </c>
      <c r="F241" s="11" t="inlineStr">
        <is>
          <t>Bell &amp; Clements</t>
        </is>
      </c>
      <c r="G241" s="11" t="inlineStr">
        <is>
          <t>01695841</t>
        </is>
      </c>
      <c r="H241" s="12" t="inlineStr">
        <is>
          <t>Open</t>
        </is>
      </c>
      <c r="I241" s="12" t="inlineStr">
        <is>
          <t>Search</t>
        </is>
      </c>
      <c r="J241" s="11" t="inlineStr">
        <is>
          <t>Full</t>
        </is>
      </c>
      <c r="K241" s="13" t="n">
        <v>30348</v>
      </c>
      <c r="L241" s="11" t="inlineStr">
        <is>
          <t>1 Fen Court, London</t>
        </is>
      </c>
      <c r="M241" s="11" t="inlineStr">
        <is>
          <t>EC3M 5BN</t>
        </is>
      </c>
      <c r="N241" s="11" t="inlineStr">
        <is>
          <t>No</t>
        </is>
      </c>
      <c r="U241" s="11" t="inlineStr">
        <is>
          <t>Liverpool St - Attlee Centre</t>
        </is>
      </c>
      <c r="V241" s="11" t="n">
        <v>14</v>
      </c>
      <c r="W241" s="11" t="n"/>
      <c r="X241" s="11" t="inlineStr">
        <is>
          <t>Liverpool St - Attlee Centre</t>
        </is>
      </c>
      <c r="Y241" s="11" t="n">
        <v>14</v>
      </c>
      <c r="Z241" s="14">
        <f>IFERROR(INDEX(Venues!$E$2:$E$15,MATCH(X241,Venues!$A$2:$A$15,0)),"Not checked")</f>
        <v/>
      </c>
      <c r="AA241" s="14">
        <f>IFERROR(INDEX(Venues!$F$2:$F$15,MATCH(X241,Venues!$A$2:$A$15,0)),0)</f>
        <v/>
      </c>
      <c r="AB241" s="15">
        <f>IFERROR(INDEX(Venues!$M$2:$M$15,MATCH(X241,Venues!$A$2:$A$15,0)),"")</f>
        <v/>
      </c>
      <c r="AC241" s="14">
        <f>IFERROR(INDEX(Venues!$N$2:$N$15,MATCH(X241,Venues!$A$2:$A$15,0)),"5-a-side")</f>
        <v/>
      </c>
      <c r="AD241" s="16">
        <f>IF(Offer!$C$4="","",Offer!$C$4)</f>
        <v/>
      </c>
      <c r="AE241" s="14">
        <f>X241&amp;" ("&amp;Y241&amp;" min walk) · "&amp;IF(ISNUMBER(AB241),TEXT(AB241,"ddd d mmm, hh:mm"),"slot to confirm with venue")&amp;" · "&amp;AC241&amp;" · "&amp;IF(AD241&lt;&gt;"","£"&amp;TEXT(AD241,"0.00")&amp;" pp","price TBC")</f>
        <v/>
      </c>
      <c r="AF241" s="14">
        <f>"After-work football for "&amp;F241&amp;" · "&amp;X241&amp;", "&amp;Y241&amp;" min from your office"</f>
        <v/>
      </c>
      <c r="AG241" s="14">
        <f>"Hi"&amp;IF(O241&lt;&gt;""," "&amp;O241,"")&amp;","&amp;CHAR(10)&amp;CHAR(10)&amp;"I'm "&amp;IF(AL241&lt;&gt;"",AL241,IF(Offer!$C$5&lt;&gt;"",Offer!$C$5,"[NAME]"))&amp;" from FC Urban. We organise after-work football for teams in the City and Canary Wharf."&amp;CHAR(10)&amp;CHAR(10)&amp;"We have a "&amp;AC241&amp;" pitch at "&amp;X241&amp;", "&amp;IF(OR(Y241=8,Y241=11,Y241=18),"an ","a ")&amp;Y241&amp;"-minute walk from your "&amp;M241&amp;" office, "&amp;IF(ISNUMBER(AB241),"on "&amp;TEXT(AB241,"dddd d mmmm")&amp;" at "&amp;TEXT(AB241,"hh:mm"),"on a weekday evening that suits your team")&amp;". It's "&amp;IF(AD241&lt;&gt;"","£"&amp;IF(AD241=INT(AD241),TEXT(AD241,"0"),TEXT(AD241,"0.00")),"[PRICE PER PLAYER]")&amp;" a player and we handle the pitch booking, sign-ups and payments, so all it takes is one person sharing a link with the team."&amp;CHAR(10)&amp;CHAR(10)&amp;"It works well as a team social or "&amp;IF(ISNUMBER(SEARCH(LEFT(F241,1),"AEIOU")),"an ","a ")&amp;F241&amp;"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LINK]")&amp;CHAR(10)&amp;CHAR(10)&amp;"Best,"&amp;CHAR(10)&amp;IF(AL241&lt;&gt;"",AL241,IF(Offer!$C$5&lt;&gt;"",Offer!$C$5,"[NAME]"))&amp;CHAR(10)&amp;"FC Urban"</f>
        <v/>
      </c>
      <c r="AH241" s="14">
        <f>IF(LEN("Hi"&amp;IF(O241&lt;&gt;""," "&amp;O241,"")&amp;","&amp;" FC Urban runs after-work football for "&amp;IF(D241="Canary Wharf","Canary Wharf","City")&amp;" teams. We have a "&amp;AC241&amp;" pitch at "&amp;X241&amp;", "&amp;Y241&amp;" min from your office, "&amp;IF(ISNUMBER(AB241),TEXT(AB241,"ddd d mmm")&amp;", "&amp;TEXT(AB241,"hh:mm"),"weekday evenings")&amp;", "&amp;IF(AD241&lt;&gt;"","£"&amp;IF(AD241=INT(AD241),TEXT(AD241,"0"),TEXT(AD241,"0.00")),"[PRICE PER PLAYER]")&amp;" a player. We handle booking, sign-ups and payments. Fancy "&amp;IF(ISNUMBER(SEARCH(LEFT(F241,1),"AEIOU")),"an ","a ")&amp;F241&amp;" team game? "&amp;IF(AL241&lt;&gt;"",AL241,IF(Offer!$C$5&lt;&gt;"",Offer!$C$5,"[NAME]")))&lt;=300,"Hi"&amp;IF(O241&lt;&gt;""," "&amp;O241,"")&amp;","&amp;" FC Urban runs after-work football for "&amp;IF(D241="Canary Wharf","Canary Wharf","City")&amp;" teams. We have a "&amp;AC241&amp;" pitch at "&amp;X241&amp;", "&amp;Y241&amp;" min from your office, "&amp;IF(ISNUMBER(AB241),TEXT(AB241,"ddd d mmm")&amp;", "&amp;TEXT(AB241,"hh:mm"),"weekday evenings")&amp;", "&amp;IF(AD241&lt;&gt;"","£"&amp;IF(AD241=INT(AD241),TEXT(AD241,"0"),TEXT(AD241,"0.00")),"[PRICE PER PLAYER]")&amp;" a player. We handle booking, sign-ups and payments. Fancy "&amp;IF(ISNUMBER(SEARCH(LEFT(F241,1),"AEIOU")),"an ","a ")&amp;F241&amp;" team game? "&amp;IF(AL241&lt;&gt;"",AL241,IF(Offer!$C$5&lt;&gt;"",Offer!$C$5,"[NAME]")),LEFT("Hi"&amp;IF(O241&lt;&gt;""," "&amp;O241,"")&amp;","&amp;" FC Urban runs after-work football for "&amp;IF(D241="Canary Wharf","Canary Wharf","City")&amp;" teams: "&amp;AC241&amp;" at "&amp;X241&amp;", "&amp;Y241&amp;" min from your office, "&amp;IF(ISNUMBER(AB241),TEXT(AB241,"ddd d mmm")&amp;", "&amp;TEXT(AB241,"hh:mm"),"weekday evenings")&amp;", "&amp;IF(AD241&lt;&gt;"","£"&amp;IF(AD241=INT(AD241),TEXT(AD241,"0"),TEXT(AD241,"0.00")),"[PRICE PER PLAYER]")&amp;" pp. We handle booking and payments. Up for a team game? "&amp;IF(AL241&lt;&gt;"",AL241,IF(Offer!$C$5&lt;&gt;"",Offer!$C$5,"[NAME]")),300))</f>
        <v/>
      </c>
      <c r="AI241" s="14">
        <f>LEN(AH241)</f>
        <v/>
      </c>
      <c r="AJ241" s="14">
        <f>"Thanks for connecting"&amp;IF(O241&lt;&gt;"",", "&amp;O241,"")&amp;". "&amp;IF(ISNUMBER(AB241),"The "&amp;AC241&amp;" slot at "&amp;X241&amp;" is "&amp;IF(ISNUMBER(AB241),TEXT(AB241,"ddd d mmm")&amp;", "&amp;TEXT(AB241,"hh:mm"),"weekday evenings"),"We can book "&amp;AC241&amp;" at "&amp;X241&amp;" on a weekday evening that suits you")&amp;" and it's "&amp;IF(AD241&lt;&gt;"","£"&amp;IF(AD241=INT(AD241),TEXT(AD241,"0"),TEXT(AD241,"0.00")),"[PRICE PER PLAYER]")&amp;" a player, all booked and paid through one link. If football isn't your thing, who at "&amp;F241&amp;" would be the right person to organise a team game?"&amp;IF(Offer!$C$7&lt;&gt;""," Spots are held until "&amp;TEXT(Offer!$C$7,"dddd d mmmm")&amp;".","")&amp;" "&amp;IF(Offer!$C$6&lt;&gt;"",Offer!$C$6,"[JOINING LINK]")</f>
        <v/>
      </c>
      <c r="AK241" s="14">
        <f>IF(OR(ISNUMBER(SEARCH("[",AG241)),ISNUMBER(SEARCH("[",AJ241))),"Fill placeholders",IF(ISNUMBER(AB241),"Ready to send","Ready · no fixed slot"))</f>
        <v/>
      </c>
      <c r="AN241" s="17" t="n"/>
    </row>
    <row r="242">
      <c r="A242" s="11" t="n">
        <v>240</v>
      </c>
      <c r="B242" s="11" t="n">
        <v>3</v>
      </c>
      <c r="C242" s="11" t="inlineStr">
        <is>
          <t>Insurance / broker</t>
        </is>
      </c>
      <c r="D242" s="11" t="inlineStr">
        <is>
          <t>City of London</t>
        </is>
      </c>
      <c r="E242" s="11" t="inlineStr">
        <is>
          <t>Great Lakes Insurance UK Limited</t>
        </is>
      </c>
      <c r="F242" s="11" t="inlineStr">
        <is>
          <t>Great Lakes Insurance</t>
        </is>
      </c>
      <c r="G242" s="11" t="inlineStr">
        <is>
          <t>13436330</t>
        </is>
      </c>
      <c r="H242" s="12" t="inlineStr">
        <is>
          <t>Open</t>
        </is>
      </c>
      <c r="I242" s="12" t="inlineStr">
        <is>
          <t>Search</t>
        </is>
      </c>
      <c r="J242" s="11" t="inlineStr">
        <is>
          <t>Full</t>
        </is>
      </c>
      <c r="K242" s="13" t="n">
        <v>44350</v>
      </c>
      <c r="L242" s="11" t="inlineStr">
        <is>
          <t>1 Fen Court, London</t>
        </is>
      </c>
      <c r="M242" s="11" t="inlineStr">
        <is>
          <t>EC3M 5BN</t>
        </is>
      </c>
      <c r="N242" s="11" t="inlineStr">
        <is>
          <t>No</t>
        </is>
      </c>
      <c r="U242" s="11" t="inlineStr">
        <is>
          <t>Liverpool St - Attlee Centre</t>
        </is>
      </c>
      <c r="V242" s="11" t="n">
        <v>14</v>
      </c>
      <c r="W242" s="11" t="n"/>
      <c r="X242" s="11" t="inlineStr">
        <is>
          <t>Liverpool St - Attlee Centre</t>
        </is>
      </c>
      <c r="Y242" s="11" t="n">
        <v>14</v>
      </c>
      <c r="Z242" s="14">
        <f>IFERROR(INDEX(Venues!$E$2:$E$15,MATCH(X242,Venues!$A$2:$A$15,0)),"Not checked")</f>
        <v/>
      </c>
      <c r="AA242" s="14">
        <f>IFERROR(INDEX(Venues!$F$2:$F$15,MATCH(X242,Venues!$A$2:$A$15,0)),0)</f>
        <v/>
      </c>
      <c r="AB242" s="15">
        <f>IFERROR(INDEX(Venues!$M$2:$M$15,MATCH(X242,Venues!$A$2:$A$15,0)),"")</f>
        <v/>
      </c>
      <c r="AC242" s="14">
        <f>IFERROR(INDEX(Venues!$N$2:$N$15,MATCH(X242,Venues!$A$2:$A$15,0)),"5-a-side")</f>
        <v/>
      </c>
      <c r="AD242" s="16">
        <f>IF(Offer!$C$4="","",Offer!$C$4)</f>
        <v/>
      </c>
      <c r="AE242" s="14">
        <f>X242&amp;" ("&amp;Y242&amp;" min walk) · "&amp;IF(ISNUMBER(AB242),TEXT(AB242,"ddd d mmm, hh:mm"),"slot to confirm with venue")&amp;" · "&amp;AC242&amp;" · "&amp;IF(AD242&lt;&gt;"","£"&amp;TEXT(AD242,"0.00")&amp;" pp","price TBC")</f>
        <v/>
      </c>
      <c r="AF242" s="14">
        <f>"After-work football for "&amp;F242&amp;" · "&amp;X242&amp;", "&amp;Y242&amp;" min from your office"</f>
        <v/>
      </c>
      <c r="AG242" s="14">
        <f>"Hi"&amp;IF(O242&lt;&gt;""," "&amp;O242,"")&amp;","&amp;CHAR(10)&amp;CHAR(10)&amp;"I'm "&amp;IF(AL242&lt;&gt;"",AL242,IF(Offer!$C$5&lt;&gt;"",Offer!$C$5,"[NAME]"))&amp;" from FC Urban. We organise after-work football for teams in the City and Canary Wharf."&amp;CHAR(10)&amp;CHAR(10)&amp;"We have a "&amp;AC242&amp;" pitch at "&amp;X242&amp;", "&amp;IF(OR(Y242=8,Y242=11,Y242=18),"an ","a ")&amp;Y242&amp;"-minute walk from your "&amp;M242&amp;" office, "&amp;IF(ISNUMBER(AB242),"on "&amp;TEXT(AB242,"dddd d mmmm")&amp;" at "&amp;TEXT(AB242,"hh:mm"),"on a weekday evening that suits your team")&amp;". It's "&amp;IF(AD242&lt;&gt;"","£"&amp;IF(AD242=INT(AD242),TEXT(AD242,"0"),TEXT(AD242,"0.00")),"[PRICE PER PLAYER]")&amp;" a player and we handle the pitch booking, sign-ups and payments, so all it takes is one person sharing a link with the team."&amp;CHAR(10)&amp;CHAR(10)&amp;"It works well as a team social or "&amp;IF(ISNUMBER(SEARCH(LEFT(F242,1),"AEIOU")),"an ","a ")&amp;F242&amp;"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LINK]")&amp;CHAR(10)&amp;CHAR(10)&amp;"Best,"&amp;CHAR(10)&amp;IF(AL242&lt;&gt;"",AL242,IF(Offer!$C$5&lt;&gt;"",Offer!$C$5,"[NAME]"))&amp;CHAR(10)&amp;"FC Urban"</f>
        <v/>
      </c>
      <c r="AH242" s="14">
        <f>IF(LEN("Hi"&amp;IF(O242&lt;&gt;""," "&amp;O242,"")&amp;","&amp;" FC Urban runs after-work football for "&amp;IF(D242="Canary Wharf","Canary Wharf","City")&amp;" teams. We have a "&amp;AC242&amp;" pitch at "&amp;X242&amp;", "&amp;Y242&amp;" min from your office, "&amp;IF(ISNUMBER(AB242),TEXT(AB242,"ddd d mmm")&amp;", "&amp;TEXT(AB242,"hh:mm"),"weekday evenings")&amp;", "&amp;IF(AD242&lt;&gt;"","£"&amp;IF(AD242=INT(AD242),TEXT(AD242,"0"),TEXT(AD242,"0.00")),"[PRICE PER PLAYER]")&amp;" a player. We handle booking, sign-ups and payments. Fancy "&amp;IF(ISNUMBER(SEARCH(LEFT(F242,1),"AEIOU")),"an ","a ")&amp;F242&amp;" team game? "&amp;IF(AL242&lt;&gt;"",AL242,IF(Offer!$C$5&lt;&gt;"",Offer!$C$5,"[NAME]")))&lt;=300,"Hi"&amp;IF(O242&lt;&gt;""," "&amp;O242,"")&amp;","&amp;" FC Urban runs after-work football for "&amp;IF(D242="Canary Wharf","Canary Wharf","City")&amp;" teams. We have a "&amp;AC242&amp;" pitch at "&amp;X242&amp;", "&amp;Y242&amp;" min from your office, "&amp;IF(ISNUMBER(AB242),TEXT(AB242,"ddd d mmm")&amp;", "&amp;TEXT(AB242,"hh:mm"),"weekday evenings")&amp;", "&amp;IF(AD242&lt;&gt;"","£"&amp;IF(AD242=INT(AD242),TEXT(AD242,"0"),TEXT(AD242,"0.00")),"[PRICE PER PLAYER]")&amp;" a player. We handle booking, sign-ups and payments. Fancy "&amp;IF(ISNUMBER(SEARCH(LEFT(F242,1),"AEIOU")),"an ","a ")&amp;F242&amp;" team game? "&amp;IF(AL242&lt;&gt;"",AL242,IF(Offer!$C$5&lt;&gt;"",Offer!$C$5,"[NAME]")),LEFT("Hi"&amp;IF(O242&lt;&gt;""," "&amp;O242,"")&amp;","&amp;" FC Urban runs after-work football for "&amp;IF(D242="Canary Wharf","Canary Wharf","City")&amp;" teams: "&amp;AC242&amp;" at "&amp;X242&amp;", "&amp;Y242&amp;" min from your office, "&amp;IF(ISNUMBER(AB242),TEXT(AB242,"ddd d mmm")&amp;", "&amp;TEXT(AB242,"hh:mm"),"weekday evenings")&amp;", "&amp;IF(AD242&lt;&gt;"","£"&amp;IF(AD242=INT(AD242),TEXT(AD242,"0"),TEXT(AD242,"0.00")),"[PRICE PER PLAYER]")&amp;" pp. We handle booking and payments. Up for a team game? "&amp;IF(AL242&lt;&gt;"",AL242,IF(Offer!$C$5&lt;&gt;"",Offer!$C$5,"[NAME]")),300))</f>
        <v/>
      </c>
      <c r="AI242" s="14">
        <f>LEN(AH242)</f>
        <v/>
      </c>
      <c r="AJ242" s="14">
        <f>"Thanks for connecting"&amp;IF(O242&lt;&gt;"",", "&amp;O242,"")&amp;". "&amp;IF(ISNUMBER(AB242),"The "&amp;AC242&amp;" slot at "&amp;X242&amp;" is "&amp;IF(ISNUMBER(AB242),TEXT(AB242,"ddd d mmm")&amp;", "&amp;TEXT(AB242,"hh:mm"),"weekday evenings"),"We can book "&amp;AC242&amp;" at "&amp;X242&amp;" on a weekday evening that suits you")&amp;" and it's "&amp;IF(AD242&lt;&gt;"","£"&amp;IF(AD242=INT(AD242),TEXT(AD242,"0"),TEXT(AD242,"0.00")),"[PRICE PER PLAYER]")&amp;" a player, all booked and paid through one link. If football isn't your thing, who at "&amp;F242&amp;" would be the right person to organise a team game?"&amp;IF(Offer!$C$7&lt;&gt;""," Spots are held until "&amp;TEXT(Offer!$C$7,"dddd d mmmm")&amp;".","")&amp;" "&amp;IF(Offer!$C$6&lt;&gt;"",Offer!$C$6,"[JOINING LINK]")</f>
        <v/>
      </c>
      <c r="AK242" s="14">
        <f>IF(OR(ISNUMBER(SEARCH("[",AG242)),ISNUMBER(SEARCH("[",AJ242))),"Fill placeholders",IF(ISNUMBER(AB242),"Ready to send","Ready · no fixed slot"))</f>
        <v/>
      </c>
      <c r="AN242" s="17" t="n"/>
    </row>
    <row r="243">
      <c r="A243" s="11" t="n">
        <v>241</v>
      </c>
      <c r="B243" s="11" t="n">
        <v>3</v>
      </c>
      <c r="C243" s="11" t="inlineStr">
        <is>
          <t>Insurance / broker</t>
        </is>
      </c>
      <c r="D243" s="11" t="inlineStr">
        <is>
          <t>City of London</t>
        </is>
      </c>
      <c r="E243" s="11" t="inlineStr">
        <is>
          <t>Munich Re Capital Limited</t>
        </is>
      </c>
      <c r="F243" s="11" t="inlineStr">
        <is>
          <t>Munich Re Capital</t>
        </is>
      </c>
      <c r="G243" s="11" t="inlineStr">
        <is>
          <t>03266453</t>
        </is>
      </c>
      <c r="H243" s="12" t="inlineStr">
        <is>
          <t>Open</t>
        </is>
      </c>
      <c r="I243" s="12" t="inlineStr">
        <is>
          <t>Search</t>
        </is>
      </c>
      <c r="J243" s="11" t="inlineStr">
        <is>
          <t>Full</t>
        </is>
      </c>
      <c r="K243" s="13" t="n">
        <v>35359</v>
      </c>
      <c r="L243" s="11" t="inlineStr">
        <is>
          <t>1 Fen Court, London</t>
        </is>
      </c>
      <c r="M243" s="11" t="inlineStr">
        <is>
          <t>EC3M 5BN</t>
        </is>
      </c>
      <c r="N243" s="11" t="inlineStr">
        <is>
          <t>No</t>
        </is>
      </c>
      <c r="U243" s="11" t="inlineStr">
        <is>
          <t>Liverpool St - Attlee Centre</t>
        </is>
      </c>
      <c r="V243" s="11" t="n">
        <v>14</v>
      </c>
      <c r="W243" s="11" t="n"/>
      <c r="X243" s="11" t="inlineStr">
        <is>
          <t>Liverpool St - Attlee Centre</t>
        </is>
      </c>
      <c r="Y243" s="11" t="n">
        <v>14</v>
      </c>
      <c r="Z243" s="14">
        <f>IFERROR(INDEX(Venues!$E$2:$E$15,MATCH(X243,Venues!$A$2:$A$15,0)),"Not checked")</f>
        <v/>
      </c>
      <c r="AA243" s="14">
        <f>IFERROR(INDEX(Venues!$F$2:$F$15,MATCH(X243,Venues!$A$2:$A$15,0)),0)</f>
        <v/>
      </c>
      <c r="AB243" s="15">
        <f>IFERROR(INDEX(Venues!$M$2:$M$15,MATCH(X243,Venues!$A$2:$A$15,0)),"")</f>
        <v/>
      </c>
      <c r="AC243" s="14">
        <f>IFERROR(INDEX(Venues!$N$2:$N$15,MATCH(X243,Venues!$A$2:$A$15,0)),"5-a-side")</f>
        <v/>
      </c>
      <c r="AD243" s="16">
        <f>IF(Offer!$C$4="","",Offer!$C$4)</f>
        <v/>
      </c>
      <c r="AE243" s="14">
        <f>X243&amp;" ("&amp;Y243&amp;" min walk) · "&amp;IF(ISNUMBER(AB243),TEXT(AB243,"ddd d mmm, hh:mm"),"slot to confirm with venue")&amp;" · "&amp;AC243&amp;" · "&amp;IF(AD243&lt;&gt;"","£"&amp;TEXT(AD243,"0.00")&amp;" pp","price TBC")</f>
        <v/>
      </c>
      <c r="AF243" s="14">
        <f>"After-work football for "&amp;F243&amp;" · "&amp;X243&amp;", "&amp;Y243&amp;" min from your office"</f>
        <v/>
      </c>
      <c r="AG243" s="14">
        <f>"Hi"&amp;IF(O243&lt;&gt;""," "&amp;O243,"")&amp;","&amp;CHAR(10)&amp;CHAR(10)&amp;"I'm "&amp;IF(AL243&lt;&gt;"",AL243,IF(Offer!$C$5&lt;&gt;"",Offer!$C$5,"[NAME]"))&amp;" from FC Urban. We organise after-work football for teams in the City and Canary Wharf."&amp;CHAR(10)&amp;CHAR(10)&amp;"We have a "&amp;AC243&amp;" pitch at "&amp;X243&amp;", "&amp;IF(OR(Y243=8,Y243=11,Y243=18),"an ","a ")&amp;Y243&amp;"-minute walk from your "&amp;M243&amp;" office, "&amp;IF(ISNUMBER(AB243),"on "&amp;TEXT(AB243,"dddd d mmmm")&amp;" at "&amp;TEXT(AB243,"hh:mm"),"on a weekday evening that suits your team")&amp;". It's "&amp;IF(AD243&lt;&gt;"","£"&amp;IF(AD243=INT(AD243),TEXT(AD243,"0"),TEXT(AD243,"0.00")),"[PRICE PER PLAYER]")&amp;" a player and we handle the pitch booking, sign-ups and payments, so all it takes is one person sharing a link with the team."&amp;CHAR(10)&amp;CHAR(10)&amp;"It works well as a team social or "&amp;IF(ISNUMBER(SEARCH(LEFT(F243,1),"AEIOU")),"an ","a ")&amp;F243&amp;"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LINK]")&amp;CHAR(10)&amp;CHAR(10)&amp;"Best,"&amp;CHAR(10)&amp;IF(AL243&lt;&gt;"",AL243,IF(Offer!$C$5&lt;&gt;"",Offer!$C$5,"[NAME]"))&amp;CHAR(10)&amp;"FC Urban"</f>
        <v/>
      </c>
      <c r="AH243" s="14">
        <f>IF(LEN("Hi"&amp;IF(O243&lt;&gt;""," "&amp;O243,"")&amp;","&amp;" FC Urban runs after-work football for "&amp;IF(D243="Canary Wharf","Canary Wharf","City")&amp;" teams. We have a "&amp;AC243&amp;" pitch at "&amp;X243&amp;", "&amp;Y243&amp;" min from your office, "&amp;IF(ISNUMBER(AB243),TEXT(AB243,"ddd d mmm")&amp;", "&amp;TEXT(AB243,"hh:mm"),"weekday evenings")&amp;", "&amp;IF(AD243&lt;&gt;"","£"&amp;IF(AD243=INT(AD243),TEXT(AD243,"0"),TEXT(AD243,"0.00")),"[PRICE PER PLAYER]")&amp;" a player. We handle booking, sign-ups and payments. Fancy "&amp;IF(ISNUMBER(SEARCH(LEFT(F243,1),"AEIOU")),"an ","a ")&amp;F243&amp;" team game? "&amp;IF(AL243&lt;&gt;"",AL243,IF(Offer!$C$5&lt;&gt;"",Offer!$C$5,"[NAME]")))&lt;=300,"Hi"&amp;IF(O243&lt;&gt;""," "&amp;O243,"")&amp;","&amp;" FC Urban runs after-work football for "&amp;IF(D243="Canary Wharf","Canary Wharf","City")&amp;" teams. We have a "&amp;AC243&amp;" pitch at "&amp;X243&amp;", "&amp;Y243&amp;" min from your office, "&amp;IF(ISNUMBER(AB243),TEXT(AB243,"ddd d mmm")&amp;", "&amp;TEXT(AB243,"hh:mm"),"weekday evenings")&amp;", "&amp;IF(AD243&lt;&gt;"","£"&amp;IF(AD243=INT(AD243),TEXT(AD243,"0"),TEXT(AD243,"0.00")),"[PRICE PER PLAYER]")&amp;" a player. We handle booking, sign-ups and payments. Fancy "&amp;IF(ISNUMBER(SEARCH(LEFT(F243,1),"AEIOU")),"an ","a ")&amp;F243&amp;" team game? "&amp;IF(AL243&lt;&gt;"",AL243,IF(Offer!$C$5&lt;&gt;"",Offer!$C$5,"[NAME]")),LEFT("Hi"&amp;IF(O243&lt;&gt;""," "&amp;O243,"")&amp;","&amp;" FC Urban runs after-work football for "&amp;IF(D243="Canary Wharf","Canary Wharf","City")&amp;" teams: "&amp;AC243&amp;" at "&amp;X243&amp;", "&amp;Y243&amp;" min from your office, "&amp;IF(ISNUMBER(AB243),TEXT(AB243,"ddd d mmm")&amp;", "&amp;TEXT(AB243,"hh:mm"),"weekday evenings")&amp;", "&amp;IF(AD243&lt;&gt;"","£"&amp;IF(AD243=INT(AD243),TEXT(AD243,"0"),TEXT(AD243,"0.00")),"[PRICE PER PLAYER]")&amp;" pp. We handle booking and payments. Up for a team game? "&amp;IF(AL243&lt;&gt;"",AL243,IF(Offer!$C$5&lt;&gt;"",Offer!$C$5,"[NAME]")),300))</f>
        <v/>
      </c>
      <c r="AI243" s="14">
        <f>LEN(AH243)</f>
        <v/>
      </c>
      <c r="AJ243" s="14">
        <f>"Thanks for connecting"&amp;IF(O243&lt;&gt;"",", "&amp;O243,"")&amp;". "&amp;IF(ISNUMBER(AB243),"The "&amp;AC243&amp;" slot at "&amp;X243&amp;" is "&amp;IF(ISNUMBER(AB243),TEXT(AB243,"ddd d mmm")&amp;", "&amp;TEXT(AB243,"hh:mm"),"weekday evenings"),"We can book "&amp;AC243&amp;" at "&amp;X243&amp;" on a weekday evening that suits you")&amp;" and it's "&amp;IF(AD243&lt;&gt;"","£"&amp;IF(AD243=INT(AD243),TEXT(AD243,"0"),TEXT(AD243,"0.00")),"[PRICE PER PLAYER]")&amp;" a player, all booked and paid through one link. If football isn't your thing, who at "&amp;F243&amp;" would be the right person to organise a team game?"&amp;IF(Offer!$C$7&lt;&gt;""," Spots are held until "&amp;TEXT(Offer!$C$7,"dddd d mmmm")&amp;".","")&amp;" "&amp;IF(Offer!$C$6&lt;&gt;"",Offer!$C$6,"[JOINING LINK]")</f>
        <v/>
      </c>
      <c r="AK243" s="14">
        <f>IF(OR(ISNUMBER(SEARCH("[",AG243)),ISNUMBER(SEARCH("[",AJ243))),"Fill placeholders",IF(ISNUMBER(AB243),"Ready to send","Ready · no fixed slot"))</f>
        <v/>
      </c>
      <c r="AN243" s="17" t="n"/>
    </row>
    <row r="244">
      <c r="A244" s="11" t="n">
        <v>242</v>
      </c>
      <c r="B244" s="11" t="n">
        <v>3</v>
      </c>
      <c r="C244" s="11" t="inlineStr">
        <is>
          <t>Insurance / broker</t>
        </is>
      </c>
      <c r="D244" s="11" t="inlineStr">
        <is>
          <t>City of London</t>
        </is>
      </c>
      <c r="E244" s="11" t="inlineStr">
        <is>
          <t>Newline Holdings UK Limited</t>
        </is>
      </c>
      <c r="F244" s="11" t="inlineStr">
        <is>
          <t>Newline</t>
        </is>
      </c>
      <c r="G244" s="11" t="inlineStr">
        <is>
          <t>03223692</t>
        </is>
      </c>
      <c r="H244" s="12" t="inlineStr">
        <is>
          <t>Open</t>
        </is>
      </c>
      <c r="I244" s="12" t="inlineStr">
        <is>
          <t>Search</t>
        </is>
      </c>
      <c r="J244" s="11" t="inlineStr">
        <is>
          <t>Full</t>
        </is>
      </c>
      <c r="K244" s="13" t="n">
        <v>35257</v>
      </c>
      <c r="L244" s="11" t="inlineStr">
        <is>
          <t>1 Fen Court, London</t>
        </is>
      </c>
      <c r="M244" s="11" t="inlineStr">
        <is>
          <t>EC3M 5BN</t>
        </is>
      </c>
      <c r="N244" s="11" t="inlineStr">
        <is>
          <t>No</t>
        </is>
      </c>
      <c r="U244" s="11" t="inlineStr">
        <is>
          <t>Liverpool St - Attlee Centre</t>
        </is>
      </c>
      <c r="V244" s="11" t="n">
        <v>14</v>
      </c>
      <c r="W244" s="11" t="n"/>
      <c r="X244" s="11" t="inlineStr">
        <is>
          <t>Liverpool St - Attlee Centre</t>
        </is>
      </c>
      <c r="Y244" s="11" t="n">
        <v>14</v>
      </c>
      <c r="Z244" s="14">
        <f>IFERROR(INDEX(Venues!$E$2:$E$15,MATCH(X244,Venues!$A$2:$A$15,0)),"Not checked")</f>
        <v/>
      </c>
      <c r="AA244" s="14">
        <f>IFERROR(INDEX(Venues!$F$2:$F$15,MATCH(X244,Venues!$A$2:$A$15,0)),0)</f>
        <v/>
      </c>
      <c r="AB244" s="15">
        <f>IFERROR(INDEX(Venues!$M$2:$M$15,MATCH(X244,Venues!$A$2:$A$15,0)),"")</f>
        <v/>
      </c>
      <c r="AC244" s="14">
        <f>IFERROR(INDEX(Venues!$N$2:$N$15,MATCH(X244,Venues!$A$2:$A$15,0)),"5-a-side")</f>
        <v/>
      </c>
      <c r="AD244" s="16">
        <f>IF(Offer!$C$4="","",Offer!$C$4)</f>
        <v/>
      </c>
      <c r="AE244" s="14">
        <f>X244&amp;" ("&amp;Y244&amp;" min walk) · "&amp;IF(ISNUMBER(AB244),TEXT(AB244,"ddd d mmm, hh:mm"),"slot to confirm with venue")&amp;" · "&amp;AC244&amp;" · "&amp;IF(AD244&lt;&gt;"","£"&amp;TEXT(AD244,"0.00")&amp;" pp","price TBC")</f>
        <v/>
      </c>
      <c r="AF244" s="14">
        <f>"After-work football for "&amp;F244&amp;" · "&amp;X244&amp;", "&amp;Y244&amp;" min from your office"</f>
        <v/>
      </c>
      <c r="AG244" s="14">
        <f>"Hi"&amp;IF(O244&lt;&gt;""," "&amp;O244,"")&amp;","&amp;CHAR(10)&amp;CHAR(10)&amp;"I'm "&amp;IF(AL244&lt;&gt;"",AL244,IF(Offer!$C$5&lt;&gt;"",Offer!$C$5,"[NAME]"))&amp;" from FC Urban. We organise after-work football for teams in the City and Canary Wharf."&amp;CHAR(10)&amp;CHAR(10)&amp;"We have a "&amp;AC244&amp;" pitch at "&amp;X244&amp;", "&amp;IF(OR(Y244=8,Y244=11,Y244=18),"an ","a ")&amp;Y244&amp;"-minute walk from your "&amp;M244&amp;" office, "&amp;IF(ISNUMBER(AB244),"on "&amp;TEXT(AB244,"dddd d mmmm")&amp;" at "&amp;TEXT(AB244,"hh:mm"),"on a weekday evening that suits your team")&amp;". It's "&amp;IF(AD244&lt;&gt;"","£"&amp;IF(AD244=INT(AD244),TEXT(AD244,"0"),TEXT(AD244,"0.00")),"[PRICE PER PLAYER]")&amp;" a player and we handle the pitch booking, sign-ups and payments, so all it takes is one person sharing a link with the team."&amp;CHAR(10)&amp;CHAR(10)&amp;"It works well as a team social or "&amp;IF(ISNUMBER(SEARCH(LEFT(F244,1),"AEIOU")),"an ","a ")&amp;F244&amp;"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LINK]")&amp;CHAR(10)&amp;CHAR(10)&amp;"Best,"&amp;CHAR(10)&amp;IF(AL244&lt;&gt;"",AL244,IF(Offer!$C$5&lt;&gt;"",Offer!$C$5,"[NAME]"))&amp;CHAR(10)&amp;"FC Urban"</f>
        <v/>
      </c>
      <c r="AH244" s="14">
        <f>IF(LEN("Hi"&amp;IF(O244&lt;&gt;""," "&amp;O244,"")&amp;","&amp;" FC Urban runs after-work football for "&amp;IF(D244="Canary Wharf","Canary Wharf","City")&amp;" teams. We have a "&amp;AC244&amp;" pitch at "&amp;X244&amp;", "&amp;Y244&amp;" min from your office, "&amp;IF(ISNUMBER(AB244),TEXT(AB244,"ddd d mmm")&amp;", "&amp;TEXT(AB244,"hh:mm"),"weekday evenings")&amp;", "&amp;IF(AD244&lt;&gt;"","£"&amp;IF(AD244=INT(AD244),TEXT(AD244,"0"),TEXT(AD244,"0.00")),"[PRICE PER PLAYER]")&amp;" a player. We handle booking, sign-ups and payments. Fancy "&amp;IF(ISNUMBER(SEARCH(LEFT(F244,1),"AEIOU")),"an ","a ")&amp;F244&amp;" team game? "&amp;IF(AL244&lt;&gt;"",AL244,IF(Offer!$C$5&lt;&gt;"",Offer!$C$5,"[NAME]")))&lt;=300,"Hi"&amp;IF(O244&lt;&gt;""," "&amp;O244,"")&amp;","&amp;" FC Urban runs after-work football for "&amp;IF(D244="Canary Wharf","Canary Wharf","City")&amp;" teams. We have a "&amp;AC244&amp;" pitch at "&amp;X244&amp;", "&amp;Y244&amp;" min from your office, "&amp;IF(ISNUMBER(AB244),TEXT(AB244,"ddd d mmm")&amp;", "&amp;TEXT(AB244,"hh:mm"),"weekday evenings")&amp;", "&amp;IF(AD244&lt;&gt;"","£"&amp;IF(AD244=INT(AD244),TEXT(AD244,"0"),TEXT(AD244,"0.00")),"[PRICE PER PLAYER]")&amp;" a player. We handle booking, sign-ups and payments. Fancy "&amp;IF(ISNUMBER(SEARCH(LEFT(F244,1),"AEIOU")),"an ","a ")&amp;F244&amp;" team game? "&amp;IF(AL244&lt;&gt;"",AL244,IF(Offer!$C$5&lt;&gt;"",Offer!$C$5,"[NAME]")),LEFT("Hi"&amp;IF(O244&lt;&gt;""," "&amp;O244,"")&amp;","&amp;" FC Urban runs after-work football for "&amp;IF(D244="Canary Wharf","Canary Wharf","City")&amp;" teams: "&amp;AC244&amp;" at "&amp;X244&amp;", "&amp;Y244&amp;" min from your office, "&amp;IF(ISNUMBER(AB244),TEXT(AB244,"ddd d mmm")&amp;", "&amp;TEXT(AB244,"hh:mm"),"weekday evenings")&amp;", "&amp;IF(AD244&lt;&gt;"","£"&amp;IF(AD244=INT(AD244),TEXT(AD244,"0"),TEXT(AD244,"0.00")),"[PRICE PER PLAYER]")&amp;" pp. We handle booking and payments. Up for a team game? "&amp;IF(AL244&lt;&gt;"",AL244,IF(Offer!$C$5&lt;&gt;"",Offer!$C$5,"[NAME]")),300))</f>
        <v/>
      </c>
      <c r="AI244" s="14">
        <f>LEN(AH244)</f>
        <v/>
      </c>
      <c r="AJ244" s="14">
        <f>"Thanks for connecting"&amp;IF(O244&lt;&gt;"",", "&amp;O244,"")&amp;". "&amp;IF(ISNUMBER(AB244),"The "&amp;AC244&amp;" slot at "&amp;X244&amp;" is "&amp;IF(ISNUMBER(AB244),TEXT(AB244,"ddd d mmm")&amp;", "&amp;TEXT(AB244,"hh:mm"),"weekday evenings"),"We can book "&amp;AC244&amp;" at "&amp;X244&amp;" on a weekday evening that suits you")&amp;" and it's "&amp;IF(AD244&lt;&gt;"","£"&amp;IF(AD244=INT(AD244),TEXT(AD244,"0"),TEXT(AD244,"0.00")),"[PRICE PER PLAYER]")&amp;" a player, all booked and paid through one link. If football isn't your thing, who at "&amp;F244&amp;" would be the right person to organise a team game?"&amp;IF(Offer!$C$7&lt;&gt;""," Spots are held until "&amp;TEXT(Offer!$C$7,"dddd d mmmm")&amp;".","")&amp;" "&amp;IF(Offer!$C$6&lt;&gt;"",Offer!$C$6,"[JOINING LINK]")</f>
        <v/>
      </c>
      <c r="AK244" s="14">
        <f>IF(OR(ISNUMBER(SEARCH("[",AG244)),ISNUMBER(SEARCH("[",AJ244))),"Fill placeholders",IF(ISNUMBER(AB244),"Ready to send","Ready · no fixed slot"))</f>
        <v/>
      </c>
      <c r="AN244" s="17" t="n"/>
    </row>
    <row r="245">
      <c r="A245" s="11" t="n">
        <v>243</v>
      </c>
      <c r="B245" s="11" t="n">
        <v>3</v>
      </c>
      <c r="C245" s="11" t="inlineStr">
        <is>
          <t>Insurance / broker</t>
        </is>
      </c>
      <c r="D245" s="11" t="inlineStr">
        <is>
          <t>City of London</t>
        </is>
      </c>
      <c r="E245" s="11" t="inlineStr">
        <is>
          <t>Roanoke International Brokers Limited</t>
        </is>
      </c>
      <c r="F245" s="11" t="inlineStr">
        <is>
          <t>Roanoke International Brokers</t>
        </is>
      </c>
      <c r="G245" s="11" t="inlineStr">
        <is>
          <t>02984338</t>
        </is>
      </c>
      <c r="H245" s="12" t="inlineStr">
        <is>
          <t>Open</t>
        </is>
      </c>
      <c r="I245" s="12" t="inlineStr">
        <is>
          <t>Search</t>
        </is>
      </c>
      <c r="J245" s="11" t="inlineStr">
        <is>
          <t>Full</t>
        </is>
      </c>
      <c r="K245" s="13" t="n">
        <v>34635</v>
      </c>
      <c r="L245" s="11" t="inlineStr">
        <is>
          <t>1 Fen Court, London</t>
        </is>
      </c>
      <c r="M245" s="11" t="inlineStr">
        <is>
          <t>EC3M 5BN</t>
        </is>
      </c>
      <c r="N245" s="11" t="inlineStr">
        <is>
          <t>No</t>
        </is>
      </c>
      <c r="U245" s="11" t="inlineStr">
        <is>
          <t>Liverpool St - Attlee Centre</t>
        </is>
      </c>
      <c r="V245" s="11" t="n">
        <v>14</v>
      </c>
      <c r="W245" s="11" t="n"/>
      <c r="X245" s="11" t="inlineStr">
        <is>
          <t>Liverpool St - Attlee Centre</t>
        </is>
      </c>
      <c r="Y245" s="11" t="n">
        <v>14</v>
      </c>
      <c r="Z245" s="14">
        <f>IFERROR(INDEX(Venues!$E$2:$E$15,MATCH(X245,Venues!$A$2:$A$15,0)),"Not checked")</f>
        <v/>
      </c>
      <c r="AA245" s="14">
        <f>IFERROR(INDEX(Venues!$F$2:$F$15,MATCH(X245,Venues!$A$2:$A$15,0)),0)</f>
        <v/>
      </c>
      <c r="AB245" s="15">
        <f>IFERROR(INDEX(Venues!$M$2:$M$15,MATCH(X245,Venues!$A$2:$A$15,0)),"")</f>
        <v/>
      </c>
      <c r="AC245" s="14">
        <f>IFERROR(INDEX(Venues!$N$2:$N$15,MATCH(X245,Venues!$A$2:$A$15,0)),"5-a-side")</f>
        <v/>
      </c>
      <c r="AD245" s="16">
        <f>IF(Offer!$C$4="","",Offer!$C$4)</f>
        <v/>
      </c>
      <c r="AE245" s="14">
        <f>X245&amp;" ("&amp;Y245&amp;" min walk) · "&amp;IF(ISNUMBER(AB245),TEXT(AB245,"ddd d mmm, hh:mm"),"slot to confirm with venue")&amp;" · "&amp;AC245&amp;" · "&amp;IF(AD245&lt;&gt;"","£"&amp;TEXT(AD245,"0.00")&amp;" pp","price TBC")</f>
        <v/>
      </c>
      <c r="AF245" s="14">
        <f>"After-work football for "&amp;F245&amp;" · "&amp;X245&amp;", "&amp;Y245&amp;" min from your office"</f>
        <v/>
      </c>
      <c r="AG245" s="14">
        <f>"Hi"&amp;IF(O245&lt;&gt;""," "&amp;O245,"")&amp;","&amp;CHAR(10)&amp;CHAR(10)&amp;"I'm "&amp;IF(AL245&lt;&gt;"",AL245,IF(Offer!$C$5&lt;&gt;"",Offer!$C$5,"[NAME]"))&amp;" from FC Urban. We organise after-work football for teams in the City and Canary Wharf."&amp;CHAR(10)&amp;CHAR(10)&amp;"We have a "&amp;AC245&amp;" pitch at "&amp;X245&amp;", "&amp;IF(OR(Y245=8,Y245=11,Y245=18),"an ","a ")&amp;Y245&amp;"-minute walk from your "&amp;M245&amp;" office, "&amp;IF(ISNUMBER(AB245),"on "&amp;TEXT(AB245,"dddd d mmmm")&amp;" at "&amp;TEXT(AB245,"hh:mm"),"on a weekday evening that suits your team")&amp;". It's "&amp;IF(AD245&lt;&gt;"","£"&amp;IF(AD245=INT(AD245),TEXT(AD245,"0"),TEXT(AD245,"0.00")),"[PRICE PER PLAYER]")&amp;" a player and we handle the pitch booking, sign-ups and payments, so all it takes is one person sharing a link with the team."&amp;CHAR(10)&amp;CHAR(10)&amp;"It works well as a team social or "&amp;IF(ISNUMBER(SEARCH(LEFT(F245,1),"AEIOU")),"an ","a ")&amp;F245&amp;"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LINK]")&amp;CHAR(10)&amp;CHAR(10)&amp;"Best,"&amp;CHAR(10)&amp;IF(AL245&lt;&gt;"",AL245,IF(Offer!$C$5&lt;&gt;"",Offer!$C$5,"[NAME]"))&amp;CHAR(10)&amp;"FC Urban"</f>
        <v/>
      </c>
      <c r="AH245" s="14">
        <f>IF(LEN("Hi"&amp;IF(O245&lt;&gt;""," "&amp;O245,"")&amp;","&amp;" FC Urban runs after-work football for "&amp;IF(D245="Canary Wharf","Canary Wharf","City")&amp;" teams. We have a "&amp;AC245&amp;" pitch at "&amp;X245&amp;", "&amp;Y245&amp;" min from your office, "&amp;IF(ISNUMBER(AB245),TEXT(AB245,"ddd d mmm")&amp;", "&amp;TEXT(AB245,"hh:mm"),"weekday evenings")&amp;", "&amp;IF(AD245&lt;&gt;"","£"&amp;IF(AD245=INT(AD245),TEXT(AD245,"0"),TEXT(AD245,"0.00")),"[PRICE PER PLAYER]")&amp;" a player. We handle booking, sign-ups and payments. Fancy "&amp;IF(ISNUMBER(SEARCH(LEFT(F245,1),"AEIOU")),"an ","a ")&amp;F245&amp;" team game? "&amp;IF(AL245&lt;&gt;"",AL245,IF(Offer!$C$5&lt;&gt;"",Offer!$C$5,"[NAME]")))&lt;=300,"Hi"&amp;IF(O245&lt;&gt;""," "&amp;O245,"")&amp;","&amp;" FC Urban runs after-work football for "&amp;IF(D245="Canary Wharf","Canary Wharf","City")&amp;" teams. We have a "&amp;AC245&amp;" pitch at "&amp;X245&amp;", "&amp;Y245&amp;" min from your office, "&amp;IF(ISNUMBER(AB245),TEXT(AB245,"ddd d mmm")&amp;", "&amp;TEXT(AB245,"hh:mm"),"weekday evenings")&amp;", "&amp;IF(AD245&lt;&gt;"","£"&amp;IF(AD245=INT(AD245),TEXT(AD245,"0"),TEXT(AD245,"0.00")),"[PRICE PER PLAYER]")&amp;" a player. We handle booking, sign-ups and payments. Fancy "&amp;IF(ISNUMBER(SEARCH(LEFT(F245,1),"AEIOU")),"an ","a ")&amp;F245&amp;" team game? "&amp;IF(AL245&lt;&gt;"",AL245,IF(Offer!$C$5&lt;&gt;"",Offer!$C$5,"[NAME]")),LEFT("Hi"&amp;IF(O245&lt;&gt;""," "&amp;O245,"")&amp;","&amp;" FC Urban runs after-work football for "&amp;IF(D245="Canary Wharf","Canary Wharf","City")&amp;" teams: "&amp;AC245&amp;" at "&amp;X245&amp;", "&amp;Y245&amp;" min from your office, "&amp;IF(ISNUMBER(AB245),TEXT(AB245,"ddd d mmm")&amp;", "&amp;TEXT(AB245,"hh:mm"),"weekday evenings")&amp;", "&amp;IF(AD245&lt;&gt;"","£"&amp;IF(AD245=INT(AD245),TEXT(AD245,"0"),TEXT(AD245,"0.00")),"[PRICE PER PLAYER]")&amp;" pp. We handle booking and payments. Up for a team game? "&amp;IF(AL245&lt;&gt;"",AL245,IF(Offer!$C$5&lt;&gt;"",Offer!$C$5,"[NAME]")),300))</f>
        <v/>
      </c>
      <c r="AI245" s="14">
        <f>LEN(AH245)</f>
        <v/>
      </c>
      <c r="AJ245" s="14">
        <f>"Thanks for connecting"&amp;IF(O245&lt;&gt;"",", "&amp;O245,"")&amp;". "&amp;IF(ISNUMBER(AB245),"The "&amp;AC245&amp;" slot at "&amp;X245&amp;" is "&amp;IF(ISNUMBER(AB245),TEXT(AB245,"ddd d mmm")&amp;", "&amp;TEXT(AB245,"hh:mm"),"weekday evenings"),"We can book "&amp;AC245&amp;" at "&amp;X245&amp;" on a weekday evening that suits you")&amp;" and it's "&amp;IF(AD245&lt;&gt;"","£"&amp;IF(AD245=INT(AD245),TEXT(AD245,"0"),TEXT(AD245,"0.00")),"[PRICE PER PLAYER]")&amp;" a player, all booked and paid through one link. If football isn't your thing, who at "&amp;F245&amp;" would be the right person to organise a team game?"&amp;IF(Offer!$C$7&lt;&gt;""," Spots are held until "&amp;TEXT(Offer!$C$7,"dddd d mmmm")&amp;".","")&amp;" "&amp;IF(Offer!$C$6&lt;&gt;"",Offer!$C$6,"[JOINING LINK]")</f>
        <v/>
      </c>
      <c r="AK245" s="14">
        <f>IF(OR(ISNUMBER(SEARCH("[",AG245)),ISNUMBER(SEARCH("[",AJ245))),"Fill placeholders",IF(ISNUMBER(AB245),"Ready to send","Ready · no fixed slot"))</f>
        <v/>
      </c>
      <c r="AN245" s="17" t="n"/>
    </row>
    <row r="246">
      <c r="A246" s="11" t="n">
        <v>244</v>
      </c>
      <c r="B246" s="11" t="n">
        <v>3</v>
      </c>
      <c r="C246" s="11" t="inlineStr">
        <is>
          <t>Insurance / broker</t>
        </is>
      </c>
      <c r="D246" s="11" t="inlineStr">
        <is>
          <t>City of London</t>
        </is>
      </c>
      <c r="E246" s="11" t="inlineStr">
        <is>
          <t>The Prudential Assurance Company Limited</t>
        </is>
      </c>
      <c r="F246" s="11" t="inlineStr">
        <is>
          <t>Prudential Assurance Company</t>
        </is>
      </c>
      <c r="G246" s="11" t="inlineStr">
        <is>
          <t>00015454</t>
        </is>
      </c>
      <c r="H246" s="12" t="inlineStr">
        <is>
          <t>Open</t>
        </is>
      </c>
      <c r="I246" s="12" t="inlineStr">
        <is>
          <t>Search</t>
        </is>
      </c>
      <c r="J246" s="11" t="inlineStr">
        <is>
          <t>Full</t>
        </is>
      </c>
      <c r="K246" s="13" t="n">
        <v>-6786</v>
      </c>
      <c r="L246" s="11" t="inlineStr">
        <is>
          <t>10 Fenchurch Avenue, London</t>
        </is>
      </c>
      <c r="M246" s="11" t="inlineStr">
        <is>
          <t>EC3M 5AG</t>
        </is>
      </c>
      <c r="N246" s="11" t="inlineStr">
        <is>
          <t>No</t>
        </is>
      </c>
      <c r="U246" s="11" t="inlineStr">
        <is>
          <t>Liverpool St - Attlee Centre</t>
        </is>
      </c>
      <c r="V246" s="11" t="n">
        <v>14</v>
      </c>
      <c r="W246" s="11" t="n"/>
      <c r="X246" s="11" t="inlineStr">
        <is>
          <t>Liverpool St - Attlee Centre</t>
        </is>
      </c>
      <c r="Y246" s="11" t="n">
        <v>14</v>
      </c>
      <c r="Z246" s="14">
        <f>IFERROR(INDEX(Venues!$E$2:$E$15,MATCH(X246,Venues!$A$2:$A$15,0)),"Not checked")</f>
        <v/>
      </c>
      <c r="AA246" s="14">
        <f>IFERROR(INDEX(Venues!$F$2:$F$15,MATCH(X246,Venues!$A$2:$A$15,0)),0)</f>
        <v/>
      </c>
      <c r="AB246" s="15">
        <f>IFERROR(INDEX(Venues!$M$2:$M$15,MATCH(X246,Venues!$A$2:$A$15,0)),"")</f>
        <v/>
      </c>
      <c r="AC246" s="14">
        <f>IFERROR(INDEX(Venues!$N$2:$N$15,MATCH(X246,Venues!$A$2:$A$15,0)),"5-a-side")</f>
        <v/>
      </c>
      <c r="AD246" s="16">
        <f>IF(Offer!$C$4="","",Offer!$C$4)</f>
        <v/>
      </c>
      <c r="AE246" s="14">
        <f>X246&amp;" ("&amp;Y246&amp;" min walk) · "&amp;IF(ISNUMBER(AB246),TEXT(AB246,"ddd d mmm, hh:mm"),"slot to confirm with venue")&amp;" · "&amp;AC246&amp;" · "&amp;IF(AD246&lt;&gt;"","£"&amp;TEXT(AD246,"0.00")&amp;" pp","price TBC")</f>
        <v/>
      </c>
      <c r="AF246" s="14">
        <f>"After-work football for "&amp;F246&amp;" · "&amp;X246&amp;", "&amp;Y246&amp;" min from your office"</f>
        <v/>
      </c>
      <c r="AG246" s="14">
        <f>"Hi"&amp;IF(O246&lt;&gt;""," "&amp;O246,"")&amp;","&amp;CHAR(10)&amp;CHAR(10)&amp;"I'm "&amp;IF(AL246&lt;&gt;"",AL246,IF(Offer!$C$5&lt;&gt;"",Offer!$C$5,"[NAME]"))&amp;" from FC Urban. We organise after-work football for teams in the City and Canary Wharf."&amp;CHAR(10)&amp;CHAR(10)&amp;"We have a "&amp;AC246&amp;" pitch at "&amp;X246&amp;", "&amp;IF(OR(Y246=8,Y246=11,Y246=18),"an ","a ")&amp;Y246&amp;"-minute walk from your "&amp;M246&amp;" office, "&amp;IF(ISNUMBER(AB246),"on "&amp;TEXT(AB246,"dddd d mmmm")&amp;" at "&amp;TEXT(AB246,"hh:mm"),"on a weekday evening that suits your team")&amp;". It's "&amp;IF(AD246&lt;&gt;"","£"&amp;IF(AD246=INT(AD246),TEXT(AD246,"0"),TEXT(AD246,"0.00")),"[PRICE PER PLAYER]")&amp;" a player and we handle the pitch booking, sign-ups and payments, so all it takes is one person sharing a link with the team."&amp;CHAR(10)&amp;CHAR(10)&amp;"It works well as a team social or "&amp;IF(ISNUMBER(SEARCH(LEFT(F246,1),"AEIOU")),"an ","a ")&amp;F246&amp;"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LINK]")&amp;CHAR(10)&amp;CHAR(10)&amp;"Best,"&amp;CHAR(10)&amp;IF(AL246&lt;&gt;"",AL246,IF(Offer!$C$5&lt;&gt;"",Offer!$C$5,"[NAME]"))&amp;CHAR(10)&amp;"FC Urban"</f>
        <v/>
      </c>
      <c r="AH246" s="14">
        <f>IF(LEN("Hi"&amp;IF(O246&lt;&gt;""," "&amp;O246,"")&amp;","&amp;" FC Urban runs after-work football for "&amp;IF(D246="Canary Wharf","Canary Wharf","City")&amp;" teams. We have a "&amp;AC246&amp;" pitch at "&amp;X246&amp;", "&amp;Y246&amp;" min from your office, "&amp;IF(ISNUMBER(AB246),TEXT(AB246,"ddd d mmm")&amp;", "&amp;TEXT(AB246,"hh:mm"),"weekday evenings")&amp;", "&amp;IF(AD246&lt;&gt;"","£"&amp;IF(AD246=INT(AD246),TEXT(AD246,"0"),TEXT(AD246,"0.00")),"[PRICE PER PLAYER]")&amp;" a player. We handle booking, sign-ups and payments. Fancy "&amp;IF(ISNUMBER(SEARCH(LEFT(F246,1),"AEIOU")),"an ","a ")&amp;F246&amp;" team game? "&amp;IF(AL246&lt;&gt;"",AL246,IF(Offer!$C$5&lt;&gt;"",Offer!$C$5,"[NAME]")))&lt;=300,"Hi"&amp;IF(O246&lt;&gt;""," "&amp;O246,"")&amp;","&amp;" FC Urban runs after-work football for "&amp;IF(D246="Canary Wharf","Canary Wharf","City")&amp;" teams. We have a "&amp;AC246&amp;" pitch at "&amp;X246&amp;", "&amp;Y246&amp;" min from your office, "&amp;IF(ISNUMBER(AB246),TEXT(AB246,"ddd d mmm")&amp;", "&amp;TEXT(AB246,"hh:mm"),"weekday evenings")&amp;", "&amp;IF(AD246&lt;&gt;"","£"&amp;IF(AD246=INT(AD246),TEXT(AD246,"0"),TEXT(AD246,"0.00")),"[PRICE PER PLAYER]")&amp;" a player. We handle booking, sign-ups and payments. Fancy "&amp;IF(ISNUMBER(SEARCH(LEFT(F246,1),"AEIOU")),"an ","a ")&amp;F246&amp;" team game? "&amp;IF(AL246&lt;&gt;"",AL246,IF(Offer!$C$5&lt;&gt;"",Offer!$C$5,"[NAME]")),LEFT("Hi"&amp;IF(O246&lt;&gt;""," "&amp;O246,"")&amp;","&amp;" FC Urban runs after-work football for "&amp;IF(D246="Canary Wharf","Canary Wharf","City")&amp;" teams: "&amp;AC246&amp;" at "&amp;X246&amp;", "&amp;Y246&amp;" min from your office, "&amp;IF(ISNUMBER(AB246),TEXT(AB246,"ddd d mmm")&amp;", "&amp;TEXT(AB246,"hh:mm"),"weekday evenings")&amp;", "&amp;IF(AD246&lt;&gt;"","£"&amp;IF(AD246=INT(AD246),TEXT(AD246,"0"),TEXT(AD246,"0.00")),"[PRICE PER PLAYER]")&amp;" pp. We handle booking and payments. Up for a team game? "&amp;IF(AL246&lt;&gt;"",AL246,IF(Offer!$C$5&lt;&gt;"",Offer!$C$5,"[NAME]")),300))</f>
        <v/>
      </c>
      <c r="AI246" s="14">
        <f>LEN(AH246)</f>
        <v/>
      </c>
      <c r="AJ246" s="14">
        <f>"Thanks for connecting"&amp;IF(O246&lt;&gt;"",", "&amp;O246,"")&amp;". "&amp;IF(ISNUMBER(AB246),"The "&amp;AC246&amp;" slot at "&amp;X246&amp;" is "&amp;IF(ISNUMBER(AB246),TEXT(AB246,"ddd d mmm")&amp;", "&amp;TEXT(AB246,"hh:mm"),"weekday evenings"),"We can book "&amp;AC246&amp;" at "&amp;X246&amp;" on a weekday evening that suits you")&amp;" and it's "&amp;IF(AD246&lt;&gt;"","£"&amp;IF(AD246=INT(AD246),TEXT(AD246,"0"),TEXT(AD246,"0.00")),"[PRICE PER PLAYER]")&amp;" a player, all booked and paid through one link. If football isn't your thing, who at "&amp;F246&amp;" would be the right person to organise a team game?"&amp;IF(Offer!$C$7&lt;&gt;""," Spots are held until "&amp;TEXT(Offer!$C$7,"dddd d mmmm")&amp;".","")&amp;" "&amp;IF(Offer!$C$6&lt;&gt;"",Offer!$C$6,"[JOINING LINK]")</f>
        <v/>
      </c>
      <c r="AK246" s="14">
        <f>IF(OR(ISNUMBER(SEARCH("[",AG246)),ISNUMBER(SEARCH("[",AJ246))),"Fill placeholders",IF(ISNUMBER(AB246),"Ready to send","Ready · no fixed slot"))</f>
        <v/>
      </c>
      <c r="AN246" s="17" t="n"/>
    </row>
    <row r="247">
      <c r="A247" s="11" t="n">
        <v>245</v>
      </c>
      <c r="B247" s="11" t="n">
        <v>3</v>
      </c>
      <c r="C247" s="11" t="inlineStr">
        <is>
          <t>Fund / asset manager</t>
        </is>
      </c>
      <c r="D247" s="11" t="inlineStr">
        <is>
          <t>Canary Wharf</t>
        </is>
      </c>
      <c r="E247" s="11" t="inlineStr">
        <is>
          <t>Bellrock Securities Limited</t>
        </is>
      </c>
      <c r="F247" s="11" t="inlineStr">
        <is>
          <t>Bellrock Securities</t>
        </is>
      </c>
      <c r="G247" s="11" t="inlineStr">
        <is>
          <t>09798089</t>
        </is>
      </c>
      <c r="H247" s="12" t="inlineStr">
        <is>
          <t>Open</t>
        </is>
      </c>
      <c r="I247" s="12" t="inlineStr">
        <is>
          <t>Search</t>
        </is>
      </c>
      <c r="J247" s="11" t="inlineStr">
        <is>
          <t>Full</t>
        </is>
      </c>
      <c r="K247" s="13" t="n">
        <v>42275</v>
      </c>
      <c r="L247" s="11" t="inlineStr">
        <is>
          <t>4702 Bagshaw Building, 1 Wards Place, London</t>
        </is>
      </c>
      <c r="M247" s="11" t="inlineStr">
        <is>
          <t>E14 9EJ</t>
        </is>
      </c>
      <c r="N247" s="11" t="inlineStr">
        <is>
          <t>No</t>
        </is>
      </c>
      <c r="U247" s="11" t="inlineStr">
        <is>
          <t>Poplar</t>
        </is>
      </c>
      <c r="V247" s="11" t="n">
        <v>14</v>
      </c>
      <c r="W247" s="11" t="inlineStr">
        <is>
          <t>Docklands - Surrey Quays (15.3); PlayFootball Canary Wharf - Westferry (E14 8HH) (19)</t>
        </is>
      </c>
      <c r="X247" s="11" t="inlineStr">
        <is>
          <t>Poplar</t>
        </is>
      </c>
      <c r="Y247" s="11" t="n">
        <v>14</v>
      </c>
      <c r="Z247" s="14">
        <f>IFERROR(INDEX(Venues!$E$2:$E$15,MATCH(X247,Venues!$A$2:$A$15,0)),"Not checked")</f>
        <v/>
      </c>
      <c r="AA247" s="14">
        <f>IFERROR(INDEX(Venues!$F$2:$F$15,MATCH(X247,Venues!$A$2:$A$15,0)),0)</f>
        <v/>
      </c>
      <c r="AB247" s="15">
        <f>IFERROR(INDEX(Venues!$M$2:$M$15,MATCH(X247,Venues!$A$2:$A$15,0)),"")</f>
        <v/>
      </c>
      <c r="AC247" s="14">
        <f>IFERROR(INDEX(Venues!$N$2:$N$15,MATCH(X247,Venues!$A$2:$A$15,0)),"5-a-side")</f>
        <v/>
      </c>
      <c r="AD247" s="16">
        <f>IF(Offer!$C$4="","",Offer!$C$4)</f>
        <v/>
      </c>
      <c r="AE247" s="14">
        <f>X247&amp;" ("&amp;Y247&amp;" min walk) · "&amp;IF(ISNUMBER(AB247),TEXT(AB247,"ddd d mmm, hh:mm"),"slot to confirm with venue")&amp;" · "&amp;AC247&amp;" · "&amp;IF(AD247&lt;&gt;"","£"&amp;TEXT(AD247,"0.00")&amp;" pp","price TBC")</f>
        <v/>
      </c>
      <c r="AF247" s="14">
        <f>"After-work football for "&amp;F247&amp;" · "&amp;X247&amp;", "&amp;Y247&amp;" min from your office"</f>
        <v/>
      </c>
      <c r="AG247" s="14">
        <f>"Hi"&amp;IF(O247&lt;&gt;""," "&amp;O247,"")&amp;","&amp;CHAR(10)&amp;CHAR(10)&amp;"I'm "&amp;IF(AL247&lt;&gt;"",AL247,IF(Offer!$C$5&lt;&gt;"",Offer!$C$5,"[NAME]"))&amp;" from FC Urban. We organise after-work football for teams in the City and Canary Wharf."&amp;CHAR(10)&amp;CHAR(10)&amp;"We have a "&amp;AC247&amp;" pitch at "&amp;X247&amp;", "&amp;IF(OR(Y247=8,Y247=11,Y247=18),"an ","a ")&amp;Y247&amp;"-minute walk from your "&amp;M247&amp;" office, "&amp;IF(ISNUMBER(AB247),"on "&amp;TEXT(AB247,"dddd d mmmm")&amp;" at "&amp;TEXT(AB247,"hh:mm"),"on a weekday evening that suits your team")&amp;". It's "&amp;IF(AD247&lt;&gt;"","£"&amp;IF(AD247=INT(AD247),TEXT(AD247,"0"),TEXT(AD247,"0.00")),"[PRICE PER PLAYER]")&amp;" a player and we handle the pitch booking, sign-ups and payments, so all it takes is one person sharing a link with the team."&amp;CHAR(10)&amp;CHAR(10)&amp;"It works well as a team social or "&amp;IF(ISNUMBER(SEARCH(LEFT(F247,1),"AEIOU")),"an ","a ")&amp;F247&amp;"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LINK]")&amp;CHAR(10)&amp;CHAR(10)&amp;"Best,"&amp;CHAR(10)&amp;IF(AL247&lt;&gt;"",AL247,IF(Offer!$C$5&lt;&gt;"",Offer!$C$5,"[NAME]"))&amp;CHAR(10)&amp;"FC Urban"</f>
        <v/>
      </c>
      <c r="AH247" s="14">
        <f>IF(LEN("Hi"&amp;IF(O247&lt;&gt;""," "&amp;O247,"")&amp;","&amp;" FC Urban runs after-work football for "&amp;IF(D247="Canary Wharf","Canary Wharf","City")&amp;" teams. We have a "&amp;AC247&amp;" pitch at "&amp;X247&amp;", "&amp;Y247&amp;" min from your office, "&amp;IF(ISNUMBER(AB247),TEXT(AB247,"ddd d mmm")&amp;", "&amp;TEXT(AB247,"hh:mm"),"weekday evenings")&amp;", "&amp;IF(AD247&lt;&gt;"","£"&amp;IF(AD247=INT(AD247),TEXT(AD247,"0"),TEXT(AD247,"0.00")),"[PRICE PER PLAYER]")&amp;" a player. We handle booking, sign-ups and payments. Fancy "&amp;IF(ISNUMBER(SEARCH(LEFT(F247,1),"AEIOU")),"an ","a ")&amp;F247&amp;" team game? "&amp;IF(AL247&lt;&gt;"",AL247,IF(Offer!$C$5&lt;&gt;"",Offer!$C$5,"[NAME]")))&lt;=300,"Hi"&amp;IF(O247&lt;&gt;""," "&amp;O247,"")&amp;","&amp;" FC Urban runs after-work football for "&amp;IF(D247="Canary Wharf","Canary Wharf","City")&amp;" teams. We have a "&amp;AC247&amp;" pitch at "&amp;X247&amp;", "&amp;Y247&amp;" min from your office, "&amp;IF(ISNUMBER(AB247),TEXT(AB247,"ddd d mmm")&amp;", "&amp;TEXT(AB247,"hh:mm"),"weekday evenings")&amp;", "&amp;IF(AD247&lt;&gt;"","£"&amp;IF(AD247=INT(AD247),TEXT(AD247,"0"),TEXT(AD247,"0.00")),"[PRICE PER PLAYER]")&amp;" a player. We handle booking, sign-ups and payments. Fancy "&amp;IF(ISNUMBER(SEARCH(LEFT(F247,1),"AEIOU")),"an ","a ")&amp;F247&amp;" team game? "&amp;IF(AL247&lt;&gt;"",AL247,IF(Offer!$C$5&lt;&gt;"",Offer!$C$5,"[NAME]")),LEFT("Hi"&amp;IF(O247&lt;&gt;""," "&amp;O247,"")&amp;","&amp;" FC Urban runs after-work football for "&amp;IF(D247="Canary Wharf","Canary Wharf","City")&amp;" teams: "&amp;AC247&amp;" at "&amp;X247&amp;", "&amp;Y247&amp;" min from your office, "&amp;IF(ISNUMBER(AB247),TEXT(AB247,"ddd d mmm")&amp;", "&amp;TEXT(AB247,"hh:mm"),"weekday evenings")&amp;", "&amp;IF(AD247&lt;&gt;"","£"&amp;IF(AD247=INT(AD247),TEXT(AD247,"0"),TEXT(AD247,"0.00")),"[PRICE PER PLAYER]")&amp;" pp. We handle booking and payments. Up for a team game? "&amp;IF(AL247&lt;&gt;"",AL247,IF(Offer!$C$5&lt;&gt;"",Offer!$C$5,"[NAME]")),300))</f>
        <v/>
      </c>
      <c r="AI247" s="14">
        <f>LEN(AH247)</f>
        <v/>
      </c>
      <c r="AJ247" s="14">
        <f>"Thanks for connecting"&amp;IF(O247&lt;&gt;"",", "&amp;O247,"")&amp;". "&amp;IF(ISNUMBER(AB247),"The "&amp;AC247&amp;" slot at "&amp;X247&amp;" is "&amp;IF(ISNUMBER(AB247),TEXT(AB247,"ddd d mmm")&amp;", "&amp;TEXT(AB247,"hh:mm"),"weekday evenings"),"We can book "&amp;AC247&amp;" at "&amp;X247&amp;" on a weekday evening that suits you")&amp;" and it's "&amp;IF(AD247&lt;&gt;"","£"&amp;IF(AD247=INT(AD247),TEXT(AD247,"0"),TEXT(AD247,"0.00")),"[PRICE PER PLAYER]")&amp;" a player, all booked and paid through one link. If football isn't your thing, who at "&amp;F247&amp;" would be the right person to organise a team game?"&amp;IF(Offer!$C$7&lt;&gt;""," Spots are held until "&amp;TEXT(Offer!$C$7,"dddd d mmmm")&amp;".","")&amp;" "&amp;IF(Offer!$C$6&lt;&gt;"",Offer!$C$6,"[JOINING LINK]")</f>
        <v/>
      </c>
      <c r="AK247" s="14">
        <f>IF(OR(ISNUMBER(SEARCH("[",AG247)),ISNUMBER(SEARCH("[",AJ247))),"Fill placeholders",IF(ISNUMBER(AB247),"Ready to send","Ready · no fixed slot"))</f>
        <v/>
      </c>
      <c r="AN247" s="17" t="n"/>
    </row>
    <row r="248">
      <c r="A248" s="11" t="n">
        <v>246</v>
      </c>
      <c r="B248" s="11" t="n">
        <v>3</v>
      </c>
      <c r="C248" s="11" t="inlineStr">
        <is>
          <t>Fund / asset manager</t>
        </is>
      </c>
      <c r="D248" s="11" t="inlineStr">
        <is>
          <t>City of London</t>
        </is>
      </c>
      <c r="E248" s="11" t="inlineStr">
        <is>
          <t>M&amp;G Real Estate Limited</t>
        </is>
      </c>
      <c r="F248" s="11" t="inlineStr">
        <is>
          <t>M&amp;G Real Estate</t>
        </is>
      </c>
      <c r="G248" s="11" t="inlineStr">
        <is>
          <t>03852763</t>
        </is>
      </c>
      <c r="H248" s="12" t="inlineStr">
        <is>
          <t>Open</t>
        </is>
      </c>
      <c r="I248" s="12" t="inlineStr">
        <is>
          <t>Search</t>
        </is>
      </c>
      <c r="J248" s="11" t="inlineStr">
        <is>
          <t>Full</t>
        </is>
      </c>
      <c r="K248" s="13" t="n">
        <v>36437</v>
      </c>
      <c r="L248" s="11" t="inlineStr">
        <is>
          <t>10 Fenchurch Avenue, London</t>
        </is>
      </c>
      <c r="M248" s="11" t="inlineStr">
        <is>
          <t>EC3M 5AG</t>
        </is>
      </c>
      <c r="N248" s="11" t="inlineStr">
        <is>
          <t>No</t>
        </is>
      </c>
      <c r="U248" s="11" t="inlineStr">
        <is>
          <t>Liverpool St - Attlee Centre</t>
        </is>
      </c>
      <c r="V248" s="11" t="n">
        <v>14</v>
      </c>
      <c r="W248" s="11" t="n"/>
      <c r="X248" s="11" t="inlineStr">
        <is>
          <t>Liverpool St - Attlee Centre</t>
        </is>
      </c>
      <c r="Y248" s="11" t="n">
        <v>14</v>
      </c>
      <c r="Z248" s="14">
        <f>IFERROR(INDEX(Venues!$E$2:$E$15,MATCH(X248,Venues!$A$2:$A$15,0)),"Not checked")</f>
        <v/>
      </c>
      <c r="AA248" s="14">
        <f>IFERROR(INDEX(Venues!$F$2:$F$15,MATCH(X248,Venues!$A$2:$A$15,0)),0)</f>
        <v/>
      </c>
      <c r="AB248" s="15">
        <f>IFERROR(INDEX(Venues!$M$2:$M$15,MATCH(X248,Venues!$A$2:$A$15,0)),"")</f>
        <v/>
      </c>
      <c r="AC248" s="14">
        <f>IFERROR(INDEX(Venues!$N$2:$N$15,MATCH(X248,Venues!$A$2:$A$15,0)),"5-a-side")</f>
        <v/>
      </c>
      <c r="AD248" s="16">
        <f>IF(Offer!$C$4="","",Offer!$C$4)</f>
        <v/>
      </c>
      <c r="AE248" s="14">
        <f>X248&amp;" ("&amp;Y248&amp;" min walk) · "&amp;IF(ISNUMBER(AB248),TEXT(AB248,"ddd d mmm, hh:mm"),"slot to confirm with venue")&amp;" · "&amp;AC248&amp;" · "&amp;IF(AD248&lt;&gt;"","£"&amp;TEXT(AD248,"0.00")&amp;" pp","price TBC")</f>
        <v/>
      </c>
      <c r="AF248" s="14">
        <f>"After-work football for "&amp;F248&amp;" · "&amp;X248&amp;", "&amp;Y248&amp;" min from your office"</f>
        <v/>
      </c>
      <c r="AG248" s="14">
        <f>"Hi"&amp;IF(O248&lt;&gt;""," "&amp;O248,"")&amp;","&amp;CHAR(10)&amp;CHAR(10)&amp;"I'm "&amp;IF(AL248&lt;&gt;"",AL248,IF(Offer!$C$5&lt;&gt;"",Offer!$C$5,"[NAME]"))&amp;" from FC Urban. We organise after-work football for teams in the City and Canary Wharf."&amp;CHAR(10)&amp;CHAR(10)&amp;"We have a "&amp;AC248&amp;" pitch at "&amp;X248&amp;", "&amp;IF(OR(Y248=8,Y248=11,Y248=18),"an ","a ")&amp;Y248&amp;"-minute walk from your "&amp;M248&amp;" office, "&amp;IF(ISNUMBER(AB248),"on "&amp;TEXT(AB248,"dddd d mmmm")&amp;" at "&amp;TEXT(AB248,"hh:mm"),"on a weekday evening that suits your team")&amp;". It's "&amp;IF(AD248&lt;&gt;"","£"&amp;IF(AD248=INT(AD248),TEXT(AD248,"0"),TEXT(AD248,"0.00")),"[PRICE PER PLAYER]")&amp;" a player and we handle the pitch booking, sign-ups and payments, so all it takes is one person sharing a link with the team."&amp;CHAR(10)&amp;CHAR(10)&amp;"It works well as a team social or "&amp;IF(ISNUMBER(SEARCH(LEFT(F248,1),"AEIOU")),"an ","a ")&amp;F248&amp;"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LINK]")&amp;CHAR(10)&amp;CHAR(10)&amp;"Best,"&amp;CHAR(10)&amp;IF(AL248&lt;&gt;"",AL248,IF(Offer!$C$5&lt;&gt;"",Offer!$C$5,"[NAME]"))&amp;CHAR(10)&amp;"FC Urban"</f>
        <v/>
      </c>
      <c r="AH248" s="14">
        <f>IF(LEN("Hi"&amp;IF(O248&lt;&gt;""," "&amp;O248,"")&amp;","&amp;" FC Urban runs after-work football for "&amp;IF(D248="Canary Wharf","Canary Wharf","City")&amp;" teams. We have a "&amp;AC248&amp;" pitch at "&amp;X248&amp;", "&amp;Y248&amp;" min from your office, "&amp;IF(ISNUMBER(AB248),TEXT(AB248,"ddd d mmm")&amp;", "&amp;TEXT(AB248,"hh:mm"),"weekday evenings")&amp;", "&amp;IF(AD248&lt;&gt;"","£"&amp;IF(AD248=INT(AD248),TEXT(AD248,"0"),TEXT(AD248,"0.00")),"[PRICE PER PLAYER]")&amp;" a player. We handle booking, sign-ups and payments. Fancy "&amp;IF(ISNUMBER(SEARCH(LEFT(F248,1),"AEIOU")),"an ","a ")&amp;F248&amp;" team game? "&amp;IF(AL248&lt;&gt;"",AL248,IF(Offer!$C$5&lt;&gt;"",Offer!$C$5,"[NAME]")))&lt;=300,"Hi"&amp;IF(O248&lt;&gt;""," "&amp;O248,"")&amp;","&amp;" FC Urban runs after-work football for "&amp;IF(D248="Canary Wharf","Canary Wharf","City")&amp;" teams. We have a "&amp;AC248&amp;" pitch at "&amp;X248&amp;", "&amp;Y248&amp;" min from your office, "&amp;IF(ISNUMBER(AB248),TEXT(AB248,"ddd d mmm")&amp;", "&amp;TEXT(AB248,"hh:mm"),"weekday evenings")&amp;", "&amp;IF(AD248&lt;&gt;"","£"&amp;IF(AD248=INT(AD248),TEXT(AD248,"0"),TEXT(AD248,"0.00")),"[PRICE PER PLAYER]")&amp;" a player. We handle booking, sign-ups and payments. Fancy "&amp;IF(ISNUMBER(SEARCH(LEFT(F248,1),"AEIOU")),"an ","a ")&amp;F248&amp;" team game? "&amp;IF(AL248&lt;&gt;"",AL248,IF(Offer!$C$5&lt;&gt;"",Offer!$C$5,"[NAME]")),LEFT("Hi"&amp;IF(O248&lt;&gt;""," "&amp;O248,"")&amp;","&amp;" FC Urban runs after-work football for "&amp;IF(D248="Canary Wharf","Canary Wharf","City")&amp;" teams: "&amp;AC248&amp;" at "&amp;X248&amp;", "&amp;Y248&amp;" min from your office, "&amp;IF(ISNUMBER(AB248),TEXT(AB248,"ddd d mmm")&amp;", "&amp;TEXT(AB248,"hh:mm"),"weekday evenings")&amp;", "&amp;IF(AD248&lt;&gt;"","£"&amp;IF(AD248=INT(AD248),TEXT(AD248,"0"),TEXT(AD248,"0.00")),"[PRICE PER PLAYER]")&amp;" pp. We handle booking and payments. Up for a team game? "&amp;IF(AL248&lt;&gt;"",AL248,IF(Offer!$C$5&lt;&gt;"",Offer!$C$5,"[NAME]")),300))</f>
        <v/>
      </c>
      <c r="AI248" s="14">
        <f>LEN(AH248)</f>
        <v/>
      </c>
      <c r="AJ248" s="14">
        <f>"Thanks for connecting"&amp;IF(O248&lt;&gt;"",", "&amp;O248,"")&amp;". "&amp;IF(ISNUMBER(AB248),"The "&amp;AC248&amp;" slot at "&amp;X248&amp;" is "&amp;IF(ISNUMBER(AB248),TEXT(AB248,"ddd d mmm")&amp;", "&amp;TEXT(AB248,"hh:mm"),"weekday evenings"),"We can book "&amp;AC248&amp;" at "&amp;X248&amp;" on a weekday evening that suits you")&amp;" and it's "&amp;IF(AD248&lt;&gt;"","£"&amp;IF(AD248=INT(AD248),TEXT(AD248,"0"),TEXT(AD248,"0.00")),"[PRICE PER PLAYER]")&amp;" a player, all booked and paid through one link. If football isn't your thing, who at "&amp;F248&amp;" would be the right person to organise a team game?"&amp;IF(Offer!$C$7&lt;&gt;""," Spots are held until "&amp;TEXT(Offer!$C$7,"dddd d mmmm")&amp;".","")&amp;" "&amp;IF(Offer!$C$6&lt;&gt;"",Offer!$C$6,"[JOINING LINK]")</f>
        <v/>
      </c>
      <c r="AK248" s="14">
        <f>IF(OR(ISNUMBER(SEARCH("[",AG248)),ISNUMBER(SEARCH("[",AJ248))),"Fill placeholders",IF(ISNUMBER(AB248),"Ready to send","Ready · no fixed slot"))</f>
        <v/>
      </c>
      <c r="AN248" s="17" t="n"/>
    </row>
    <row r="249">
      <c r="A249" s="11" t="n">
        <v>247</v>
      </c>
      <c r="B249" s="11" t="n">
        <v>3</v>
      </c>
      <c r="C249" s="11" t="inlineStr">
        <is>
          <t>Insurance / broker</t>
        </is>
      </c>
      <c r="D249" s="11" t="inlineStr">
        <is>
          <t>City of London</t>
        </is>
      </c>
      <c r="E249" s="11" t="inlineStr">
        <is>
          <t>Card Protection Plan Limited</t>
        </is>
      </c>
      <c r="F249" s="11" t="inlineStr">
        <is>
          <t>Card Protection Plan</t>
        </is>
      </c>
      <c r="G249" s="11" t="inlineStr">
        <is>
          <t>01490503</t>
        </is>
      </c>
      <c r="H249" s="12" t="inlineStr">
        <is>
          <t>Open</t>
        </is>
      </c>
      <c r="I249" s="12" t="inlineStr">
        <is>
          <t>Search</t>
        </is>
      </c>
      <c r="J249" s="11" t="inlineStr">
        <is>
          <t>Full</t>
        </is>
      </c>
      <c r="K249" s="13" t="n">
        <v>29325</v>
      </c>
      <c r="L249" s="11" t="inlineStr">
        <is>
          <t>19Th Floor, 51 Lime Street, London</t>
        </is>
      </c>
      <c r="M249" s="11" t="inlineStr">
        <is>
          <t>EC3M 7DQ</t>
        </is>
      </c>
      <c r="N249" s="11" t="inlineStr">
        <is>
          <t>No</t>
        </is>
      </c>
      <c r="U249" s="11" t="inlineStr">
        <is>
          <t>Liverpool St - Attlee Centre</t>
        </is>
      </c>
      <c r="V249" s="11" t="n">
        <v>14</v>
      </c>
      <c r="W249" s="11" t="n"/>
      <c r="X249" s="11" t="inlineStr">
        <is>
          <t>Liverpool St - Attlee Centre</t>
        </is>
      </c>
      <c r="Y249" s="11" t="n">
        <v>14</v>
      </c>
      <c r="Z249" s="14">
        <f>IFERROR(INDEX(Venues!$E$2:$E$15,MATCH(X249,Venues!$A$2:$A$15,0)),"Not checked")</f>
        <v/>
      </c>
      <c r="AA249" s="14">
        <f>IFERROR(INDEX(Venues!$F$2:$F$15,MATCH(X249,Venues!$A$2:$A$15,0)),0)</f>
        <v/>
      </c>
      <c r="AB249" s="15">
        <f>IFERROR(INDEX(Venues!$M$2:$M$15,MATCH(X249,Venues!$A$2:$A$15,0)),"")</f>
        <v/>
      </c>
      <c r="AC249" s="14">
        <f>IFERROR(INDEX(Venues!$N$2:$N$15,MATCH(X249,Venues!$A$2:$A$15,0)),"5-a-side")</f>
        <v/>
      </c>
      <c r="AD249" s="16">
        <f>IF(Offer!$C$4="","",Offer!$C$4)</f>
        <v/>
      </c>
      <c r="AE249" s="14">
        <f>X249&amp;" ("&amp;Y249&amp;" min walk) · "&amp;IF(ISNUMBER(AB249),TEXT(AB249,"ddd d mmm, hh:mm"),"slot to confirm with venue")&amp;" · "&amp;AC249&amp;" · "&amp;IF(AD249&lt;&gt;"","£"&amp;TEXT(AD249,"0.00")&amp;" pp","price TBC")</f>
        <v/>
      </c>
      <c r="AF249" s="14">
        <f>"After-work football for "&amp;F249&amp;" · "&amp;X249&amp;", "&amp;Y249&amp;" min from your office"</f>
        <v/>
      </c>
      <c r="AG249" s="14">
        <f>"Hi"&amp;IF(O249&lt;&gt;""," "&amp;O249,"")&amp;","&amp;CHAR(10)&amp;CHAR(10)&amp;"I'm "&amp;IF(AL249&lt;&gt;"",AL249,IF(Offer!$C$5&lt;&gt;"",Offer!$C$5,"[NAME]"))&amp;" from FC Urban. We organise after-work football for teams in the City and Canary Wharf."&amp;CHAR(10)&amp;CHAR(10)&amp;"We have a "&amp;AC249&amp;" pitch at "&amp;X249&amp;", "&amp;IF(OR(Y249=8,Y249=11,Y249=18),"an ","a ")&amp;Y249&amp;"-minute walk from your "&amp;M249&amp;" office, "&amp;IF(ISNUMBER(AB249),"on "&amp;TEXT(AB249,"dddd d mmmm")&amp;" at "&amp;TEXT(AB249,"hh:mm"),"on a weekday evening that suits your team")&amp;". It's "&amp;IF(AD249&lt;&gt;"","£"&amp;IF(AD249=INT(AD249),TEXT(AD249,"0"),TEXT(AD249,"0.00")),"[PRICE PER PLAYER]")&amp;" a player and we handle the pitch booking, sign-ups and payments, so all it takes is one person sharing a link with the team."&amp;CHAR(10)&amp;CHAR(10)&amp;"It works well as a team social or "&amp;IF(ISNUMBER(SEARCH(LEFT(F249,1),"AEIOU")),"an ","a ")&amp;F249&amp;"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LINK]")&amp;CHAR(10)&amp;CHAR(10)&amp;"Best,"&amp;CHAR(10)&amp;IF(AL249&lt;&gt;"",AL249,IF(Offer!$C$5&lt;&gt;"",Offer!$C$5,"[NAME]"))&amp;CHAR(10)&amp;"FC Urban"</f>
        <v/>
      </c>
      <c r="AH249" s="14">
        <f>IF(LEN("Hi"&amp;IF(O249&lt;&gt;""," "&amp;O249,"")&amp;","&amp;" FC Urban runs after-work football for "&amp;IF(D249="Canary Wharf","Canary Wharf","City")&amp;" teams. We have a "&amp;AC249&amp;" pitch at "&amp;X249&amp;", "&amp;Y249&amp;" min from your office, "&amp;IF(ISNUMBER(AB249),TEXT(AB249,"ddd d mmm")&amp;", "&amp;TEXT(AB249,"hh:mm"),"weekday evenings")&amp;", "&amp;IF(AD249&lt;&gt;"","£"&amp;IF(AD249=INT(AD249),TEXT(AD249,"0"),TEXT(AD249,"0.00")),"[PRICE PER PLAYER]")&amp;" a player. We handle booking, sign-ups and payments. Fancy "&amp;IF(ISNUMBER(SEARCH(LEFT(F249,1),"AEIOU")),"an ","a ")&amp;F249&amp;" team game? "&amp;IF(AL249&lt;&gt;"",AL249,IF(Offer!$C$5&lt;&gt;"",Offer!$C$5,"[NAME]")))&lt;=300,"Hi"&amp;IF(O249&lt;&gt;""," "&amp;O249,"")&amp;","&amp;" FC Urban runs after-work football for "&amp;IF(D249="Canary Wharf","Canary Wharf","City")&amp;" teams. We have a "&amp;AC249&amp;" pitch at "&amp;X249&amp;", "&amp;Y249&amp;" min from your office, "&amp;IF(ISNUMBER(AB249),TEXT(AB249,"ddd d mmm")&amp;", "&amp;TEXT(AB249,"hh:mm"),"weekday evenings")&amp;", "&amp;IF(AD249&lt;&gt;"","£"&amp;IF(AD249=INT(AD249),TEXT(AD249,"0"),TEXT(AD249,"0.00")),"[PRICE PER PLAYER]")&amp;" a player. We handle booking, sign-ups and payments. Fancy "&amp;IF(ISNUMBER(SEARCH(LEFT(F249,1),"AEIOU")),"an ","a ")&amp;F249&amp;" team game? "&amp;IF(AL249&lt;&gt;"",AL249,IF(Offer!$C$5&lt;&gt;"",Offer!$C$5,"[NAME]")),LEFT("Hi"&amp;IF(O249&lt;&gt;""," "&amp;O249,"")&amp;","&amp;" FC Urban runs after-work football for "&amp;IF(D249="Canary Wharf","Canary Wharf","City")&amp;" teams: "&amp;AC249&amp;" at "&amp;X249&amp;", "&amp;Y249&amp;" min from your office, "&amp;IF(ISNUMBER(AB249),TEXT(AB249,"ddd d mmm")&amp;", "&amp;TEXT(AB249,"hh:mm"),"weekday evenings")&amp;", "&amp;IF(AD249&lt;&gt;"","£"&amp;IF(AD249=INT(AD249),TEXT(AD249,"0"),TEXT(AD249,"0.00")),"[PRICE PER PLAYER]")&amp;" pp. We handle booking and payments. Up for a team game? "&amp;IF(AL249&lt;&gt;"",AL249,IF(Offer!$C$5&lt;&gt;"",Offer!$C$5,"[NAME]")),300))</f>
        <v/>
      </c>
      <c r="AI249" s="14">
        <f>LEN(AH249)</f>
        <v/>
      </c>
      <c r="AJ249" s="14">
        <f>"Thanks for connecting"&amp;IF(O249&lt;&gt;"",", "&amp;O249,"")&amp;". "&amp;IF(ISNUMBER(AB249),"The "&amp;AC249&amp;" slot at "&amp;X249&amp;" is "&amp;IF(ISNUMBER(AB249),TEXT(AB249,"ddd d mmm")&amp;", "&amp;TEXT(AB249,"hh:mm"),"weekday evenings"),"We can book "&amp;AC249&amp;" at "&amp;X249&amp;" on a weekday evening that suits you")&amp;" and it's "&amp;IF(AD249&lt;&gt;"","£"&amp;IF(AD249=INT(AD249),TEXT(AD249,"0"),TEXT(AD249,"0.00")),"[PRICE PER PLAYER]")&amp;" a player, all booked and paid through one link. If football isn't your thing, who at "&amp;F249&amp;" would be the right person to organise a team game?"&amp;IF(Offer!$C$7&lt;&gt;""," Spots are held until "&amp;TEXT(Offer!$C$7,"dddd d mmmm")&amp;".","")&amp;" "&amp;IF(Offer!$C$6&lt;&gt;"",Offer!$C$6,"[JOINING LINK]")</f>
        <v/>
      </c>
      <c r="AK249" s="14">
        <f>IF(OR(ISNUMBER(SEARCH("[",AG249)),ISNUMBER(SEARCH("[",AJ249))),"Fill placeholders",IF(ISNUMBER(AB249),"Ready to send","Ready · no fixed slot"))</f>
        <v/>
      </c>
      <c r="AN249" s="17" t="n"/>
    </row>
    <row r="250">
      <c r="A250" s="11" t="n">
        <v>248</v>
      </c>
      <c r="B250" s="11" t="n">
        <v>3</v>
      </c>
      <c r="C250" s="11" t="inlineStr">
        <is>
          <t>Insurance / broker</t>
        </is>
      </c>
      <c r="D250" s="11" t="inlineStr">
        <is>
          <t>City of London</t>
        </is>
      </c>
      <c r="E250" s="11" t="inlineStr">
        <is>
          <t>Centrewrite Limited</t>
        </is>
      </c>
      <c r="F250" s="11" t="inlineStr">
        <is>
          <t>Centrewrite</t>
        </is>
      </c>
      <c r="G250" s="11" t="inlineStr">
        <is>
          <t>02551468</t>
        </is>
      </c>
      <c r="H250" s="12" t="inlineStr">
        <is>
          <t>Open</t>
        </is>
      </c>
      <c r="I250" s="12" t="inlineStr">
        <is>
          <t>Search</t>
        </is>
      </c>
      <c r="J250" s="11" t="inlineStr">
        <is>
          <t>Full</t>
        </is>
      </c>
      <c r="K250" s="13" t="n">
        <v>33170</v>
      </c>
      <c r="L250" s="11" t="inlineStr">
        <is>
          <t>Council Secretariat, Lloyd'S Of London, One Lime Street</t>
        </is>
      </c>
      <c r="M250" s="11" t="inlineStr">
        <is>
          <t>EC3M 7HA</t>
        </is>
      </c>
      <c r="N250" s="11" t="inlineStr">
        <is>
          <t>Yes</t>
        </is>
      </c>
      <c r="U250" s="11" t="inlineStr">
        <is>
          <t>Liverpool St - Attlee Centre</t>
        </is>
      </c>
      <c r="V250" s="11" t="n">
        <v>14</v>
      </c>
      <c r="W250" s="11" t="n"/>
      <c r="X250" s="11" t="inlineStr">
        <is>
          <t>Liverpool St - Attlee Centre</t>
        </is>
      </c>
      <c r="Y250" s="11" t="n">
        <v>14</v>
      </c>
      <c r="Z250" s="14">
        <f>IFERROR(INDEX(Venues!$E$2:$E$15,MATCH(X250,Venues!$A$2:$A$15,0)),"Not checked")</f>
        <v/>
      </c>
      <c r="AA250" s="14">
        <f>IFERROR(INDEX(Venues!$F$2:$F$15,MATCH(X250,Venues!$A$2:$A$15,0)),0)</f>
        <v/>
      </c>
      <c r="AB250" s="15">
        <f>IFERROR(INDEX(Venues!$M$2:$M$15,MATCH(X250,Venues!$A$2:$A$15,0)),"")</f>
        <v/>
      </c>
      <c r="AC250" s="14">
        <f>IFERROR(INDEX(Venues!$N$2:$N$15,MATCH(X250,Venues!$A$2:$A$15,0)),"5-a-side")</f>
        <v/>
      </c>
      <c r="AD250" s="16">
        <f>IF(Offer!$C$4="","",Offer!$C$4)</f>
        <v/>
      </c>
      <c r="AE250" s="14">
        <f>X250&amp;" ("&amp;Y250&amp;" min walk) · "&amp;IF(ISNUMBER(AB250),TEXT(AB250,"ddd d mmm, hh:mm"),"slot to confirm with venue")&amp;" · "&amp;AC250&amp;" · "&amp;IF(AD250&lt;&gt;"","£"&amp;TEXT(AD250,"0.00")&amp;" pp","price TBC")</f>
        <v/>
      </c>
      <c r="AF250" s="14">
        <f>"After-work football for "&amp;F250&amp;" · "&amp;X250&amp;", "&amp;Y250&amp;" min from your office"</f>
        <v/>
      </c>
      <c r="AG250" s="14">
        <f>"Hi"&amp;IF(O250&lt;&gt;""," "&amp;O250,"")&amp;","&amp;CHAR(10)&amp;CHAR(10)&amp;"I'm "&amp;IF(AL250&lt;&gt;"",AL250,IF(Offer!$C$5&lt;&gt;"",Offer!$C$5,"[NAME]"))&amp;" from FC Urban. We organise after-work football for teams in the City and Canary Wharf."&amp;CHAR(10)&amp;CHAR(10)&amp;"We have a "&amp;AC250&amp;" pitch at "&amp;X250&amp;", "&amp;IF(OR(Y250=8,Y250=11,Y250=18),"an ","a ")&amp;Y250&amp;"-minute walk from your "&amp;M250&amp;" office, "&amp;IF(ISNUMBER(AB250),"on "&amp;TEXT(AB250,"dddd d mmmm")&amp;" at "&amp;TEXT(AB250,"hh:mm"),"on a weekday evening that suits your team")&amp;". It's "&amp;IF(AD250&lt;&gt;"","£"&amp;IF(AD250=INT(AD250),TEXT(AD250,"0"),TEXT(AD250,"0.00")),"[PRICE PER PLAYER]")&amp;" a player and we handle the pitch booking, sign-ups and payments, so all it takes is one person sharing a link with the team."&amp;CHAR(10)&amp;CHAR(10)&amp;"It works well as a team social or "&amp;IF(ISNUMBER(SEARCH(LEFT(F250,1),"AEIOU")),"an ","a ")&amp;F250&amp;"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LINK]")&amp;CHAR(10)&amp;CHAR(10)&amp;"Best,"&amp;CHAR(10)&amp;IF(AL250&lt;&gt;"",AL250,IF(Offer!$C$5&lt;&gt;"",Offer!$C$5,"[NAME]"))&amp;CHAR(10)&amp;"FC Urban"</f>
        <v/>
      </c>
      <c r="AH250" s="14">
        <f>IF(LEN("Hi"&amp;IF(O250&lt;&gt;""," "&amp;O250,"")&amp;","&amp;" FC Urban runs after-work football for "&amp;IF(D250="Canary Wharf","Canary Wharf","City")&amp;" teams. We have a "&amp;AC250&amp;" pitch at "&amp;X250&amp;", "&amp;Y250&amp;" min from your office, "&amp;IF(ISNUMBER(AB250),TEXT(AB250,"ddd d mmm")&amp;", "&amp;TEXT(AB250,"hh:mm"),"weekday evenings")&amp;", "&amp;IF(AD250&lt;&gt;"","£"&amp;IF(AD250=INT(AD250),TEXT(AD250,"0"),TEXT(AD250,"0.00")),"[PRICE PER PLAYER]")&amp;" a player. We handle booking, sign-ups and payments. Fancy "&amp;IF(ISNUMBER(SEARCH(LEFT(F250,1),"AEIOU")),"an ","a ")&amp;F250&amp;" team game? "&amp;IF(AL250&lt;&gt;"",AL250,IF(Offer!$C$5&lt;&gt;"",Offer!$C$5,"[NAME]")))&lt;=300,"Hi"&amp;IF(O250&lt;&gt;""," "&amp;O250,"")&amp;","&amp;" FC Urban runs after-work football for "&amp;IF(D250="Canary Wharf","Canary Wharf","City")&amp;" teams. We have a "&amp;AC250&amp;" pitch at "&amp;X250&amp;", "&amp;Y250&amp;" min from your office, "&amp;IF(ISNUMBER(AB250),TEXT(AB250,"ddd d mmm")&amp;", "&amp;TEXT(AB250,"hh:mm"),"weekday evenings")&amp;", "&amp;IF(AD250&lt;&gt;"","£"&amp;IF(AD250=INT(AD250),TEXT(AD250,"0"),TEXT(AD250,"0.00")),"[PRICE PER PLAYER]")&amp;" a player. We handle booking, sign-ups and payments. Fancy "&amp;IF(ISNUMBER(SEARCH(LEFT(F250,1),"AEIOU")),"an ","a ")&amp;F250&amp;" team game? "&amp;IF(AL250&lt;&gt;"",AL250,IF(Offer!$C$5&lt;&gt;"",Offer!$C$5,"[NAME]")),LEFT("Hi"&amp;IF(O250&lt;&gt;""," "&amp;O250,"")&amp;","&amp;" FC Urban runs after-work football for "&amp;IF(D250="Canary Wharf","Canary Wharf","City")&amp;" teams: "&amp;AC250&amp;" at "&amp;X250&amp;", "&amp;Y250&amp;" min from your office, "&amp;IF(ISNUMBER(AB250),TEXT(AB250,"ddd d mmm")&amp;", "&amp;TEXT(AB250,"hh:mm"),"weekday evenings")&amp;", "&amp;IF(AD250&lt;&gt;"","£"&amp;IF(AD250=INT(AD250),TEXT(AD250,"0"),TEXT(AD250,"0.00")),"[PRICE PER PLAYER]")&amp;" pp. We handle booking and payments. Up for a team game? "&amp;IF(AL250&lt;&gt;"",AL250,IF(Offer!$C$5&lt;&gt;"",Offer!$C$5,"[NAME]")),300))</f>
        <v/>
      </c>
      <c r="AI250" s="14">
        <f>LEN(AH250)</f>
        <v/>
      </c>
      <c r="AJ250" s="14">
        <f>"Thanks for connecting"&amp;IF(O250&lt;&gt;"",", "&amp;O250,"")&amp;". "&amp;IF(ISNUMBER(AB250),"The "&amp;AC250&amp;" slot at "&amp;X250&amp;" is "&amp;IF(ISNUMBER(AB250),TEXT(AB250,"ddd d mmm")&amp;", "&amp;TEXT(AB250,"hh:mm"),"weekday evenings"),"We can book "&amp;AC250&amp;" at "&amp;X250&amp;" on a weekday evening that suits you")&amp;" and it's "&amp;IF(AD250&lt;&gt;"","£"&amp;IF(AD250=INT(AD250),TEXT(AD250,"0"),TEXT(AD250,"0.00")),"[PRICE PER PLAYER]")&amp;" a player, all booked and paid through one link. If football isn't your thing, who at "&amp;F250&amp;" would be the right person to organise a team game?"&amp;IF(Offer!$C$7&lt;&gt;""," Spots are held until "&amp;TEXT(Offer!$C$7,"dddd d mmmm")&amp;".","")&amp;" "&amp;IF(Offer!$C$6&lt;&gt;"",Offer!$C$6,"[JOINING LINK]")</f>
        <v/>
      </c>
      <c r="AK250" s="14">
        <f>IF(OR(ISNUMBER(SEARCH("[",AG250)),ISNUMBER(SEARCH("[",AJ250))),"Fill placeholders",IF(ISNUMBER(AB250),"Ready to send","Ready · no fixed slot"))</f>
        <v/>
      </c>
      <c r="AN250" s="17" t="n"/>
    </row>
    <row r="251">
      <c r="A251" s="11" t="n">
        <v>249</v>
      </c>
      <c r="B251" s="11" t="n">
        <v>3</v>
      </c>
      <c r="C251" s="11" t="inlineStr">
        <is>
          <t>Insurance / broker</t>
        </is>
      </c>
      <c r="D251" s="11" t="inlineStr">
        <is>
          <t>City of London</t>
        </is>
      </c>
      <c r="E251" s="11" t="inlineStr">
        <is>
          <t>Certa Insurance Partners Ltd</t>
        </is>
      </c>
      <c r="F251" s="11" t="inlineStr">
        <is>
          <t>Certa Insurance Partners</t>
        </is>
      </c>
      <c r="G251" s="11" t="inlineStr">
        <is>
          <t>11566007</t>
        </is>
      </c>
      <c r="H251" s="12" t="inlineStr">
        <is>
          <t>Open</t>
        </is>
      </c>
      <c r="I251" s="12" t="inlineStr">
        <is>
          <t>Search</t>
        </is>
      </c>
      <c r="J251" s="11" t="inlineStr">
        <is>
          <t>Full</t>
        </is>
      </c>
      <c r="K251" s="13" t="n">
        <v>43355</v>
      </c>
      <c r="L251" s="11" t="inlineStr">
        <is>
          <t>Lloyd'S Building,, One Lime Street, London</t>
        </is>
      </c>
      <c r="M251" s="11" t="inlineStr">
        <is>
          <t>EC3M 7DQ</t>
        </is>
      </c>
      <c r="N251" s="11" t="inlineStr">
        <is>
          <t>Yes</t>
        </is>
      </c>
      <c r="U251" s="11" t="inlineStr">
        <is>
          <t>Liverpool St - Attlee Centre</t>
        </is>
      </c>
      <c r="V251" s="11" t="n">
        <v>14</v>
      </c>
      <c r="W251" s="11" t="n"/>
      <c r="X251" s="11" t="inlineStr">
        <is>
          <t>Liverpool St - Attlee Centre</t>
        </is>
      </c>
      <c r="Y251" s="11" t="n">
        <v>14</v>
      </c>
      <c r="Z251" s="14">
        <f>IFERROR(INDEX(Venues!$E$2:$E$15,MATCH(X251,Venues!$A$2:$A$15,0)),"Not checked")</f>
        <v/>
      </c>
      <c r="AA251" s="14">
        <f>IFERROR(INDEX(Venues!$F$2:$F$15,MATCH(X251,Venues!$A$2:$A$15,0)),0)</f>
        <v/>
      </c>
      <c r="AB251" s="15">
        <f>IFERROR(INDEX(Venues!$M$2:$M$15,MATCH(X251,Venues!$A$2:$A$15,0)),"")</f>
        <v/>
      </c>
      <c r="AC251" s="14">
        <f>IFERROR(INDEX(Venues!$N$2:$N$15,MATCH(X251,Venues!$A$2:$A$15,0)),"5-a-side")</f>
        <v/>
      </c>
      <c r="AD251" s="16">
        <f>IF(Offer!$C$4="","",Offer!$C$4)</f>
        <v/>
      </c>
      <c r="AE251" s="14">
        <f>X251&amp;" ("&amp;Y251&amp;" min walk) · "&amp;IF(ISNUMBER(AB251),TEXT(AB251,"ddd d mmm, hh:mm"),"slot to confirm with venue")&amp;" · "&amp;AC251&amp;" · "&amp;IF(AD251&lt;&gt;"","£"&amp;TEXT(AD251,"0.00")&amp;" pp","price TBC")</f>
        <v/>
      </c>
      <c r="AF251" s="14">
        <f>"After-work football for "&amp;F251&amp;" · "&amp;X251&amp;", "&amp;Y251&amp;" min from your office"</f>
        <v/>
      </c>
      <c r="AG251" s="14">
        <f>"Hi"&amp;IF(O251&lt;&gt;""," "&amp;O251,"")&amp;","&amp;CHAR(10)&amp;CHAR(10)&amp;"I'm "&amp;IF(AL251&lt;&gt;"",AL251,IF(Offer!$C$5&lt;&gt;"",Offer!$C$5,"[NAME]"))&amp;" from FC Urban. We organise after-work football for teams in the City and Canary Wharf."&amp;CHAR(10)&amp;CHAR(10)&amp;"We have a "&amp;AC251&amp;" pitch at "&amp;X251&amp;", "&amp;IF(OR(Y251=8,Y251=11,Y251=18),"an ","a ")&amp;Y251&amp;"-minute walk from your "&amp;M251&amp;" office, "&amp;IF(ISNUMBER(AB251),"on "&amp;TEXT(AB251,"dddd d mmmm")&amp;" at "&amp;TEXT(AB251,"hh:mm"),"on a weekday evening that suits your team")&amp;". It's "&amp;IF(AD251&lt;&gt;"","£"&amp;IF(AD251=INT(AD251),TEXT(AD251,"0"),TEXT(AD251,"0.00")),"[PRICE PER PLAYER]")&amp;" a player and we handle the pitch booking, sign-ups and payments, so all it takes is one person sharing a link with the team."&amp;CHAR(10)&amp;CHAR(10)&amp;"It works well as a team social or "&amp;IF(ISNUMBER(SEARCH(LEFT(F251,1),"AEIOU")),"an ","a ")&amp;F251&amp;"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LINK]")&amp;CHAR(10)&amp;CHAR(10)&amp;"Best,"&amp;CHAR(10)&amp;IF(AL251&lt;&gt;"",AL251,IF(Offer!$C$5&lt;&gt;"",Offer!$C$5,"[NAME]"))&amp;CHAR(10)&amp;"FC Urban"</f>
        <v/>
      </c>
      <c r="AH251" s="14">
        <f>IF(LEN("Hi"&amp;IF(O251&lt;&gt;""," "&amp;O251,"")&amp;","&amp;" FC Urban runs after-work football for "&amp;IF(D251="Canary Wharf","Canary Wharf","City")&amp;" teams. We have a "&amp;AC251&amp;" pitch at "&amp;X251&amp;", "&amp;Y251&amp;" min from your office, "&amp;IF(ISNUMBER(AB251),TEXT(AB251,"ddd d mmm")&amp;", "&amp;TEXT(AB251,"hh:mm"),"weekday evenings")&amp;", "&amp;IF(AD251&lt;&gt;"","£"&amp;IF(AD251=INT(AD251),TEXT(AD251,"0"),TEXT(AD251,"0.00")),"[PRICE PER PLAYER]")&amp;" a player. We handle booking, sign-ups and payments. Fancy "&amp;IF(ISNUMBER(SEARCH(LEFT(F251,1),"AEIOU")),"an ","a ")&amp;F251&amp;" team game? "&amp;IF(AL251&lt;&gt;"",AL251,IF(Offer!$C$5&lt;&gt;"",Offer!$C$5,"[NAME]")))&lt;=300,"Hi"&amp;IF(O251&lt;&gt;""," "&amp;O251,"")&amp;","&amp;" FC Urban runs after-work football for "&amp;IF(D251="Canary Wharf","Canary Wharf","City")&amp;" teams. We have a "&amp;AC251&amp;" pitch at "&amp;X251&amp;", "&amp;Y251&amp;" min from your office, "&amp;IF(ISNUMBER(AB251),TEXT(AB251,"ddd d mmm")&amp;", "&amp;TEXT(AB251,"hh:mm"),"weekday evenings")&amp;", "&amp;IF(AD251&lt;&gt;"","£"&amp;IF(AD251=INT(AD251),TEXT(AD251,"0"),TEXT(AD251,"0.00")),"[PRICE PER PLAYER]")&amp;" a player. We handle booking, sign-ups and payments. Fancy "&amp;IF(ISNUMBER(SEARCH(LEFT(F251,1),"AEIOU")),"an ","a ")&amp;F251&amp;" team game? "&amp;IF(AL251&lt;&gt;"",AL251,IF(Offer!$C$5&lt;&gt;"",Offer!$C$5,"[NAME]")),LEFT("Hi"&amp;IF(O251&lt;&gt;""," "&amp;O251,"")&amp;","&amp;" FC Urban runs after-work football for "&amp;IF(D251="Canary Wharf","Canary Wharf","City")&amp;" teams: "&amp;AC251&amp;" at "&amp;X251&amp;", "&amp;Y251&amp;" min from your office, "&amp;IF(ISNUMBER(AB251),TEXT(AB251,"ddd d mmm")&amp;", "&amp;TEXT(AB251,"hh:mm"),"weekday evenings")&amp;", "&amp;IF(AD251&lt;&gt;"","£"&amp;IF(AD251=INT(AD251),TEXT(AD251,"0"),TEXT(AD251,"0.00")),"[PRICE PER PLAYER]")&amp;" pp. We handle booking and payments. Up for a team game? "&amp;IF(AL251&lt;&gt;"",AL251,IF(Offer!$C$5&lt;&gt;"",Offer!$C$5,"[NAME]")),300))</f>
        <v/>
      </c>
      <c r="AI251" s="14">
        <f>LEN(AH251)</f>
        <v/>
      </c>
      <c r="AJ251" s="14">
        <f>"Thanks for connecting"&amp;IF(O251&lt;&gt;"",", "&amp;O251,"")&amp;". "&amp;IF(ISNUMBER(AB251),"The "&amp;AC251&amp;" slot at "&amp;X251&amp;" is "&amp;IF(ISNUMBER(AB251),TEXT(AB251,"ddd d mmm")&amp;", "&amp;TEXT(AB251,"hh:mm"),"weekday evenings"),"We can book "&amp;AC251&amp;" at "&amp;X251&amp;" on a weekday evening that suits you")&amp;" and it's "&amp;IF(AD251&lt;&gt;"","£"&amp;IF(AD251=INT(AD251),TEXT(AD251,"0"),TEXT(AD251,"0.00")),"[PRICE PER PLAYER]")&amp;" a player, all booked and paid through one link. If football isn't your thing, who at "&amp;F251&amp;" would be the right person to organise a team game?"&amp;IF(Offer!$C$7&lt;&gt;""," Spots are held until "&amp;TEXT(Offer!$C$7,"dddd d mmmm")&amp;".","")&amp;" "&amp;IF(Offer!$C$6&lt;&gt;"",Offer!$C$6,"[JOINING LINK]")</f>
        <v/>
      </c>
      <c r="AK251" s="14">
        <f>IF(OR(ISNUMBER(SEARCH("[",AG251)),ISNUMBER(SEARCH("[",AJ251))),"Fill placeholders",IF(ISNUMBER(AB251),"Ready to send","Ready · no fixed slot"))</f>
        <v/>
      </c>
      <c r="AN251" s="17" t="n"/>
    </row>
    <row r="252">
      <c r="A252" s="11" t="n">
        <v>250</v>
      </c>
      <c r="B252" s="11" t="n">
        <v>3</v>
      </c>
      <c r="C252" s="11" t="inlineStr">
        <is>
          <t>Insurance / broker</t>
        </is>
      </c>
      <c r="D252" s="11" t="inlineStr">
        <is>
          <t>City of London</t>
        </is>
      </c>
      <c r="E252" s="11" t="inlineStr">
        <is>
          <t>Cincinnati Global Underwriting Agency Limited</t>
        </is>
      </c>
      <c r="F252" s="11" t="inlineStr">
        <is>
          <t>Cincinnati Global Underwriting Agency</t>
        </is>
      </c>
      <c r="G252" s="11" t="inlineStr">
        <is>
          <t>04039137</t>
        </is>
      </c>
      <c r="H252" s="12" t="inlineStr">
        <is>
          <t>Open</t>
        </is>
      </c>
      <c r="I252" s="12" t="inlineStr">
        <is>
          <t>Search</t>
        </is>
      </c>
      <c r="J252" s="11" t="inlineStr">
        <is>
          <t>Full</t>
        </is>
      </c>
      <c r="K252" s="13" t="n">
        <v>36731</v>
      </c>
      <c r="L252" s="11" t="inlineStr">
        <is>
          <t>Second Floor, 51 Lime Street, London</t>
        </is>
      </c>
      <c r="M252" s="11" t="inlineStr">
        <is>
          <t>EC3M 7DQ</t>
        </is>
      </c>
      <c r="N252" s="11" t="inlineStr">
        <is>
          <t>No</t>
        </is>
      </c>
      <c r="U252" s="11" t="inlineStr">
        <is>
          <t>Liverpool St - Attlee Centre</t>
        </is>
      </c>
      <c r="V252" s="11" t="n">
        <v>14</v>
      </c>
      <c r="W252" s="11" t="n"/>
      <c r="X252" s="11" t="inlineStr">
        <is>
          <t>Liverpool St - Attlee Centre</t>
        </is>
      </c>
      <c r="Y252" s="11" t="n">
        <v>14</v>
      </c>
      <c r="Z252" s="14">
        <f>IFERROR(INDEX(Venues!$E$2:$E$15,MATCH(X252,Venues!$A$2:$A$15,0)),"Not checked")</f>
        <v/>
      </c>
      <c r="AA252" s="14">
        <f>IFERROR(INDEX(Venues!$F$2:$F$15,MATCH(X252,Venues!$A$2:$A$15,0)),0)</f>
        <v/>
      </c>
      <c r="AB252" s="15">
        <f>IFERROR(INDEX(Venues!$M$2:$M$15,MATCH(X252,Venues!$A$2:$A$15,0)),"")</f>
        <v/>
      </c>
      <c r="AC252" s="14">
        <f>IFERROR(INDEX(Venues!$N$2:$N$15,MATCH(X252,Venues!$A$2:$A$15,0)),"5-a-side")</f>
        <v/>
      </c>
      <c r="AD252" s="16">
        <f>IF(Offer!$C$4="","",Offer!$C$4)</f>
        <v/>
      </c>
      <c r="AE252" s="14">
        <f>X252&amp;" ("&amp;Y252&amp;" min walk) · "&amp;IF(ISNUMBER(AB252),TEXT(AB252,"ddd d mmm, hh:mm"),"slot to confirm with venue")&amp;" · "&amp;AC252&amp;" · "&amp;IF(AD252&lt;&gt;"","£"&amp;TEXT(AD252,"0.00")&amp;" pp","price TBC")</f>
        <v/>
      </c>
      <c r="AF252" s="14">
        <f>"After-work football for "&amp;F252&amp;" · "&amp;X252&amp;", "&amp;Y252&amp;" min from your office"</f>
        <v/>
      </c>
      <c r="AG252" s="14">
        <f>"Hi"&amp;IF(O252&lt;&gt;""," "&amp;O252,"")&amp;","&amp;CHAR(10)&amp;CHAR(10)&amp;"I'm "&amp;IF(AL252&lt;&gt;"",AL252,IF(Offer!$C$5&lt;&gt;"",Offer!$C$5,"[NAME]"))&amp;" from FC Urban. We organise after-work football for teams in the City and Canary Wharf."&amp;CHAR(10)&amp;CHAR(10)&amp;"We have a "&amp;AC252&amp;" pitch at "&amp;X252&amp;", "&amp;IF(OR(Y252=8,Y252=11,Y252=18),"an ","a ")&amp;Y252&amp;"-minute walk from your "&amp;M252&amp;" office, "&amp;IF(ISNUMBER(AB252),"on "&amp;TEXT(AB252,"dddd d mmmm")&amp;" at "&amp;TEXT(AB252,"hh:mm"),"on a weekday evening that suits your team")&amp;". It's "&amp;IF(AD252&lt;&gt;"","£"&amp;IF(AD252=INT(AD252),TEXT(AD252,"0"),TEXT(AD252,"0.00")),"[PRICE PER PLAYER]")&amp;" a player and we handle the pitch booking, sign-ups and payments, so all it takes is one person sharing a link with the team."&amp;CHAR(10)&amp;CHAR(10)&amp;"It works well as a team social or "&amp;IF(ISNUMBER(SEARCH(LEFT(F252,1),"AEIOU")),"an ","a ")&amp;F252&amp;"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LINK]")&amp;CHAR(10)&amp;CHAR(10)&amp;"Best,"&amp;CHAR(10)&amp;IF(AL252&lt;&gt;"",AL252,IF(Offer!$C$5&lt;&gt;"",Offer!$C$5,"[NAME]"))&amp;CHAR(10)&amp;"FC Urban"</f>
        <v/>
      </c>
      <c r="AH252" s="14">
        <f>IF(LEN("Hi"&amp;IF(O252&lt;&gt;""," "&amp;O252,"")&amp;","&amp;" FC Urban runs after-work football for "&amp;IF(D252="Canary Wharf","Canary Wharf","City")&amp;" teams. We have a "&amp;AC252&amp;" pitch at "&amp;X252&amp;", "&amp;Y252&amp;" min from your office, "&amp;IF(ISNUMBER(AB252),TEXT(AB252,"ddd d mmm")&amp;", "&amp;TEXT(AB252,"hh:mm"),"weekday evenings")&amp;", "&amp;IF(AD252&lt;&gt;"","£"&amp;IF(AD252=INT(AD252),TEXT(AD252,"0"),TEXT(AD252,"0.00")),"[PRICE PER PLAYER]")&amp;" a player. We handle booking, sign-ups and payments. Fancy "&amp;IF(ISNUMBER(SEARCH(LEFT(F252,1),"AEIOU")),"an ","a ")&amp;F252&amp;" team game? "&amp;IF(AL252&lt;&gt;"",AL252,IF(Offer!$C$5&lt;&gt;"",Offer!$C$5,"[NAME]")))&lt;=300,"Hi"&amp;IF(O252&lt;&gt;""," "&amp;O252,"")&amp;","&amp;" FC Urban runs after-work football for "&amp;IF(D252="Canary Wharf","Canary Wharf","City")&amp;" teams. We have a "&amp;AC252&amp;" pitch at "&amp;X252&amp;", "&amp;Y252&amp;" min from your office, "&amp;IF(ISNUMBER(AB252),TEXT(AB252,"ddd d mmm")&amp;", "&amp;TEXT(AB252,"hh:mm"),"weekday evenings")&amp;", "&amp;IF(AD252&lt;&gt;"","£"&amp;IF(AD252=INT(AD252),TEXT(AD252,"0"),TEXT(AD252,"0.00")),"[PRICE PER PLAYER]")&amp;" a player. We handle booking, sign-ups and payments. Fancy "&amp;IF(ISNUMBER(SEARCH(LEFT(F252,1),"AEIOU")),"an ","a ")&amp;F252&amp;" team game? "&amp;IF(AL252&lt;&gt;"",AL252,IF(Offer!$C$5&lt;&gt;"",Offer!$C$5,"[NAME]")),LEFT("Hi"&amp;IF(O252&lt;&gt;""," "&amp;O252,"")&amp;","&amp;" FC Urban runs after-work football for "&amp;IF(D252="Canary Wharf","Canary Wharf","City")&amp;" teams: "&amp;AC252&amp;" at "&amp;X252&amp;", "&amp;Y252&amp;" min from your office, "&amp;IF(ISNUMBER(AB252),TEXT(AB252,"ddd d mmm")&amp;", "&amp;TEXT(AB252,"hh:mm"),"weekday evenings")&amp;", "&amp;IF(AD252&lt;&gt;"","£"&amp;IF(AD252=INT(AD252),TEXT(AD252,"0"),TEXT(AD252,"0.00")),"[PRICE PER PLAYER]")&amp;" pp. We handle booking and payments. Up for a team game? "&amp;IF(AL252&lt;&gt;"",AL252,IF(Offer!$C$5&lt;&gt;"",Offer!$C$5,"[NAME]")),300))</f>
        <v/>
      </c>
      <c r="AI252" s="14">
        <f>LEN(AH252)</f>
        <v/>
      </c>
      <c r="AJ252" s="14">
        <f>"Thanks for connecting"&amp;IF(O252&lt;&gt;"",", "&amp;O252,"")&amp;". "&amp;IF(ISNUMBER(AB252),"The "&amp;AC252&amp;" slot at "&amp;X252&amp;" is "&amp;IF(ISNUMBER(AB252),TEXT(AB252,"ddd d mmm")&amp;", "&amp;TEXT(AB252,"hh:mm"),"weekday evenings"),"We can book "&amp;AC252&amp;" at "&amp;X252&amp;" on a weekday evening that suits you")&amp;" and it's "&amp;IF(AD252&lt;&gt;"","£"&amp;IF(AD252=INT(AD252),TEXT(AD252,"0"),TEXT(AD252,"0.00")),"[PRICE PER PLAYER]")&amp;" a player, all booked and paid through one link. If football isn't your thing, who at "&amp;F252&amp;" would be the right person to organise a team game?"&amp;IF(Offer!$C$7&lt;&gt;""," Spots are held until "&amp;TEXT(Offer!$C$7,"dddd d mmmm")&amp;".","")&amp;" "&amp;IF(Offer!$C$6&lt;&gt;"",Offer!$C$6,"[JOINING LINK]")</f>
        <v/>
      </c>
      <c r="AK252" s="14">
        <f>IF(OR(ISNUMBER(SEARCH("[",AG252)),ISNUMBER(SEARCH("[",AJ252))),"Fill placeholders",IF(ISNUMBER(AB252),"Ready to send","Ready · no fixed slot"))</f>
        <v/>
      </c>
      <c r="AN252" s="17" t="n"/>
    </row>
    <row r="253">
      <c r="A253" s="11" t="n">
        <v>251</v>
      </c>
      <c r="B253" s="11" t="n">
        <v>3</v>
      </c>
      <c r="C253" s="11" t="inlineStr">
        <is>
          <t>Insurance / broker</t>
        </is>
      </c>
      <c r="D253" s="11" t="inlineStr">
        <is>
          <t>City of London</t>
        </is>
      </c>
      <c r="E253" s="11" t="inlineStr">
        <is>
          <t>Creative Benefit Solutions Limited</t>
        </is>
      </c>
      <c r="F253" s="11" t="inlineStr">
        <is>
          <t>Creative Benefit Solutions</t>
        </is>
      </c>
      <c r="G253" s="11" t="inlineStr">
        <is>
          <t>06293305</t>
        </is>
      </c>
      <c r="H253" s="12" t="inlineStr">
        <is>
          <t>Open</t>
        </is>
      </c>
      <c r="I253" s="12" t="inlineStr">
        <is>
          <t>Search</t>
        </is>
      </c>
      <c r="J253" s="11" t="inlineStr">
        <is>
          <t>Full</t>
        </is>
      </c>
      <c r="K253" s="13" t="n">
        <v>39259</v>
      </c>
      <c r="L253" s="11" t="inlineStr">
        <is>
          <t>51 Lime Street, London</t>
        </is>
      </c>
      <c r="M253" s="11" t="inlineStr">
        <is>
          <t>EC3M 7DQ</t>
        </is>
      </c>
      <c r="N253" s="11" t="inlineStr">
        <is>
          <t>No</t>
        </is>
      </c>
      <c r="U253" s="11" t="inlineStr">
        <is>
          <t>Liverpool St - Attlee Centre</t>
        </is>
      </c>
      <c r="V253" s="11" t="n">
        <v>14</v>
      </c>
      <c r="W253" s="11" t="n"/>
      <c r="X253" s="11" t="inlineStr">
        <is>
          <t>Liverpool St - Attlee Centre</t>
        </is>
      </c>
      <c r="Y253" s="11" t="n">
        <v>14</v>
      </c>
      <c r="Z253" s="14">
        <f>IFERROR(INDEX(Venues!$E$2:$E$15,MATCH(X253,Venues!$A$2:$A$15,0)),"Not checked")</f>
        <v/>
      </c>
      <c r="AA253" s="14">
        <f>IFERROR(INDEX(Venues!$F$2:$F$15,MATCH(X253,Venues!$A$2:$A$15,0)),0)</f>
        <v/>
      </c>
      <c r="AB253" s="15">
        <f>IFERROR(INDEX(Venues!$M$2:$M$15,MATCH(X253,Venues!$A$2:$A$15,0)),"")</f>
        <v/>
      </c>
      <c r="AC253" s="14">
        <f>IFERROR(INDEX(Venues!$N$2:$N$15,MATCH(X253,Venues!$A$2:$A$15,0)),"5-a-side")</f>
        <v/>
      </c>
      <c r="AD253" s="16">
        <f>IF(Offer!$C$4="","",Offer!$C$4)</f>
        <v/>
      </c>
      <c r="AE253" s="14">
        <f>X253&amp;" ("&amp;Y253&amp;" min walk) · "&amp;IF(ISNUMBER(AB253),TEXT(AB253,"ddd d mmm, hh:mm"),"slot to confirm with venue")&amp;" · "&amp;AC253&amp;" · "&amp;IF(AD253&lt;&gt;"","£"&amp;TEXT(AD253,"0.00")&amp;" pp","price TBC")</f>
        <v/>
      </c>
      <c r="AF253" s="14">
        <f>"After-work football for "&amp;F253&amp;" · "&amp;X253&amp;", "&amp;Y253&amp;" min from your office"</f>
        <v/>
      </c>
      <c r="AG253" s="14">
        <f>"Hi"&amp;IF(O253&lt;&gt;""," "&amp;O253,"")&amp;","&amp;CHAR(10)&amp;CHAR(10)&amp;"I'm "&amp;IF(AL253&lt;&gt;"",AL253,IF(Offer!$C$5&lt;&gt;"",Offer!$C$5,"[NAME]"))&amp;" from FC Urban. We organise after-work football for teams in the City and Canary Wharf."&amp;CHAR(10)&amp;CHAR(10)&amp;"We have a "&amp;AC253&amp;" pitch at "&amp;X253&amp;", "&amp;IF(OR(Y253=8,Y253=11,Y253=18),"an ","a ")&amp;Y253&amp;"-minute walk from your "&amp;M253&amp;" office, "&amp;IF(ISNUMBER(AB253),"on "&amp;TEXT(AB253,"dddd d mmmm")&amp;" at "&amp;TEXT(AB253,"hh:mm"),"on a weekday evening that suits your team")&amp;". It's "&amp;IF(AD253&lt;&gt;"","£"&amp;IF(AD253=INT(AD253),TEXT(AD253,"0"),TEXT(AD253,"0.00")),"[PRICE PER PLAYER]")&amp;" a player and we handle the pitch booking, sign-ups and payments, so all it takes is one person sharing a link with the team."&amp;CHAR(10)&amp;CHAR(10)&amp;"It works well as a team social or "&amp;IF(ISNUMBER(SEARCH(LEFT(F253,1),"AEIOU")),"an ","a ")&amp;F253&amp;"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LINK]")&amp;CHAR(10)&amp;CHAR(10)&amp;"Best,"&amp;CHAR(10)&amp;IF(AL253&lt;&gt;"",AL253,IF(Offer!$C$5&lt;&gt;"",Offer!$C$5,"[NAME]"))&amp;CHAR(10)&amp;"FC Urban"</f>
        <v/>
      </c>
      <c r="AH253" s="14">
        <f>IF(LEN("Hi"&amp;IF(O253&lt;&gt;""," "&amp;O253,"")&amp;","&amp;" FC Urban runs after-work football for "&amp;IF(D253="Canary Wharf","Canary Wharf","City")&amp;" teams. We have a "&amp;AC253&amp;" pitch at "&amp;X253&amp;", "&amp;Y253&amp;" min from your office, "&amp;IF(ISNUMBER(AB253),TEXT(AB253,"ddd d mmm")&amp;", "&amp;TEXT(AB253,"hh:mm"),"weekday evenings")&amp;", "&amp;IF(AD253&lt;&gt;"","£"&amp;IF(AD253=INT(AD253),TEXT(AD253,"0"),TEXT(AD253,"0.00")),"[PRICE PER PLAYER]")&amp;" a player. We handle booking, sign-ups and payments. Fancy "&amp;IF(ISNUMBER(SEARCH(LEFT(F253,1),"AEIOU")),"an ","a ")&amp;F253&amp;" team game? "&amp;IF(AL253&lt;&gt;"",AL253,IF(Offer!$C$5&lt;&gt;"",Offer!$C$5,"[NAME]")))&lt;=300,"Hi"&amp;IF(O253&lt;&gt;""," "&amp;O253,"")&amp;","&amp;" FC Urban runs after-work football for "&amp;IF(D253="Canary Wharf","Canary Wharf","City")&amp;" teams. We have a "&amp;AC253&amp;" pitch at "&amp;X253&amp;", "&amp;Y253&amp;" min from your office, "&amp;IF(ISNUMBER(AB253),TEXT(AB253,"ddd d mmm")&amp;", "&amp;TEXT(AB253,"hh:mm"),"weekday evenings")&amp;", "&amp;IF(AD253&lt;&gt;"","£"&amp;IF(AD253=INT(AD253),TEXT(AD253,"0"),TEXT(AD253,"0.00")),"[PRICE PER PLAYER]")&amp;" a player. We handle booking, sign-ups and payments. Fancy "&amp;IF(ISNUMBER(SEARCH(LEFT(F253,1),"AEIOU")),"an ","a ")&amp;F253&amp;" team game? "&amp;IF(AL253&lt;&gt;"",AL253,IF(Offer!$C$5&lt;&gt;"",Offer!$C$5,"[NAME]")),LEFT("Hi"&amp;IF(O253&lt;&gt;""," "&amp;O253,"")&amp;","&amp;" FC Urban runs after-work football for "&amp;IF(D253="Canary Wharf","Canary Wharf","City")&amp;" teams: "&amp;AC253&amp;" at "&amp;X253&amp;", "&amp;Y253&amp;" min from your office, "&amp;IF(ISNUMBER(AB253),TEXT(AB253,"ddd d mmm")&amp;", "&amp;TEXT(AB253,"hh:mm"),"weekday evenings")&amp;", "&amp;IF(AD253&lt;&gt;"","£"&amp;IF(AD253=INT(AD253),TEXT(AD253,"0"),TEXT(AD253,"0.00")),"[PRICE PER PLAYER]")&amp;" pp. We handle booking and payments. Up for a team game? "&amp;IF(AL253&lt;&gt;"",AL253,IF(Offer!$C$5&lt;&gt;"",Offer!$C$5,"[NAME]")),300))</f>
        <v/>
      </c>
      <c r="AI253" s="14">
        <f>LEN(AH253)</f>
        <v/>
      </c>
      <c r="AJ253" s="14">
        <f>"Thanks for connecting"&amp;IF(O253&lt;&gt;"",", "&amp;O253,"")&amp;". "&amp;IF(ISNUMBER(AB253),"The "&amp;AC253&amp;" slot at "&amp;X253&amp;" is "&amp;IF(ISNUMBER(AB253),TEXT(AB253,"ddd d mmm")&amp;", "&amp;TEXT(AB253,"hh:mm"),"weekday evenings"),"We can book "&amp;AC253&amp;" at "&amp;X253&amp;" on a weekday evening that suits you")&amp;" and it's "&amp;IF(AD253&lt;&gt;"","£"&amp;IF(AD253=INT(AD253),TEXT(AD253,"0"),TEXT(AD253,"0.00")),"[PRICE PER PLAYER]")&amp;" a player, all booked and paid through one link. If football isn't your thing, who at "&amp;F253&amp;" would be the right person to organise a team game?"&amp;IF(Offer!$C$7&lt;&gt;""," Spots are held until "&amp;TEXT(Offer!$C$7,"dddd d mmmm")&amp;".","")&amp;" "&amp;IF(Offer!$C$6&lt;&gt;"",Offer!$C$6,"[JOINING LINK]")</f>
        <v/>
      </c>
      <c r="AK253" s="14">
        <f>IF(OR(ISNUMBER(SEARCH("[",AG253)),ISNUMBER(SEARCH("[",AJ253))),"Fill placeholders",IF(ISNUMBER(AB253),"Ready to send","Ready · no fixed slot"))</f>
        <v/>
      </c>
      <c r="AN253" s="17" t="n"/>
    </row>
    <row r="254">
      <c r="A254" s="11" t="n">
        <v>252</v>
      </c>
      <c r="B254" s="11" t="n">
        <v>3</v>
      </c>
      <c r="C254" s="11" t="inlineStr">
        <is>
          <t>Insurance / broker</t>
        </is>
      </c>
      <c r="D254" s="11" t="inlineStr">
        <is>
          <t>City of London</t>
        </is>
      </c>
      <c r="E254" s="11" t="inlineStr">
        <is>
          <t>Homecare Insurance Limited</t>
        </is>
      </c>
      <c r="F254" s="11" t="inlineStr">
        <is>
          <t>Homecare Insurance</t>
        </is>
      </c>
      <c r="G254" s="11" t="inlineStr">
        <is>
          <t>02793290</t>
        </is>
      </c>
      <c r="H254" s="12" t="inlineStr">
        <is>
          <t>Open</t>
        </is>
      </c>
      <c r="I254" s="12" t="inlineStr">
        <is>
          <t>Search</t>
        </is>
      </c>
      <c r="J254" s="11" t="inlineStr">
        <is>
          <t>Full</t>
        </is>
      </c>
      <c r="K254" s="13" t="n">
        <v>34024</v>
      </c>
      <c r="L254" s="11" t="inlineStr">
        <is>
          <t>19Th Floor, 51 Lime Street, London</t>
        </is>
      </c>
      <c r="M254" s="11" t="inlineStr">
        <is>
          <t>EC3M 7DQ</t>
        </is>
      </c>
      <c r="N254" s="11" t="inlineStr">
        <is>
          <t>No</t>
        </is>
      </c>
      <c r="U254" s="11" t="inlineStr">
        <is>
          <t>Liverpool St - Attlee Centre</t>
        </is>
      </c>
      <c r="V254" s="11" t="n">
        <v>14</v>
      </c>
      <c r="W254" s="11" t="n"/>
      <c r="X254" s="11" t="inlineStr">
        <is>
          <t>Liverpool St - Attlee Centre</t>
        </is>
      </c>
      <c r="Y254" s="11" t="n">
        <v>14</v>
      </c>
      <c r="Z254" s="14">
        <f>IFERROR(INDEX(Venues!$E$2:$E$15,MATCH(X254,Venues!$A$2:$A$15,0)),"Not checked")</f>
        <v/>
      </c>
      <c r="AA254" s="14">
        <f>IFERROR(INDEX(Venues!$F$2:$F$15,MATCH(X254,Venues!$A$2:$A$15,0)),0)</f>
        <v/>
      </c>
      <c r="AB254" s="15">
        <f>IFERROR(INDEX(Venues!$M$2:$M$15,MATCH(X254,Venues!$A$2:$A$15,0)),"")</f>
        <v/>
      </c>
      <c r="AC254" s="14">
        <f>IFERROR(INDEX(Venues!$N$2:$N$15,MATCH(X254,Venues!$A$2:$A$15,0)),"5-a-side")</f>
        <v/>
      </c>
      <c r="AD254" s="16">
        <f>IF(Offer!$C$4="","",Offer!$C$4)</f>
        <v/>
      </c>
      <c r="AE254" s="14">
        <f>X254&amp;" ("&amp;Y254&amp;" min walk) · "&amp;IF(ISNUMBER(AB254),TEXT(AB254,"ddd d mmm, hh:mm"),"slot to confirm with venue")&amp;" · "&amp;AC254&amp;" · "&amp;IF(AD254&lt;&gt;"","£"&amp;TEXT(AD254,"0.00")&amp;" pp","price TBC")</f>
        <v/>
      </c>
      <c r="AF254" s="14">
        <f>"After-work football for "&amp;F254&amp;" · "&amp;X254&amp;", "&amp;Y254&amp;" min from your office"</f>
        <v/>
      </c>
      <c r="AG254" s="14">
        <f>"Hi"&amp;IF(O254&lt;&gt;""," "&amp;O254,"")&amp;","&amp;CHAR(10)&amp;CHAR(10)&amp;"I'm "&amp;IF(AL254&lt;&gt;"",AL254,IF(Offer!$C$5&lt;&gt;"",Offer!$C$5,"[NAME]"))&amp;" from FC Urban. We organise after-work football for teams in the City and Canary Wharf."&amp;CHAR(10)&amp;CHAR(10)&amp;"We have a "&amp;AC254&amp;" pitch at "&amp;X254&amp;", "&amp;IF(OR(Y254=8,Y254=11,Y254=18),"an ","a ")&amp;Y254&amp;"-minute walk from your "&amp;M254&amp;" office, "&amp;IF(ISNUMBER(AB254),"on "&amp;TEXT(AB254,"dddd d mmmm")&amp;" at "&amp;TEXT(AB254,"hh:mm"),"on a weekday evening that suits your team")&amp;". It's "&amp;IF(AD254&lt;&gt;"","£"&amp;IF(AD254=INT(AD254),TEXT(AD254,"0"),TEXT(AD254,"0.00")),"[PRICE PER PLAYER]")&amp;" a player and we handle the pitch booking, sign-ups and payments, so all it takes is one person sharing a link with the team."&amp;CHAR(10)&amp;CHAR(10)&amp;"It works well as a team social or "&amp;IF(ISNUMBER(SEARCH(LEFT(F254,1),"AEIOU")),"an ","a ")&amp;F254&amp;"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LINK]")&amp;CHAR(10)&amp;CHAR(10)&amp;"Best,"&amp;CHAR(10)&amp;IF(AL254&lt;&gt;"",AL254,IF(Offer!$C$5&lt;&gt;"",Offer!$C$5,"[NAME]"))&amp;CHAR(10)&amp;"FC Urban"</f>
        <v/>
      </c>
      <c r="AH254" s="14">
        <f>IF(LEN("Hi"&amp;IF(O254&lt;&gt;""," "&amp;O254,"")&amp;","&amp;" FC Urban runs after-work football for "&amp;IF(D254="Canary Wharf","Canary Wharf","City")&amp;" teams. We have a "&amp;AC254&amp;" pitch at "&amp;X254&amp;", "&amp;Y254&amp;" min from your office, "&amp;IF(ISNUMBER(AB254),TEXT(AB254,"ddd d mmm")&amp;", "&amp;TEXT(AB254,"hh:mm"),"weekday evenings")&amp;", "&amp;IF(AD254&lt;&gt;"","£"&amp;IF(AD254=INT(AD254),TEXT(AD254,"0"),TEXT(AD254,"0.00")),"[PRICE PER PLAYER]")&amp;" a player. We handle booking, sign-ups and payments. Fancy "&amp;IF(ISNUMBER(SEARCH(LEFT(F254,1),"AEIOU")),"an ","a ")&amp;F254&amp;" team game? "&amp;IF(AL254&lt;&gt;"",AL254,IF(Offer!$C$5&lt;&gt;"",Offer!$C$5,"[NAME]")))&lt;=300,"Hi"&amp;IF(O254&lt;&gt;""," "&amp;O254,"")&amp;","&amp;" FC Urban runs after-work football for "&amp;IF(D254="Canary Wharf","Canary Wharf","City")&amp;" teams. We have a "&amp;AC254&amp;" pitch at "&amp;X254&amp;", "&amp;Y254&amp;" min from your office, "&amp;IF(ISNUMBER(AB254),TEXT(AB254,"ddd d mmm")&amp;", "&amp;TEXT(AB254,"hh:mm"),"weekday evenings")&amp;", "&amp;IF(AD254&lt;&gt;"","£"&amp;IF(AD254=INT(AD254),TEXT(AD254,"0"),TEXT(AD254,"0.00")),"[PRICE PER PLAYER]")&amp;" a player. We handle booking, sign-ups and payments. Fancy "&amp;IF(ISNUMBER(SEARCH(LEFT(F254,1),"AEIOU")),"an ","a ")&amp;F254&amp;" team game? "&amp;IF(AL254&lt;&gt;"",AL254,IF(Offer!$C$5&lt;&gt;"",Offer!$C$5,"[NAME]")),LEFT("Hi"&amp;IF(O254&lt;&gt;""," "&amp;O254,"")&amp;","&amp;" FC Urban runs after-work football for "&amp;IF(D254="Canary Wharf","Canary Wharf","City")&amp;" teams: "&amp;AC254&amp;" at "&amp;X254&amp;", "&amp;Y254&amp;" min from your office, "&amp;IF(ISNUMBER(AB254),TEXT(AB254,"ddd d mmm")&amp;", "&amp;TEXT(AB254,"hh:mm"),"weekday evenings")&amp;", "&amp;IF(AD254&lt;&gt;"","£"&amp;IF(AD254=INT(AD254),TEXT(AD254,"0"),TEXT(AD254,"0.00")),"[PRICE PER PLAYER]")&amp;" pp. We handle booking and payments. Up for a team game? "&amp;IF(AL254&lt;&gt;"",AL254,IF(Offer!$C$5&lt;&gt;"",Offer!$C$5,"[NAME]")),300))</f>
        <v/>
      </c>
      <c r="AI254" s="14">
        <f>LEN(AH254)</f>
        <v/>
      </c>
      <c r="AJ254" s="14">
        <f>"Thanks for connecting"&amp;IF(O254&lt;&gt;"",", "&amp;O254,"")&amp;". "&amp;IF(ISNUMBER(AB254),"The "&amp;AC254&amp;" slot at "&amp;X254&amp;" is "&amp;IF(ISNUMBER(AB254),TEXT(AB254,"ddd d mmm")&amp;", "&amp;TEXT(AB254,"hh:mm"),"weekday evenings"),"We can book "&amp;AC254&amp;" at "&amp;X254&amp;" on a weekday evening that suits you")&amp;" and it's "&amp;IF(AD254&lt;&gt;"","£"&amp;IF(AD254=INT(AD254),TEXT(AD254,"0"),TEXT(AD254,"0.00")),"[PRICE PER PLAYER]")&amp;" a player, all booked and paid through one link. If football isn't your thing, who at "&amp;F254&amp;" would be the right person to organise a team game?"&amp;IF(Offer!$C$7&lt;&gt;""," Spots are held until "&amp;TEXT(Offer!$C$7,"dddd d mmmm")&amp;".","")&amp;" "&amp;IF(Offer!$C$6&lt;&gt;"",Offer!$C$6,"[JOINING LINK]")</f>
        <v/>
      </c>
      <c r="AK254" s="14">
        <f>IF(OR(ISNUMBER(SEARCH("[",AG254)),ISNUMBER(SEARCH("[",AJ254))),"Fill placeholders",IF(ISNUMBER(AB254),"Ready to send","Ready · no fixed slot"))</f>
        <v/>
      </c>
      <c r="AN254" s="17" t="n"/>
    </row>
    <row r="255">
      <c r="A255" s="11" t="n">
        <v>253</v>
      </c>
      <c r="B255" s="11" t="n">
        <v>3</v>
      </c>
      <c r="C255" s="11" t="inlineStr">
        <is>
          <t>Insurance / broker</t>
        </is>
      </c>
      <c r="D255" s="11" t="inlineStr">
        <is>
          <t>City of London</t>
        </is>
      </c>
      <c r="E255" s="11" t="inlineStr">
        <is>
          <t>Jrp Insurance Management Limited</t>
        </is>
      </c>
      <c r="F255" s="11" t="inlineStr">
        <is>
          <t>Jrp Insurance Management</t>
        </is>
      </c>
      <c r="G255" s="11" t="inlineStr">
        <is>
          <t>06771814</t>
        </is>
      </c>
      <c r="H255" s="12" t="inlineStr">
        <is>
          <t>Open</t>
        </is>
      </c>
      <c r="I255" s="12" t="inlineStr">
        <is>
          <t>Search</t>
        </is>
      </c>
      <c r="J255" s="11" t="inlineStr">
        <is>
          <t>Full</t>
        </is>
      </c>
      <c r="K255" s="13" t="n">
        <v>39794</v>
      </c>
      <c r="L255" s="11" t="inlineStr">
        <is>
          <t>Suite 828, Gallery 8, Lloyd'S Building, One Lime Street, London</t>
        </is>
      </c>
      <c r="M255" s="11" t="inlineStr">
        <is>
          <t>EC3M 7DQ</t>
        </is>
      </c>
      <c r="N255" s="11" t="inlineStr">
        <is>
          <t>Yes</t>
        </is>
      </c>
      <c r="U255" s="11" t="inlineStr">
        <is>
          <t>Liverpool St - Attlee Centre</t>
        </is>
      </c>
      <c r="V255" s="11" t="n">
        <v>14</v>
      </c>
      <c r="W255" s="11" t="n"/>
      <c r="X255" s="11" t="inlineStr">
        <is>
          <t>Liverpool St - Attlee Centre</t>
        </is>
      </c>
      <c r="Y255" s="11" t="n">
        <v>14</v>
      </c>
      <c r="Z255" s="14">
        <f>IFERROR(INDEX(Venues!$E$2:$E$15,MATCH(X255,Venues!$A$2:$A$15,0)),"Not checked")</f>
        <v/>
      </c>
      <c r="AA255" s="14">
        <f>IFERROR(INDEX(Venues!$F$2:$F$15,MATCH(X255,Venues!$A$2:$A$15,0)),0)</f>
        <v/>
      </c>
      <c r="AB255" s="15">
        <f>IFERROR(INDEX(Venues!$M$2:$M$15,MATCH(X255,Venues!$A$2:$A$15,0)),"")</f>
        <v/>
      </c>
      <c r="AC255" s="14">
        <f>IFERROR(INDEX(Venues!$N$2:$N$15,MATCH(X255,Venues!$A$2:$A$15,0)),"5-a-side")</f>
        <v/>
      </c>
      <c r="AD255" s="16">
        <f>IF(Offer!$C$4="","",Offer!$C$4)</f>
        <v/>
      </c>
      <c r="AE255" s="14">
        <f>X255&amp;" ("&amp;Y255&amp;" min walk) · "&amp;IF(ISNUMBER(AB255),TEXT(AB255,"ddd d mmm, hh:mm"),"slot to confirm with venue")&amp;" · "&amp;AC255&amp;" · "&amp;IF(AD255&lt;&gt;"","£"&amp;TEXT(AD255,"0.00")&amp;" pp","price TBC")</f>
        <v/>
      </c>
      <c r="AF255" s="14">
        <f>"After-work football for "&amp;F255&amp;" · "&amp;X255&amp;", "&amp;Y255&amp;" min from your office"</f>
        <v/>
      </c>
      <c r="AG255" s="14">
        <f>"Hi"&amp;IF(O255&lt;&gt;""," "&amp;O255,"")&amp;","&amp;CHAR(10)&amp;CHAR(10)&amp;"I'm "&amp;IF(AL255&lt;&gt;"",AL255,IF(Offer!$C$5&lt;&gt;"",Offer!$C$5,"[NAME]"))&amp;" from FC Urban. We organise after-work football for teams in the City and Canary Wharf."&amp;CHAR(10)&amp;CHAR(10)&amp;"We have a "&amp;AC255&amp;" pitch at "&amp;X255&amp;", "&amp;IF(OR(Y255=8,Y255=11,Y255=18),"an ","a ")&amp;Y255&amp;"-minute walk from your "&amp;M255&amp;" office, "&amp;IF(ISNUMBER(AB255),"on "&amp;TEXT(AB255,"dddd d mmmm")&amp;" at "&amp;TEXT(AB255,"hh:mm"),"on a weekday evening that suits your team")&amp;". It's "&amp;IF(AD255&lt;&gt;"","£"&amp;IF(AD255=INT(AD255),TEXT(AD255,"0"),TEXT(AD255,"0.00")),"[PRICE PER PLAYER]")&amp;" a player and we handle the pitch booking, sign-ups and payments, so all it takes is one person sharing a link with the team."&amp;CHAR(10)&amp;CHAR(10)&amp;"It works well as a team social or "&amp;IF(ISNUMBER(SEARCH(LEFT(F255,1),"AEIOU")),"an ","a ")&amp;F255&amp;"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LINK]")&amp;CHAR(10)&amp;CHAR(10)&amp;"Best,"&amp;CHAR(10)&amp;IF(AL255&lt;&gt;"",AL255,IF(Offer!$C$5&lt;&gt;"",Offer!$C$5,"[NAME]"))&amp;CHAR(10)&amp;"FC Urban"</f>
        <v/>
      </c>
      <c r="AH255" s="14">
        <f>IF(LEN("Hi"&amp;IF(O255&lt;&gt;""," "&amp;O255,"")&amp;","&amp;" FC Urban runs after-work football for "&amp;IF(D255="Canary Wharf","Canary Wharf","City")&amp;" teams. We have a "&amp;AC255&amp;" pitch at "&amp;X255&amp;", "&amp;Y255&amp;" min from your office, "&amp;IF(ISNUMBER(AB255),TEXT(AB255,"ddd d mmm")&amp;", "&amp;TEXT(AB255,"hh:mm"),"weekday evenings")&amp;", "&amp;IF(AD255&lt;&gt;"","£"&amp;IF(AD255=INT(AD255),TEXT(AD255,"0"),TEXT(AD255,"0.00")),"[PRICE PER PLAYER]")&amp;" a player. We handle booking, sign-ups and payments. Fancy "&amp;IF(ISNUMBER(SEARCH(LEFT(F255,1),"AEIOU")),"an ","a ")&amp;F255&amp;" team game? "&amp;IF(AL255&lt;&gt;"",AL255,IF(Offer!$C$5&lt;&gt;"",Offer!$C$5,"[NAME]")))&lt;=300,"Hi"&amp;IF(O255&lt;&gt;""," "&amp;O255,"")&amp;","&amp;" FC Urban runs after-work football for "&amp;IF(D255="Canary Wharf","Canary Wharf","City")&amp;" teams. We have a "&amp;AC255&amp;" pitch at "&amp;X255&amp;", "&amp;Y255&amp;" min from your office, "&amp;IF(ISNUMBER(AB255),TEXT(AB255,"ddd d mmm")&amp;", "&amp;TEXT(AB255,"hh:mm"),"weekday evenings")&amp;", "&amp;IF(AD255&lt;&gt;"","£"&amp;IF(AD255=INT(AD255),TEXT(AD255,"0"),TEXT(AD255,"0.00")),"[PRICE PER PLAYER]")&amp;" a player. We handle booking, sign-ups and payments. Fancy "&amp;IF(ISNUMBER(SEARCH(LEFT(F255,1),"AEIOU")),"an ","a ")&amp;F255&amp;" team game? "&amp;IF(AL255&lt;&gt;"",AL255,IF(Offer!$C$5&lt;&gt;"",Offer!$C$5,"[NAME]")),LEFT("Hi"&amp;IF(O255&lt;&gt;""," "&amp;O255,"")&amp;","&amp;" FC Urban runs after-work football for "&amp;IF(D255="Canary Wharf","Canary Wharf","City")&amp;" teams: "&amp;AC255&amp;" at "&amp;X255&amp;", "&amp;Y255&amp;" min from your office, "&amp;IF(ISNUMBER(AB255),TEXT(AB255,"ddd d mmm")&amp;", "&amp;TEXT(AB255,"hh:mm"),"weekday evenings")&amp;", "&amp;IF(AD255&lt;&gt;"","£"&amp;IF(AD255=INT(AD255),TEXT(AD255,"0"),TEXT(AD255,"0.00")),"[PRICE PER PLAYER]")&amp;" pp. We handle booking and payments. Up for a team game? "&amp;IF(AL255&lt;&gt;"",AL255,IF(Offer!$C$5&lt;&gt;"",Offer!$C$5,"[NAME]")),300))</f>
        <v/>
      </c>
      <c r="AI255" s="14">
        <f>LEN(AH255)</f>
        <v/>
      </c>
      <c r="AJ255" s="14">
        <f>"Thanks for connecting"&amp;IF(O255&lt;&gt;"",", "&amp;O255,"")&amp;". "&amp;IF(ISNUMBER(AB255),"The "&amp;AC255&amp;" slot at "&amp;X255&amp;" is "&amp;IF(ISNUMBER(AB255),TEXT(AB255,"ddd d mmm")&amp;", "&amp;TEXT(AB255,"hh:mm"),"weekday evenings"),"We can book "&amp;AC255&amp;" at "&amp;X255&amp;" on a weekday evening that suits you")&amp;" and it's "&amp;IF(AD255&lt;&gt;"","£"&amp;IF(AD255=INT(AD255),TEXT(AD255,"0"),TEXT(AD255,"0.00")),"[PRICE PER PLAYER]")&amp;" a player, all booked and paid through one link. If football isn't your thing, who at "&amp;F255&amp;" would be the right person to organise a team game?"&amp;IF(Offer!$C$7&lt;&gt;""," Spots are held until "&amp;TEXT(Offer!$C$7,"dddd d mmmm")&amp;".","")&amp;" "&amp;IF(Offer!$C$6&lt;&gt;"",Offer!$C$6,"[JOINING LINK]")</f>
        <v/>
      </c>
      <c r="AK255" s="14">
        <f>IF(OR(ISNUMBER(SEARCH("[",AG255)),ISNUMBER(SEARCH("[",AJ255))),"Fill placeholders",IF(ISNUMBER(AB255),"Ready to send","Ready · no fixed slot"))</f>
        <v/>
      </c>
      <c r="AN255" s="17" t="n"/>
    </row>
    <row r="256">
      <c r="A256" s="11" t="n">
        <v>254</v>
      </c>
      <c r="B256" s="11" t="n">
        <v>3</v>
      </c>
      <c r="C256" s="11" t="inlineStr">
        <is>
          <t>Insurance / broker</t>
        </is>
      </c>
      <c r="D256" s="11" t="inlineStr">
        <is>
          <t>City of London</t>
        </is>
      </c>
      <c r="E256" s="11" t="inlineStr">
        <is>
          <t>Korean Re Underwriting Limited</t>
        </is>
      </c>
      <c r="F256" s="11" t="inlineStr">
        <is>
          <t>Korean Re Underwriting</t>
        </is>
      </c>
      <c r="G256" s="11" t="inlineStr">
        <is>
          <t>09429809</t>
        </is>
      </c>
      <c r="H256" s="12" t="inlineStr">
        <is>
          <t>Open</t>
        </is>
      </c>
      <c r="I256" s="12" t="inlineStr">
        <is>
          <t>Search</t>
        </is>
      </c>
      <c r="J256" s="11" t="inlineStr">
        <is>
          <t>Full</t>
        </is>
      </c>
      <c r="K256" s="13" t="n">
        <v>42044</v>
      </c>
      <c r="L256" s="11" t="inlineStr">
        <is>
          <t>Room No.703, Gallery 7 Lloyd'S, One Lime Street, London</t>
        </is>
      </c>
      <c r="M256" s="11" t="inlineStr">
        <is>
          <t>EC3M 7HA</t>
        </is>
      </c>
      <c r="N256" s="11" t="inlineStr">
        <is>
          <t>Yes</t>
        </is>
      </c>
      <c r="U256" s="11" t="inlineStr">
        <is>
          <t>Liverpool St - Attlee Centre</t>
        </is>
      </c>
      <c r="V256" s="11" t="n">
        <v>14</v>
      </c>
      <c r="W256" s="11" t="n"/>
      <c r="X256" s="11" t="inlineStr">
        <is>
          <t>Liverpool St - Attlee Centre</t>
        </is>
      </c>
      <c r="Y256" s="11" t="n">
        <v>14</v>
      </c>
      <c r="Z256" s="14">
        <f>IFERROR(INDEX(Venues!$E$2:$E$15,MATCH(X256,Venues!$A$2:$A$15,0)),"Not checked")</f>
        <v/>
      </c>
      <c r="AA256" s="14">
        <f>IFERROR(INDEX(Venues!$F$2:$F$15,MATCH(X256,Venues!$A$2:$A$15,0)),0)</f>
        <v/>
      </c>
      <c r="AB256" s="15">
        <f>IFERROR(INDEX(Venues!$M$2:$M$15,MATCH(X256,Venues!$A$2:$A$15,0)),"")</f>
        <v/>
      </c>
      <c r="AC256" s="14">
        <f>IFERROR(INDEX(Venues!$N$2:$N$15,MATCH(X256,Venues!$A$2:$A$15,0)),"5-a-side")</f>
        <v/>
      </c>
      <c r="AD256" s="16">
        <f>IF(Offer!$C$4="","",Offer!$C$4)</f>
        <v/>
      </c>
      <c r="AE256" s="14">
        <f>X256&amp;" ("&amp;Y256&amp;" min walk) · "&amp;IF(ISNUMBER(AB256),TEXT(AB256,"ddd d mmm, hh:mm"),"slot to confirm with venue")&amp;" · "&amp;AC256&amp;" · "&amp;IF(AD256&lt;&gt;"","£"&amp;TEXT(AD256,"0.00")&amp;" pp","price TBC")</f>
        <v/>
      </c>
      <c r="AF256" s="14">
        <f>"After-work football for "&amp;F256&amp;" · "&amp;X256&amp;", "&amp;Y256&amp;" min from your office"</f>
        <v/>
      </c>
      <c r="AG256" s="14">
        <f>"Hi"&amp;IF(O256&lt;&gt;""," "&amp;O256,"")&amp;","&amp;CHAR(10)&amp;CHAR(10)&amp;"I'm "&amp;IF(AL256&lt;&gt;"",AL256,IF(Offer!$C$5&lt;&gt;"",Offer!$C$5,"[NAME]"))&amp;" from FC Urban. We organise after-work football for teams in the City and Canary Wharf."&amp;CHAR(10)&amp;CHAR(10)&amp;"We have a "&amp;AC256&amp;" pitch at "&amp;X256&amp;", "&amp;IF(OR(Y256=8,Y256=11,Y256=18),"an ","a ")&amp;Y256&amp;"-minute walk from your "&amp;M256&amp;" office, "&amp;IF(ISNUMBER(AB256),"on "&amp;TEXT(AB256,"dddd d mmmm")&amp;" at "&amp;TEXT(AB256,"hh:mm"),"on a weekday evening that suits your team")&amp;". It's "&amp;IF(AD256&lt;&gt;"","£"&amp;IF(AD256=INT(AD256),TEXT(AD256,"0"),TEXT(AD256,"0.00")),"[PRICE PER PLAYER]")&amp;" a player and we handle the pitch booking, sign-ups and payments, so all it takes is one person sharing a link with the team."&amp;CHAR(10)&amp;CHAR(10)&amp;"It works well as a team social or "&amp;IF(ISNUMBER(SEARCH(LEFT(F256,1),"AEIOU")),"an ","a ")&amp;F256&amp;"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LINK]")&amp;CHAR(10)&amp;CHAR(10)&amp;"Best,"&amp;CHAR(10)&amp;IF(AL256&lt;&gt;"",AL256,IF(Offer!$C$5&lt;&gt;"",Offer!$C$5,"[NAME]"))&amp;CHAR(10)&amp;"FC Urban"</f>
        <v/>
      </c>
      <c r="AH256" s="14">
        <f>IF(LEN("Hi"&amp;IF(O256&lt;&gt;""," "&amp;O256,"")&amp;","&amp;" FC Urban runs after-work football for "&amp;IF(D256="Canary Wharf","Canary Wharf","City")&amp;" teams. We have a "&amp;AC256&amp;" pitch at "&amp;X256&amp;", "&amp;Y256&amp;" min from your office, "&amp;IF(ISNUMBER(AB256),TEXT(AB256,"ddd d mmm")&amp;", "&amp;TEXT(AB256,"hh:mm"),"weekday evenings")&amp;", "&amp;IF(AD256&lt;&gt;"","£"&amp;IF(AD256=INT(AD256),TEXT(AD256,"0"),TEXT(AD256,"0.00")),"[PRICE PER PLAYER]")&amp;" a player. We handle booking, sign-ups and payments. Fancy "&amp;IF(ISNUMBER(SEARCH(LEFT(F256,1),"AEIOU")),"an ","a ")&amp;F256&amp;" team game? "&amp;IF(AL256&lt;&gt;"",AL256,IF(Offer!$C$5&lt;&gt;"",Offer!$C$5,"[NAME]")))&lt;=300,"Hi"&amp;IF(O256&lt;&gt;""," "&amp;O256,"")&amp;","&amp;" FC Urban runs after-work football for "&amp;IF(D256="Canary Wharf","Canary Wharf","City")&amp;" teams. We have a "&amp;AC256&amp;" pitch at "&amp;X256&amp;", "&amp;Y256&amp;" min from your office, "&amp;IF(ISNUMBER(AB256),TEXT(AB256,"ddd d mmm")&amp;", "&amp;TEXT(AB256,"hh:mm"),"weekday evenings")&amp;", "&amp;IF(AD256&lt;&gt;"","£"&amp;IF(AD256=INT(AD256),TEXT(AD256,"0"),TEXT(AD256,"0.00")),"[PRICE PER PLAYER]")&amp;" a player. We handle booking, sign-ups and payments. Fancy "&amp;IF(ISNUMBER(SEARCH(LEFT(F256,1),"AEIOU")),"an ","a ")&amp;F256&amp;" team game? "&amp;IF(AL256&lt;&gt;"",AL256,IF(Offer!$C$5&lt;&gt;"",Offer!$C$5,"[NAME]")),LEFT("Hi"&amp;IF(O256&lt;&gt;""," "&amp;O256,"")&amp;","&amp;" FC Urban runs after-work football for "&amp;IF(D256="Canary Wharf","Canary Wharf","City")&amp;" teams: "&amp;AC256&amp;" at "&amp;X256&amp;", "&amp;Y256&amp;" min from your office, "&amp;IF(ISNUMBER(AB256),TEXT(AB256,"ddd d mmm")&amp;", "&amp;TEXT(AB256,"hh:mm"),"weekday evenings")&amp;", "&amp;IF(AD256&lt;&gt;"","£"&amp;IF(AD256=INT(AD256),TEXT(AD256,"0"),TEXT(AD256,"0.00")),"[PRICE PER PLAYER]")&amp;" pp. We handle booking and payments. Up for a team game? "&amp;IF(AL256&lt;&gt;"",AL256,IF(Offer!$C$5&lt;&gt;"",Offer!$C$5,"[NAME]")),300))</f>
        <v/>
      </c>
      <c r="AI256" s="14">
        <f>LEN(AH256)</f>
        <v/>
      </c>
      <c r="AJ256" s="14">
        <f>"Thanks for connecting"&amp;IF(O256&lt;&gt;"",", "&amp;O256,"")&amp;". "&amp;IF(ISNUMBER(AB256),"The "&amp;AC256&amp;" slot at "&amp;X256&amp;" is "&amp;IF(ISNUMBER(AB256),TEXT(AB256,"ddd d mmm")&amp;", "&amp;TEXT(AB256,"hh:mm"),"weekday evenings"),"We can book "&amp;AC256&amp;" at "&amp;X256&amp;" on a weekday evening that suits you")&amp;" and it's "&amp;IF(AD256&lt;&gt;"","£"&amp;IF(AD256=INT(AD256),TEXT(AD256,"0"),TEXT(AD256,"0.00")),"[PRICE PER PLAYER]")&amp;" a player, all booked and paid through one link. If football isn't your thing, who at "&amp;F256&amp;" would be the right person to organise a team game?"&amp;IF(Offer!$C$7&lt;&gt;""," Spots are held until "&amp;TEXT(Offer!$C$7,"dddd d mmmm")&amp;".","")&amp;" "&amp;IF(Offer!$C$6&lt;&gt;"",Offer!$C$6,"[JOINING LINK]")</f>
        <v/>
      </c>
      <c r="AK256" s="14">
        <f>IF(OR(ISNUMBER(SEARCH("[",AG256)),ISNUMBER(SEARCH("[",AJ256))),"Fill placeholders",IF(ISNUMBER(AB256),"Ready to send","Ready · no fixed slot"))</f>
        <v/>
      </c>
      <c r="AN256" s="17" t="n"/>
    </row>
    <row r="257">
      <c r="A257" s="11" t="n">
        <v>255</v>
      </c>
      <c r="B257" s="11" t="n">
        <v>3</v>
      </c>
      <c r="C257" s="11" t="inlineStr">
        <is>
          <t>Insurance / broker</t>
        </is>
      </c>
      <c r="D257" s="11" t="inlineStr">
        <is>
          <t>City of London</t>
        </is>
      </c>
      <c r="E257" s="11" t="inlineStr">
        <is>
          <t>Samsung Fire &amp; Marine Insurance Company of Europe Ltd.</t>
        </is>
      </c>
      <c r="F257" s="11" t="inlineStr">
        <is>
          <t>Samsung Fire &amp; Marine Insurance Company of</t>
        </is>
      </c>
      <c r="G257" s="11" t="inlineStr">
        <is>
          <t>07308768</t>
        </is>
      </c>
      <c r="H257" s="12" t="inlineStr">
        <is>
          <t>Open</t>
        </is>
      </c>
      <c r="I257" s="12" t="inlineStr">
        <is>
          <t>Search</t>
        </is>
      </c>
      <c r="J257" s="11" t="inlineStr">
        <is>
          <t>Full</t>
        </is>
      </c>
      <c r="K257" s="13" t="n">
        <v>40367</v>
      </c>
      <c r="L257" s="11" t="inlineStr">
        <is>
          <t>Room 975, Gallery 9, Lloyd'S,, One Lime Street, London</t>
        </is>
      </c>
      <c r="M257" s="11" t="inlineStr">
        <is>
          <t>EC3M 7DQ</t>
        </is>
      </c>
      <c r="N257" s="11" t="inlineStr">
        <is>
          <t>Yes</t>
        </is>
      </c>
      <c r="U257" s="11" t="inlineStr">
        <is>
          <t>Liverpool St - Attlee Centre</t>
        </is>
      </c>
      <c r="V257" s="11" t="n">
        <v>14</v>
      </c>
      <c r="W257" s="11" t="n"/>
      <c r="X257" s="11" t="inlineStr">
        <is>
          <t>Liverpool St - Attlee Centre</t>
        </is>
      </c>
      <c r="Y257" s="11" t="n">
        <v>14</v>
      </c>
      <c r="Z257" s="14">
        <f>IFERROR(INDEX(Venues!$E$2:$E$15,MATCH(X257,Venues!$A$2:$A$15,0)),"Not checked")</f>
        <v/>
      </c>
      <c r="AA257" s="14">
        <f>IFERROR(INDEX(Venues!$F$2:$F$15,MATCH(X257,Venues!$A$2:$A$15,0)),0)</f>
        <v/>
      </c>
      <c r="AB257" s="15">
        <f>IFERROR(INDEX(Venues!$M$2:$M$15,MATCH(X257,Venues!$A$2:$A$15,0)),"")</f>
        <v/>
      </c>
      <c r="AC257" s="14">
        <f>IFERROR(INDEX(Venues!$N$2:$N$15,MATCH(X257,Venues!$A$2:$A$15,0)),"5-a-side")</f>
        <v/>
      </c>
      <c r="AD257" s="16">
        <f>IF(Offer!$C$4="","",Offer!$C$4)</f>
        <v/>
      </c>
      <c r="AE257" s="14">
        <f>X257&amp;" ("&amp;Y257&amp;" min walk) · "&amp;IF(ISNUMBER(AB257),TEXT(AB257,"ddd d mmm, hh:mm"),"slot to confirm with venue")&amp;" · "&amp;AC257&amp;" · "&amp;IF(AD257&lt;&gt;"","£"&amp;TEXT(AD257,"0.00")&amp;" pp","price TBC")</f>
        <v/>
      </c>
      <c r="AF257" s="14">
        <f>"After-work football for "&amp;F257&amp;" · "&amp;X257&amp;", "&amp;Y257&amp;" min from your office"</f>
        <v/>
      </c>
      <c r="AG257" s="14">
        <f>"Hi"&amp;IF(O257&lt;&gt;""," "&amp;O257,"")&amp;","&amp;CHAR(10)&amp;CHAR(10)&amp;"I'm "&amp;IF(AL257&lt;&gt;"",AL257,IF(Offer!$C$5&lt;&gt;"",Offer!$C$5,"[NAME]"))&amp;" from FC Urban. We organise after-work football for teams in the City and Canary Wharf."&amp;CHAR(10)&amp;CHAR(10)&amp;"We have a "&amp;AC257&amp;" pitch at "&amp;X257&amp;", "&amp;IF(OR(Y257=8,Y257=11,Y257=18),"an ","a ")&amp;Y257&amp;"-minute walk from your "&amp;M257&amp;" office, "&amp;IF(ISNUMBER(AB257),"on "&amp;TEXT(AB257,"dddd d mmmm")&amp;" at "&amp;TEXT(AB257,"hh:mm"),"on a weekday evening that suits your team")&amp;". It's "&amp;IF(AD257&lt;&gt;"","£"&amp;IF(AD257=INT(AD257),TEXT(AD257,"0"),TEXT(AD257,"0.00")),"[PRICE PER PLAYER]")&amp;" a player and we handle the pitch booking, sign-ups and payments, so all it takes is one person sharing a link with the team."&amp;CHAR(10)&amp;CHAR(10)&amp;"It works well as a team social or "&amp;IF(ISNUMBER(SEARCH(LEFT(F257,1),"AEIOU")),"an ","a ")&amp;F257&amp;"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LINK]")&amp;CHAR(10)&amp;CHAR(10)&amp;"Best,"&amp;CHAR(10)&amp;IF(AL257&lt;&gt;"",AL257,IF(Offer!$C$5&lt;&gt;"",Offer!$C$5,"[NAME]"))&amp;CHAR(10)&amp;"FC Urban"</f>
        <v/>
      </c>
      <c r="AH257" s="14">
        <f>IF(LEN("Hi"&amp;IF(O257&lt;&gt;""," "&amp;O257,"")&amp;","&amp;" FC Urban runs after-work football for "&amp;IF(D257="Canary Wharf","Canary Wharf","City")&amp;" teams. We have a "&amp;AC257&amp;" pitch at "&amp;X257&amp;", "&amp;Y257&amp;" min from your office, "&amp;IF(ISNUMBER(AB257),TEXT(AB257,"ddd d mmm")&amp;", "&amp;TEXT(AB257,"hh:mm"),"weekday evenings")&amp;", "&amp;IF(AD257&lt;&gt;"","£"&amp;IF(AD257=INT(AD257),TEXT(AD257,"0"),TEXT(AD257,"0.00")),"[PRICE PER PLAYER]")&amp;" a player. We handle booking, sign-ups and payments. Fancy "&amp;IF(ISNUMBER(SEARCH(LEFT(F257,1),"AEIOU")),"an ","a ")&amp;F257&amp;" team game? "&amp;IF(AL257&lt;&gt;"",AL257,IF(Offer!$C$5&lt;&gt;"",Offer!$C$5,"[NAME]")))&lt;=300,"Hi"&amp;IF(O257&lt;&gt;""," "&amp;O257,"")&amp;","&amp;" FC Urban runs after-work football for "&amp;IF(D257="Canary Wharf","Canary Wharf","City")&amp;" teams. We have a "&amp;AC257&amp;" pitch at "&amp;X257&amp;", "&amp;Y257&amp;" min from your office, "&amp;IF(ISNUMBER(AB257),TEXT(AB257,"ddd d mmm")&amp;", "&amp;TEXT(AB257,"hh:mm"),"weekday evenings")&amp;", "&amp;IF(AD257&lt;&gt;"","£"&amp;IF(AD257=INT(AD257),TEXT(AD257,"0"),TEXT(AD257,"0.00")),"[PRICE PER PLAYER]")&amp;" a player. We handle booking, sign-ups and payments. Fancy "&amp;IF(ISNUMBER(SEARCH(LEFT(F257,1),"AEIOU")),"an ","a ")&amp;F257&amp;" team game? "&amp;IF(AL257&lt;&gt;"",AL257,IF(Offer!$C$5&lt;&gt;"",Offer!$C$5,"[NAME]")),LEFT("Hi"&amp;IF(O257&lt;&gt;""," "&amp;O257,"")&amp;","&amp;" FC Urban runs after-work football for "&amp;IF(D257="Canary Wharf","Canary Wharf","City")&amp;" teams: "&amp;AC257&amp;" at "&amp;X257&amp;", "&amp;Y257&amp;" min from your office, "&amp;IF(ISNUMBER(AB257),TEXT(AB257,"ddd d mmm")&amp;", "&amp;TEXT(AB257,"hh:mm"),"weekday evenings")&amp;", "&amp;IF(AD257&lt;&gt;"","£"&amp;IF(AD257=INT(AD257),TEXT(AD257,"0"),TEXT(AD257,"0.00")),"[PRICE PER PLAYER]")&amp;" pp. We handle booking and payments. Up for a team game? "&amp;IF(AL257&lt;&gt;"",AL257,IF(Offer!$C$5&lt;&gt;"",Offer!$C$5,"[NAME]")),300))</f>
        <v/>
      </c>
      <c r="AI257" s="14">
        <f>LEN(AH257)</f>
        <v/>
      </c>
      <c r="AJ257" s="14">
        <f>"Thanks for connecting"&amp;IF(O257&lt;&gt;"",", "&amp;O257,"")&amp;". "&amp;IF(ISNUMBER(AB257),"The "&amp;AC257&amp;" slot at "&amp;X257&amp;" is "&amp;IF(ISNUMBER(AB257),TEXT(AB257,"ddd d mmm")&amp;", "&amp;TEXT(AB257,"hh:mm"),"weekday evenings"),"We can book "&amp;AC257&amp;" at "&amp;X257&amp;" on a weekday evening that suits you")&amp;" and it's "&amp;IF(AD257&lt;&gt;"","£"&amp;IF(AD257=INT(AD257),TEXT(AD257,"0"),TEXT(AD257,"0.00")),"[PRICE PER PLAYER]")&amp;" a player, all booked and paid through one link. If football isn't your thing, who at "&amp;F257&amp;" would be the right person to organise a team game?"&amp;IF(Offer!$C$7&lt;&gt;""," Spots are held until "&amp;TEXT(Offer!$C$7,"dddd d mmmm")&amp;".","")&amp;" "&amp;IF(Offer!$C$6&lt;&gt;"",Offer!$C$6,"[JOINING LINK]")</f>
        <v/>
      </c>
      <c r="AK257" s="14">
        <f>IF(OR(ISNUMBER(SEARCH("[",AG257)),ISNUMBER(SEARCH("[",AJ257))),"Fill placeholders",IF(ISNUMBER(AB257),"Ready to send","Ready · no fixed slot"))</f>
        <v/>
      </c>
      <c r="AN257" s="17" t="n"/>
    </row>
    <row r="258">
      <c r="A258" s="11" t="n">
        <v>256</v>
      </c>
      <c r="B258" s="11" t="n">
        <v>3</v>
      </c>
      <c r="C258" s="11" t="inlineStr">
        <is>
          <t>Insurance / broker</t>
        </is>
      </c>
      <c r="D258" s="11" t="inlineStr">
        <is>
          <t>City of London</t>
        </is>
      </c>
      <c r="E258" s="11" t="inlineStr">
        <is>
          <t>Volante International Limited</t>
        </is>
      </c>
      <c r="F258" s="11" t="inlineStr">
        <is>
          <t>Volante</t>
        </is>
      </c>
      <c r="G258" s="11" t="inlineStr">
        <is>
          <t>11005928</t>
        </is>
      </c>
      <c r="H258" s="12" t="inlineStr">
        <is>
          <t>Open</t>
        </is>
      </c>
      <c r="I258" s="12" t="inlineStr">
        <is>
          <t>Search</t>
        </is>
      </c>
      <c r="J258" s="11" t="inlineStr">
        <is>
          <t>Full</t>
        </is>
      </c>
      <c r="K258" s="13" t="n">
        <v>43018</v>
      </c>
      <c r="L258" s="11" t="inlineStr">
        <is>
          <t>7Th Floor Lloyd’S, One Lime Street, London</t>
        </is>
      </c>
      <c r="M258" s="11" t="inlineStr">
        <is>
          <t>EC3M 7HA</t>
        </is>
      </c>
      <c r="N258" s="11" t="inlineStr">
        <is>
          <t>Yes</t>
        </is>
      </c>
      <c r="U258" s="11" t="inlineStr">
        <is>
          <t>Liverpool St - Attlee Centre</t>
        </is>
      </c>
      <c r="V258" s="11" t="n">
        <v>14</v>
      </c>
      <c r="W258" s="11" t="n"/>
      <c r="X258" s="11" t="inlineStr">
        <is>
          <t>Liverpool St - Attlee Centre</t>
        </is>
      </c>
      <c r="Y258" s="11" t="n">
        <v>14</v>
      </c>
      <c r="Z258" s="14">
        <f>IFERROR(INDEX(Venues!$E$2:$E$15,MATCH(X258,Venues!$A$2:$A$15,0)),"Not checked")</f>
        <v/>
      </c>
      <c r="AA258" s="14">
        <f>IFERROR(INDEX(Venues!$F$2:$F$15,MATCH(X258,Venues!$A$2:$A$15,0)),0)</f>
        <v/>
      </c>
      <c r="AB258" s="15">
        <f>IFERROR(INDEX(Venues!$M$2:$M$15,MATCH(X258,Venues!$A$2:$A$15,0)),"")</f>
        <v/>
      </c>
      <c r="AC258" s="14">
        <f>IFERROR(INDEX(Venues!$N$2:$N$15,MATCH(X258,Venues!$A$2:$A$15,0)),"5-a-side")</f>
        <v/>
      </c>
      <c r="AD258" s="16">
        <f>IF(Offer!$C$4="","",Offer!$C$4)</f>
        <v/>
      </c>
      <c r="AE258" s="14">
        <f>X258&amp;" ("&amp;Y258&amp;" min walk) · "&amp;IF(ISNUMBER(AB258),TEXT(AB258,"ddd d mmm, hh:mm"),"slot to confirm with venue")&amp;" · "&amp;AC258&amp;" · "&amp;IF(AD258&lt;&gt;"","£"&amp;TEXT(AD258,"0.00")&amp;" pp","price TBC")</f>
        <v/>
      </c>
      <c r="AF258" s="14">
        <f>"After-work football for "&amp;F258&amp;" · "&amp;X258&amp;", "&amp;Y258&amp;" min from your office"</f>
        <v/>
      </c>
      <c r="AG258" s="14">
        <f>"Hi"&amp;IF(O258&lt;&gt;""," "&amp;O258,"")&amp;","&amp;CHAR(10)&amp;CHAR(10)&amp;"I'm "&amp;IF(AL258&lt;&gt;"",AL258,IF(Offer!$C$5&lt;&gt;"",Offer!$C$5,"[NAME]"))&amp;" from FC Urban. We organise after-work football for teams in the City and Canary Wharf."&amp;CHAR(10)&amp;CHAR(10)&amp;"We have a "&amp;AC258&amp;" pitch at "&amp;X258&amp;", "&amp;IF(OR(Y258=8,Y258=11,Y258=18),"an ","a ")&amp;Y258&amp;"-minute walk from your "&amp;M258&amp;" office, "&amp;IF(ISNUMBER(AB258),"on "&amp;TEXT(AB258,"dddd d mmmm")&amp;" at "&amp;TEXT(AB258,"hh:mm"),"on a weekday evening that suits your team")&amp;". It's "&amp;IF(AD258&lt;&gt;"","£"&amp;IF(AD258=INT(AD258),TEXT(AD258,"0"),TEXT(AD258,"0.00")),"[PRICE PER PLAYER]")&amp;" a player and we handle the pitch booking, sign-ups and payments, so all it takes is one person sharing a link with the team."&amp;CHAR(10)&amp;CHAR(10)&amp;"It works well as a team social or "&amp;IF(ISNUMBER(SEARCH(LEFT(F258,1),"AEIOU")),"an ","a ")&amp;F258&amp;"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LINK]")&amp;CHAR(10)&amp;CHAR(10)&amp;"Best,"&amp;CHAR(10)&amp;IF(AL258&lt;&gt;"",AL258,IF(Offer!$C$5&lt;&gt;"",Offer!$C$5,"[NAME]"))&amp;CHAR(10)&amp;"FC Urban"</f>
        <v/>
      </c>
      <c r="AH258" s="14">
        <f>IF(LEN("Hi"&amp;IF(O258&lt;&gt;""," "&amp;O258,"")&amp;","&amp;" FC Urban runs after-work football for "&amp;IF(D258="Canary Wharf","Canary Wharf","City")&amp;" teams. We have a "&amp;AC258&amp;" pitch at "&amp;X258&amp;", "&amp;Y258&amp;" min from your office, "&amp;IF(ISNUMBER(AB258),TEXT(AB258,"ddd d mmm")&amp;", "&amp;TEXT(AB258,"hh:mm"),"weekday evenings")&amp;", "&amp;IF(AD258&lt;&gt;"","£"&amp;IF(AD258=INT(AD258),TEXT(AD258,"0"),TEXT(AD258,"0.00")),"[PRICE PER PLAYER]")&amp;" a player. We handle booking, sign-ups and payments. Fancy "&amp;IF(ISNUMBER(SEARCH(LEFT(F258,1),"AEIOU")),"an ","a ")&amp;F258&amp;" team game? "&amp;IF(AL258&lt;&gt;"",AL258,IF(Offer!$C$5&lt;&gt;"",Offer!$C$5,"[NAME]")))&lt;=300,"Hi"&amp;IF(O258&lt;&gt;""," "&amp;O258,"")&amp;","&amp;" FC Urban runs after-work football for "&amp;IF(D258="Canary Wharf","Canary Wharf","City")&amp;" teams. We have a "&amp;AC258&amp;" pitch at "&amp;X258&amp;", "&amp;Y258&amp;" min from your office, "&amp;IF(ISNUMBER(AB258),TEXT(AB258,"ddd d mmm")&amp;", "&amp;TEXT(AB258,"hh:mm"),"weekday evenings")&amp;", "&amp;IF(AD258&lt;&gt;"","£"&amp;IF(AD258=INT(AD258),TEXT(AD258,"0"),TEXT(AD258,"0.00")),"[PRICE PER PLAYER]")&amp;" a player. We handle booking, sign-ups and payments. Fancy "&amp;IF(ISNUMBER(SEARCH(LEFT(F258,1),"AEIOU")),"an ","a ")&amp;F258&amp;" team game? "&amp;IF(AL258&lt;&gt;"",AL258,IF(Offer!$C$5&lt;&gt;"",Offer!$C$5,"[NAME]")),LEFT("Hi"&amp;IF(O258&lt;&gt;""," "&amp;O258,"")&amp;","&amp;" FC Urban runs after-work football for "&amp;IF(D258="Canary Wharf","Canary Wharf","City")&amp;" teams: "&amp;AC258&amp;" at "&amp;X258&amp;", "&amp;Y258&amp;" min from your office, "&amp;IF(ISNUMBER(AB258),TEXT(AB258,"ddd d mmm")&amp;", "&amp;TEXT(AB258,"hh:mm"),"weekday evenings")&amp;", "&amp;IF(AD258&lt;&gt;"","£"&amp;IF(AD258=INT(AD258),TEXT(AD258,"0"),TEXT(AD258,"0.00")),"[PRICE PER PLAYER]")&amp;" pp. We handle booking and payments. Up for a team game? "&amp;IF(AL258&lt;&gt;"",AL258,IF(Offer!$C$5&lt;&gt;"",Offer!$C$5,"[NAME]")),300))</f>
        <v/>
      </c>
      <c r="AI258" s="14">
        <f>LEN(AH258)</f>
        <v/>
      </c>
      <c r="AJ258" s="14">
        <f>"Thanks for connecting"&amp;IF(O258&lt;&gt;"",", "&amp;O258,"")&amp;". "&amp;IF(ISNUMBER(AB258),"The "&amp;AC258&amp;" slot at "&amp;X258&amp;" is "&amp;IF(ISNUMBER(AB258),TEXT(AB258,"ddd d mmm")&amp;", "&amp;TEXT(AB258,"hh:mm"),"weekday evenings"),"We can book "&amp;AC258&amp;" at "&amp;X258&amp;" on a weekday evening that suits you")&amp;" and it's "&amp;IF(AD258&lt;&gt;"","£"&amp;IF(AD258=INT(AD258),TEXT(AD258,"0"),TEXT(AD258,"0.00")),"[PRICE PER PLAYER]")&amp;" a player, all booked and paid through one link. If football isn't your thing, who at "&amp;F258&amp;" would be the right person to organise a team game?"&amp;IF(Offer!$C$7&lt;&gt;""," Spots are held until "&amp;TEXT(Offer!$C$7,"dddd d mmmm")&amp;".","")&amp;" "&amp;IF(Offer!$C$6&lt;&gt;"",Offer!$C$6,"[JOINING LINK]")</f>
        <v/>
      </c>
      <c r="AK258" s="14">
        <f>IF(OR(ISNUMBER(SEARCH("[",AG258)),ISNUMBER(SEARCH("[",AJ258))),"Fill placeholders",IF(ISNUMBER(AB258),"Ready to send","Ready · no fixed slot"))</f>
        <v/>
      </c>
      <c r="AN258" s="17" t="n"/>
    </row>
    <row r="259">
      <c r="A259" s="11" t="n">
        <v>257</v>
      </c>
      <c r="B259" s="11" t="n">
        <v>3</v>
      </c>
      <c r="C259" s="11" t="inlineStr">
        <is>
          <t>Insurance / broker</t>
        </is>
      </c>
      <c r="D259" s="11" t="inlineStr">
        <is>
          <t>City of London</t>
        </is>
      </c>
      <c r="E259" s="11" t="inlineStr">
        <is>
          <t>Willis Limited</t>
        </is>
      </c>
      <c r="F259" s="11" t="inlineStr">
        <is>
          <t>WTW</t>
        </is>
      </c>
      <c r="G259" s="11" t="inlineStr">
        <is>
          <t>00181116</t>
        </is>
      </c>
      <c r="H259" s="12" t="inlineStr">
        <is>
          <t>Open</t>
        </is>
      </c>
      <c r="I259" s="12" t="inlineStr">
        <is>
          <t>Search</t>
        </is>
      </c>
      <c r="J259" s="11" t="inlineStr">
        <is>
          <t>Full</t>
        </is>
      </c>
      <c r="K259" s="13" t="n">
        <v>8138</v>
      </c>
      <c r="L259" s="11" t="inlineStr">
        <is>
          <t>51 Lime Street, London</t>
        </is>
      </c>
      <c r="M259" s="11" t="inlineStr">
        <is>
          <t>EC3M 7DQ</t>
        </is>
      </c>
      <c r="N259" s="11" t="inlineStr">
        <is>
          <t>No</t>
        </is>
      </c>
      <c r="U259" s="11" t="inlineStr">
        <is>
          <t>Liverpool St - Attlee Centre</t>
        </is>
      </c>
      <c r="V259" s="11" t="n">
        <v>14</v>
      </c>
      <c r="W259" s="11" t="n"/>
      <c r="X259" s="11" t="inlineStr">
        <is>
          <t>Liverpool St - Attlee Centre</t>
        </is>
      </c>
      <c r="Y259" s="11" t="n">
        <v>14</v>
      </c>
      <c r="Z259" s="14">
        <f>IFERROR(INDEX(Venues!$E$2:$E$15,MATCH(X259,Venues!$A$2:$A$15,0)),"Not checked")</f>
        <v/>
      </c>
      <c r="AA259" s="14">
        <f>IFERROR(INDEX(Venues!$F$2:$F$15,MATCH(X259,Venues!$A$2:$A$15,0)),0)</f>
        <v/>
      </c>
      <c r="AB259" s="15">
        <f>IFERROR(INDEX(Venues!$M$2:$M$15,MATCH(X259,Venues!$A$2:$A$15,0)),"")</f>
        <v/>
      </c>
      <c r="AC259" s="14">
        <f>IFERROR(INDEX(Venues!$N$2:$N$15,MATCH(X259,Venues!$A$2:$A$15,0)),"5-a-side")</f>
        <v/>
      </c>
      <c r="AD259" s="16">
        <f>IF(Offer!$C$4="","",Offer!$C$4)</f>
        <v/>
      </c>
      <c r="AE259" s="14">
        <f>X259&amp;" ("&amp;Y259&amp;" min walk) · "&amp;IF(ISNUMBER(AB259),TEXT(AB259,"ddd d mmm, hh:mm"),"slot to confirm with venue")&amp;" · "&amp;AC259&amp;" · "&amp;IF(AD259&lt;&gt;"","£"&amp;TEXT(AD259,"0.00")&amp;" pp","price TBC")</f>
        <v/>
      </c>
      <c r="AF259" s="14">
        <f>"After-work football for "&amp;F259&amp;" · "&amp;X259&amp;", "&amp;Y259&amp;" min from your office"</f>
        <v/>
      </c>
      <c r="AG259" s="14">
        <f>"Hi"&amp;IF(O259&lt;&gt;""," "&amp;O259,"")&amp;","&amp;CHAR(10)&amp;CHAR(10)&amp;"I'm "&amp;IF(AL259&lt;&gt;"",AL259,IF(Offer!$C$5&lt;&gt;"",Offer!$C$5,"[NAME]"))&amp;" from FC Urban. We organise after-work football for teams in the City and Canary Wharf."&amp;CHAR(10)&amp;CHAR(10)&amp;"We have a "&amp;AC259&amp;" pitch at "&amp;X259&amp;", "&amp;IF(OR(Y259=8,Y259=11,Y259=18),"an ","a ")&amp;Y259&amp;"-minute walk from your "&amp;M259&amp;" office, "&amp;IF(ISNUMBER(AB259),"on "&amp;TEXT(AB259,"dddd d mmmm")&amp;" at "&amp;TEXT(AB259,"hh:mm"),"on a weekday evening that suits your team")&amp;". It's "&amp;IF(AD259&lt;&gt;"","£"&amp;IF(AD259=INT(AD259),TEXT(AD259,"0"),TEXT(AD259,"0.00")),"[PRICE PER PLAYER]")&amp;" a player and we handle the pitch booking, sign-ups and payments, so all it takes is one person sharing a link with the team."&amp;CHAR(10)&amp;CHAR(10)&amp;"It works well as a team social or "&amp;IF(ISNUMBER(SEARCH(LEFT(F259,1),"AEIOU")),"an ","a ")&amp;F259&amp;"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LINK]")&amp;CHAR(10)&amp;CHAR(10)&amp;"Best,"&amp;CHAR(10)&amp;IF(AL259&lt;&gt;"",AL259,IF(Offer!$C$5&lt;&gt;"",Offer!$C$5,"[NAME]"))&amp;CHAR(10)&amp;"FC Urban"</f>
        <v/>
      </c>
      <c r="AH259" s="14">
        <f>IF(LEN("Hi"&amp;IF(O259&lt;&gt;""," "&amp;O259,"")&amp;","&amp;" FC Urban runs after-work football for "&amp;IF(D259="Canary Wharf","Canary Wharf","City")&amp;" teams. We have a "&amp;AC259&amp;" pitch at "&amp;X259&amp;", "&amp;Y259&amp;" min from your office, "&amp;IF(ISNUMBER(AB259),TEXT(AB259,"ddd d mmm")&amp;", "&amp;TEXT(AB259,"hh:mm"),"weekday evenings")&amp;", "&amp;IF(AD259&lt;&gt;"","£"&amp;IF(AD259=INT(AD259),TEXT(AD259,"0"),TEXT(AD259,"0.00")),"[PRICE PER PLAYER]")&amp;" a player. We handle booking, sign-ups and payments. Fancy "&amp;IF(ISNUMBER(SEARCH(LEFT(F259,1),"AEIOU")),"an ","a ")&amp;F259&amp;" team game? "&amp;IF(AL259&lt;&gt;"",AL259,IF(Offer!$C$5&lt;&gt;"",Offer!$C$5,"[NAME]")))&lt;=300,"Hi"&amp;IF(O259&lt;&gt;""," "&amp;O259,"")&amp;","&amp;" FC Urban runs after-work football for "&amp;IF(D259="Canary Wharf","Canary Wharf","City")&amp;" teams. We have a "&amp;AC259&amp;" pitch at "&amp;X259&amp;", "&amp;Y259&amp;" min from your office, "&amp;IF(ISNUMBER(AB259),TEXT(AB259,"ddd d mmm")&amp;", "&amp;TEXT(AB259,"hh:mm"),"weekday evenings")&amp;", "&amp;IF(AD259&lt;&gt;"","£"&amp;IF(AD259=INT(AD259),TEXT(AD259,"0"),TEXT(AD259,"0.00")),"[PRICE PER PLAYER]")&amp;" a player. We handle booking, sign-ups and payments. Fancy "&amp;IF(ISNUMBER(SEARCH(LEFT(F259,1),"AEIOU")),"an ","a ")&amp;F259&amp;" team game? "&amp;IF(AL259&lt;&gt;"",AL259,IF(Offer!$C$5&lt;&gt;"",Offer!$C$5,"[NAME]")),LEFT("Hi"&amp;IF(O259&lt;&gt;""," "&amp;O259,"")&amp;","&amp;" FC Urban runs after-work football for "&amp;IF(D259="Canary Wharf","Canary Wharf","City")&amp;" teams: "&amp;AC259&amp;" at "&amp;X259&amp;", "&amp;Y259&amp;" min from your office, "&amp;IF(ISNUMBER(AB259),TEXT(AB259,"ddd d mmm")&amp;", "&amp;TEXT(AB259,"hh:mm"),"weekday evenings")&amp;", "&amp;IF(AD259&lt;&gt;"","£"&amp;IF(AD259=INT(AD259),TEXT(AD259,"0"),TEXT(AD259,"0.00")),"[PRICE PER PLAYER]")&amp;" pp. We handle booking and payments. Up for a team game? "&amp;IF(AL259&lt;&gt;"",AL259,IF(Offer!$C$5&lt;&gt;"",Offer!$C$5,"[NAME]")),300))</f>
        <v/>
      </c>
      <c r="AI259" s="14">
        <f>LEN(AH259)</f>
        <v/>
      </c>
      <c r="AJ259" s="14">
        <f>"Thanks for connecting"&amp;IF(O259&lt;&gt;"",", "&amp;O259,"")&amp;". "&amp;IF(ISNUMBER(AB259),"The "&amp;AC259&amp;" slot at "&amp;X259&amp;" is "&amp;IF(ISNUMBER(AB259),TEXT(AB259,"ddd d mmm")&amp;", "&amp;TEXT(AB259,"hh:mm"),"weekday evenings"),"We can book "&amp;AC259&amp;" at "&amp;X259&amp;" on a weekday evening that suits you")&amp;" and it's "&amp;IF(AD259&lt;&gt;"","£"&amp;IF(AD259=INT(AD259),TEXT(AD259,"0"),TEXT(AD259,"0.00")),"[PRICE PER PLAYER]")&amp;" a player, all booked and paid through one link. If football isn't your thing, who at "&amp;F259&amp;" would be the right person to organise a team game?"&amp;IF(Offer!$C$7&lt;&gt;""," Spots are held until "&amp;TEXT(Offer!$C$7,"dddd d mmmm")&amp;".","")&amp;" "&amp;IF(Offer!$C$6&lt;&gt;"",Offer!$C$6,"[JOINING LINK]")</f>
        <v/>
      </c>
      <c r="AK259" s="14">
        <f>IF(OR(ISNUMBER(SEARCH("[",AG259)),ISNUMBER(SEARCH("[",AJ259))),"Fill placeholders",IF(ISNUMBER(AB259),"Ready to send","Ready · no fixed slot"))</f>
        <v/>
      </c>
      <c r="AN259" s="17" t="n"/>
    </row>
    <row r="260">
      <c r="A260" s="11" t="n">
        <v>258</v>
      </c>
      <c r="B260" s="11" t="n">
        <v>3</v>
      </c>
      <c r="C260" s="11" t="inlineStr">
        <is>
          <t>Fund / asset manager</t>
        </is>
      </c>
      <c r="D260" s="11" t="inlineStr">
        <is>
          <t>City of London</t>
        </is>
      </c>
      <c r="E260" s="11" t="inlineStr">
        <is>
          <t>Fair4All Finance Limited</t>
        </is>
      </c>
      <c r="F260" s="11" t="inlineStr">
        <is>
          <t>Fair4All Finance</t>
        </is>
      </c>
      <c r="G260" s="11" t="inlineStr">
        <is>
          <t>11810533</t>
        </is>
      </c>
      <c r="H260" s="12" t="inlineStr">
        <is>
          <t>Open</t>
        </is>
      </c>
      <c r="I260" s="12" t="inlineStr">
        <is>
          <t>Search</t>
        </is>
      </c>
      <c r="J260" s="11" t="inlineStr">
        <is>
          <t>Full</t>
        </is>
      </c>
      <c r="K260" s="13" t="n">
        <v>43502</v>
      </c>
      <c r="L260" s="11" t="inlineStr">
        <is>
          <t>16-18 Middlesex Street, 3Rd Floor (3.01 Wyndham'S), London</t>
        </is>
      </c>
      <c r="M260" s="11" t="inlineStr">
        <is>
          <t>E1 7EX</t>
        </is>
      </c>
      <c r="N260" s="11" t="inlineStr">
        <is>
          <t>No</t>
        </is>
      </c>
      <c r="U260" s="11" t="inlineStr">
        <is>
          <t>Liverpool St - Attlee Centre</t>
        </is>
      </c>
      <c r="V260" s="11" t="n">
        <v>5</v>
      </c>
      <c r="W260" s="11" t="inlineStr">
        <is>
          <t>Shoreditch Powerleague (13.7); Whitechapel (16.9)</t>
        </is>
      </c>
      <c r="X260" s="11" t="inlineStr">
        <is>
          <t>Shoreditch Powerleague</t>
        </is>
      </c>
      <c r="Y260" s="11" t="n">
        <v>14</v>
      </c>
      <c r="Z260" s="14">
        <f>IFERROR(INDEX(Venues!$E$2:$E$15,MATCH(X260,Venues!$A$2:$A$15,0)),"Not checked")</f>
        <v/>
      </c>
      <c r="AA260" s="14">
        <f>IFERROR(INDEX(Venues!$F$2:$F$15,MATCH(X260,Venues!$A$2:$A$15,0)),0)</f>
        <v/>
      </c>
      <c r="AB260" s="15">
        <f>IFERROR(INDEX(Venues!$M$2:$M$15,MATCH(X260,Venues!$A$2:$A$15,0)),"")</f>
        <v/>
      </c>
      <c r="AC260" s="14">
        <f>IFERROR(INDEX(Venues!$N$2:$N$15,MATCH(X260,Venues!$A$2:$A$15,0)),"5-a-side")</f>
        <v/>
      </c>
      <c r="AD260" s="16">
        <f>IF(Offer!$C$4="","",Offer!$C$4)</f>
        <v/>
      </c>
      <c r="AE260" s="14">
        <f>X260&amp;" ("&amp;Y260&amp;" min walk) · "&amp;IF(ISNUMBER(AB260),TEXT(AB260,"ddd d mmm, hh:mm"),"slot to confirm with venue")&amp;" · "&amp;AC260&amp;" · "&amp;IF(AD260&lt;&gt;"","£"&amp;TEXT(AD260,"0.00")&amp;" pp","price TBC")</f>
        <v/>
      </c>
      <c r="AF260" s="14">
        <f>"After-work football for "&amp;F260&amp;" · "&amp;X260&amp;", "&amp;Y260&amp;" min from your office"</f>
        <v/>
      </c>
      <c r="AG260" s="14">
        <f>"Hi"&amp;IF(O260&lt;&gt;""," "&amp;O260,"")&amp;","&amp;CHAR(10)&amp;CHAR(10)&amp;"I'm "&amp;IF(AL260&lt;&gt;"",AL260,IF(Offer!$C$5&lt;&gt;"",Offer!$C$5,"[NAME]"))&amp;" from FC Urban. We organise after-work football for teams in the City and Canary Wharf."&amp;CHAR(10)&amp;CHAR(10)&amp;"We have a "&amp;AC260&amp;" pitch at "&amp;X260&amp;", "&amp;IF(OR(Y260=8,Y260=11,Y260=18),"an ","a ")&amp;Y260&amp;"-minute walk from your "&amp;M260&amp;" office, "&amp;IF(ISNUMBER(AB260),"on "&amp;TEXT(AB260,"dddd d mmmm")&amp;" at "&amp;TEXT(AB260,"hh:mm"),"on a weekday evening that suits your team")&amp;". It's "&amp;IF(AD260&lt;&gt;"","£"&amp;IF(AD260=INT(AD260),TEXT(AD260,"0"),TEXT(AD260,"0.00")),"[PRICE PER PLAYER]")&amp;" a player and we handle the pitch booking, sign-ups and payments, so all it takes is one person sharing a link with the team."&amp;CHAR(10)&amp;CHAR(10)&amp;"It works well as a team social or "&amp;IF(ISNUMBER(SEARCH(LEFT(F260,1),"AEIOU")),"an ","a ")&amp;F260&amp;"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LINK]")&amp;CHAR(10)&amp;CHAR(10)&amp;"Best,"&amp;CHAR(10)&amp;IF(AL260&lt;&gt;"",AL260,IF(Offer!$C$5&lt;&gt;"",Offer!$C$5,"[NAME]"))&amp;CHAR(10)&amp;"FC Urban"</f>
        <v/>
      </c>
      <c r="AH260" s="14">
        <f>IF(LEN("Hi"&amp;IF(O260&lt;&gt;""," "&amp;O260,"")&amp;","&amp;" FC Urban runs after-work football for "&amp;IF(D260="Canary Wharf","Canary Wharf","City")&amp;" teams. We have a "&amp;AC260&amp;" pitch at "&amp;X260&amp;", "&amp;Y260&amp;" min from your office, "&amp;IF(ISNUMBER(AB260),TEXT(AB260,"ddd d mmm")&amp;", "&amp;TEXT(AB260,"hh:mm"),"weekday evenings")&amp;", "&amp;IF(AD260&lt;&gt;"","£"&amp;IF(AD260=INT(AD260),TEXT(AD260,"0"),TEXT(AD260,"0.00")),"[PRICE PER PLAYER]")&amp;" a player. We handle booking, sign-ups and payments. Fancy "&amp;IF(ISNUMBER(SEARCH(LEFT(F260,1),"AEIOU")),"an ","a ")&amp;F260&amp;" team game? "&amp;IF(AL260&lt;&gt;"",AL260,IF(Offer!$C$5&lt;&gt;"",Offer!$C$5,"[NAME]")))&lt;=300,"Hi"&amp;IF(O260&lt;&gt;""," "&amp;O260,"")&amp;","&amp;" FC Urban runs after-work football for "&amp;IF(D260="Canary Wharf","Canary Wharf","City")&amp;" teams. We have a "&amp;AC260&amp;" pitch at "&amp;X260&amp;", "&amp;Y260&amp;" min from your office, "&amp;IF(ISNUMBER(AB260),TEXT(AB260,"ddd d mmm")&amp;", "&amp;TEXT(AB260,"hh:mm"),"weekday evenings")&amp;", "&amp;IF(AD260&lt;&gt;"","£"&amp;IF(AD260=INT(AD260),TEXT(AD260,"0"),TEXT(AD260,"0.00")),"[PRICE PER PLAYER]")&amp;" a player. We handle booking, sign-ups and payments. Fancy "&amp;IF(ISNUMBER(SEARCH(LEFT(F260,1),"AEIOU")),"an ","a ")&amp;F260&amp;" team game? "&amp;IF(AL260&lt;&gt;"",AL260,IF(Offer!$C$5&lt;&gt;"",Offer!$C$5,"[NAME]")),LEFT("Hi"&amp;IF(O260&lt;&gt;""," "&amp;O260,"")&amp;","&amp;" FC Urban runs after-work football for "&amp;IF(D260="Canary Wharf","Canary Wharf","City")&amp;" teams: "&amp;AC260&amp;" at "&amp;X260&amp;", "&amp;Y260&amp;" min from your office, "&amp;IF(ISNUMBER(AB260),TEXT(AB260,"ddd d mmm")&amp;", "&amp;TEXT(AB260,"hh:mm"),"weekday evenings")&amp;", "&amp;IF(AD260&lt;&gt;"","£"&amp;IF(AD260=INT(AD260),TEXT(AD260,"0"),TEXT(AD260,"0.00")),"[PRICE PER PLAYER]")&amp;" pp. We handle booking and payments. Up for a team game? "&amp;IF(AL260&lt;&gt;"",AL260,IF(Offer!$C$5&lt;&gt;"",Offer!$C$5,"[NAME]")),300))</f>
        <v/>
      </c>
      <c r="AI260" s="14">
        <f>LEN(AH260)</f>
        <v/>
      </c>
      <c r="AJ260" s="14">
        <f>"Thanks for connecting"&amp;IF(O260&lt;&gt;"",", "&amp;O260,"")&amp;". "&amp;IF(ISNUMBER(AB260),"The "&amp;AC260&amp;" slot at "&amp;X260&amp;" is "&amp;IF(ISNUMBER(AB260),TEXT(AB260,"ddd d mmm")&amp;", "&amp;TEXT(AB260,"hh:mm"),"weekday evenings"),"We can book "&amp;AC260&amp;" at "&amp;X260&amp;" on a weekday evening that suits you")&amp;" and it's "&amp;IF(AD260&lt;&gt;"","£"&amp;IF(AD260=INT(AD260),TEXT(AD260,"0"),TEXT(AD260,"0.00")),"[PRICE PER PLAYER]")&amp;" a player, all booked and paid through one link. If football isn't your thing, who at "&amp;F260&amp;" would be the right person to organise a team game?"&amp;IF(Offer!$C$7&lt;&gt;""," Spots are held until "&amp;TEXT(Offer!$C$7,"dddd d mmmm")&amp;".","")&amp;" "&amp;IF(Offer!$C$6&lt;&gt;"",Offer!$C$6,"[JOINING LINK]")</f>
        <v/>
      </c>
      <c r="AK260" s="14">
        <f>IF(OR(ISNUMBER(SEARCH("[",AG260)),ISNUMBER(SEARCH("[",AJ260))),"Fill placeholders",IF(ISNUMBER(AB260),"Ready to send","Ready · no fixed slot"))</f>
        <v/>
      </c>
      <c r="AN260" s="17" t="n"/>
    </row>
    <row r="261">
      <c r="A261" s="11" t="n">
        <v>259</v>
      </c>
      <c r="B261" s="11" t="n">
        <v>3</v>
      </c>
      <c r="C261" s="11" t="inlineStr">
        <is>
          <t>Insurance / broker</t>
        </is>
      </c>
      <c r="D261" s="11" t="inlineStr">
        <is>
          <t>City of London</t>
        </is>
      </c>
      <c r="E261" s="11" t="inlineStr">
        <is>
          <t>Medical &amp; Commercial International Limited</t>
        </is>
      </c>
      <c r="F261" s="11" t="inlineStr">
        <is>
          <t>Medical &amp; Commercial</t>
        </is>
      </c>
      <c r="G261" s="11" t="inlineStr">
        <is>
          <t>09375775</t>
        </is>
      </c>
      <c r="H261" s="12" t="inlineStr">
        <is>
          <t>Open</t>
        </is>
      </c>
      <c r="I261" s="12" t="inlineStr">
        <is>
          <t>Search</t>
        </is>
      </c>
      <c r="J261" s="11" t="inlineStr">
        <is>
          <t>Full</t>
        </is>
      </c>
      <c r="K261" s="13" t="n">
        <v>42010</v>
      </c>
      <c r="L261" s="11" t="inlineStr">
        <is>
          <t>1St Floor, 145 Leadenhall Street, London</t>
        </is>
      </c>
      <c r="M261" s="11" t="inlineStr">
        <is>
          <t>EC3V 4QT</t>
        </is>
      </c>
      <c r="N261" s="11" t="inlineStr">
        <is>
          <t>No</t>
        </is>
      </c>
      <c r="U261" s="11" t="inlineStr">
        <is>
          <t>Liverpool St - Attlee Centre</t>
        </is>
      </c>
      <c r="V261" s="11" t="n">
        <v>14</v>
      </c>
      <c r="W261" s="11" t="n"/>
      <c r="X261" s="11" t="inlineStr">
        <is>
          <t>Liverpool St - Attlee Centre</t>
        </is>
      </c>
      <c r="Y261" s="11" t="n">
        <v>14</v>
      </c>
      <c r="Z261" s="14">
        <f>IFERROR(INDEX(Venues!$E$2:$E$15,MATCH(X261,Venues!$A$2:$A$15,0)),"Not checked")</f>
        <v/>
      </c>
      <c r="AA261" s="14">
        <f>IFERROR(INDEX(Venues!$F$2:$F$15,MATCH(X261,Venues!$A$2:$A$15,0)),0)</f>
        <v/>
      </c>
      <c r="AB261" s="15">
        <f>IFERROR(INDEX(Venues!$M$2:$M$15,MATCH(X261,Venues!$A$2:$A$15,0)),"")</f>
        <v/>
      </c>
      <c r="AC261" s="14">
        <f>IFERROR(INDEX(Venues!$N$2:$N$15,MATCH(X261,Venues!$A$2:$A$15,0)),"5-a-side")</f>
        <v/>
      </c>
      <c r="AD261" s="16">
        <f>IF(Offer!$C$4="","",Offer!$C$4)</f>
        <v/>
      </c>
      <c r="AE261" s="14">
        <f>X261&amp;" ("&amp;Y261&amp;" min walk) · "&amp;IF(ISNUMBER(AB261),TEXT(AB261,"ddd d mmm, hh:mm"),"slot to confirm with venue")&amp;" · "&amp;AC261&amp;" · "&amp;IF(AD261&lt;&gt;"","£"&amp;TEXT(AD261,"0.00")&amp;" pp","price TBC")</f>
        <v/>
      </c>
      <c r="AF261" s="14">
        <f>"After-work football for "&amp;F261&amp;" · "&amp;X261&amp;", "&amp;Y261&amp;" min from your office"</f>
        <v/>
      </c>
      <c r="AG261" s="14">
        <f>"Hi"&amp;IF(O261&lt;&gt;""," "&amp;O261,"")&amp;","&amp;CHAR(10)&amp;CHAR(10)&amp;"I'm "&amp;IF(AL261&lt;&gt;"",AL261,IF(Offer!$C$5&lt;&gt;"",Offer!$C$5,"[NAME]"))&amp;" from FC Urban. We organise after-work football for teams in the City and Canary Wharf."&amp;CHAR(10)&amp;CHAR(10)&amp;"We have a "&amp;AC261&amp;" pitch at "&amp;X261&amp;", "&amp;IF(OR(Y261=8,Y261=11,Y261=18),"an ","a ")&amp;Y261&amp;"-minute walk from your "&amp;M261&amp;" office, "&amp;IF(ISNUMBER(AB261),"on "&amp;TEXT(AB261,"dddd d mmmm")&amp;" at "&amp;TEXT(AB261,"hh:mm"),"on a weekday evening that suits your team")&amp;". It's "&amp;IF(AD261&lt;&gt;"","£"&amp;IF(AD261=INT(AD261),TEXT(AD261,"0"),TEXT(AD261,"0.00")),"[PRICE PER PLAYER]")&amp;" a player and we handle the pitch booking, sign-ups and payments, so all it takes is one person sharing a link with the team."&amp;CHAR(10)&amp;CHAR(10)&amp;"It works well as a team social or "&amp;IF(ISNUMBER(SEARCH(LEFT(F261,1),"AEIOU")),"an ","a ")&amp;F261&amp;"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LINK]")&amp;CHAR(10)&amp;CHAR(10)&amp;"Best,"&amp;CHAR(10)&amp;IF(AL261&lt;&gt;"",AL261,IF(Offer!$C$5&lt;&gt;"",Offer!$C$5,"[NAME]"))&amp;CHAR(10)&amp;"FC Urban"</f>
        <v/>
      </c>
      <c r="AH261" s="14">
        <f>IF(LEN("Hi"&amp;IF(O261&lt;&gt;""," "&amp;O261,"")&amp;","&amp;" FC Urban runs after-work football for "&amp;IF(D261="Canary Wharf","Canary Wharf","City")&amp;" teams. We have a "&amp;AC261&amp;" pitch at "&amp;X261&amp;", "&amp;Y261&amp;" min from your office, "&amp;IF(ISNUMBER(AB261),TEXT(AB261,"ddd d mmm")&amp;", "&amp;TEXT(AB261,"hh:mm"),"weekday evenings")&amp;", "&amp;IF(AD261&lt;&gt;"","£"&amp;IF(AD261=INT(AD261),TEXT(AD261,"0"),TEXT(AD261,"0.00")),"[PRICE PER PLAYER]")&amp;" a player. We handle booking, sign-ups and payments. Fancy "&amp;IF(ISNUMBER(SEARCH(LEFT(F261,1),"AEIOU")),"an ","a ")&amp;F261&amp;" team game? "&amp;IF(AL261&lt;&gt;"",AL261,IF(Offer!$C$5&lt;&gt;"",Offer!$C$5,"[NAME]")))&lt;=300,"Hi"&amp;IF(O261&lt;&gt;""," "&amp;O261,"")&amp;","&amp;" FC Urban runs after-work football for "&amp;IF(D261="Canary Wharf","Canary Wharf","City")&amp;" teams. We have a "&amp;AC261&amp;" pitch at "&amp;X261&amp;", "&amp;Y261&amp;" min from your office, "&amp;IF(ISNUMBER(AB261),TEXT(AB261,"ddd d mmm")&amp;", "&amp;TEXT(AB261,"hh:mm"),"weekday evenings")&amp;", "&amp;IF(AD261&lt;&gt;"","£"&amp;IF(AD261=INT(AD261),TEXT(AD261,"0"),TEXT(AD261,"0.00")),"[PRICE PER PLAYER]")&amp;" a player. We handle booking, sign-ups and payments. Fancy "&amp;IF(ISNUMBER(SEARCH(LEFT(F261,1),"AEIOU")),"an ","a ")&amp;F261&amp;" team game? "&amp;IF(AL261&lt;&gt;"",AL261,IF(Offer!$C$5&lt;&gt;"",Offer!$C$5,"[NAME]")),LEFT("Hi"&amp;IF(O261&lt;&gt;""," "&amp;O261,"")&amp;","&amp;" FC Urban runs after-work football for "&amp;IF(D261="Canary Wharf","Canary Wharf","City")&amp;" teams: "&amp;AC261&amp;" at "&amp;X261&amp;", "&amp;Y261&amp;" min from your office, "&amp;IF(ISNUMBER(AB261),TEXT(AB261,"ddd d mmm")&amp;", "&amp;TEXT(AB261,"hh:mm"),"weekday evenings")&amp;", "&amp;IF(AD261&lt;&gt;"","£"&amp;IF(AD261=INT(AD261),TEXT(AD261,"0"),TEXT(AD261,"0.00")),"[PRICE PER PLAYER]")&amp;" pp. We handle booking and payments. Up for a team game? "&amp;IF(AL261&lt;&gt;"",AL261,IF(Offer!$C$5&lt;&gt;"",Offer!$C$5,"[NAME]")),300))</f>
        <v/>
      </c>
      <c r="AI261" s="14">
        <f>LEN(AH261)</f>
        <v/>
      </c>
      <c r="AJ261" s="14">
        <f>"Thanks for connecting"&amp;IF(O261&lt;&gt;"",", "&amp;O261,"")&amp;". "&amp;IF(ISNUMBER(AB261),"The "&amp;AC261&amp;" slot at "&amp;X261&amp;" is "&amp;IF(ISNUMBER(AB261),TEXT(AB261,"ddd d mmm")&amp;", "&amp;TEXT(AB261,"hh:mm"),"weekday evenings"),"We can book "&amp;AC261&amp;" at "&amp;X261&amp;" on a weekday evening that suits you")&amp;" and it's "&amp;IF(AD261&lt;&gt;"","£"&amp;IF(AD261=INT(AD261),TEXT(AD261,"0"),TEXT(AD261,"0.00")),"[PRICE PER PLAYER]")&amp;" a player, all booked and paid through one link. If football isn't your thing, who at "&amp;F261&amp;" would be the right person to organise a team game?"&amp;IF(Offer!$C$7&lt;&gt;""," Spots are held until "&amp;TEXT(Offer!$C$7,"dddd d mmmm")&amp;".","")&amp;" "&amp;IF(Offer!$C$6&lt;&gt;"",Offer!$C$6,"[JOINING LINK]")</f>
        <v/>
      </c>
      <c r="AK261" s="14">
        <f>IF(OR(ISNUMBER(SEARCH("[",AG261)),ISNUMBER(SEARCH("[",AJ261))),"Fill placeholders",IF(ISNUMBER(AB261),"Ready to send","Ready · no fixed slot"))</f>
        <v/>
      </c>
      <c r="AN261" s="17" t="n"/>
    </row>
    <row r="262">
      <c r="A262" s="11" t="n">
        <v>260</v>
      </c>
      <c r="B262" s="11" t="n">
        <v>3</v>
      </c>
      <c r="C262" s="11" t="inlineStr">
        <is>
          <t>Insurance / broker</t>
        </is>
      </c>
      <c r="D262" s="11" t="inlineStr">
        <is>
          <t>City of London</t>
        </is>
      </c>
      <c r="E262" s="11" t="inlineStr">
        <is>
          <t>First Title Insurance PLC</t>
        </is>
      </c>
      <c r="F262" s="11" t="inlineStr">
        <is>
          <t>First Title Insurance</t>
        </is>
      </c>
      <c r="G262" s="11" t="inlineStr">
        <is>
          <t>01112603</t>
        </is>
      </c>
      <c r="H262" s="12" t="inlineStr">
        <is>
          <t>Open</t>
        </is>
      </c>
      <c r="I262" s="12" t="inlineStr">
        <is>
          <t>Search</t>
        </is>
      </c>
      <c r="J262" s="11" t="inlineStr">
        <is>
          <t>Full</t>
        </is>
      </c>
      <c r="K262" s="13" t="n">
        <v>26792</v>
      </c>
      <c r="L262" s="11" t="inlineStr">
        <is>
          <t>42 Trinity Square, London</t>
        </is>
      </c>
      <c r="M262" s="11" t="inlineStr">
        <is>
          <t>EC3N 4DJ</t>
        </is>
      </c>
      <c r="N262" s="11" t="inlineStr">
        <is>
          <t>Yes</t>
        </is>
      </c>
      <c r="U262" s="11" t="inlineStr">
        <is>
          <t>Liverpool St - Attlee Centre</t>
        </is>
      </c>
      <c r="V262" s="11" t="n">
        <v>14</v>
      </c>
      <c r="W262" s="11" t="n"/>
      <c r="X262" s="11" t="inlineStr">
        <is>
          <t>Liverpool St - Attlee Centre</t>
        </is>
      </c>
      <c r="Y262" s="11" t="n">
        <v>14</v>
      </c>
      <c r="Z262" s="14">
        <f>IFERROR(INDEX(Venues!$E$2:$E$15,MATCH(X262,Venues!$A$2:$A$15,0)),"Not checked")</f>
        <v/>
      </c>
      <c r="AA262" s="14">
        <f>IFERROR(INDEX(Venues!$F$2:$F$15,MATCH(X262,Venues!$A$2:$A$15,0)),0)</f>
        <v/>
      </c>
      <c r="AB262" s="15">
        <f>IFERROR(INDEX(Venues!$M$2:$M$15,MATCH(X262,Venues!$A$2:$A$15,0)),"")</f>
        <v/>
      </c>
      <c r="AC262" s="14">
        <f>IFERROR(INDEX(Venues!$N$2:$N$15,MATCH(X262,Venues!$A$2:$A$15,0)),"5-a-side")</f>
        <v/>
      </c>
      <c r="AD262" s="16">
        <f>IF(Offer!$C$4="","",Offer!$C$4)</f>
        <v/>
      </c>
      <c r="AE262" s="14">
        <f>X262&amp;" ("&amp;Y262&amp;" min walk) · "&amp;IF(ISNUMBER(AB262),TEXT(AB262,"ddd d mmm, hh:mm"),"slot to confirm with venue")&amp;" · "&amp;AC262&amp;" · "&amp;IF(AD262&lt;&gt;"","£"&amp;TEXT(AD262,"0.00")&amp;" pp","price TBC")</f>
        <v/>
      </c>
      <c r="AF262" s="14">
        <f>"After-work football for "&amp;F262&amp;" · "&amp;X262&amp;", "&amp;Y262&amp;" min from your office"</f>
        <v/>
      </c>
      <c r="AG262" s="14">
        <f>"Hi"&amp;IF(O262&lt;&gt;""," "&amp;O262,"")&amp;","&amp;CHAR(10)&amp;CHAR(10)&amp;"I'm "&amp;IF(AL262&lt;&gt;"",AL262,IF(Offer!$C$5&lt;&gt;"",Offer!$C$5,"[NAME]"))&amp;" from FC Urban. We organise after-work football for teams in the City and Canary Wharf."&amp;CHAR(10)&amp;CHAR(10)&amp;"We have a "&amp;AC262&amp;" pitch at "&amp;X262&amp;", "&amp;IF(OR(Y262=8,Y262=11,Y262=18),"an ","a ")&amp;Y262&amp;"-minute walk from your "&amp;M262&amp;" office, "&amp;IF(ISNUMBER(AB262),"on "&amp;TEXT(AB262,"dddd d mmmm")&amp;" at "&amp;TEXT(AB262,"hh:mm"),"on a weekday evening that suits your team")&amp;". It's "&amp;IF(AD262&lt;&gt;"","£"&amp;IF(AD262=INT(AD262),TEXT(AD262,"0"),TEXT(AD262,"0.00")),"[PRICE PER PLAYER]")&amp;" a player and we handle the pitch booking, sign-ups and payments, so all it takes is one person sharing a link with the team."&amp;CHAR(10)&amp;CHAR(10)&amp;"It works well as a team social or "&amp;IF(ISNUMBER(SEARCH(LEFT(F262,1),"AEIOU")),"an ","a ")&amp;F262&amp;"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LINK]")&amp;CHAR(10)&amp;CHAR(10)&amp;"Best,"&amp;CHAR(10)&amp;IF(AL262&lt;&gt;"",AL262,IF(Offer!$C$5&lt;&gt;"",Offer!$C$5,"[NAME]"))&amp;CHAR(10)&amp;"FC Urban"</f>
        <v/>
      </c>
      <c r="AH262" s="14">
        <f>IF(LEN("Hi"&amp;IF(O262&lt;&gt;""," "&amp;O262,"")&amp;","&amp;" FC Urban runs after-work football for "&amp;IF(D262="Canary Wharf","Canary Wharf","City")&amp;" teams. We have a "&amp;AC262&amp;" pitch at "&amp;X262&amp;", "&amp;Y262&amp;" min from your office, "&amp;IF(ISNUMBER(AB262),TEXT(AB262,"ddd d mmm")&amp;", "&amp;TEXT(AB262,"hh:mm"),"weekday evenings")&amp;", "&amp;IF(AD262&lt;&gt;"","£"&amp;IF(AD262=INT(AD262),TEXT(AD262,"0"),TEXT(AD262,"0.00")),"[PRICE PER PLAYER]")&amp;" a player. We handle booking, sign-ups and payments. Fancy "&amp;IF(ISNUMBER(SEARCH(LEFT(F262,1),"AEIOU")),"an ","a ")&amp;F262&amp;" team game? "&amp;IF(AL262&lt;&gt;"",AL262,IF(Offer!$C$5&lt;&gt;"",Offer!$C$5,"[NAME]")))&lt;=300,"Hi"&amp;IF(O262&lt;&gt;""," "&amp;O262,"")&amp;","&amp;" FC Urban runs after-work football for "&amp;IF(D262="Canary Wharf","Canary Wharf","City")&amp;" teams. We have a "&amp;AC262&amp;" pitch at "&amp;X262&amp;", "&amp;Y262&amp;" min from your office, "&amp;IF(ISNUMBER(AB262),TEXT(AB262,"ddd d mmm")&amp;", "&amp;TEXT(AB262,"hh:mm"),"weekday evenings")&amp;", "&amp;IF(AD262&lt;&gt;"","£"&amp;IF(AD262=INT(AD262),TEXT(AD262,"0"),TEXT(AD262,"0.00")),"[PRICE PER PLAYER]")&amp;" a player. We handle booking, sign-ups and payments. Fancy "&amp;IF(ISNUMBER(SEARCH(LEFT(F262,1),"AEIOU")),"an ","a ")&amp;F262&amp;" team game? "&amp;IF(AL262&lt;&gt;"",AL262,IF(Offer!$C$5&lt;&gt;"",Offer!$C$5,"[NAME]")),LEFT("Hi"&amp;IF(O262&lt;&gt;""," "&amp;O262,"")&amp;","&amp;" FC Urban runs after-work football for "&amp;IF(D262="Canary Wharf","Canary Wharf","City")&amp;" teams: "&amp;AC262&amp;" at "&amp;X262&amp;", "&amp;Y262&amp;" min from your office, "&amp;IF(ISNUMBER(AB262),TEXT(AB262,"ddd d mmm")&amp;", "&amp;TEXT(AB262,"hh:mm"),"weekday evenings")&amp;", "&amp;IF(AD262&lt;&gt;"","£"&amp;IF(AD262=INT(AD262),TEXT(AD262,"0"),TEXT(AD262,"0.00")),"[PRICE PER PLAYER]")&amp;" pp. We handle booking and payments. Up for a team game? "&amp;IF(AL262&lt;&gt;"",AL262,IF(Offer!$C$5&lt;&gt;"",Offer!$C$5,"[NAME]")),300))</f>
        <v/>
      </c>
      <c r="AI262" s="14">
        <f>LEN(AH262)</f>
        <v/>
      </c>
      <c r="AJ262" s="14">
        <f>"Thanks for connecting"&amp;IF(O262&lt;&gt;"",", "&amp;O262,"")&amp;". "&amp;IF(ISNUMBER(AB262),"The "&amp;AC262&amp;" slot at "&amp;X262&amp;" is "&amp;IF(ISNUMBER(AB262),TEXT(AB262,"ddd d mmm")&amp;", "&amp;TEXT(AB262,"hh:mm"),"weekday evenings"),"We can book "&amp;AC262&amp;" at "&amp;X262&amp;" on a weekday evening that suits you")&amp;" and it's "&amp;IF(AD262&lt;&gt;"","£"&amp;IF(AD262=INT(AD262),TEXT(AD262,"0"),TEXT(AD262,"0.00")),"[PRICE PER PLAYER]")&amp;" a player, all booked and paid through one link. If football isn't your thing, who at "&amp;F262&amp;" would be the right person to organise a team game?"&amp;IF(Offer!$C$7&lt;&gt;""," Spots are held until "&amp;TEXT(Offer!$C$7,"dddd d mmmm")&amp;".","")&amp;" "&amp;IF(Offer!$C$6&lt;&gt;"",Offer!$C$6,"[JOINING LINK]")</f>
        <v/>
      </c>
      <c r="AK262" s="14">
        <f>IF(OR(ISNUMBER(SEARCH("[",AG262)),ISNUMBER(SEARCH("[",AJ262))),"Fill placeholders",IF(ISNUMBER(AB262),"Ready to send","Ready · no fixed slot"))</f>
        <v/>
      </c>
      <c r="AN262" s="17" t="n"/>
    </row>
    <row r="263">
      <c r="A263" s="11" t="n">
        <v>261</v>
      </c>
      <c r="B263" s="11" t="n">
        <v>3</v>
      </c>
      <c r="C263" s="11" t="inlineStr">
        <is>
          <t>Insurance / broker</t>
        </is>
      </c>
      <c r="D263" s="11" t="inlineStr">
        <is>
          <t>City of London</t>
        </is>
      </c>
      <c r="E263" s="11" t="inlineStr">
        <is>
          <t>Guaranteed Conveyancing Solutions Limited</t>
        </is>
      </c>
      <c r="F263" s="11" t="inlineStr">
        <is>
          <t>Guaranteed Conveyancing Solutions</t>
        </is>
      </c>
      <c r="G263" s="11" t="inlineStr">
        <is>
          <t>03623950</t>
        </is>
      </c>
      <c r="H263" s="12" t="inlineStr">
        <is>
          <t>Open</t>
        </is>
      </c>
      <c r="I263" s="12" t="inlineStr">
        <is>
          <t>Search</t>
        </is>
      </c>
      <c r="J263" s="11" t="inlineStr">
        <is>
          <t>Full</t>
        </is>
      </c>
      <c r="K263" s="13" t="n">
        <v>36035</v>
      </c>
      <c r="L263" s="11" t="inlineStr">
        <is>
          <t>42 Trinity Square, London</t>
        </is>
      </c>
      <c r="M263" s="11" t="inlineStr">
        <is>
          <t>EC3N 4DJ</t>
        </is>
      </c>
      <c r="N263" s="11" t="inlineStr">
        <is>
          <t>Yes</t>
        </is>
      </c>
      <c r="U263" s="11" t="inlineStr">
        <is>
          <t>Liverpool St - Attlee Centre</t>
        </is>
      </c>
      <c r="V263" s="11" t="n">
        <v>14</v>
      </c>
      <c r="W263" s="11" t="n"/>
      <c r="X263" s="11" t="inlineStr">
        <is>
          <t>Liverpool St - Attlee Centre</t>
        </is>
      </c>
      <c r="Y263" s="11" t="n">
        <v>14</v>
      </c>
      <c r="Z263" s="14">
        <f>IFERROR(INDEX(Venues!$E$2:$E$15,MATCH(X263,Venues!$A$2:$A$15,0)),"Not checked")</f>
        <v/>
      </c>
      <c r="AA263" s="14">
        <f>IFERROR(INDEX(Venues!$F$2:$F$15,MATCH(X263,Venues!$A$2:$A$15,0)),0)</f>
        <v/>
      </c>
      <c r="AB263" s="15">
        <f>IFERROR(INDEX(Venues!$M$2:$M$15,MATCH(X263,Venues!$A$2:$A$15,0)),"")</f>
        <v/>
      </c>
      <c r="AC263" s="14">
        <f>IFERROR(INDEX(Venues!$N$2:$N$15,MATCH(X263,Venues!$A$2:$A$15,0)),"5-a-side")</f>
        <v/>
      </c>
      <c r="AD263" s="16">
        <f>IF(Offer!$C$4="","",Offer!$C$4)</f>
        <v/>
      </c>
      <c r="AE263" s="14">
        <f>X263&amp;" ("&amp;Y263&amp;" min walk) · "&amp;IF(ISNUMBER(AB263),TEXT(AB263,"ddd d mmm, hh:mm"),"slot to confirm with venue")&amp;" · "&amp;AC263&amp;" · "&amp;IF(AD263&lt;&gt;"","£"&amp;TEXT(AD263,"0.00")&amp;" pp","price TBC")</f>
        <v/>
      </c>
      <c r="AF263" s="14">
        <f>"After-work football for "&amp;F263&amp;" · "&amp;X263&amp;", "&amp;Y263&amp;" min from your office"</f>
        <v/>
      </c>
      <c r="AG263" s="14">
        <f>"Hi"&amp;IF(O263&lt;&gt;""," "&amp;O263,"")&amp;","&amp;CHAR(10)&amp;CHAR(10)&amp;"I'm "&amp;IF(AL263&lt;&gt;"",AL263,IF(Offer!$C$5&lt;&gt;"",Offer!$C$5,"[NAME]"))&amp;" from FC Urban. We organise after-work football for teams in the City and Canary Wharf."&amp;CHAR(10)&amp;CHAR(10)&amp;"We have a "&amp;AC263&amp;" pitch at "&amp;X263&amp;", "&amp;IF(OR(Y263=8,Y263=11,Y263=18),"an ","a ")&amp;Y263&amp;"-minute walk from your "&amp;M263&amp;" office, "&amp;IF(ISNUMBER(AB263),"on "&amp;TEXT(AB263,"dddd d mmmm")&amp;" at "&amp;TEXT(AB263,"hh:mm"),"on a weekday evening that suits your team")&amp;". It's "&amp;IF(AD263&lt;&gt;"","£"&amp;IF(AD263=INT(AD263),TEXT(AD263,"0"),TEXT(AD263,"0.00")),"[PRICE PER PLAYER]")&amp;" a player and we handle the pitch booking, sign-ups and payments, so all it takes is one person sharing a link with the team."&amp;CHAR(10)&amp;CHAR(10)&amp;"It works well as a team social or "&amp;IF(ISNUMBER(SEARCH(LEFT(F263,1),"AEIOU")),"an ","a ")&amp;F263&amp;"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LINK]")&amp;CHAR(10)&amp;CHAR(10)&amp;"Best,"&amp;CHAR(10)&amp;IF(AL263&lt;&gt;"",AL263,IF(Offer!$C$5&lt;&gt;"",Offer!$C$5,"[NAME]"))&amp;CHAR(10)&amp;"FC Urban"</f>
        <v/>
      </c>
      <c r="AH263" s="14">
        <f>IF(LEN("Hi"&amp;IF(O263&lt;&gt;""," "&amp;O263,"")&amp;","&amp;" FC Urban runs after-work football for "&amp;IF(D263="Canary Wharf","Canary Wharf","City")&amp;" teams. We have a "&amp;AC263&amp;" pitch at "&amp;X263&amp;", "&amp;Y263&amp;" min from your office, "&amp;IF(ISNUMBER(AB263),TEXT(AB263,"ddd d mmm")&amp;", "&amp;TEXT(AB263,"hh:mm"),"weekday evenings")&amp;", "&amp;IF(AD263&lt;&gt;"","£"&amp;IF(AD263=INT(AD263),TEXT(AD263,"0"),TEXT(AD263,"0.00")),"[PRICE PER PLAYER]")&amp;" a player. We handle booking, sign-ups and payments. Fancy "&amp;IF(ISNUMBER(SEARCH(LEFT(F263,1),"AEIOU")),"an ","a ")&amp;F263&amp;" team game? "&amp;IF(AL263&lt;&gt;"",AL263,IF(Offer!$C$5&lt;&gt;"",Offer!$C$5,"[NAME]")))&lt;=300,"Hi"&amp;IF(O263&lt;&gt;""," "&amp;O263,"")&amp;","&amp;" FC Urban runs after-work football for "&amp;IF(D263="Canary Wharf","Canary Wharf","City")&amp;" teams. We have a "&amp;AC263&amp;" pitch at "&amp;X263&amp;", "&amp;Y263&amp;" min from your office, "&amp;IF(ISNUMBER(AB263),TEXT(AB263,"ddd d mmm")&amp;", "&amp;TEXT(AB263,"hh:mm"),"weekday evenings")&amp;", "&amp;IF(AD263&lt;&gt;"","£"&amp;IF(AD263=INT(AD263),TEXT(AD263,"0"),TEXT(AD263,"0.00")),"[PRICE PER PLAYER]")&amp;" a player. We handle booking, sign-ups and payments. Fancy "&amp;IF(ISNUMBER(SEARCH(LEFT(F263,1),"AEIOU")),"an ","a ")&amp;F263&amp;" team game? "&amp;IF(AL263&lt;&gt;"",AL263,IF(Offer!$C$5&lt;&gt;"",Offer!$C$5,"[NAME]")),LEFT("Hi"&amp;IF(O263&lt;&gt;""," "&amp;O263,"")&amp;","&amp;" FC Urban runs after-work football for "&amp;IF(D263="Canary Wharf","Canary Wharf","City")&amp;" teams: "&amp;AC263&amp;" at "&amp;X263&amp;", "&amp;Y263&amp;" min from your office, "&amp;IF(ISNUMBER(AB263),TEXT(AB263,"ddd d mmm")&amp;", "&amp;TEXT(AB263,"hh:mm"),"weekday evenings")&amp;", "&amp;IF(AD263&lt;&gt;"","£"&amp;IF(AD263=INT(AD263),TEXT(AD263,"0"),TEXT(AD263,"0.00")),"[PRICE PER PLAYER]")&amp;" pp. We handle booking and payments. Up for a team game? "&amp;IF(AL263&lt;&gt;"",AL263,IF(Offer!$C$5&lt;&gt;"",Offer!$C$5,"[NAME]")),300))</f>
        <v/>
      </c>
      <c r="AI263" s="14">
        <f>LEN(AH263)</f>
        <v/>
      </c>
      <c r="AJ263" s="14">
        <f>"Thanks for connecting"&amp;IF(O263&lt;&gt;"",", "&amp;O263,"")&amp;". "&amp;IF(ISNUMBER(AB263),"The "&amp;AC263&amp;" slot at "&amp;X263&amp;" is "&amp;IF(ISNUMBER(AB263),TEXT(AB263,"ddd d mmm")&amp;", "&amp;TEXT(AB263,"hh:mm"),"weekday evenings"),"We can book "&amp;AC263&amp;" at "&amp;X263&amp;" on a weekday evening that suits you")&amp;" and it's "&amp;IF(AD263&lt;&gt;"","£"&amp;IF(AD263=INT(AD263),TEXT(AD263,"0"),TEXT(AD263,"0.00")),"[PRICE PER PLAYER]")&amp;" a player, all booked and paid through one link. If football isn't your thing, who at "&amp;F263&amp;" would be the right person to organise a team game?"&amp;IF(Offer!$C$7&lt;&gt;""," Spots are held until "&amp;TEXT(Offer!$C$7,"dddd d mmmm")&amp;".","")&amp;" "&amp;IF(Offer!$C$6&lt;&gt;"",Offer!$C$6,"[JOINING LINK]")</f>
        <v/>
      </c>
      <c r="AK263" s="14">
        <f>IF(OR(ISNUMBER(SEARCH("[",AG263)),ISNUMBER(SEARCH("[",AJ263))),"Fill placeholders",IF(ISNUMBER(AB263),"Ready to send","Ready · no fixed slot"))</f>
        <v/>
      </c>
      <c r="AN263" s="17" t="n"/>
    </row>
    <row r="264">
      <c r="A264" s="11" t="n">
        <v>262</v>
      </c>
      <c r="B264" s="11" t="n">
        <v>3</v>
      </c>
      <c r="C264" s="11" t="inlineStr">
        <is>
          <t>Insurance / broker</t>
        </is>
      </c>
      <c r="D264" s="11" t="inlineStr">
        <is>
          <t>City of London</t>
        </is>
      </c>
      <c r="E264" s="11" t="inlineStr">
        <is>
          <t>Managing Agency Partners Limited</t>
        </is>
      </c>
      <c r="F264" s="11" t="inlineStr">
        <is>
          <t>Managing Agency Partners</t>
        </is>
      </c>
      <c r="G264" s="11" t="inlineStr">
        <is>
          <t>03985640</t>
        </is>
      </c>
      <c r="H264" s="12" t="inlineStr">
        <is>
          <t>Open</t>
        </is>
      </c>
      <c r="I264" s="12" t="inlineStr">
        <is>
          <t>Search</t>
        </is>
      </c>
      <c r="J264" s="11" t="inlineStr">
        <is>
          <t>Full</t>
        </is>
      </c>
      <c r="K264" s="13" t="n">
        <v>36650</v>
      </c>
      <c r="L264" s="11" t="inlineStr">
        <is>
          <t>Salesforce Tower, 110 Bishopsgate, London</t>
        </is>
      </c>
      <c r="M264" s="11" t="inlineStr">
        <is>
          <t>EC2N 4AY</t>
        </is>
      </c>
      <c r="N264" s="11" t="inlineStr">
        <is>
          <t>No</t>
        </is>
      </c>
      <c r="U264" s="11" t="inlineStr">
        <is>
          <t>Liverpool St - Attlee Centre</t>
        </is>
      </c>
      <c r="V264" s="11" t="n">
        <v>10</v>
      </c>
      <c r="W264" s="11" t="inlineStr">
        <is>
          <t>Shoreditch Powerleague (13.9)</t>
        </is>
      </c>
      <c r="X264" s="11" t="inlineStr">
        <is>
          <t>Shoreditch Powerleague</t>
        </is>
      </c>
      <c r="Y264" s="11" t="n">
        <v>14</v>
      </c>
      <c r="Z264" s="14">
        <f>IFERROR(INDEX(Venues!$E$2:$E$15,MATCH(X264,Venues!$A$2:$A$15,0)),"Not checked")</f>
        <v/>
      </c>
      <c r="AA264" s="14">
        <f>IFERROR(INDEX(Venues!$F$2:$F$15,MATCH(X264,Venues!$A$2:$A$15,0)),0)</f>
        <v/>
      </c>
      <c r="AB264" s="15">
        <f>IFERROR(INDEX(Venues!$M$2:$M$15,MATCH(X264,Venues!$A$2:$A$15,0)),"")</f>
        <v/>
      </c>
      <c r="AC264" s="14">
        <f>IFERROR(INDEX(Venues!$N$2:$N$15,MATCH(X264,Venues!$A$2:$A$15,0)),"5-a-side")</f>
        <v/>
      </c>
      <c r="AD264" s="16">
        <f>IF(Offer!$C$4="","",Offer!$C$4)</f>
        <v/>
      </c>
      <c r="AE264" s="14">
        <f>X264&amp;" ("&amp;Y264&amp;" min walk) · "&amp;IF(ISNUMBER(AB264),TEXT(AB264,"ddd d mmm, hh:mm"),"slot to confirm with venue")&amp;" · "&amp;AC264&amp;" · "&amp;IF(AD264&lt;&gt;"","£"&amp;TEXT(AD264,"0.00")&amp;" pp","price TBC")</f>
        <v/>
      </c>
      <c r="AF264" s="14">
        <f>"After-work football for "&amp;F264&amp;" · "&amp;X264&amp;", "&amp;Y264&amp;" min from your office"</f>
        <v/>
      </c>
      <c r="AG264" s="14">
        <f>"Hi"&amp;IF(O264&lt;&gt;""," "&amp;O264,"")&amp;","&amp;CHAR(10)&amp;CHAR(10)&amp;"I'm "&amp;IF(AL264&lt;&gt;"",AL264,IF(Offer!$C$5&lt;&gt;"",Offer!$C$5,"[NAME]"))&amp;" from FC Urban. We organise after-work football for teams in the City and Canary Wharf."&amp;CHAR(10)&amp;CHAR(10)&amp;"We have a "&amp;AC264&amp;" pitch at "&amp;X264&amp;", "&amp;IF(OR(Y264=8,Y264=11,Y264=18),"an ","a ")&amp;Y264&amp;"-minute walk from your "&amp;M264&amp;" office, "&amp;IF(ISNUMBER(AB264),"on "&amp;TEXT(AB264,"dddd d mmmm")&amp;" at "&amp;TEXT(AB264,"hh:mm"),"on a weekday evening that suits your team")&amp;". It's "&amp;IF(AD264&lt;&gt;"","£"&amp;IF(AD264=INT(AD264),TEXT(AD264,"0"),TEXT(AD264,"0.00")),"[PRICE PER PLAYER]")&amp;" a player and we handle the pitch booking, sign-ups and payments, so all it takes is one person sharing a link with the team."&amp;CHAR(10)&amp;CHAR(10)&amp;"It works well as a team social or "&amp;IF(ISNUMBER(SEARCH(LEFT(F264,1),"AEIOU")),"an ","a ")&amp;F264&amp;"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LINK]")&amp;CHAR(10)&amp;CHAR(10)&amp;"Best,"&amp;CHAR(10)&amp;IF(AL264&lt;&gt;"",AL264,IF(Offer!$C$5&lt;&gt;"",Offer!$C$5,"[NAME]"))&amp;CHAR(10)&amp;"FC Urban"</f>
        <v/>
      </c>
      <c r="AH264" s="14">
        <f>IF(LEN("Hi"&amp;IF(O264&lt;&gt;""," "&amp;O264,"")&amp;","&amp;" FC Urban runs after-work football for "&amp;IF(D264="Canary Wharf","Canary Wharf","City")&amp;" teams. We have a "&amp;AC264&amp;" pitch at "&amp;X264&amp;", "&amp;Y264&amp;" min from your office, "&amp;IF(ISNUMBER(AB264),TEXT(AB264,"ddd d mmm")&amp;", "&amp;TEXT(AB264,"hh:mm"),"weekday evenings")&amp;", "&amp;IF(AD264&lt;&gt;"","£"&amp;IF(AD264=INT(AD264),TEXT(AD264,"0"),TEXT(AD264,"0.00")),"[PRICE PER PLAYER]")&amp;" a player. We handle booking, sign-ups and payments. Fancy "&amp;IF(ISNUMBER(SEARCH(LEFT(F264,1),"AEIOU")),"an ","a ")&amp;F264&amp;" team game? "&amp;IF(AL264&lt;&gt;"",AL264,IF(Offer!$C$5&lt;&gt;"",Offer!$C$5,"[NAME]")))&lt;=300,"Hi"&amp;IF(O264&lt;&gt;""," "&amp;O264,"")&amp;","&amp;" FC Urban runs after-work football for "&amp;IF(D264="Canary Wharf","Canary Wharf","City")&amp;" teams. We have a "&amp;AC264&amp;" pitch at "&amp;X264&amp;", "&amp;Y264&amp;" min from your office, "&amp;IF(ISNUMBER(AB264),TEXT(AB264,"ddd d mmm")&amp;", "&amp;TEXT(AB264,"hh:mm"),"weekday evenings")&amp;", "&amp;IF(AD264&lt;&gt;"","£"&amp;IF(AD264=INT(AD264),TEXT(AD264,"0"),TEXT(AD264,"0.00")),"[PRICE PER PLAYER]")&amp;" a player. We handle booking, sign-ups and payments. Fancy "&amp;IF(ISNUMBER(SEARCH(LEFT(F264,1),"AEIOU")),"an ","a ")&amp;F264&amp;" team game? "&amp;IF(AL264&lt;&gt;"",AL264,IF(Offer!$C$5&lt;&gt;"",Offer!$C$5,"[NAME]")),LEFT("Hi"&amp;IF(O264&lt;&gt;""," "&amp;O264,"")&amp;","&amp;" FC Urban runs after-work football for "&amp;IF(D264="Canary Wharf","Canary Wharf","City")&amp;" teams: "&amp;AC264&amp;" at "&amp;X264&amp;", "&amp;Y264&amp;" min from your office, "&amp;IF(ISNUMBER(AB264),TEXT(AB264,"ddd d mmm")&amp;", "&amp;TEXT(AB264,"hh:mm"),"weekday evenings")&amp;", "&amp;IF(AD264&lt;&gt;"","£"&amp;IF(AD264=INT(AD264),TEXT(AD264,"0"),TEXT(AD264,"0.00")),"[PRICE PER PLAYER]")&amp;" pp. We handle booking and payments. Up for a team game? "&amp;IF(AL264&lt;&gt;"",AL264,IF(Offer!$C$5&lt;&gt;"",Offer!$C$5,"[NAME]")),300))</f>
        <v/>
      </c>
      <c r="AI264" s="14">
        <f>LEN(AH264)</f>
        <v/>
      </c>
      <c r="AJ264" s="14">
        <f>"Thanks for connecting"&amp;IF(O264&lt;&gt;"",", "&amp;O264,"")&amp;". "&amp;IF(ISNUMBER(AB264),"The "&amp;AC264&amp;" slot at "&amp;X264&amp;" is "&amp;IF(ISNUMBER(AB264),TEXT(AB264,"ddd d mmm")&amp;", "&amp;TEXT(AB264,"hh:mm"),"weekday evenings"),"We can book "&amp;AC264&amp;" at "&amp;X264&amp;" on a weekday evening that suits you")&amp;" and it's "&amp;IF(AD264&lt;&gt;"","£"&amp;IF(AD264=INT(AD264),TEXT(AD264,"0"),TEXT(AD264,"0.00")),"[PRICE PER PLAYER]")&amp;" a player, all booked and paid through one link. If football isn't your thing, who at "&amp;F264&amp;" would be the right person to organise a team game?"&amp;IF(Offer!$C$7&lt;&gt;""," Spots are held until "&amp;TEXT(Offer!$C$7,"dddd d mmmm")&amp;".","")&amp;" "&amp;IF(Offer!$C$6&lt;&gt;"",Offer!$C$6,"[JOINING LINK]")</f>
        <v/>
      </c>
      <c r="AK264" s="14">
        <f>IF(OR(ISNUMBER(SEARCH("[",AG264)),ISNUMBER(SEARCH("[",AJ264))),"Fill placeholders",IF(ISNUMBER(AB264),"Ready to send","Ready · no fixed slot"))</f>
        <v/>
      </c>
      <c r="AN264" s="17" t="n"/>
    </row>
    <row r="265">
      <c r="A265" s="11" t="n">
        <v>263</v>
      </c>
      <c r="B265" s="11" t="n">
        <v>3</v>
      </c>
      <c r="C265" s="11" t="inlineStr">
        <is>
          <t>Insurance / broker</t>
        </is>
      </c>
      <c r="D265" s="11" t="inlineStr">
        <is>
          <t>City of London</t>
        </is>
      </c>
      <c r="E265" s="11" t="inlineStr">
        <is>
          <t>Qmetric Group Limited</t>
        </is>
      </c>
      <c r="F265" s="11" t="inlineStr">
        <is>
          <t>Qmetric</t>
        </is>
      </c>
      <c r="G265" s="11" t="inlineStr">
        <is>
          <t>07151701</t>
        </is>
      </c>
      <c r="H265" s="12" t="inlineStr">
        <is>
          <t>Open</t>
        </is>
      </c>
      <c r="I265" s="12" t="inlineStr">
        <is>
          <t>Search</t>
        </is>
      </c>
      <c r="J265" s="11" t="inlineStr">
        <is>
          <t>Full</t>
        </is>
      </c>
      <c r="K265" s="13" t="n">
        <v>40218</v>
      </c>
      <c r="L265" s="11" t="inlineStr">
        <is>
          <t>110 Bishopsgate, London</t>
        </is>
      </c>
      <c r="M265" s="11" t="inlineStr">
        <is>
          <t>EC2N 4AY</t>
        </is>
      </c>
      <c r="N265" s="11" t="inlineStr">
        <is>
          <t>No</t>
        </is>
      </c>
      <c r="U265" s="11" t="inlineStr">
        <is>
          <t>Liverpool St - Attlee Centre</t>
        </is>
      </c>
      <c r="V265" s="11" t="n">
        <v>10</v>
      </c>
      <c r="W265" s="11" t="inlineStr">
        <is>
          <t>Shoreditch Powerleague (13.9)</t>
        </is>
      </c>
      <c r="X265" s="11" t="inlineStr">
        <is>
          <t>Shoreditch Powerleague</t>
        </is>
      </c>
      <c r="Y265" s="11" t="n">
        <v>14</v>
      </c>
      <c r="Z265" s="14">
        <f>IFERROR(INDEX(Venues!$E$2:$E$15,MATCH(X265,Venues!$A$2:$A$15,0)),"Not checked")</f>
        <v/>
      </c>
      <c r="AA265" s="14">
        <f>IFERROR(INDEX(Venues!$F$2:$F$15,MATCH(X265,Venues!$A$2:$A$15,0)),0)</f>
        <v/>
      </c>
      <c r="AB265" s="15">
        <f>IFERROR(INDEX(Venues!$M$2:$M$15,MATCH(X265,Venues!$A$2:$A$15,0)),"")</f>
        <v/>
      </c>
      <c r="AC265" s="14">
        <f>IFERROR(INDEX(Venues!$N$2:$N$15,MATCH(X265,Venues!$A$2:$A$15,0)),"5-a-side")</f>
        <v/>
      </c>
      <c r="AD265" s="16">
        <f>IF(Offer!$C$4="","",Offer!$C$4)</f>
        <v/>
      </c>
      <c r="AE265" s="14">
        <f>X265&amp;" ("&amp;Y265&amp;" min walk) · "&amp;IF(ISNUMBER(AB265),TEXT(AB265,"ddd d mmm, hh:mm"),"slot to confirm with venue")&amp;" · "&amp;AC265&amp;" · "&amp;IF(AD265&lt;&gt;"","£"&amp;TEXT(AD265,"0.00")&amp;" pp","price TBC")</f>
        <v/>
      </c>
      <c r="AF265" s="14">
        <f>"After-work football for "&amp;F265&amp;" · "&amp;X265&amp;", "&amp;Y265&amp;" min from your office"</f>
        <v/>
      </c>
      <c r="AG265" s="14">
        <f>"Hi"&amp;IF(O265&lt;&gt;""," "&amp;O265,"")&amp;","&amp;CHAR(10)&amp;CHAR(10)&amp;"I'm "&amp;IF(AL265&lt;&gt;"",AL265,IF(Offer!$C$5&lt;&gt;"",Offer!$C$5,"[NAME]"))&amp;" from FC Urban. We organise after-work football for teams in the City and Canary Wharf."&amp;CHAR(10)&amp;CHAR(10)&amp;"We have a "&amp;AC265&amp;" pitch at "&amp;X265&amp;", "&amp;IF(OR(Y265=8,Y265=11,Y265=18),"an ","a ")&amp;Y265&amp;"-minute walk from your "&amp;M265&amp;" office, "&amp;IF(ISNUMBER(AB265),"on "&amp;TEXT(AB265,"dddd d mmmm")&amp;" at "&amp;TEXT(AB265,"hh:mm"),"on a weekday evening that suits your team")&amp;". It's "&amp;IF(AD265&lt;&gt;"","£"&amp;IF(AD265=INT(AD265),TEXT(AD265,"0"),TEXT(AD265,"0.00")),"[PRICE PER PLAYER]")&amp;" a player and we handle the pitch booking, sign-ups and payments, so all it takes is one person sharing a link with the team."&amp;CHAR(10)&amp;CHAR(10)&amp;"It works well as a team social or "&amp;IF(ISNUMBER(SEARCH(LEFT(F265,1),"AEIOU")),"an ","a ")&amp;F265&amp;"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LINK]")&amp;CHAR(10)&amp;CHAR(10)&amp;"Best,"&amp;CHAR(10)&amp;IF(AL265&lt;&gt;"",AL265,IF(Offer!$C$5&lt;&gt;"",Offer!$C$5,"[NAME]"))&amp;CHAR(10)&amp;"FC Urban"</f>
        <v/>
      </c>
      <c r="AH265" s="14">
        <f>IF(LEN("Hi"&amp;IF(O265&lt;&gt;""," "&amp;O265,"")&amp;","&amp;" FC Urban runs after-work football for "&amp;IF(D265="Canary Wharf","Canary Wharf","City")&amp;" teams. We have a "&amp;AC265&amp;" pitch at "&amp;X265&amp;", "&amp;Y265&amp;" min from your office, "&amp;IF(ISNUMBER(AB265),TEXT(AB265,"ddd d mmm")&amp;", "&amp;TEXT(AB265,"hh:mm"),"weekday evenings")&amp;", "&amp;IF(AD265&lt;&gt;"","£"&amp;IF(AD265=INT(AD265),TEXT(AD265,"0"),TEXT(AD265,"0.00")),"[PRICE PER PLAYER]")&amp;" a player. We handle booking, sign-ups and payments. Fancy "&amp;IF(ISNUMBER(SEARCH(LEFT(F265,1),"AEIOU")),"an ","a ")&amp;F265&amp;" team game? "&amp;IF(AL265&lt;&gt;"",AL265,IF(Offer!$C$5&lt;&gt;"",Offer!$C$5,"[NAME]")))&lt;=300,"Hi"&amp;IF(O265&lt;&gt;""," "&amp;O265,"")&amp;","&amp;" FC Urban runs after-work football for "&amp;IF(D265="Canary Wharf","Canary Wharf","City")&amp;" teams. We have a "&amp;AC265&amp;" pitch at "&amp;X265&amp;", "&amp;Y265&amp;" min from your office, "&amp;IF(ISNUMBER(AB265),TEXT(AB265,"ddd d mmm")&amp;", "&amp;TEXT(AB265,"hh:mm"),"weekday evenings")&amp;", "&amp;IF(AD265&lt;&gt;"","£"&amp;IF(AD265=INT(AD265),TEXT(AD265,"0"),TEXT(AD265,"0.00")),"[PRICE PER PLAYER]")&amp;" a player. We handle booking, sign-ups and payments. Fancy "&amp;IF(ISNUMBER(SEARCH(LEFT(F265,1),"AEIOU")),"an ","a ")&amp;F265&amp;" team game? "&amp;IF(AL265&lt;&gt;"",AL265,IF(Offer!$C$5&lt;&gt;"",Offer!$C$5,"[NAME]")),LEFT("Hi"&amp;IF(O265&lt;&gt;""," "&amp;O265,"")&amp;","&amp;" FC Urban runs after-work football for "&amp;IF(D265="Canary Wharf","Canary Wharf","City")&amp;" teams: "&amp;AC265&amp;" at "&amp;X265&amp;", "&amp;Y265&amp;" min from your office, "&amp;IF(ISNUMBER(AB265),TEXT(AB265,"ddd d mmm")&amp;", "&amp;TEXT(AB265,"hh:mm"),"weekday evenings")&amp;", "&amp;IF(AD265&lt;&gt;"","£"&amp;IF(AD265=INT(AD265),TEXT(AD265,"0"),TEXT(AD265,"0.00")),"[PRICE PER PLAYER]")&amp;" pp. We handle booking and payments. Up for a team game? "&amp;IF(AL265&lt;&gt;"",AL265,IF(Offer!$C$5&lt;&gt;"",Offer!$C$5,"[NAME]")),300))</f>
        <v/>
      </c>
      <c r="AI265" s="14">
        <f>LEN(AH265)</f>
        <v/>
      </c>
      <c r="AJ265" s="14">
        <f>"Thanks for connecting"&amp;IF(O265&lt;&gt;"",", "&amp;O265,"")&amp;". "&amp;IF(ISNUMBER(AB265),"The "&amp;AC265&amp;" slot at "&amp;X265&amp;" is "&amp;IF(ISNUMBER(AB265),TEXT(AB265,"ddd d mmm")&amp;", "&amp;TEXT(AB265,"hh:mm"),"weekday evenings"),"We can book "&amp;AC265&amp;" at "&amp;X265&amp;" on a weekday evening that suits you")&amp;" and it's "&amp;IF(AD265&lt;&gt;"","£"&amp;IF(AD265=INT(AD265),TEXT(AD265,"0"),TEXT(AD265,"0.00")),"[PRICE PER PLAYER]")&amp;" a player, all booked and paid through one link. If football isn't your thing, who at "&amp;F265&amp;" would be the right person to organise a team game?"&amp;IF(Offer!$C$7&lt;&gt;""," Spots are held until "&amp;TEXT(Offer!$C$7,"dddd d mmmm")&amp;".","")&amp;" "&amp;IF(Offer!$C$6&lt;&gt;"",Offer!$C$6,"[JOINING LINK]")</f>
        <v/>
      </c>
      <c r="AK265" s="14">
        <f>IF(OR(ISNUMBER(SEARCH("[",AG265)),ISNUMBER(SEARCH("[",AJ265))),"Fill placeholders",IF(ISNUMBER(AB265),"Ready to send","Ready · no fixed slot"))</f>
        <v/>
      </c>
      <c r="AN265" s="17" t="n"/>
    </row>
    <row r="266">
      <c r="A266" s="11" t="n">
        <v>264</v>
      </c>
      <c r="B266" s="11" t="n">
        <v>3</v>
      </c>
      <c r="C266" s="11" t="inlineStr">
        <is>
          <t>Fund / asset manager</t>
        </is>
      </c>
      <c r="D266" s="11" t="inlineStr">
        <is>
          <t>City of London</t>
        </is>
      </c>
      <c r="E266" s="11" t="inlineStr">
        <is>
          <t>Pallas Partners LLP</t>
        </is>
      </c>
      <c r="F266" s="11" t="inlineStr">
        <is>
          <t>Pallas Partners</t>
        </is>
      </c>
      <c r="G266" s="11" t="inlineStr">
        <is>
          <t>OC437491</t>
        </is>
      </c>
      <c r="H266" s="12" t="inlineStr">
        <is>
          <t>Open</t>
        </is>
      </c>
      <c r="I266" s="12" t="inlineStr">
        <is>
          <t>Search</t>
        </is>
      </c>
      <c r="J266" s="11" t="inlineStr">
        <is>
          <t>Full</t>
        </is>
      </c>
      <c r="K266" s="13" t="n">
        <v>44333</v>
      </c>
      <c r="L266" s="11" t="inlineStr">
        <is>
          <t>Level 22, Salesforce Tower, 110 Bishopsgate, London</t>
        </is>
      </c>
      <c r="M266" s="11" t="inlineStr">
        <is>
          <t>EC2N 4AY</t>
        </is>
      </c>
      <c r="N266" s="11" t="inlineStr">
        <is>
          <t>No</t>
        </is>
      </c>
      <c r="U266" s="11" t="inlineStr">
        <is>
          <t>Liverpool St - Attlee Centre</t>
        </is>
      </c>
      <c r="V266" s="11" t="n">
        <v>10</v>
      </c>
      <c r="W266" s="11" t="inlineStr">
        <is>
          <t>Shoreditch Powerleague (13.9)</t>
        </is>
      </c>
      <c r="X266" s="11" t="inlineStr">
        <is>
          <t>Shoreditch Powerleague</t>
        </is>
      </c>
      <c r="Y266" s="11" t="n">
        <v>14</v>
      </c>
      <c r="Z266" s="14">
        <f>IFERROR(INDEX(Venues!$E$2:$E$15,MATCH(X266,Venues!$A$2:$A$15,0)),"Not checked")</f>
        <v/>
      </c>
      <c r="AA266" s="14">
        <f>IFERROR(INDEX(Venues!$F$2:$F$15,MATCH(X266,Venues!$A$2:$A$15,0)),0)</f>
        <v/>
      </c>
      <c r="AB266" s="15">
        <f>IFERROR(INDEX(Venues!$M$2:$M$15,MATCH(X266,Venues!$A$2:$A$15,0)),"")</f>
        <v/>
      </c>
      <c r="AC266" s="14">
        <f>IFERROR(INDEX(Venues!$N$2:$N$15,MATCH(X266,Venues!$A$2:$A$15,0)),"5-a-side")</f>
        <v/>
      </c>
      <c r="AD266" s="16">
        <f>IF(Offer!$C$4="","",Offer!$C$4)</f>
        <v/>
      </c>
      <c r="AE266" s="14">
        <f>X266&amp;" ("&amp;Y266&amp;" min walk) · "&amp;IF(ISNUMBER(AB266),TEXT(AB266,"ddd d mmm, hh:mm"),"slot to confirm with venue")&amp;" · "&amp;AC266&amp;" · "&amp;IF(AD266&lt;&gt;"","£"&amp;TEXT(AD266,"0.00")&amp;" pp","price TBC")</f>
        <v/>
      </c>
      <c r="AF266" s="14">
        <f>"After-work football for "&amp;F266&amp;" · "&amp;X266&amp;", "&amp;Y266&amp;" min from your office"</f>
        <v/>
      </c>
      <c r="AG266" s="14">
        <f>"Hi"&amp;IF(O266&lt;&gt;""," "&amp;O266,"")&amp;","&amp;CHAR(10)&amp;CHAR(10)&amp;"I'm "&amp;IF(AL266&lt;&gt;"",AL266,IF(Offer!$C$5&lt;&gt;"",Offer!$C$5,"[NAME]"))&amp;" from FC Urban. We organise after-work football for teams in the City and Canary Wharf."&amp;CHAR(10)&amp;CHAR(10)&amp;"We have a "&amp;AC266&amp;" pitch at "&amp;X266&amp;", "&amp;IF(OR(Y266=8,Y266=11,Y266=18),"an ","a ")&amp;Y266&amp;"-minute walk from your "&amp;M266&amp;" office, "&amp;IF(ISNUMBER(AB266),"on "&amp;TEXT(AB266,"dddd d mmmm")&amp;" at "&amp;TEXT(AB266,"hh:mm"),"on a weekday evening that suits your team")&amp;". It's "&amp;IF(AD266&lt;&gt;"","£"&amp;IF(AD266=INT(AD266),TEXT(AD266,"0"),TEXT(AD266,"0.00")),"[PRICE PER PLAYER]")&amp;" a player and we handle the pitch booking, sign-ups and payments, so all it takes is one person sharing a link with the team."&amp;CHAR(10)&amp;CHAR(10)&amp;"It works well as a team social or "&amp;IF(ISNUMBER(SEARCH(LEFT(F266,1),"AEIOU")),"an ","a ")&amp;F266&amp;"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LINK]")&amp;CHAR(10)&amp;CHAR(10)&amp;"Best,"&amp;CHAR(10)&amp;IF(AL266&lt;&gt;"",AL266,IF(Offer!$C$5&lt;&gt;"",Offer!$C$5,"[NAME]"))&amp;CHAR(10)&amp;"FC Urban"</f>
        <v/>
      </c>
      <c r="AH266" s="14">
        <f>IF(LEN("Hi"&amp;IF(O266&lt;&gt;""," "&amp;O266,"")&amp;","&amp;" FC Urban runs after-work football for "&amp;IF(D266="Canary Wharf","Canary Wharf","City")&amp;" teams. We have a "&amp;AC266&amp;" pitch at "&amp;X266&amp;", "&amp;Y266&amp;" min from your office, "&amp;IF(ISNUMBER(AB266),TEXT(AB266,"ddd d mmm")&amp;", "&amp;TEXT(AB266,"hh:mm"),"weekday evenings")&amp;", "&amp;IF(AD266&lt;&gt;"","£"&amp;IF(AD266=INT(AD266),TEXT(AD266,"0"),TEXT(AD266,"0.00")),"[PRICE PER PLAYER]")&amp;" a player. We handle booking, sign-ups and payments. Fancy "&amp;IF(ISNUMBER(SEARCH(LEFT(F266,1),"AEIOU")),"an ","a ")&amp;F266&amp;" team game? "&amp;IF(AL266&lt;&gt;"",AL266,IF(Offer!$C$5&lt;&gt;"",Offer!$C$5,"[NAME]")))&lt;=300,"Hi"&amp;IF(O266&lt;&gt;""," "&amp;O266,"")&amp;","&amp;" FC Urban runs after-work football for "&amp;IF(D266="Canary Wharf","Canary Wharf","City")&amp;" teams. We have a "&amp;AC266&amp;" pitch at "&amp;X266&amp;", "&amp;Y266&amp;" min from your office, "&amp;IF(ISNUMBER(AB266),TEXT(AB266,"ddd d mmm")&amp;", "&amp;TEXT(AB266,"hh:mm"),"weekday evenings")&amp;", "&amp;IF(AD266&lt;&gt;"","£"&amp;IF(AD266=INT(AD266),TEXT(AD266,"0"),TEXT(AD266,"0.00")),"[PRICE PER PLAYER]")&amp;" a player. We handle booking, sign-ups and payments. Fancy "&amp;IF(ISNUMBER(SEARCH(LEFT(F266,1),"AEIOU")),"an ","a ")&amp;F266&amp;" team game? "&amp;IF(AL266&lt;&gt;"",AL266,IF(Offer!$C$5&lt;&gt;"",Offer!$C$5,"[NAME]")),LEFT("Hi"&amp;IF(O266&lt;&gt;""," "&amp;O266,"")&amp;","&amp;" FC Urban runs after-work football for "&amp;IF(D266="Canary Wharf","Canary Wharf","City")&amp;" teams: "&amp;AC266&amp;" at "&amp;X266&amp;", "&amp;Y266&amp;" min from your office, "&amp;IF(ISNUMBER(AB266),TEXT(AB266,"ddd d mmm")&amp;", "&amp;TEXT(AB266,"hh:mm"),"weekday evenings")&amp;", "&amp;IF(AD266&lt;&gt;"","£"&amp;IF(AD266=INT(AD266),TEXT(AD266,"0"),TEXT(AD266,"0.00")),"[PRICE PER PLAYER]")&amp;" pp. We handle booking and payments. Up for a team game? "&amp;IF(AL266&lt;&gt;"",AL266,IF(Offer!$C$5&lt;&gt;"",Offer!$C$5,"[NAME]")),300))</f>
        <v/>
      </c>
      <c r="AI266" s="14">
        <f>LEN(AH266)</f>
        <v/>
      </c>
      <c r="AJ266" s="14">
        <f>"Thanks for connecting"&amp;IF(O266&lt;&gt;"",", "&amp;O266,"")&amp;". "&amp;IF(ISNUMBER(AB266),"The "&amp;AC266&amp;" slot at "&amp;X266&amp;" is "&amp;IF(ISNUMBER(AB266),TEXT(AB266,"ddd d mmm")&amp;", "&amp;TEXT(AB266,"hh:mm"),"weekday evenings"),"We can book "&amp;AC266&amp;" at "&amp;X266&amp;" on a weekday evening that suits you")&amp;" and it's "&amp;IF(AD266&lt;&gt;"","£"&amp;IF(AD266=INT(AD266),TEXT(AD266,"0"),TEXT(AD266,"0.00")),"[PRICE PER PLAYER]")&amp;" a player, all booked and paid through one link. If football isn't your thing, who at "&amp;F266&amp;" would be the right person to organise a team game?"&amp;IF(Offer!$C$7&lt;&gt;""," Spots are held until "&amp;TEXT(Offer!$C$7,"dddd d mmmm")&amp;".","")&amp;" "&amp;IF(Offer!$C$6&lt;&gt;"",Offer!$C$6,"[JOINING LINK]")</f>
        <v/>
      </c>
      <c r="AK266" s="14">
        <f>IF(OR(ISNUMBER(SEARCH("[",AG266)),ISNUMBER(SEARCH("[",AJ266))),"Fill placeholders",IF(ISNUMBER(AB266),"Ready to send","Ready · no fixed slot"))</f>
        <v/>
      </c>
      <c r="AN266" s="17" t="n"/>
    </row>
    <row r="267">
      <c r="A267" s="11" t="n">
        <v>265</v>
      </c>
      <c r="B267" s="11" t="n">
        <v>3</v>
      </c>
      <c r="C267" s="11" t="inlineStr">
        <is>
          <t>Fund / asset manager</t>
        </is>
      </c>
      <c r="D267" s="11" t="inlineStr">
        <is>
          <t>City of London</t>
        </is>
      </c>
      <c r="E267" s="11" t="inlineStr">
        <is>
          <t>Securis Investments Limited</t>
        </is>
      </c>
      <c r="F267" s="11" t="inlineStr">
        <is>
          <t>Securis Investments</t>
        </is>
      </c>
      <c r="G267" s="11" t="inlineStr">
        <is>
          <t>05424896</t>
        </is>
      </c>
      <c r="H267" s="12" t="inlineStr">
        <is>
          <t>Open</t>
        </is>
      </c>
      <c r="I267" s="12" t="inlineStr">
        <is>
          <t>Search</t>
        </is>
      </c>
      <c r="J267" s="11" t="inlineStr">
        <is>
          <t>Full</t>
        </is>
      </c>
      <c r="K267" s="13" t="n">
        <v>38456</v>
      </c>
      <c r="L267" s="11" t="inlineStr">
        <is>
          <t>12Th Floor Heron Tower, 110 Bishopsgate, London</t>
        </is>
      </c>
      <c r="M267" s="11" t="inlineStr">
        <is>
          <t>EC2N 4AY</t>
        </is>
      </c>
      <c r="N267" s="11" t="inlineStr">
        <is>
          <t>Yes</t>
        </is>
      </c>
      <c r="U267" s="11" t="inlineStr">
        <is>
          <t>Liverpool St - Attlee Centre</t>
        </is>
      </c>
      <c r="V267" s="11" t="n">
        <v>10</v>
      </c>
      <c r="W267" s="11" t="inlineStr">
        <is>
          <t>Shoreditch Powerleague (13.9)</t>
        </is>
      </c>
      <c r="X267" s="11" t="inlineStr">
        <is>
          <t>Shoreditch Powerleague</t>
        </is>
      </c>
      <c r="Y267" s="11" t="n">
        <v>14</v>
      </c>
      <c r="Z267" s="14">
        <f>IFERROR(INDEX(Venues!$E$2:$E$15,MATCH(X267,Venues!$A$2:$A$15,0)),"Not checked")</f>
        <v/>
      </c>
      <c r="AA267" s="14">
        <f>IFERROR(INDEX(Venues!$F$2:$F$15,MATCH(X267,Venues!$A$2:$A$15,0)),0)</f>
        <v/>
      </c>
      <c r="AB267" s="15">
        <f>IFERROR(INDEX(Venues!$M$2:$M$15,MATCH(X267,Venues!$A$2:$A$15,0)),"")</f>
        <v/>
      </c>
      <c r="AC267" s="14">
        <f>IFERROR(INDEX(Venues!$N$2:$N$15,MATCH(X267,Venues!$A$2:$A$15,0)),"5-a-side")</f>
        <v/>
      </c>
      <c r="AD267" s="16">
        <f>IF(Offer!$C$4="","",Offer!$C$4)</f>
        <v/>
      </c>
      <c r="AE267" s="14">
        <f>X267&amp;" ("&amp;Y267&amp;" min walk) · "&amp;IF(ISNUMBER(AB267),TEXT(AB267,"ddd d mmm, hh:mm"),"slot to confirm with venue")&amp;" · "&amp;AC267&amp;" · "&amp;IF(AD267&lt;&gt;"","£"&amp;TEXT(AD267,"0.00")&amp;" pp","price TBC")</f>
        <v/>
      </c>
      <c r="AF267" s="14">
        <f>"After-work football for "&amp;F267&amp;" · "&amp;X267&amp;", "&amp;Y267&amp;" min from your office"</f>
        <v/>
      </c>
      <c r="AG267" s="14">
        <f>"Hi"&amp;IF(O267&lt;&gt;""," "&amp;O267,"")&amp;","&amp;CHAR(10)&amp;CHAR(10)&amp;"I'm "&amp;IF(AL267&lt;&gt;"",AL267,IF(Offer!$C$5&lt;&gt;"",Offer!$C$5,"[NAME]"))&amp;" from FC Urban. We organise after-work football for teams in the City and Canary Wharf."&amp;CHAR(10)&amp;CHAR(10)&amp;"We have a "&amp;AC267&amp;" pitch at "&amp;X267&amp;", "&amp;IF(OR(Y267=8,Y267=11,Y267=18),"an ","a ")&amp;Y267&amp;"-minute walk from your "&amp;M267&amp;" office, "&amp;IF(ISNUMBER(AB267),"on "&amp;TEXT(AB267,"dddd d mmmm")&amp;" at "&amp;TEXT(AB267,"hh:mm"),"on a weekday evening that suits your team")&amp;". It's "&amp;IF(AD267&lt;&gt;"","£"&amp;IF(AD267=INT(AD267),TEXT(AD267,"0"),TEXT(AD267,"0.00")),"[PRICE PER PLAYER]")&amp;" a player and we handle the pitch booking, sign-ups and payments, so all it takes is one person sharing a link with the team."&amp;CHAR(10)&amp;CHAR(10)&amp;"It works well as a team social or "&amp;IF(ISNUMBER(SEARCH(LEFT(F267,1),"AEIOU")),"an ","a ")&amp;F267&amp;"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LINK]")&amp;CHAR(10)&amp;CHAR(10)&amp;"Best,"&amp;CHAR(10)&amp;IF(AL267&lt;&gt;"",AL267,IF(Offer!$C$5&lt;&gt;"",Offer!$C$5,"[NAME]"))&amp;CHAR(10)&amp;"FC Urban"</f>
        <v/>
      </c>
      <c r="AH267" s="14">
        <f>IF(LEN("Hi"&amp;IF(O267&lt;&gt;""," "&amp;O267,"")&amp;","&amp;" FC Urban runs after-work football for "&amp;IF(D267="Canary Wharf","Canary Wharf","City")&amp;" teams. We have a "&amp;AC267&amp;" pitch at "&amp;X267&amp;", "&amp;Y267&amp;" min from your office, "&amp;IF(ISNUMBER(AB267),TEXT(AB267,"ddd d mmm")&amp;", "&amp;TEXT(AB267,"hh:mm"),"weekday evenings")&amp;", "&amp;IF(AD267&lt;&gt;"","£"&amp;IF(AD267=INT(AD267),TEXT(AD267,"0"),TEXT(AD267,"0.00")),"[PRICE PER PLAYER]")&amp;" a player. We handle booking, sign-ups and payments. Fancy "&amp;IF(ISNUMBER(SEARCH(LEFT(F267,1),"AEIOU")),"an ","a ")&amp;F267&amp;" team game? "&amp;IF(AL267&lt;&gt;"",AL267,IF(Offer!$C$5&lt;&gt;"",Offer!$C$5,"[NAME]")))&lt;=300,"Hi"&amp;IF(O267&lt;&gt;""," "&amp;O267,"")&amp;","&amp;" FC Urban runs after-work football for "&amp;IF(D267="Canary Wharf","Canary Wharf","City")&amp;" teams. We have a "&amp;AC267&amp;" pitch at "&amp;X267&amp;", "&amp;Y267&amp;" min from your office, "&amp;IF(ISNUMBER(AB267),TEXT(AB267,"ddd d mmm")&amp;", "&amp;TEXT(AB267,"hh:mm"),"weekday evenings")&amp;", "&amp;IF(AD267&lt;&gt;"","£"&amp;IF(AD267=INT(AD267),TEXT(AD267,"0"),TEXT(AD267,"0.00")),"[PRICE PER PLAYER]")&amp;" a player. We handle booking, sign-ups and payments. Fancy "&amp;IF(ISNUMBER(SEARCH(LEFT(F267,1),"AEIOU")),"an ","a ")&amp;F267&amp;" team game? "&amp;IF(AL267&lt;&gt;"",AL267,IF(Offer!$C$5&lt;&gt;"",Offer!$C$5,"[NAME]")),LEFT("Hi"&amp;IF(O267&lt;&gt;""," "&amp;O267,"")&amp;","&amp;" FC Urban runs after-work football for "&amp;IF(D267="Canary Wharf","Canary Wharf","City")&amp;" teams: "&amp;AC267&amp;" at "&amp;X267&amp;", "&amp;Y267&amp;" min from your office, "&amp;IF(ISNUMBER(AB267),TEXT(AB267,"ddd d mmm")&amp;", "&amp;TEXT(AB267,"hh:mm"),"weekday evenings")&amp;", "&amp;IF(AD267&lt;&gt;"","£"&amp;IF(AD267=INT(AD267),TEXT(AD267,"0"),TEXT(AD267,"0.00")),"[PRICE PER PLAYER]")&amp;" pp. We handle booking and payments. Up for a team game? "&amp;IF(AL267&lt;&gt;"",AL267,IF(Offer!$C$5&lt;&gt;"",Offer!$C$5,"[NAME]")),300))</f>
        <v/>
      </c>
      <c r="AI267" s="14">
        <f>LEN(AH267)</f>
        <v/>
      </c>
      <c r="AJ267" s="14">
        <f>"Thanks for connecting"&amp;IF(O267&lt;&gt;"",", "&amp;O267,"")&amp;". "&amp;IF(ISNUMBER(AB267),"The "&amp;AC267&amp;" slot at "&amp;X267&amp;" is "&amp;IF(ISNUMBER(AB267),TEXT(AB267,"ddd d mmm")&amp;", "&amp;TEXT(AB267,"hh:mm"),"weekday evenings"),"We can book "&amp;AC267&amp;" at "&amp;X267&amp;" on a weekday evening that suits you")&amp;" and it's "&amp;IF(AD267&lt;&gt;"","£"&amp;IF(AD267=INT(AD267),TEXT(AD267,"0"),TEXT(AD267,"0.00")),"[PRICE PER PLAYER]")&amp;" a player, all booked and paid through one link. If football isn't your thing, who at "&amp;F267&amp;" would be the right person to organise a team game?"&amp;IF(Offer!$C$7&lt;&gt;""," Spots are held until "&amp;TEXT(Offer!$C$7,"dddd d mmmm")&amp;".","")&amp;" "&amp;IF(Offer!$C$6&lt;&gt;"",Offer!$C$6,"[JOINING LINK]")</f>
        <v/>
      </c>
      <c r="AK267" s="14">
        <f>IF(OR(ISNUMBER(SEARCH("[",AG267)),ISNUMBER(SEARCH("[",AJ267))),"Fill placeholders",IF(ISNUMBER(AB267),"Ready to send","Ready · no fixed slot"))</f>
        <v/>
      </c>
      <c r="AN267" s="17" t="n"/>
    </row>
    <row r="268">
      <c r="A268" s="11" t="n">
        <v>266</v>
      </c>
      <c r="B268" s="11" t="n">
        <v>3</v>
      </c>
      <c r="C268" s="11" t="inlineStr">
        <is>
          <t>Insurance / broker</t>
        </is>
      </c>
      <c r="D268" s="11" t="inlineStr">
        <is>
          <t>City of London</t>
        </is>
      </c>
      <c r="E268" s="11" t="inlineStr">
        <is>
          <t>Blenheim Underwriting Limited</t>
        </is>
      </c>
      <c r="F268" s="11" t="inlineStr">
        <is>
          <t>Blenheim Underwriting</t>
        </is>
      </c>
      <c r="G268" s="11" t="inlineStr">
        <is>
          <t>10254215</t>
        </is>
      </c>
      <c r="H268" s="12" t="inlineStr">
        <is>
          <t>Open</t>
        </is>
      </c>
      <c r="I268" s="12" t="inlineStr">
        <is>
          <t>Search</t>
        </is>
      </c>
      <c r="J268" s="11" t="inlineStr">
        <is>
          <t>Full</t>
        </is>
      </c>
      <c r="K268" s="13" t="n">
        <v>42549</v>
      </c>
      <c r="L268" s="11" t="inlineStr">
        <is>
          <t>7Th Floor, 70, Mark Lane, London</t>
        </is>
      </c>
      <c r="M268" s="11" t="inlineStr">
        <is>
          <t>EC3R 7NQ</t>
        </is>
      </c>
      <c r="N268" s="11" t="inlineStr">
        <is>
          <t>Yes</t>
        </is>
      </c>
      <c r="U268" s="11" t="inlineStr">
        <is>
          <t>Liverpool St - Attlee Centre</t>
        </is>
      </c>
      <c r="V268" s="11" t="n">
        <v>14</v>
      </c>
      <c r="W268" s="11" t="n"/>
      <c r="X268" s="11" t="inlineStr">
        <is>
          <t>Liverpool St - Attlee Centre</t>
        </is>
      </c>
      <c r="Y268" s="11" t="n">
        <v>14</v>
      </c>
      <c r="Z268" s="14">
        <f>IFERROR(INDEX(Venues!$E$2:$E$15,MATCH(X268,Venues!$A$2:$A$15,0)),"Not checked")</f>
        <v/>
      </c>
      <c r="AA268" s="14">
        <f>IFERROR(INDEX(Venues!$F$2:$F$15,MATCH(X268,Venues!$A$2:$A$15,0)),0)</f>
        <v/>
      </c>
      <c r="AB268" s="15">
        <f>IFERROR(INDEX(Venues!$M$2:$M$15,MATCH(X268,Venues!$A$2:$A$15,0)),"")</f>
        <v/>
      </c>
      <c r="AC268" s="14">
        <f>IFERROR(INDEX(Venues!$N$2:$N$15,MATCH(X268,Venues!$A$2:$A$15,0)),"5-a-side")</f>
        <v/>
      </c>
      <c r="AD268" s="16">
        <f>IF(Offer!$C$4="","",Offer!$C$4)</f>
        <v/>
      </c>
      <c r="AE268" s="14">
        <f>X268&amp;" ("&amp;Y268&amp;" min walk) · "&amp;IF(ISNUMBER(AB268),TEXT(AB268,"ddd d mmm, hh:mm"),"slot to confirm with venue")&amp;" · "&amp;AC268&amp;" · "&amp;IF(AD268&lt;&gt;"","£"&amp;TEXT(AD268,"0.00")&amp;" pp","price TBC")</f>
        <v/>
      </c>
      <c r="AF268" s="14">
        <f>"After-work football for "&amp;F268&amp;" · "&amp;X268&amp;", "&amp;Y268&amp;" min from your office"</f>
        <v/>
      </c>
      <c r="AG268" s="14">
        <f>"Hi"&amp;IF(O268&lt;&gt;""," "&amp;O268,"")&amp;","&amp;CHAR(10)&amp;CHAR(10)&amp;"I'm "&amp;IF(AL268&lt;&gt;"",AL268,IF(Offer!$C$5&lt;&gt;"",Offer!$C$5,"[NAME]"))&amp;" from FC Urban. We organise after-work football for teams in the City and Canary Wharf."&amp;CHAR(10)&amp;CHAR(10)&amp;"We have a "&amp;AC268&amp;" pitch at "&amp;X268&amp;", "&amp;IF(OR(Y268=8,Y268=11,Y268=18),"an ","a ")&amp;Y268&amp;"-minute walk from your "&amp;M268&amp;" office, "&amp;IF(ISNUMBER(AB268),"on "&amp;TEXT(AB268,"dddd d mmmm")&amp;" at "&amp;TEXT(AB268,"hh:mm"),"on a weekday evening that suits your team")&amp;". It's "&amp;IF(AD268&lt;&gt;"","£"&amp;IF(AD268=INT(AD268),TEXT(AD268,"0"),TEXT(AD268,"0.00")),"[PRICE PER PLAYER]")&amp;" a player and we handle the pitch booking, sign-ups and payments, so all it takes is one person sharing a link with the team."&amp;CHAR(10)&amp;CHAR(10)&amp;"It works well as a team social or "&amp;IF(ISNUMBER(SEARCH(LEFT(F268,1),"AEIOU")),"an ","a ")&amp;F268&amp;"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LINK]")&amp;CHAR(10)&amp;CHAR(10)&amp;"Best,"&amp;CHAR(10)&amp;IF(AL268&lt;&gt;"",AL268,IF(Offer!$C$5&lt;&gt;"",Offer!$C$5,"[NAME]"))&amp;CHAR(10)&amp;"FC Urban"</f>
        <v/>
      </c>
      <c r="AH268" s="14">
        <f>IF(LEN("Hi"&amp;IF(O268&lt;&gt;""," "&amp;O268,"")&amp;","&amp;" FC Urban runs after-work football for "&amp;IF(D268="Canary Wharf","Canary Wharf","City")&amp;" teams. We have a "&amp;AC268&amp;" pitch at "&amp;X268&amp;", "&amp;Y268&amp;" min from your office, "&amp;IF(ISNUMBER(AB268),TEXT(AB268,"ddd d mmm")&amp;", "&amp;TEXT(AB268,"hh:mm"),"weekday evenings")&amp;", "&amp;IF(AD268&lt;&gt;"","£"&amp;IF(AD268=INT(AD268),TEXT(AD268,"0"),TEXT(AD268,"0.00")),"[PRICE PER PLAYER]")&amp;" a player. We handle booking, sign-ups and payments. Fancy "&amp;IF(ISNUMBER(SEARCH(LEFT(F268,1),"AEIOU")),"an ","a ")&amp;F268&amp;" team game? "&amp;IF(AL268&lt;&gt;"",AL268,IF(Offer!$C$5&lt;&gt;"",Offer!$C$5,"[NAME]")))&lt;=300,"Hi"&amp;IF(O268&lt;&gt;""," "&amp;O268,"")&amp;","&amp;" FC Urban runs after-work football for "&amp;IF(D268="Canary Wharf","Canary Wharf","City")&amp;" teams. We have a "&amp;AC268&amp;" pitch at "&amp;X268&amp;", "&amp;Y268&amp;" min from your office, "&amp;IF(ISNUMBER(AB268),TEXT(AB268,"ddd d mmm")&amp;", "&amp;TEXT(AB268,"hh:mm"),"weekday evenings")&amp;", "&amp;IF(AD268&lt;&gt;"","£"&amp;IF(AD268=INT(AD268),TEXT(AD268,"0"),TEXT(AD268,"0.00")),"[PRICE PER PLAYER]")&amp;" a player. We handle booking, sign-ups and payments. Fancy "&amp;IF(ISNUMBER(SEARCH(LEFT(F268,1),"AEIOU")),"an ","a ")&amp;F268&amp;" team game? "&amp;IF(AL268&lt;&gt;"",AL268,IF(Offer!$C$5&lt;&gt;"",Offer!$C$5,"[NAME]")),LEFT("Hi"&amp;IF(O268&lt;&gt;""," "&amp;O268,"")&amp;","&amp;" FC Urban runs after-work football for "&amp;IF(D268="Canary Wharf","Canary Wharf","City")&amp;" teams: "&amp;AC268&amp;" at "&amp;X268&amp;", "&amp;Y268&amp;" min from your office, "&amp;IF(ISNUMBER(AB268),TEXT(AB268,"ddd d mmm")&amp;", "&amp;TEXT(AB268,"hh:mm"),"weekday evenings")&amp;", "&amp;IF(AD268&lt;&gt;"","£"&amp;IF(AD268=INT(AD268),TEXT(AD268,"0"),TEXT(AD268,"0.00")),"[PRICE PER PLAYER]")&amp;" pp. We handle booking and payments. Up for a team game? "&amp;IF(AL268&lt;&gt;"",AL268,IF(Offer!$C$5&lt;&gt;"",Offer!$C$5,"[NAME]")),300))</f>
        <v/>
      </c>
      <c r="AI268" s="14">
        <f>LEN(AH268)</f>
        <v/>
      </c>
      <c r="AJ268" s="14">
        <f>"Thanks for connecting"&amp;IF(O268&lt;&gt;"",", "&amp;O268,"")&amp;". "&amp;IF(ISNUMBER(AB268),"The "&amp;AC268&amp;" slot at "&amp;X268&amp;" is "&amp;IF(ISNUMBER(AB268),TEXT(AB268,"ddd d mmm")&amp;", "&amp;TEXT(AB268,"hh:mm"),"weekday evenings"),"We can book "&amp;AC268&amp;" at "&amp;X268&amp;" on a weekday evening that suits you")&amp;" and it's "&amp;IF(AD268&lt;&gt;"","£"&amp;IF(AD268=INT(AD268),TEXT(AD268,"0"),TEXT(AD268,"0.00")),"[PRICE PER PLAYER]")&amp;" a player, all booked and paid through one link. If football isn't your thing, who at "&amp;F268&amp;" would be the right person to organise a team game?"&amp;IF(Offer!$C$7&lt;&gt;""," Spots are held until "&amp;TEXT(Offer!$C$7,"dddd d mmmm")&amp;".","")&amp;" "&amp;IF(Offer!$C$6&lt;&gt;"",Offer!$C$6,"[JOINING LINK]")</f>
        <v/>
      </c>
      <c r="AK268" s="14">
        <f>IF(OR(ISNUMBER(SEARCH("[",AG268)),ISNUMBER(SEARCH("[",AJ268))),"Fill placeholders",IF(ISNUMBER(AB268),"Ready to send","Ready · no fixed slot"))</f>
        <v/>
      </c>
      <c r="AN268" s="17" t="n"/>
    </row>
    <row r="269">
      <c r="A269" s="11" t="n">
        <v>267</v>
      </c>
      <c r="B269" s="11" t="n">
        <v>3</v>
      </c>
      <c r="C269" s="11" t="inlineStr">
        <is>
          <t>Insurance / broker</t>
        </is>
      </c>
      <c r="D269" s="11" t="inlineStr">
        <is>
          <t>City of London</t>
        </is>
      </c>
      <c r="E269" s="11" t="inlineStr">
        <is>
          <t>Casper Specialty UK Limited</t>
        </is>
      </c>
      <c r="F269" s="11" t="inlineStr">
        <is>
          <t>Casper Specialty</t>
        </is>
      </c>
      <c r="G269" s="11" t="inlineStr">
        <is>
          <t>14522744</t>
        </is>
      </c>
      <c r="H269" s="12" t="inlineStr">
        <is>
          <t>Open</t>
        </is>
      </c>
      <c r="I269" s="12" t="inlineStr">
        <is>
          <t>Search</t>
        </is>
      </c>
      <c r="J269" s="11" t="inlineStr">
        <is>
          <t>Full</t>
        </is>
      </c>
      <c r="K269" s="13" t="n">
        <v>44900</v>
      </c>
      <c r="L269" s="11" t="inlineStr">
        <is>
          <t>70 Mark Lane, London</t>
        </is>
      </c>
      <c r="M269" s="11" t="inlineStr">
        <is>
          <t>EC3R 7NQ</t>
        </is>
      </c>
      <c r="N269" s="11" t="inlineStr">
        <is>
          <t>No</t>
        </is>
      </c>
      <c r="U269" s="11" t="inlineStr">
        <is>
          <t>Liverpool St - Attlee Centre</t>
        </is>
      </c>
      <c r="V269" s="11" t="n">
        <v>14</v>
      </c>
      <c r="W269" s="11" t="n"/>
      <c r="X269" s="11" t="inlineStr">
        <is>
          <t>Liverpool St - Attlee Centre</t>
        </is>
      </c>
      <c r="Y269" s="11" t="n">
        <v>14</v>
      </c>
      <c r="Z269" s="14">
        <f>IFERROR(INDEX(Venues!$E$2:$E$15,MATCH(X269,Venues!$A$2:$A$15,0)),"Not checked")</f>
        <v/>
      </c>
      <c r="AA269" s="14">
        <f>IFERROR(INDEX(Venues!$F$2:$F$15,MATCH(X269,Venues!$A$2:$A$15,0)),0)</f>
        <v/>
      </c>
      <c r="AB269" s="15">
        <f>IFERROR(INDEX(Venues!$M$2:$M$15,MATCH(X269,Venues!$A$2:$A$15,0)),"")</f>
        <v/>
      </c>
      <c r="AC269" s="14">
        <f>IFERROR(INDEX(Venues!$N$2:$N$15,MATCH(X269,Venues!$A$2:$A$15,0)),"5-a-side")</f>
        <v/>
      </c>
      <c r="AD269" s="16">
        <f>IF(Offer!$C$4="","",Offer!$C$4)</f>
        <v/>
      </c>
      <c r="AE269" s="14">
        <f>X269&amp;" ("&amp;Y269&amp;" min walk) · "&amp;IF(ISNUMBER(AB269),TEXT(AB269,"ddd d mmm, hh:mm"),"slot to confirm with venue")&amp;" · "&amp;AC269&amp;" · "&amp;IF(AD269&lt;&gt;"","£"&amp;TEXT(AD269,"0.00")&amp;" pp","price TBC")</f>
        <v/>
      </c>
      <c r="AF269" s="14">
        <f>"After-work football for "&amp;F269&amp;" · "&amp;X269&amp;", "&amp;Y269&amp;" min from your office"</f>
        <v/>
      </c>
      <c r="AG269" s="14">
        <f>"Hi"&amp;IF(O269&lt;&gt;""," "&amp;O269,"")&amp;","&amp;CHAR(10)&amp;CHAR(10)&amp;"I'm "&amp;IF(AL269&lt;&gt;"",AL269,IF(Offer!$C$5&lt;&gt;"",Offer!$C$5,"[NAME]"))&amp;" from FC Urban. We organise after-work football for teams in the City and Canary Wharf."&amp;CHAR(10)&amp;CHAR(10)&amp;"We have a "&amp;AC269&amp;" pitch at "&amp;X269&amp;", "&amp;IF(OR(Y269=8,Y269=11,Y269=18),"an ","a ")&amp;Y269&amp;"-minute walk from your "&amp;M269&amp;" office, "&amp;IF(ISNUMBER(AB269),"on "&amp;TEXT(AB269,"dddd d mmmm")&amp;" at "&amp;TEXT(AB269,"hh:mm"),"on a weekday evening that suits your team")&amp;". It's "&amp;IF(AD269&lt;&gt;"","£"&amp;IF(AD269=INT(AD269),TEXT(AD269,"0"),TEXT(AD269,"0.00")),"[PRICE PER PLAYER]")&amp;" a player and we handle the pitch booking, sign-ups and payments, so all it takes is one person sharing a link with the team."&amp;CHAR(10)&amp;CHAR(10)&amp;"It works well as a team social or "&amp;IF(ISNUMBER(SEARCH(LEFT(F269,1),"AEIOU")),"an ","a ")&amp;F269&amp;"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LINK]")&amp;CHAR(10)&amp;CHAR(10)&amp;"Best,"&amp;CHAR(10)&amp;IF(AL269&lt;&gt;"",AL269,IF(Offer!$C$5&lt;&gt;"",Offer!$C$5,"[NAME]"))&amp;CHAR(10)&amp;"FC Urban"</f>
        <v/>
      </c>
      <c r="AH269" s="14">
        <f>IF(LEN("Hi"&amp;IF(O269&lt;&gt;""," "&amp;O269,"")&amp;","&amp;" FC Urban runs after-work football for "&amp;IF(D269="Canary Wharf","Canary Wharf","City")&amp;" teams. We have a "&amp;AC269&amp;" pitch at "&amp;X269&amp;", "&amp;Y269&amp;" min from your office, "&amp;IF(ISNUMBER(AB269),TEXT(AB269,"ddd d mmm")&amp;", "&amp;TEXT(AB269,"hh:mm"),"weekday evenings")&amp;", "&amp;IF(AD269&lt;&gt;"","£"&amp;IF(AD269=INT(AD269),TEXT(AD269,"0"),TEXT(AD269,"0.00")),"[PRICE PER PLAYER]")&amp;" a player. We handle booking, sign-ups and payments. Fancy "&amp;IF(ISNUMBER(SEARCH(LEFT(F269,1),"AEIOU")),"an ","a ")&amp;F269&amp;" team game? "&amp;IF(AL269&lt;&gt;"",AL269,IF(Offer!$C$5&lt;&gt;"",Offer!$C$5,"[NAME]")))&lt;=300,"Hi"&amp;IF(O269&lt;&gt;""," "&amp;O269,"")&amp;","&amp;" FC Urban runs after-work football for "&amp;IF(D269="Canary Wharf","Canary Wharf","City")&amp;" teams. We have a "&amp;AC269&amp;" pitch at "&amp;X269&amp;", "&amp;Y269&amp;" min from your office, "&amp;IF(ISNUMBER(AB269),TEXT(AB269,"ddd d mmm")&amp;", "&amp;TEXT(AB269,"hh:mm"),"weekday evenings")&amp;", "&amp;IF(AD269&lt;&gt;"","£"&amp;IF(AD269=INT(AD269),TEXT(AD269,"0"),TEXT(AD269,"0.00")),"[PRICE PER PLAYER]")&amp;" a player. We handle booking, sign-ups and payments. Fancy "&amp;IF(ISNUMBER(SEARCH(LEFT(F269,1),"AEIOU")),"an ","a ")&amp;F269&amp;" team game? "&amp;IF(AL269&lt;&gt;"",AL269,IF(Offer!$C$5&lt;&gt;"",Offer!$C$5,"[NAME]")),LEFT("Hi"&amp;IF(O269&lt;&gt;""," "&amp;O269,"")&amp;","&amp;" FC Urban runs after-work football for "&amp;IF(D269="Canary Wharf","Canary Wharf","City")&amp;" teams: "&amp;AC269&amp;" at "&amp;X269&amp;", "&amp;Y269&amp;" min from your office, "&amp;IF(ISNUMBER(AB269),TEXT(AB269,"ddd d mmm")&amp;", "&amp;TEXT(AB269,"hh:mm"),"weekday evenings")&amp;", "&amp;IF(AD269&lt;&gt;"","£"&amp;IF(AD269=INT(AD269),TEXT(AD269,"0"),TEXT(AD269,"0.00")),"[PRICE PER PLAYER]")&amp;" pp. We handle booking and payments. Up for a team game? "&amp;IF(AL269&lt;&gt;"",AL269,IF(Offer!$C$5&lt;&gt;"",Offer!$C$5,"[NAME]")),300))</f>
        <v/>
      </c>
      <c r="AI269" s="14">
        <f>LEN(AH269)</f>
        <v/>
      </c>
      <c r="AJ269" s="14">
        <f>"Thanks for connecting"&amp;IF(O269&lt;&gt;"",", "&amp;O269,"")&amp;". "&amp;IF(ISNUMBER(AB269),"The "&amp;AC269&amp;" slot at "&amp;X269&amp;" is "&amp;IF(ISNUMBER(AB269),TEXT(AB269,"ddd d mmm")&amp;", "&amp;TEXT(AB269,"hh:mm"),"weekday evenings"),"We can book "&amp;AC269&amp;" at "&amp;X269&amp;" on a weekday evening that suits you")&amp;" and it's "&amp;IF(AD269&lt;&gt;"","£"&amp;IF(AD269=INT(AD269),TEXT(AD269,"0"),TEXT(AD269,"0.00")),"[PRICE PER PLAYER]")&amp;" a player, all booked and paid through one link. If football isn't your thing, who at "&amp;F269&amp;" would be the right person to organise a team game?"&amp;IF(Offer!$C$7&lt;&gt;""," Spots are held until "&amp;TEXT(Offer!$C$7,"dddd d mmmm")&amp;".","")&amp;" "&amp;IF(Offer!$C$6&lt;&gt;"",Offer!$C$6,"[JOINING LINK]")</f>
        <v/>
      </c>
      <c r="AK269" s="14">
        <f>IF(OR(ISNUMBER(SEARCH("[",AG269)),ISNUMBER(SEARCH("[",AJ269))),"Fill placeholders",IF(ISNUMBER(AB269),"Ready to send","Ready · no fixed slot"))</f>
        <v/>
      </c>
      <c r="AN269" s="17" t="n"/>
    </row>
    <row r="270">
      <c r="A270" s="11" t="n">
        <v>268</v>
      </c>
      <c r="B270" s="11" t="n">
        <v>3</v>
      </c>
      <c r="C270" s="11" t="inlineStr">
        <is>
          <t>Insurance / broker</t>
        </is>
      </c>
      <c r="D270" s="11" t="inlineStr">
        <is>
          <t>City of London</t>
        </is>
      </c>
      <c r="E270" s="11" t="inlineStr">
        <is>
          <t>Dashwood Group Ltd</t>
        </is>
      </c>
      <c r="F270" s="11" t="inlineStr">
        <is>
          <t>Dashwood</t>
        </is>
      </c>
      <c r="G270" s="11" t="inlineStr">
        <is>
          <t>00687923</t>
        </is>
      </c>
      <c r="H270" s="12" t="inlineStr">
        <is>
          <t>Open</t>
        </is>
      </c>
      <c r="I270" s="12" t="inlineStr">
        <is>
          <t>Search</t>
        </is>
      </c>
      <c r="J270" s="11" t="inlineStr">
        <is>
          <t>Full</t>
        </is>
      </c>
      <c r="K270" s="13" t="n">
        <v>22367</v>
      </c>
      <c r="L270" s="11" t="inlineStr">
        <is>
          <t>Dbp House, 63 Mark Lane, London</t>
        </is>
      </c>
      <c r="M270" s="11" t="inlineStr">
        <is>
          <t>EC3R 7NQ</t>
        </is>
      </c>
      <c r="N270" s="11" t="inlineStr">
        <is>
          <t>Yes</t>
        </is>
      </c>
      <c r="U270" s="11" t="inlineStr">
        <is>
          <t>Liverpool St - Attlee Centre</t>
        </is>
      </c>
      <c r="V270" s="11" t="n">
        <v>14</v>
      </c>
      <c r="W270" s="11" t="n"/>
      <c r="X270" s="11" t="inlineStr">
        <is>
          <t>Liverpool St - Attlee Centre</t>
        </is>
      </c>
      <c r="Y270" s="11" t="n">
        <v>14</v>
      </c>
      <c r="Z270" s="14">
        <f>IFERROR(INDEX(Venues!$E$2:$E$15,MATCH(X270,Venues!$A$2:$A$15,0)),"Not checked")</f>
        <v/>
      </c>
      <c r="AA270" s="14">
        <f>IFERROR(INDEX(Venues!$F$2:$F$15,MATCH(X270,Venues!$A$2:$A$15,0)),0)</f>
        <v/>
      </c>
      <c r="AB270" s="15">
        <f>IFERROR(INDEX(Venues!$M$2:$M$15,MATCH(X270,Venues!$A$2:$A$15,0)),"")</f>
        <v/>
      </c>
      <c r="AC270" s="14">
        <f>IFERROR(INDEX(Venues!$N$2:$N$15,MATCH(X270,Venues!$A$2:$A$15,0)),"5-a-side")</f>
        <v/>
      </c>
      <c r="AD270" s="16">
        <f>IF(Offer!$C$4="","",Offer!$C$4)</f>
        <v/>
      </c>
      <c r="AE270" s="14">
        <f>X270&amp;" ("&amp;Y270&amp;" min walk) · "&amp;IF(ISNUMBER(AB270),TEXT(AB270,"ddd d mmm, hh:mm"),"slot to confirm with venue")&amp;" · "&amp;AC270&amp;" · "&amp;IF(AD270&lt;&gt;"","£"&amp;TEXT(AD270,"0.00")&amp;" pp","price TBC")</f>
        <v/>
      </c>
      <c r="AF270" s="14">
        <f>"After-work football for "&amp;F270&amp;" · "&amp;X270&amp;", "&amp;Y270&amp;" min from your office"</f>
        <v/>
      </c>
      <c r="AG270" s="14">
        <f>"Hi"&amp;IF(O270&lt;&gt;""," "&amp;O270,"")&amp;","&amp;CHAR(10)&amp;CHAR(10)&amp;"I'm "&amp;IF(AL270&lt;&gt;"",AL270,IF(Offer!$C$5&lt;&gt;"",Offer!$C$5,"[NAME]"))&amp;" from FC Urban. We organise after-work football for teams in the City and Canary Wharf."&amp;CHAR(10)&amp;CHAR(10)&amp;"We have a "&amp;AC270&amp;" pitch at "&amp;X270&amp;", "&amp;IF(OR(Y270=8,Y270=11,Y270=18),"an ","a ")&amp;Y270&amp;"-minute walk from your "&amp;M270&amp;" office, "&amp;IF(ISNUMBER(AB270),"on "&amp;TEXT(AB270,"dddd d mmmm")&amp;" at "&amp;TEXT(AB270,"hh:mm"),"on a weekday evening that suits your team")&amp;". It's "&amp;IF(AD270&lt;&gt;"","£"&amp;IF(AD270=INT(AD270),TEXT(AD270,"0"),TEXT(AD270,"0.00")),"[PRICE PER PLAYER]")&amp;" a player and we handle the pitch booking, sign-ups and payments, so all it takes is one person sharing a link with the team."&amp;CHAR(10)&amp;CHAR(10)&amp;"It works well as a team social or "&amp;IF(ISNUMBER(SEARCH(LEFT(F270,1),"AEIOU")),"an ","a ")&amp;F270&amp;"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LINK]")&amp;CHAR(10)&amp;CHAR(10)&amp;"Best,"&amp;CHAR(10)&amp;IF(AL270&lt;&gt;"",AL270,IF(Offer!$C$5&lt;&gt;"",Offer!$C$5,"[NAME]"))&amp;CHAR(10)&amp;"FC Urban"</f>
        <v/>
      </c>
      <c r="AH270" s="14">
        <f>IF(LEN("Hi"&amp;IF(O270&lt;&gt;""," "&amp;O270,"")&amp;","&amp;" FC Urban runs after-work football for "&amp;IF(D270="Canary Wharf","Canary Wharf","City")&amp;" teams. We have a "&amp;AC270&amp;" pitch at "&amp;X270&amp;", "&amp;Y270&amp;" min from your office, "&amp;IF(ISNUMBER(AB270),TEXT(AB270,"ddd d mmm")&amp;", "&amp;TEXT(AB270,"hh:mm"),"weekday evenings")&amp;", "&amp;IF(AD270&lt;&gt;"","£"&amp;IF(AD270=INT(AD270),TEXT(AD270,"0"),TEXT(AD270,"0.00")),"[PRICE PER PLAYER]")&amp;" a player. We handle booking, sign-ups and payments. Fancy "&amp;IF(ISNUMBER(SEARCH(LEFT(F270,1),"AEIOU")),"an ","a ")&amp;F270&amp;" team game? "&amp;IF(AL270&lt;&gt;"",AL270,IF(Offer!$C$5&lt;&gt;"",Offer!$C$5,"[NAME]")))&lt;=300,"Hi"&amp;IF(O270&lt;&gt;""," "&amp;O270,"")&amp;","&amp;" FC Urban runs after-work football for "&amp;IF(D270="Canary Wharf","Canary Wharf","City")&amp;" teams. We have a "&amp;AC270&amp;" pitch at "&amp;X270&amp;", "&amp;Y270&amp;" min from your office, "&amp;IF(ISNUMBER(AB270),TEXT(AB270,"ddd d mmm")&amp;", "&amp;TEXT(AB270,"hh:mm"),"weekday evenings")&amp;", "&amp;IF(AD270&lt;&gt;"","£"&amp;IF(AD270=INT(AD270),TEXT(AD270,"0"),TEXT(AD270,"0.00")),"[PRICE PER PLAYER]")&amp;" a player. We handle booking, sign-ups and payments. Fancy "&amp;IF(ISNUMBER(SEARCH(LEFT(F270,1),"AEIOU")),"an ","a ")&amp;F270&amp;" team game? "&amp;IF(AL270&lt;&gt;"",AL270,IF(Offer!$C$5&lt;&gt;"",Offer!$C$5,"[NAME]")),LEFT("Hi"&amp;IF(O270&lt;&gt;""," "&amp;O270,"")&amp;","&amp;" FC Urban runs after-work football for "&amp;IF(D270="Canary Wharf","Canary Wharf","City")&amp;" teams: "&amp;AC270&amp;" at "&amp;X270&amp;", "&amp;Y270&amp;" min from your office, "&amp;IF(ISNUMBER(AB270),TEXT(AB270,"ddd d mmm")&amp;", "&amp;TEXT(AB270,"hh:mm"),"weekday evenings")&amp;", "&amp;IF(AD270&lt;&gt;"","£"&amp;IF(AD270=INT(AD270),TEXT(AD270,"0"),TEXT(AD270,"0.00")),"[PRICE PER PLAYER]")&amp;" pp. We handle booking and payments. Up for a team game? "&amp;IF(AL270&lt;&gt;"",AL270,IF(Offer!$C$5&lt;&gt;"",Offer!$C$5,"[NAME]")),300))</f>
        <v/>
      </c>
      <c r="AI270" s="14">
        <f>LEN(AH270)</f>
        <v/>
      </c>
      <c r="AJ270" s="14">
        <f>"Thanks for connecting"&amp;IF(O270&lt;&gt;"",", "&amp;O270,"")&amp;". "&amp;IF(ISNUMBER(AB270),"The "&amp;AC270&amp;" slot at "&amp;X270&amp;" is "&amp;IF(ISNUMBER(AB270),TEXT(AB270,"ddd d mmm")&amp;", "&amp;TEXT(AB270,"hh:mm"),"weekday evenings"),"We can book "&amp;AC270&amp;" at "&amp;X270&amp;" on a weekday evening that suits you")&amp;" and it's "&amp;IF(AD270&lt;&gt;"","£"&amp;IF(AD270=INT(AD270),TEXT(AD270,"0"),TEXT(AD270,"0.00")),"[PRICE PER PLAYER]")&amp;" a player, all booked and paid through one link. If football isn't your thing, who at "&amp;F270&amp;" would be the right person to organise a team game?"&amp;IF(Offer!$C$7&lt;&gt;""," Spots are held until "&amp;TEXT(Offer!$C$7,"dddd d mmmm")&amp;".","")&amp;" "&amp;IF(Offer!$C$6&lt;&gt;"",Offer!$C$6,"[JOINING LINK]")</f>
        <v/>
      </c>
      <c r="AK270" s="14">
        <f>IF(OR(ISNUMBER(SEARCH("[",AG270)),ISNUMBER(SEARCH("[",AJ270))),"Fill placeholders",IF(ISNUMBER(AB270),"Ready to send","Ready · no fixed slot"))</f>
        <v/>
      </c>
      <c r="AN270" s="17" t="n"/>
    </row>
    <row r="271">
      <c r="A271" s="11" t="n">
        <v>269</v>
      </c>
      <c r="B271" s="11" t="n">
        <v>3</v>
      </c>
      <c r="C271" s="11" t="inlineStr">
        <is>
          <t>Insurance / broker</t>
        </is>
      </c>
      <c r="D271" s="11" t="inlineStr">
        <is>
          <t>City of London</t>
        </is>
      </c>
      <c r="E271" s="11" t="inlineStr">
        <is>
          <t>Enstar Managing Agency Limited</t>
        </is>
      </c>
      <c r="F271" s="11" t="inlineStr">
        <is>
          <t>Enstar Managing Agency</t>
        </is>
      </c>
      <c r="G271" s="11" t="inlineStr">
        <is>
          <t>10595512</t>
        </is>
      </c>
      <c r="H271" s="12" t="inlineStr">
        <is>
          <t>Open</t>
        </is>
      </c>
      <c r="I271" s="12" t="inlineStr">
        <is>
          <t>Search</t>
        </is>
      </c>
      <c r="J271" s="11" t="inlineStr">
        <is>
          <t>Full</t>
        </is>
      </c>
      <c r="K271" s="13" t="n">
        <v>42767</v>
      </c>
      <c r="L271" s="11" t="inlineStr">
        <is>
          <t>12Th Floor, 70, Mark Lane, London</t>
        </is>
      </c>
      <c r="M271" s="11" t="inlineStr">
        <is>
          <t>EC3R 7NQ</t>
        </is>
      </c>
      <c r="N271" s="11" t="inlineStr">
        <is>
          <t>No</t>
        </is>
      </c>
      <c r="U271" s="11" t="inlineStr">
        <is>
          <t>Liverpool St - Attlee Centre</t>
        </is>
      </c>
      <c r="V271" s="11" t="n">
        <v>14</v>
      </c>
      <c r="W271" s="11" t="n"/>
      <c r="X271" s="11" t="inlineStr">
        <is>
          <t>Liverpool St - Attlee Centre</t>
        </is>
      </c>
      <c r="Y271" s="11" t="n">
        <v>14</v>
      </c>
      <c r="Z271" s="14">
        <f>IFERROR(INDEX(Venues!$E$2:$E$15,MATCH(X271,Venues!$A$2:$A$15,0)),"Not checked")</f>
        <v/>
      </c>
      <c r="AA271" s="14">
        <f>IFERROR(INDEX(Venues!$F$2:$F$15,MATCH(X271,Venues!$A$2:$A$15,0)),0)</f>
        <v/>
      </c>
      <c r="AB271" s="15">
        <f>IFERROR(INDEX(Venues!$M$2:$M$15,MATCH(X271,Venues!$A$2:$A$15,0)),"")</f>
        <v/>
      </c>
      <c r="AC271" s="14">
        <f>IFERROR(INDEX(Venues!$N$2:$N$15,MATCH(X271,Venues!$A$2:$A$15,0)),"5-a-side")</f>
        <v/>
      </c>
      <c r="AD271" s="16">
        <f>IF(Offer!$C$4="","",Offer!$C$4)</f>
        <v/>
      </c>
      <c r="AE271" s="14">
        <f>X271&amp;" ("&amp;Y271&amp;" min walk) · "&amp;IF(ISNUMBER(AB271),TEXT(AB271,"ddd d mmm, hh:mm"),"slot to confirm with venue")&amp;" · "&amp;AC271&amp;" · "&amp;IF(AD271&lt;&gt;"","£"&amp;TEXT(AD271,"0.00")&amp;" pp","price TBC")</f>
        <v/>
      </c>
      <c r="AF271" s="14">
        <f>"After-work football for "&amp;F271&amp;" · "&amp;X271&amp;", "&amp;Y271&amp;" min from your office"</f>
        <v/>
      </c>
      <c r="AG271" s="14">
        <f>"Hi"&amp;IF(O271&lt;&gt;""," "&amp;O271,"")&amp;","&amp;CHAR(10)&amp;CHAR(10)&amp;"I'm "&amp;IF(AL271&lt;&gt;"",AL271,IF(Offer!$C$5&lt;&gt;"",Offer!$C$5,"[NAME]"))&amp;" from FC Urban. We organise after-work football for teams in the City and Canary Wharf."&amp;CHAR(10)&amp;CHAR(10)&amp;"We have a "&amp;AC271&amp;" pitch at "&amp;X271&amp;", "&amp;IF(OR(Y271=8,Y271=11,Y271=18),"an ","a ")&amp;Y271&amp;"-minute walk from your "&amp;M271&amp;" office, "&amp;IF(ISNUMBER(AB271),"on "&amp;TEXT(AB271,"dddd d mmmm")&amp;" at "&amp;TEXT(AB271,"hh:mm"),"on a weekday evening that suits your team")&amp;". It's "&amp;IF(AD271&lt;&gt;"","£"&amp;IF(AD271=INT(AD271),TEXT(AD271,"0"),TEXT(AD271,"0.00")),"[PRICE PER PLAYER]")&amp;" a player and we handle the pitch booking, sign-ups and payments, so all it takes is one person sharing a link with the team."&amp;CHAR(10)&amp;CHAR(10)&amp;"It works well as a team social or "&amp;IF(ISNUMBER(SEARCH(LEFT(F271,1),"AEIOU")),"an ","a ")&amp;F271&amp;"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LINK]")&amp;CHAR(10)&amp;CHAR(10)&amp;"Best,"&amp;CHAR(10)&amp;IF(AL271&lt;&gt;"",AL271,IF(Offer!$C$5&lt;&gt;"",Offer!$C$5,"[NAME]"))&amp;CHAR(10)&amp;"FC Urban"</f>
        <v/>
      </c>
      <c r="AH271" s="14">
        <f>IF(LEN("Hi"&amp;IF(O271&lt;&gt;""," "&amp;O271,"")&amp;","&amp;" FC Urban runs after-work football for "&amp;IF(D271="Canary Wharf","Canary Wharf","City")&amp;" teams. We have a "&amp;AC271&amp;" pitch at "&amp;X271&amp;", "&amp;Y271&amp;" min from your office, "&amp;IF(ISNUMBER(AB271),TEXT(AB271,"ddd d mmm")&amp;", "&amp;TEXT(AB271,"hh:mm"),"weekday evenings")&amp;", "&amp;IF(AD271&lt;&gt;"","£"&amp;IF(AD271=INT(AD271),TEXT(AD271,"0"),TEXT(AD271,"0.00")),"[PRICE PER PLAYER]")&amp;" a player. We handle booking, sign-ups and payments. Fancy "&amp;IF(ISNUMBER(SEARCH(LEFT(F271,1),"AEIOU")),"an ","a ")&amp;F271&amp;" team game? "&amp;IF(AL271&lt;&gt;"",AL271,IF(Offer!$C$5&lt;&gt;"",Offer!$C$5,"[NAME]")))&lt;=300,"Hi"&amp;IF(O271&lt;&gt;""," "&amp;O271,"")&amp;","&amp;" FC Urban runs after-work football for "&amp;IF(D271="Canary Wharf","Canary Wharf","City")&amp;" teams. We have a "&amp;AC271&amp;" pitch at "&amp;X271&amp;", "&amp;Y271&amp;" min from your office, "&amp;IF(ISNUMBER(AB271),TEXT(AB271,"ddd d mmm")&amp;", "&amp;TEXT(AB271,"hh:mm"),"weekday evenings")&amp;", "&amp;IF(AD271&lt;&gt;"","£"&amp;IF(AD271=INT(AD271),TEXT(AD271,"0"),TEXT(AD271,"0.00")),"[PRICE PER PLAYER]")&amp;" a player. We handle booking, sign-ups and payments. Fancy "&amp;IF(ISNUMBER(SEARCH(LEFT(F271,1),"AEIOU")),"an ","a ")&amp;F271&amp;" team game? "&amp;IF(AL271&lt;&gt;"",AL271,IF(Offer!$C$5&lt;&gt;"",Offer!$C$5,"[NAME]")),LEFT("Hi"&amp;IF(O271&lt;&gt;""," "&amp;O271,"")&amp;","&amp;" FC Urban runs after-work football for "&amp;IF(D271="Canary Wharf","Canary Wharf","City")&amp;" teams: "&amp;AC271&amp;" at "&amp;X271&amp;", "&amp;Y271&amp;" min from your office, "&amp;IF(ISNUMBER(AB271),TEXT(AB271,"ddd d mmm")&amp;", "&amp;TEXT(AB271,"hh:mm"),"weekday evenings")&amp;", "&amp;IF(AD271&lt;&gt;"","£"&amp;IF(AD271=INT(AD271),TEXT(AD271,"0"),TEXT(AD271,"0.00")),"[PRICE PER PLAYER]")&amp;" pp. We handle booking and payments. Up for a team game? "&amp;IF(AL271&lt;&gt;"",AL271,IF(Offer!$C$5&lt;&gt;"",Offer!$C$5,"[NAME]")),300))</f>
        <v/>
      </c>
      <c r="AI271" s="14">
        <f>LEN(AH271)</f>
        <v/>
      </c>
      <c r="AJ271" s="14">
        <f>"Thanks for connecting"&amp;IF(O271&lt;&gt;"",", "&amp;O271,"")&amp;". "&amp;IF(ISNUMBER(AB271),"The "&amp;AC271&amp;" slot at "&amp;X271&amp;" is "&amp;IF(ISNUMBER(AB271),TEXT(AB271,"ddd d mmm")&amp;", "&amp;TEXT(AB271,"hh:mm"),"weekday evenings"),"We can book "&amp;AC271&amp;" at "&amp;X271&amp;" on a weekday evening that suits you")&amp;" and it's "&amp;IF(AD271&lt;&gt;"","£"&amp;IF(AD271=INT(AD271),TEXT(AD271,"0"),TEXT(AD271,"0.00")),"[PRICE PER PLAYER]")&amp;" a player, all booked and paid through one link. If football isn't your thing, who at "&amp;F271&amp;" would be the right person to organise a team game?"&amp;IF(Offer!$C$7&lt;&gt;""," Spots are held until "&amp;TEXT(Offer!$C$7,"dddd d mmmm")&amp;".","")&amp;" "&amp;IF(Offer!$C$6&lt;&gt;"",Offer!$C$6,"[JOINING LINK]")</f>
        <v/>
      </c>
      <c r="AK271" s="14">
        <f>IF(OR(ISNUMBER(SEARCH("[",AG271)),ISNUMBER(SEARCH("[",AJ271))),"Fill placeholders",IF(ISNUMBER(AB271),"Ready to send","Ready · no fixed slot"))</f>
        <v/>
      </c>
      <c r="AN271" s="17" t="n"/>
    </row>
    <row r="272">
      <c r="A272" s="11" t="n">
        <v>270</v>
      </c>
      <c r="B272" s="11" t="n">
        <v>3</v>
      </c>
      <c r="C272" s="11" t="inlineStr">
        <is>
          <t>Insurance / broker</t>
        </is>
      </c>
      <c r="D272" s="11" t="inlineStr">
        <is>
          <t>City of London</t>
        </is>
      </c>
      <c r="E272" s="11" t="inlineStr">
        <is>
          <t>Miller Re Limited</t>
        </is>
      </c>
      <c r="F272" s="11" t="inlineStr">
        <is>
          <t>Miller Re</t>
        </is>
      </c>
      <c r="G272" s="11" t="inlineStr">
        <is>
          <t>02258855</t>
        </is>
      </c>
      <c r="H272" s="12" t="inlineStr">
        <is>
          <t>Open</t>
        </is>
      </c>
      <c r="I272" s="12" t="inlineStr">
        <is>
          <t>Search</t>
        </is>
      </c>
      <c r="J272" s="11" t="inlineStr">
        <is>
          <t>Full</t>
        </is>
      </c>
      <c r="K272" s="13" t="n">
        <v>32280</v>
      </c>
      <c r="L272" s="11" t="inlineStr">
        <is>
          <t>70 Mark Lane, London</t>
        </is>
      </c>
      <c r="M272" s="11" t="inlineStr">
        <is>
          <t>EC3R 7NQ</t>
        </is>
      </c>
      <c r="N272" s="11" t="inlineStr">
        <is>
          <t>No</t>
        </is>
      </c>
      <c r="U272" s="11" t="inlineStr">
        <is>
          <t>Liverpool St - Attlee Centre</t>
        </is>
      </c>
      <c r="V272" s="11" t="n">
        <v>14</v>
      </c>
      <c r="W272" s="11" t="n"/>
      <c r="X272" s="11" t="inlineStr">
        <is>
          <t>Liverpool St - Attlee Centre</t>
        </is>
      </c>
      <c r="Y272" s="11" t="n">
        <v>14</v>
      </c>
      <c r="Z272" s="14">
        <f>IFERROR(INDEX(Venues!$E$2:$E$15,MATCH(X272,Venues!$A$2:$A$15,0)),"Not checked")</f>
        <v/>
      </c>
      <c r="AA272" s="14">
        <f>IFERROR(INDEX(Venues!$F$2:$F$15,MATCH(X272,Venues!$A$2:$A$15,0)),0)</f>
        <v/>
      </c>
      <c r="AB272" s="15">
        <f>IFERROR(INDEX(Venues!$M$2:$M$15,MATCH(X272,Venues!$A$2:$A$15,0)),"")</f>
        <v/>
      </c>
      <c r="AC272" s="14">
        <f>IFERROR(INDEX(Venues!$N$2:$N$15,MATCH(X272,Venues!$A$2:$A$15,0)),"5-a-side")</f>
        <v/>
      </c>
      <c r="AD272" s="16">
        <f>IF(Offer!$C$4="","",Offer!$C$4)</f>
        <v/>
      </c>
      <c r="AE272" s="14">
        <f>X272&amp;" ("&amp;Y272&amp;" min walk) · "&amp;IF(ISNUMBER(AB272),TEXT(AB272,"ddd d mmm, hh:mm"),"slot to confirm with venue")&amp;" · "&amp;AC272&amp;" · "&amp;IF(AD272&lt;&gt;"","£"&amp;TEXT(AD272,"0.00")&amp;" pp","price TBC")</f>
        <v/>
      </c>
      <c r="AF272" s="14">
        <f>"After-work football for "&amp;F272&amp;" · "&amp;X272&amp;", "&amp;Y272&amp;" min from your office"</f>
        <v/>
      </c>
      <c r="AG272" s="14">
        <f>"Hi"&amp;IF(O272&lt;&gt;""," "&amp;O272,"")&amp;","&amp;CHAR(10)&amp;CHAR(10)&amp;"I'm "&amp;IF(AL272&lt;&gt;"",AL272,IF(Offer!$C$5&lt;&gt;"",Offer!$C$5,"[NAME]"))&amp;" from FC Urban. We organise after-work football for teams in the City and Canary Wharf."&amp;CHAR(10)&amp;CHAR(10)&amp;"We have a "&amp;AC272&amp;" pitch at "&amp;X272&amp;", "&amp;IF(OR(Y272=8,Y272=11,Y272=18),"an ","a ")&amp;Y272&amp;"-minute walk from your "&amp;M272&amp;" office, "&amp;IF(ISNUMBER(AB272),"on "&amp;TEXT(AB272,"dddd d mmmm")&amp;" at "&amp;TEXT(AB272,"hh:mm"),"on a weekday evening that suits your team")&amp;". It's "&amp;IF(AD272&lt;&gt;"","£"&amp;IF(AD272=INT(AD272),TEXT(AD272,"0"),TEXT(AD272,"0.00")),"[PRICE PER PLAYER]")&amp;" a player and we handle the pitch booking, sign-ups and payments, so all it takes is one person sharing a link with the team."&amp;CHAR(10)&amp;CHAR(10)&amp;"It works well as a team social or "&amp;IF(ISNUMBER(SEARCH(LEFT(F272,1),"AEIOU")),"an ","a ")&amp;F272&amp;"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LINK]")&amp;CHAR(10)&amp;CHAR(10)&amp;"Best,"&amp;CHAR(10)&amp;IF(AL272&lt;&gt;"",AL272,IF(Offer!$C$5&lt;&gt;"",Offer!$C$5,"[NAME]"))&amp;CHAR(10)&amp;"FC Urban"</f>
        <v/>
      </c>
      <c r="AH272" s="14">
        <f>IF(LEN("Hi"&amp;IF(O272&lt;&gt;""," "&amp;O272,"")&amp;","&amp;" FC Urban runs after-work football for "&amp;IF(D272="Canary Wharf","Canary Wharf","City")&amp;" teams. We have a "&amp;AC272&amp;" pitch at "&amp;X272&amp;", "&amp;Y272&amp;" min from your office, "&amp;IF(ISNUMBER(AB272),TEXT(AB272,"ddd d mmm")&amp;", "&amp;TEXT(AB272,"hh:mm"),"weekday evenings")&amp;", "&amp;IF(AD272&lt;&gt;"","£"&amp;IF(AD272=INT(AD272),TEXT(AD272,"0"),TEXT(AD272,"0.00")),"[PRICE PER PLAYER]")&amp;" a player. We handle booking, sign-ups and payments. Fancy "&amp;IF(ISNUMBER(SEARCH(LEFT(F272,1),"AEIOU")),"an ","a ")&amp;F272&amp;" team game? "&amp;IF(AL272&lt;&gt;"",AL272,IF(Offer!$C$5&lt;&gt;"",Offer!$C$5,"[NAME]")))&lt;=300,"Hi"&amp;IF(O272&lt;&gt;""," "&amp;O272,"")&amp;","&amp;" FC Urban runs after-work football for "&amp;IF(D272="Canary Wharf","Canary Wharf","City")&amp;" teams. We have a "&amp;AC272&amp;" pitch at "&amp;X272&amp;", "&amp;Y272&amp;" min from your office, "&amp;IF(ISNUMBER(AB272),TEXT(AB272,"ddd d mmm")&amp;", "&amp;TEXT(AB272,"hh:mm"),"weekday evenings")&amp;", "&amp;IF(AD272&lt;&gt;"","£"&amp;IF(AD272=INT(AD272),TEXT(AD272,"0"),TEXT(AD272,"0.00")),"[PRICE PER PLAYER]")&amp;" a player. We handle booking, sign-ups and payments. Fancy "&amp;IF(ISNUMBER(SEARCH(LEFT(F272,1),"AEIOU")),"an ","a ")&amp;F272&amp;" team game? "&amp;IF(AL272&lt;&gt;"",AL272,IF(Offer!$C$5&lt;&gt;"",Offer!$C$5,"[NAME]")),LEFT("Hi"&amp;IF(O272&lt;&gt;""," "&amp;O272,"")&amp;","&amp;" FC Urban runs after-work football for "&amp;IF(D272="Canary Wharf","Canary Wharf","City")&amp;" teams: "&amp;AC272&amp;" at "&amp;X272&amp;", "&amp;Y272&amp;" min from your office, "&amp;IF(ISNUMBER(AB272),TEXT(AB272,"ddd d mmm")&amp;", "&amp;TEXT(AB272,"hh:mm"),"weekday evenings")&amp;", "&amp;IF(AD272&lt;&gt;"","£"&amp;IF(AD272=INT(AD272),TEXT(AD272,"0"),TEXT(AD272,"0.00")),"[PRICE PER PLAYER]")&amp;" pp. We handle booking and payments. Up for a team game? "&amp;IF(AL272&lt;&gt;"",AL272,IF(Offer!$C$5&lt;&gt;"",Offer!$C$5,"[NAME]")),300))</f>
        <v/>
      </c>
      <c r="AI272" s="14">
        <f>LEN(AH272)</f>
        <v/>
      </c>
      <c r="AJ272" s="14">
        <f>"Thanks for connecting"&amp;IF(O272&lt;&gt;"",", "&amp;O272,"")&amp;". "&amp;IF(ISNUMBER(AB272),"The "&amp;AC272&amp;" slot at "&amp;X272&amp;" is "&amp;IF(ISNUMBER(AB272),TEXT(AB272,"ddd d mmm")&amp;", "&amp;TEXT(AB272,"hh:mm"),"weekday evenings"),"We can book "&amp;AC272&amp;" at "&amp;X272&amp;" on a weekday evening that suits you")&amp;" and it's "&amp;IF(AD272&lt;&gt;"","£"&amp;IF(AD272=INT(AD272),TEXT(AD272,"0"),TEXT(AD272,"0.00")),"[PRICE PER PLAYER]")&amp;" a player, all booked and paid through one link. If football isn't your thing, who at "&amp;F272&amp;" would be the right person to organise a team game?"&amp;IF(Offer!$C$7&lt;&gt;""," Spots are held until "&amp;TEXT(Offer!$C$7,"dddd d mmmm")&amp;".","")&amp;" "&amp;IF(Offer!$C$6&lt;&gt;"",Offer!$C$6,"[JOINING LINK]")</f>
        <v/>
      </c>
      <c r="AK272" s="14">
        <f>IF(OR(ISNUMBER(SEARCH("[",AG272)),ISNUMBER(SEARCH("[",AJ272))),"Fill placeholders",IF(ISNUMBER(AB272),"Ready to send","Ready · no fixed slot"))</f>
        <v/>
      </c>
      <c r="AN272" s="17" t="n"/>
    </row>
    <row r="273">
      <c r="A273" s="11" t="n">
        <v>271</v>
      </c>
      <c r="B273" s="11" t="n">
        <v>3</v>
      </c>
      <c r="C273" s="11" t="inlineStr">
        <is>
          <t>Insurance / broker</t>
        </is>
      </c>
      <c r="D273" s="11" t="inlineStr">
        <is>
          <t>City of London</t>
        </is>
      </c>
      <c r="E273" s="11" t="inlineStr">
        <is>
          <t>Shelbourne Group Limited</t>
        </is>
      </c>
      <c r="F273" s="11" t="inlineStr">
        <is>
          <t>Shelbourne</t>
        </is>
      </c>
      <c r="G273" s="11" t="inlineStr">
        <is>
          <t>06026971</t>
        </is>
      </c>
      <c r="H273" s="12" t="inlineStr">
        <is>
          <t>Open</t>
        </is>
      </c>
      <c r="I273" s="12" t="inlineStr">
        <is>
          <t>Search</t>
        </is>
      </c>
      <c r="J273" s="11" t="inlineStr">
        <is>
          <t>Full</t>
        </is>
      </c>
      <c r="K273" s="13" t="n">
        <v>39064</v>
      </c>
      <c r="L273" s="11" t="inlineStr">
        <is>
          <t>12Th Floor, 70, Mark Lane, London</t>
        </is>
      </c>
      <c r="M273" s="11" t="inlineStr">
        <is>
          <t>EC3R 7NQ</t>
        </is>
      </c>
      <c r="N273" s="11" t="inlineStr">
        <is>
          <t>No</t>
        </is>
      </c>
      <c r="U273" s="11" t="inlineStr">
        <is>
          <t>Liverpool St - Attlee Centre</t>
        </is>
      </c>
      <c r="V273" s="11" t="n">
        <v>14</v>
      </c>
      <c r="W273" s="11" t="n"/>
      <c r="X273" s="11" t="inlineStr">
        <is>
          <t>Liverpool St - Attlee Centre</t>
        </is>
      </c>
      <c r="Y273" s="11" t="n">
        <v>14</v>
      </c>
      <c r="Z273" s="14">
        <f>IFERROR(INDEX(Venues!$E$2:$E$15,MATCH(X273,Venues!$A$2:$A$15,0)),"Not checked")</f>
        <v/>
      </c>
      <c r="AA273" s="14">
        <f>IFERROR(INDEX(Venues!$F$2:$F$15,MATCH(X273,Venues!$A$2:$A$15,0)),0)</f>
        <v/>
      </c>
      <c r="AB273" s="15">
        <f>IFERROR(INDEX(Venues!$M$2:$M$15,MATCH(X273,Venues!$A$2:$A$15,0)),"")</f>
        <v/>
      </c>
      <c r="AC273" s="14">
        <f>IFERROR(INDEX(Venues!$N$2:$N$15,MATCH(X273,Venues!$A$2:$A$15,0)),"5-a-side")</f>
        <v/>
      </c>
      <c r="AD273" s="16">
        <f>IF(Offer!$C$4="","",Offer!$C$4)</f>
        <v/>
      </c>
      <c r="AE273" s="14">
        <f>X273&amp;" ("&amp;Y273&amp;" min walk) · "&amp;IF(ISNUMBER(AB273),TEXT(AB273,"ddd d mmm, hh:mm"),"slot to confirm with venue")&amp;" · "&amp;AC273&amp;" · "&amp;IF(AD273&lt;&gt;"","£"&amp;TEXT(AD273,"0.00")&amp;" pp","price TBC")</f>
        <v/>
      </c>
      <c r="AF273" s="14">
        <f>"After-work football for "&amp;F273&amp;" · "&amp;X273&amp;", "&amp;Y273&amp;" min from your office"</f>
        <v/>
      </c>
      <c r="AG273" s="14">
        <f>"Hi"&amp;IF(O273&lt;&gt;""," "&amp;O273,"")&amp;","&amp;CHAR(10)&amp;CHAR(10)&amp;"I'm "&amp;IF(AL273&lt;&gt;"",AL273,IF(Offer!$C$5&lt;&gt;"",Offer!$C$5,"[NAME]"))&amp;" from FC Urban. We organise after-work football for teams in the City and Canary Wharf."&amp;CHAR(10)&amp;CHAR(10)&amp;"We have a "&amp;AC273&amp;" pitch at "&amp;X273&amp;", "&amp;IF(OR(Y273=8,Y273=11,Y273=18),"an ","a ")&amp;Y273&amp;"-minute walk from your "&amp;M273&amp;" office, "&amp;IF(ISNUMBER(AB273),"on "&amp;TEXT(AB273,"dddd d mmmm")&amp;" at "&amp;TEXT(AB273,"hh:mm"),"on a weekday evening that suits your team")&amp;". It's "&amp;IF(AD273&lt;&gt;"","£"&amp;IF(AD273=INT(AD273),TEXT(AD273,"0"),TEXT(AD273,"0.00")),"[PRICE PER PLAYER]")&amp;" a player and we handle the pitch booking, sign-ups and payments, so all it takes is one person sharing a link with the team."&amp;CHAR(10)&amp;CHAR(10)&amp;"It works well as a team social or "&amp;IF(ISNUMBER(SEARCH(LEFT(F273,1),"AEIOU")),"an ","a ")&amp;F273&amp;"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LINK]")&amp;CHAR(10)&amp;CHAR(10)&amp;"Best,"&amp;CHAR(10)&amp;IF(AL273&lt;&gt;"",AL273,IF(Offer!$C$5&lt;&gt;"",Offer!$C$5,"[NAME]"))&amp;CHAR(10)&amp;"FC Urban"</f>
        <v/>
      </c>
      <c r="AH273" s="14">
        <f>IF(LEN("Hi"&amp;IF(O273&lt;&gt;""," "&amp;O273,"")&amp;","&amp;" FC Urban runs after-work football for "&amp;IF(D273="Canary Wharf","Canary Wharf","City")&amp;" teams. We have a "&amp;AC273&amp;" pitch at "&amp;X273&amp;", "&amp;Y273&amp;" min from your office, "&amp;IF(ISNUMBER(AB273),TEXT(AB273,"ddd d mmm")&amp;", "&amp;TEXT(AB273,"hh:mm"),"weekday evenings")&amp;", "&amp;IF(AD273&lt;&gt;"","£"&amp;IF(AD273=INT(AD273),TEXT(AD273,"0"),TEXT(AD273,"0.00")),"[PRICE PER PLAYER]")&amp;" a player. We handle booking, sign-ups and payments. Fancy "&amp;IF(ISNUMBER(SEARCH(LEFT(F273,1),"AEIOU")),"an ","a ")&amp;F273&amp;" team game? "&amp;IF(AL273&lt;&gt;"",AL273,IF(Offer!$C$5&lt;&gt;"",Offer!$C$5,"[NAME]")))&lt;=300,"Hi"&amp;IF(O273&lt;&gt;""," "&amp;O273,"")&amp;","&amp;" FC Urban runs after-work football for "&amp;IF(D273="Canary Wharf","Canary Wharf","City")&amp;" teams. We have a "&amp;AC273&amp;" pitch at "&amp;X273&amp;", "&amp;Y273&amp;" min from your office, "&amp;IF(ISNUMBER(AB273),TEXT(AB273,"ddd d mmm")&amp;", "&amp;TEXT(AB273,"hh:mm"),"weekday evenings")&amp;", "&amp;IF(AD273&lt;&gt;"","£"&amp;IF(AD273=INT(AD273),TEXT(AD273,"0"),TEXT(AD273,"0.00")),"[PRICE PER PLAYER]")&amp;" a player. We handle booking, sign-ups and payments. Fancy "&amp;IF(ISNUMBER(SEARCH(LEFT(F273,1),"AEIOU")),"an ","a ")&amp;F273&amp;" team game? "&amp;IF(AL273&lt;&gt;"",AL273,IF(Offer!$C$5&lt;&gt;"",Offer!$C$5,"[NAME]")),LEFT("Hi"&amp;IF(O273&lt;&gt;""," "&amp;O273,"")&amp;","&amp;" FC Urban runs after-work football for "&amp;IF(D273="Canary Wharf","Canary Wharf","City")&amp;" teams: "&amp;AC273&amp;" at "&amp;X273&amp;", "&amp;Y273&amp;" min from your office, "&amp;IF(ISNUMBER(AB273),TEXT(AB273,"ddd d mmm")&amp;", "&amp;TEXT(AB273,"hh:mm"),"weekday evenings")&amp;", "&amp;IF(AD273&lt;&gt;"","£"&amp;IF(AD273=INT(AD273),TEXT(AD273,"0"),TEXT(AD273,"0.00")),"[PRICE PER PLAYER]")&amp;" pp. We handle booking and payments. Up for a team game? "&amp;IF(AL273&lt;&gt;"",AL273,IF(Offer!$C$5&lt;&gt;"",Offer!$C$5,"[NAME]")),300))</f>
        <v/>
      </c>
      <c r="AI273" s="14">
        <f>LEN(AH273)</f>
        <v/>
      </c>
      <c r="AJ273" s="14">
        <f>"Thanks for connecting"&amp;IF(O273&lt;&gt;"",", "&amp;O273,"")&amp;". "&amp;IF(ISNUMBER(AB273),"The "&amp;AC273&amp;" slot at "&amp;X273&amp;" is "&amp;IF(ISNUMBER(AB273),TEXT(AB273,"ddd d mmm")&amp;", "&amp;TEXT(AB273,"hh:mm"),"weekday evenings"),"We can book "&amp;AC273&amp;" at "&amp;X273&amp;" on a weekday evening that suits you")&amp;" and it's "&amp;IF(AD273&lt;&gt;"","£"&amp;IF(AD273=INT(AD273),TEXT(AD273,"0"),TEXT(AD273,"0.00")),"[PRICE PER PLAYER]")&amp;" a player, all booked and paid through one link. If football isn't your thing, who at "&amp;F273&amp;" would be the right person to organise a team game?"&amp;IF(Offer!$C$7&lt;&gt;""," Spots are held until "&amp;TEXT(Offer!$C$7,"dddd d mmmm")&amp;".","")&amp;" "&amp;IF(Offer!$C$6&lt;&gt;"",Offer!$C$6,"[JOINING LINK]")</f>
        <v/>
      </c>
      <c r="AK273" s="14">
        <f>IF(OR(ISNUMBER(SEARCH("[",AG273)),ISNUMBER(SEARCH("[",AJ273))),"Fill placeholders",IF(ISNUMBER(AB273),"Ready to send","Ready · no fixed slot"))</f>
        <v/>
      </c>
      <c r="AN273" s="17" t="n"/>
    </row>
    <row r="274">
      <c r="A274" s="11" t="n">
        <v>272</v>
      </c>
      <c r="B274" s="11" t="n">
        <v>3</v>
      </c>
      <c r="C274" s="11" t="inlineStr">
        <is>
          <t>Insurance / broker</t>
        </is>
      </c>
      <c r="D274" s="11" t="inlineStr">
        <is>
          <t>City of London</t>
        </is>
      </c>
      <c r="E274" s="11" t="inlineStr">
        <is>
          <t>Six Clerks Insurance Services Limited</t>
        </is>
      </c>
      <c r="F274" s="11" t="inlineStr">
        <is>
          <t>Six Clerks Insurance</t>
        </is>
      </c>
      <c r="G274" s="11" t="inlineStr">
        <is>
          <t>08517341</t>
        </is>
      </c>
      <c r="H274" s="12" t="inlineStr">
        <is>
          <t>Open</t>
        </is>
      </c>
      <c r="I274" s="12" t="inlineStr">
        <is>
          <t>Search</t>
        </is>
      </c>
      <c r="J274" s="11" t="inlineStr">
        <is>
          <t>Full</t>
        </is>
      </c>
      <c r="K274" s="13" t="n">
        <v>41401</v>
      </c>
      <c r="L274" s="11" t="inlineStr">
        <is>
          <t>70 Mark Lane, London</t>
        </is>
      </c>
      <c r="M274" s="11" t="inlineStr">
        <is>
          <t>EC3R 7NQ</t>
        </is>
      </c>
      <c r="N274" s="11" t="inlineStr">
        <is>
          <t>Yes</t>
        </is>
      </c>
      <c r="U274" s="11" t="inlineStr">
        <is>
          <t>Liverpool St - Attlee Centre</t>
        </is>
      </c>
      <c r="V274" s="11" t="n">
        <v>14</v>
      </c>
      <c r="W274" s="11" t="n"/>
      <c r="X274" s="11" t="inlineStr">
        <is>
          <t>Liverpool St - Attlee Centre</t>
        </is>
      </c>
      <c r="Y274" s="11" t="n">
        <v>14</v>
      </c>
      <c r="Z274" s="14">
        <f>IFERROR(INDEX(Venues!$E$2:$E$15,MATCH(X274,Venues!$A$2:$A$15,0)),"Not checked")</f>
        <v/>
      </c>
      <c r="AA274" s="14">
        <f>IFERROR(INDEX(Venues!$F$2:$F$15,MATCH(X274,Venues!$A$2:$A$15,0)),0)</f>
        <v/>
      </c>
      <c r="AB274" s="15">
        <f>IFERROR(INDEX(Venues!$M$2:$M$15,MATCH(X274,Venues!$A$2:$A$15,0)),"")</f>
        <v/>
      </c>
      <c r="AC274" s="14">
        <f>IFERROR(INDEX(Venues!$N$2:$N$15,MATCH(X274,Venues!$A$2:$A$15,0)),"5-a-side")</f>
        <v/>
      </c>
      <c r="AD274" s="16">
        <f>IF(Offer!$C$4="","",Offer!$C$4)</f>
        <v/>
      </c>
      <c r="AE274" s="14">
        <f>X274&amp;" ("&amp;Y274&amp;" min walk) · "&amp;IF(ISNUMBER(AB274),TEXT(AB274,"ddd d mmm, hh:mm"),"slot to confirm with venue")&amp;" · "&amp;AC274&amp;" · "&amp;IF(AD274&lt;&gt;"","£"&amp;TEXT(AD274,"0.00")&amp;" pp","price TBC")</f>
        <v/>
      </c>
      <c r="AF274" s="14">
        <f>"After-work football for "&amp;F274&amp;" · "&amp;X274&amp;", "&amp;Y274&amp;" min from your office"</f>
        <v/>
      </c>
      <c r="AG274" s="14">
        <f>"Hi"&amp;IF(O274&lt;&gt;""," "&amp;O274,"")&amp;","&amp;CHAR(10)&amp;CHAR(10)&amp;"I'm "&amp;IF(AL274&lt;&gt;"",AL274,IF(Offer!$C$5&lt;&gt;"",Offer!$C$5,"[NAME]"))&amp;" from FC Urban. We organise after-work football for teams in the City and Canary Wharf."&amp;CHAR(10)&amp;CHAR(10)&amp;"We have a "&amp;AC274&amp;" pitch at "&amp;X274&amp;", "&amp;IF(OR(Y274=8,Y274=11,Y274=18),"an ","a ")&amp;Y274&amp;"-minute walk from your "&amp;M274&amp;" office, "&amp;IF(ISNUMBER(AB274),"on "&amp;TEXT(AB274,"dddd d mmmm")&amp;" at "&amp;TEXT(AB274,"hh:mm"),"on a weekday evening that suits your team")&amp;". It's "&amp;IF(AD274&lt;&gt;"","£"&amp;IF(AD274=INT(AD274),TEXT(AD274,"0"),TEXT(AD274,"0.00")),"[PRICE PER PLAYER]")&amp;" a player and we handle the pitch booking, sign-ups and payments, so all it takes is one person sharing a link with the team."&amp;CHAR(10)&amp;CHAR(10)&amp;"It works well as a team social or "&amp;IF(ISNUMBER(SEARCH(LEFT(F274,1),"AEIOU")),"an ","a ")&amp;F274&amp;"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LINK]")&amp;CHAR(10)&amp;CHAR(10)&amp;"Best,"&amp;CHAR(10)&amp;IF(AL274&lt;&gt;"",AL274,IF(Offer!$C$5&lt;&gt;"",Offer!$C$5,"[NAME]"))&amp;CHAR(10)&amp;"FC Urban"</f>
        <v/>
      </c>
      <c r="AH274" s="14">
        <f>IF(LEN("Hi"&amp;IF(O274&lt;&gt;""," "&amp;O274,"")&amp;","&amp;" FC Urban runs after-work football for "&amp;IF(D274="Canary Wharf","Canary Wharf","City")&amp;" teams. We have a "&amp;AC274&amp;" pitch at "&amp;X274&amp;", "&amp;Y274&amp;" min from your office, "&amp;IF(ISNUMBER(AB274),TEXT(AB274,"ddd d mmm")&amp;", "&amp;TEXT(AB274,"hh:mm"),"weekday evenings")&amp;", "&amp;IF(AD274&lt;&gt;"","£"&amp;IF(AD274=INT(AD274),TEXT(AD274,"0"),TEXT(AD274,"0.00")),"[PRICE PER PLAYER]")&amp;" a player. We handle booking, sign-ups and payments. Fancy "&amp;IF(ISNUMBER(SEARCH(LEFT(F274,1),"AEIOU")),"an ","a ")&amp;F274&amp;" team game? "&amp;IF(AL274&lt;&gt;"",AL274,IF(Offer!$C$5&lt;&gt;"",Offer!$C$5,"[NAME]")))&lt;=300,"Hi"&amp;IF(O274&lt;&gt;""," "&amp;O274,"")&amp;","&amp;" FC Urban runs after-work football for "&amp;IF(D274="Canary Wharf","Canary Wharf","City")&amp;" teams. We have a "&amp;AC274&amp;" pitch at "&amp;X274&amp;", "&amp;Y274&amp;" min from your office, "&amp;IF(ISNUMBER(AB274),TEXT(AB274,"ddd d mmm")&amp;", "&amp;TEXT(AB274,"hh:mm"),"weekday evenings")&amp;", "&amp;IF(AD274&lt;&gt;"","£"&amp;IF(AD274=INT(AD274),TEXT(AD274,"0"),TEXT(AD274,"0.00")),"[PRICE PER PLAYER]")&amp;" a player. We handle booking, sign-ups and payments. Fancy "&amp;IF(ISNUMBER(SEARCH(LEFT(F274,1),"AEIOU")),"an ","a ")&amp;F274&amp;" team game? "&amp;IF(AL274&lt;&gt;"",AL274,IF(Offer!$C$5&lt;&gt;"",Offer!$C$5,"[NAME]")),LEFT("Hi"&amp;IF(O274&lt;&gt;""," "&amp;O274,"")&amp;","&amp;" FC Urban runs after-work football for "&amp;IF(D274="Canary Wharf","Canary Wharf","City")&amp;" teams: "&amp;AC274&amp;" at "&amp;X274&amp;", "&amp;Y274&amp;" min from your office, "&amp;IF(ISNUMBER(AB274),TEXT(AB274,"ddd d mmm")&amp;", "&amp;TEXT(AB274,"hh:mm"),"weekday evenings")&amp;", "&amp;IF(AD274&lt;&gt;"","£"&amp;IF(AD274=INT(AD274),TEXT(AD274,"0"),TEXT(AD274,"0.00")),"[PRICE PER PLAYER]")&amp;" pp. We handle booking and payments. Up for a team game? "&amp;IF(AL274&lt;&gt;"",AL274,IF(Offer!$C$5&lt;&gt;"",Offer!$C$5,"[NAME]")),300))</f>
        <v/>
      </c>
      <c r="AI274" s="14">
        <f>LEN(AH274)</f>
        <v/>
      </c>
      <c r="AJ274" s="14">
        <f>"Thanks for connecting"&amp;IF(O274&lt;&gt;"",", "&amp;O274,"")&amp;". "&amp;IF(ISNUMBER(AB274),"The "&amp;AC274&amp;" slot at "&amp;X274&amp;" is "&amp;IF(ISNUMBER(AB274),TEXT(AB274,"ddd d mmm")&amp;", "&amp;TEXT(AB274,"hh:mm"),"weekday evenings"),"We can book "&amp;AC274&amp;" at "&amp;X274&amp;" on a weekday evening that suits you")&amp;" and it's "&amp;IF(AD274&lt;&gt;"","£"&amp;IF(AD274=INT(AD274),TEXT(AD274,"0"),TEXT(AD274,"0.00")),"[PRICE PER PLAYER]")&amp;" a player, all booked and paid through one link. If football isn't your thing, who at "&amp;F274&amp;" would be the right person to organise a team game?"&amp;IF(Offer!$C$7&lt;&gt;""," Spots are held until "&amp;TEXT(Offer!$C$7,"dddd d mmmm")&amp;".","")&amp;" "&amp;IF(Offer!$C$6&lt;&gt;"",Offer!$C$6,"[JOINING LINK]")</f>
        <v/>
      </c>
      <c r="AK274" s="14">
        <f>IF(OR(ISNUMBER(SEARCH("[",AG274)),ISNUMBER(SEARCH("[",AJ274))),"Fill placeholders",IF(ISNUMBER(AB274),"Ready to send","Ready · no fixed slot"))</f>
        <v/>
      </c>
      <c r="AN274" s="17" t="n"/>
    </row>
    <row r="275">
      <c r="A275" s="11" t="n">
        <v>273</v>
      </c>
      <c r="B275" s="11" t="n">
        <v>3</v>
      </c>
      <c r="C275" s="11" t="inlineStr">
        <is>
          <t>Insurance / broker</t>
        </is>
      </c>
      <c r="D275" s="11" t="inlineStr">
        <is>
          <t>City of London</t>
        </is>
      </c>
      <c r="E275" s="11" t="inlineStr">
        <is>
          <t>Starstone Insurance Services Limited</t>
        </is>
      </c>
      <c r="F275" s="11" t="inlineStr">
        <is>
          <t>Starstone Insurance</t>
        </is>
      </c>
      <c r="G275" s="11" t="inlineStr">
        <is>
          <t>06414328</t>
        </is>
      </c>
      <c r="H275" s="12" t="inlineStr">
        <is>
          <t>Open</t>
        </is>
      </c>
      <c r="I275" s="12" t="inlineStr">
        <is>
          <t>Search</t>
        </is>
      </c>
      <c r="J275" s="11" t="inlineStr">
        <is>
          <t>Full</t>
        </is>
      </c>
      <c r="K275" s="13" t="n">
        <v>39386</v>
      </c>
      <c r="L275" s="11" t="inlineStr">
        <is>
          <t>12Th Floor, 70 Mark Lane, London</t>
        </is>
      </c>
      <c r="M275" s="11" t="inlineStr">
        <is>
          <t>EC3R 7NQ</t>
        </is>
      </c>
      <c r="N275" s="11" t="inlineStr">
        <is>
          <t>No</t>
        </is>
      </c>
      <c r="U275" s="11" t="inlineStr">
        <is>
          <t>Liverpool St - Attlee Centre</t>
        </is>
      </c>
      <c r="V275" s="11" t="n">
        <v>14</v>
      </c>
      <c r="W275" s="11" t="n"/>
      <c r="X275" s="11" t="inlineStr">
        <is>
          <t>Liverpool St - Attlee Centre</t>
        </is>
      </c>
      <c r="Y275" s="11" t="n">
        <v>14</v>
      </c>
      <c r="Z275" s="14">
        <f>IFERROR(INDEX(Venues!$E$2:$E$15,MATCH(X275,Venues!$A$2:$A$15,0)),"Not checked")</f>
        <v/>
      </c>
      <c r="AA275" s="14">
        <f>IFERROR(INDEX(Venues!$F$2:$F$15,MATCH(X275,Venues!$A$2:$A$15,0)),0)</f>
        <v/>
      </c>
      <c r="AB275" s="15">
        <f>IFERROR(INDEX(Venues!$M$2:$M$15,MATCH(X275,Venues!$A$2:$A$15,0)),"")</f>
        <v/>
      </c>
      <c r="AC275" s="14">
        <f>IFERROR(INDEX(Venues!$N$2:$N$15,MATCH(X275,Venues!$A$2:$A$15,0)),"5-a-side")</f>
        <v/>
      </c>
      <c r="AD275" s="16">
        <f>IF(Offer!$C$4="","",Offer!$C$4)</f>
        <v/>
      </c>
      <c r="AE275" s="14">
        <f>X275&amp;" ("&amp;Y275&amp;" min walk) · "&amp;IF(ISNUMBER(AB275),TEXT(AB275,"ddd d mmm, hh:mm"),"slot to confirm with venue")&amp;" · "&amp;AC275&amp;" · "&amp;IF(AD275&lt;&gt;"","£"&amp;TEXT(AD275,"0.00")&amp;" pp","price TBC")</f>
        <v/>
      </c>
      <c r="AF275" s="14">
        <f>"After-work football for "&amp;F275&amp;" · "&amp;X275&amp;", "&amp;Y275&amp;" min from your office"</f>
        <v/>
      </c>
      <c r="AG275" s="14">
        <f>"Hi"&amp;IF(O275&lt;&gt;""," "&amp;O275,"")&amp;","&amp;CHAR(10)&amp;CHAR(10)&amp;"I'm "&amp;IF(AL275&lt;&gt;"",AL275,IF(Offer!$C$5&lt;&gt;"",Offer!$C$5,"[NAME]"))&amp;" from FC Urban. We organise after-work football for teams in the City and Canary Wharf."&amp;CHAR(10)&amp;CHAR(10)&amp;"We have a "&amp;AC275&amp;" pitch at "&amp;X275&amp;", "&amp;IF(OR(Y275=8,Y275=11,Y275=18),"an ","a ")&amp;Y275&amp;"-minute walk from your "&amp;M275&amp;" office, "&amp;IF(ISNUMBER(AB275),"on "&amp;TEXT(AB275,"dddd d mmmm")&amp;" at "&amp;TEXT(AB275,"hh:mm"),"on a weekday evening that suits your team")&amp;". It's "&amp;IF(AD275&lt;&gt;"","£"&amp;IF(AD275=INT(AD275),TEXT(AD275,"0"),TEXT(AD275,"0.00")),"[PRICE PER PLAYER]")&amp;" a player and we handle the pitch booking, sign-ups and payments, so all it takes is one person sharing a link with the team."&amp;CHAR(10)&amp;CHAR(10)&amp;"It works well as a team social or "&amp;IF(ISNUMBER(SEARCH(LEFT(F275,1),"AEIOU")),"an ","a ")&amp;F275&amp;"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LINK]")&amp;CHAR(10)&amp;CHAR(10)&amp;"Best,"&amp;CHAR(10)&amp;IF(AL275&lt;&gt;"",AL275,IF(Offer!$C$5&lt;&gt;"",Offer!$C$5,"[NAME]"))&amp;CHAR(10)&amp;"FC Urban"</f>
        <v/>
      </c>
      <c r="AH275" s="14">
        <f>IF(LEN("Hi"&amp;IF(O275&lt;&gt;""," "&amp;O275,"")&amp;","&amp;" FC Urban runs after-work football for "&amp;IF(D275="Canary Wharf","Canary Wharf","City")&amp;" teams. We have a "&amp;AC275&amp;" pitch at "&amp;X275&amp;", "&amp;Y275&amp;" min from your office, "&amp;IF(ISNUMBER(AB275),TEXT(AB275,"ddd d mmm")&amp;", "&amp;TEXT(AB275,"hh:mm"),"weekday evenings")&amp;", "&amp;IF(AD275&lt;&gt;"","£"&amp;IF(AD275=INT(AD275),TEXT(AD275,"0"),TEXT(AD275,"0.00")),"[PRICE PER PLAYER]")&amp;" a player. We handle booking, sign-ups and payments. Fancy "&amp;IF(ISNUMBER(SEARCH(LEFT(F275,1),"AEIOU")),"an ","a ")&amp;F275&amp;" team game? "&amp;IF(AL275&lt;&gt;"",AL275,IF(Offer!$C$5&lt;&gt;"",Offer!$C$5,"[NAME]")))&lt;=300,"Hi"&amp;IF(O275&lt;&gt;""," "&amp;O275,"")&amp;","&amp;" FC Urban runs after-work football for "&amp;IF(D275="Canary Wharf","Canary Wharf","City")&amp;" teams. We have a "&amp;AC275&amp;" pitch at "&amp;X275&amp;", "&amp;Y275&amp;" min from your office, "&amp;IF(ISNUMBER(AB275),TEXT(AB275,"ddd d mmm")&amp;", "&amp;TEXT(AB275,"hh:mm"),"weekday evenings")&amp;", "&amp;IF(AD275&lt;&gt;"","£"&amp;IF(AD275=INT(AD275),TEXT(AD275,"0"),TEXT(AD275,"0.00")),"[PRICE PER PLAYER]")&amp;" a player. We handle booking, sign-ups and payments. Fancy "&amp;IF(ISNUMBER(SEARCH(LEFT(F275,1),"AEIOU")),"an ","a ")&amp;F275&amp;" team game? "&amp;IF(AL275&lt;&gt;"",AL275,IF(Offer!$C$5&lt;&gt;"",Offer!$C$5,"[NAME]")),LEFT("Hi"&amp;IF(O275&lt;&gt;""," "&amp;O275,"")&amp;","&amp;" FC Urban runs after-work football for "&amp;IF(D275="Canary Wharf","Canary Wharf","City")&amp;" teams: "&amp;AC275&amp;" at "&amp;X275&amp;", "&amp;Y275&amp;" min from your office, "&amp;IF(ISNUMBER(AB275),TEXT(AB275,"ddd d mmm")&amp;", "&amp;TEXT(AB275,"hh:mm"),"weekday evenings")&amp;", "&amp;IF(AD275&lt;&gt;"","£"&amp;IF(AD275=INT(AD275),TEXT(AD275,"0"),TEXT(AD275,"0.00")),"[PRICE PER PLAYER]")&amp;" pp. We handle booking and payments. Up for a team game? "&amp;IF(AL275&lt;&gt;"",AL275,IF(Offer!$C$5&lt;&gt;"",Offer!$C$5,"[NAME]")),300))</f>
        <v/>
      </c>
      <c r="AI275" s="14">
        <f>LEN(AH275)</f>
        <v/>
      </c>
      <c r="AJ275" s="14">
        <f>"Thanks for connecting"&amp;IF(O275&lt;&gt;"",", "&amp;O275,"")&amp;". "&amp;IF(ISNUMBER(AB275),"The "&amp;AC275&amp;" slot at "&amp;X275&amp;" is "&amp;IF(ISNUMBER(AB275),TEXT(AB275,"ddd d mmm")&amp;", "&amp;TEXT(AB275,"hh:mm"),"weekday evenings"),"We can book "&amp;AC275&amp;" at "&amp;X275&amp;" on a weekday evening that suits you")&amp;" and it's "&amp;IF(AD275&lt;&gt;"","£"&amp;IF(AD275=INT(AD275),TEXT(AD275,"0"),TEXT(AD275,"0.00")),"[PRICE PER PLAYER]")&amp;" a player, all booked and paid through one link. If football isn't your thing, who at "&amp;F275&amp;" would be the right person to organise a team game?"&amp;IF(Offer!$C$7&lt;&gt;""," Spots are held until "&amp;TEXT(Offer!$C$7,"dddd d mmmm")&amp;".","")&amp;" "&amp;IF(Offer!$C$6&lt;&gt;"",Offer!$C$6,"[JOINING LINK]")</f>
        <v/>
      </c>
      <c r="AK275" s="14">
        <f>IF(OR(ISNUMBER(SEARCH("[",AG275)),ISNUMBER(SEARCH("[",AJ275))),"Fill placeholders",IF(ISNUMBER(AB275),"Ready to send","Ready · no fixed slot"))</f>
        <v/>
      </c>
      <c r="AN275" s="17" t="n"/>
    </row>
    <row r="276">
      <c r="A276" s="11" t="n">
        <v>274</v>
      </c>
      <c r="B276" s="11" t="n">
        <v>3</v>
      </c>
      <c r="C276" s="11" t="inlineStr">
        <is>
          <t>Insurance / broker</t>
        </is>
      </c>
      <c r="D276" s="11" t="inlineStr">
        <is>
          <t>City of London</t>
        </is>
      </c>
      <c r="E276" s="11" t="inlineStr">
        <is>
          <t>White Bear Corporate Capital Limited</t>
        </is>
      </c>
      <c r="F276" s="11" t="inlineStr">
        <is>
          <t>White Bear Corporate Capital</t>
        </is>
      </c>
      <c r="G276" s="11" t="inlineStr">
        <is>
          <t>07758460</t>
        </is>
      </c>
      <c r="H276" s="12" t="inlineStr">
        <is>
          <t>Open</t>
        </is>
      </c>
      <c r="I276" s="12" t="inlineStr">
        <is>
          <t>Search</t>
        </is>
      </c>
      <c r="J276" s="11" t="inlineStr">
        <is>
          <t>Full</t>
        </is>
      </c>
      <c r="K276" s="13" t="n">
        <v>40787</v>
      </c>
      <c r="L276" s="11" t="inlineStr">
        <is>
          <t>7Th Floor, 70 Mark Lane, London</t>
        </is>
      </c>
      <c r="M276" s="11" t="inlineStr">
        <is>
          <t>EC3R 7NQ</t>
        </is>
      </c>
      <c r="N276" s="11" t="inlineStr">
        <is>
          <t>Yes</t>
        </is>
      </c>
      <c r="U276" s="11" t="inlineStr">
        <is>
          <t>Liverpool St - Attlee Centre</t>
        </is>
      </c>
      <c r="V276" s="11" t="n">
        <v>14</v>
      </c>
      <c r="W276" s="11" t="n"/>
      <c r="X276" s="11" t="inlineStr">
        <is>
          <t>Liverpool St - Attlee Centre</t>
        </is>
      </c>
      <c r="Y276" s="11" t="n">
        <v>14</v>
      </c>
      <c r="Z276" s="14">
        <f>IFERROR(INDEX(Venues!$E$2:$E$15,MATCH(X276,Venues!$A$2:$A$15,0)),"Not checked")</f>
        <v/>
      </c>
      <c r="AA276" s="14">
        <f>IFERROR(INDEX(Venues!$F$2:$F$15,MATCH(X276,Venues!$A$2:$A$15,0)),0)</f>
        <v/>
      </c>
      <c r="AB276" s="15">
        <f>IFERROR(INDEX(Venues!$M$2:$M$15,MATCH(X276,Venues!$A$2:$A$15,0)),"")</f>
        <v/>
      </c>
      <c r="AC276" s="14">
        <f>IFERROR(INDEX(Venues!$N$2:$N$15,MATCH(X276,Venues!$A$2:$A$15,0)),"5-a-side")</f>
        <v/>
      </c>
      <c r="AD276" s="16">
        <f>IF(Offer!$C$4="","",Offer!$C$4)</f>
        <v/>
      </c>
      <c r="AE276" s="14">
        <f>X276&amp;" ("&amp;Y276&amp;" min walk) · "&amp;IF(ISNUMBER(AB276),TEXT(AB276,"ddd d mmm, hh:mm"),"slot to confirm with venue")&amp;" · "&amp;AC276&amp;" · "&amp;IF(AD276&lt;&gt;"","£"&amp;TEXT(AD276,"0.00")&amp;" pp","price TBC")</f>
        <v/>
      </c>
      <c r="AF276" s="14">
        <f>"After-work football for "&amp;F276&amp;" · "&amp;X276&amp;", "&amp;Y276&amp;" min from your office"</f>
        <v/>
      </c>
      <c r="AG276" s="14">
        <f>"Hi"&amp;IF(O276&lt;&gt;""," "&amp;O276,"")&amp;","&amp;CHAR(10)&amp;CHAR(10)&amp;"I'm "&amp;IF(AL276&lt;&gt;"",AL276,IF(Offer!$C$5&lt;&gt;"",Offer!$C$5,"[NAME]"))&amp;" from FC Urban. We organise after-work football for teams in the City and Canary Wharf."&amp;CHAR(10)&amp;CHAR(10)&amp;"We have a "&amp;AC276&amp;" pitch at "&amp;X276&amp;", "&amp;IF(OR(Y276=8,Y276=11,Y276=18),"an ","a ")&amp;Y276&amp;"-minute walk from your "&amp;M276&amp;" office, "&amp;IF(ISNUMBER(AB276),"on "&amp;TEXT(AB276,"dddd d mmmm")&amp;" at "&amp;TEXT(AB276,"hh:mm"),"on a weekday evening that suits your team")&amp;". It's "&amp;IF(AD276&lt;&gt;"","£"&amp;IF(AD276=INT(AD276),TEXT(AD276,"0"),TEXT(AD276,"0.00")),"[PRICE PER PLAYER]")&amp;" a player and we handle the pitch booking, sign-ups and payments, so all it takes is one person sharing a link with the team."&amp;CHAR(10)&amp;CHAR(10)&amp;"It works well as a team social or "&amp;IF(ISNUMBER(SEARCH(LEFT(F276,1),"AEIOU")),"an ","a ")&amp;F276&amp;"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LINK]")&amp;CHAR(10)&amp;CHAR(10)&amp;"Best,"&amp;CHAR(10)&amp;IF(AL276&lt;&gt;"",AL276,IF(Offer!$C$5&lt;&gt;"",Offer!$C$5,"[NAME]"))&amp;CHAR(10)&amp;"FC Urban"</f>
        <v/>
      </c>
      <c r="AH276" s="14">
        <f>IF(LEN("Hi"&amp;IF(O276&lt;&gt;""," "&amp;O276,"")&amp;","&amp;" FC Urban runs after-work football for "&amp;IF(D276="Canary Wharf","Canary Wharf","City")&amp;" teams. We have a "&amp;AC276&amp;" pitch at "&amp;X276&amp;", "&amp;Y276&amp;" min from your office, "&amp;IF(ISNUMBER(AB276),TEXT(AB276,"ddd d mmm")&amp;", "&amp;TEXT(AB276,"hh:mm"),"weekday evenings")&amp;", "&amp;IF(AD276&lt;&gt;"","£"&amp;IF(AD276=INT(AD276),TEXT(AD276,"0"),TEXT(AD276,"0.00")),"[PRICE PER PLAYER]")&amp;" a player. We handle booking, sign-ups and payments. Fancy "&amp;IF(ISNUMBER(SEARCH(LEFT(F276,1),"AEIOU")),"an ","a ")&amp;F276&amp;" team game? "&amp;IF(AL276&lt;&gt;"",AL276,IF(Offer!$C$5&lt;&gt;"",Offer!$C$5,"[NAME]")))&lt;=300,"Hi"&amp;IF(O276&lt;&gt;""," "&amp;O276,"")&amp;","&amp;" FC Urban runs after-work football for "&amp;IF(D276="Canary Wharf","Canary Wharf","City")&amp;" teams. We have a "&amp;AC276&amp;" pitch at "&amp;X276&amp;", "&amp;Y276&amp;" min from your office, "&amp;IF(ISNUMBER(AB276),TEXT(AB276,"ddd d mmm")&amp;", "&amp;TEXT(AB276,"hh:mm"),"weekday evenings")&amp;", "&amp;IF(AD276&lt;&gt;"","£"&amp;IF(AD276=INT(AD276),TEXT(AD276,"0"),TEXT(AD276,"0.00")),"[PRICE PER PLAYER]")&amp;" a player. We handle booking, sign-ups and payments. Fancy "&amp;IF(ISNUMBER(SEARCH(LEFT(F276,1),"AEIOU")),"an ","a ")&amp;F276&amp;" team game? "&amp;IF(AL276&lt;&gt;"",AL276,IF(Offer!$C$5&lt;&gt;"",Offer!$C$5,"[NAME]")),LEFT("Hi"&amp;IF(O276&lt;&gt;""," "&amp;O276,"")&amp;","&amp;" FC Urban runs after-work football for "&amp;IF(D276="Canary Wharf","Canary Wharf","City")&amp;" teams: "&amp;AC276&amp;" at "&amp;X276&amp;", "&amp;Y276&amp;" min from your office, "&amp;IF(ISNUMBER(AB276),TEXT(AB276,"ddd d mmm")&amp;", "&amp;TEXT(AB276,"hh:mm"),"weekday evenings")&amp;", "&amp;IF(AD276&lt;&gt;"","£"&amp;IF(AD276=INT(AD276),TEXT(AD276,"0"),TEXT(AD276,"0.00")),"[PRICE PER PLAYER]")&amp;" pp. We handle booking and payments. Up for a team game? "&amp;IF(AL276&lt;&gt;"",AL276,IF(Offer!$C$5&lt;&gt;"",Offer!$C$5,"[NAME]")),300))</f>
        <v/>
      </c>
      <c r="AI276" s="14">
        <f>LEN(AH276)</f>
        <v/>
      </c>
      <c r="AJ276" s="14">
        <f>"Thanks for connecting"&amp;IF(O276&lt;&gt;"",", "&amp;O276,"")&amp;". "&amp;IF(ISNUMBER(AB276),"The "&amp;AC276&amp;" slot at "&amp;X276&amp;" is "&amp;IF(ISNUMBER(AB276),TEXT(AB276,"ddd d mmm")&amp;", "&amp;TEXT(AB276,"hh:mm"),"weekday evenings"),"We can book "&amp;AC276&amp;" at "&amp;X276&amp;" on a weekday evening that suits you")&amp;" and it's "&amp;IF(AD276&lt;&gt;"","£"&amp;IF(AD276=INT(AD276),TEXT(AD276,"0"),TEXT(AD276,"0.00")),"[PRICE PER PLAYER]")&amp;" a player, all booked and paid through one link. If football isn't your thing, who at "&amp;F276&amp;" would be the right person to organise a team game?"&amp;IF(Offer!$C$7&lt;&gt;""," Spots are held until "&amp;TEXT(Offer!$C$7,"dddd d mmmm")&amp;".","")&amp;" "&amp;IF(Offer!$C$6&lt;&gt;"",Offer!$C$6,"[JOINING LINK]")</f>
        <v/>
      </c>
      <c r="AK276" s="14">
        <f>IF(OR(ISNUMBER(SEARCH("[",AG276)),ISNUMBER(SEARCH("[",AJ276))),"Fill placeholders",IF(ISNUMBER(AB276),"Ready to send","Ready · no fixed slot"))</f>
        <v/>
      </c>
      <c r="AN276" s="17" t="n"/>
    </row>
    <row r="277">
      <c r="A277" s="11" t="n">
        <v>275</v>
      </c>
      <c r="B277" s="11" t="n">
        <v>3</v>
      </c>
      <c r="C277" s="11" t="inlineStr">
        <is>
          <t>Fund / asset manager</t>
        </is>
      </c>
      <c r="D277" s="11" t="inlineStr">
        <is>
          <t>City of London</t>
        </is>
      </c>
      <c r="E277" s="11" t="inlineStr">
        <is>
          <t>Amber River Investment Solutions LLP</t>
        </is>
      </c>
      <c r="F277" s="11" t="inlineStr">
        <is>
          <t>Amber River Investment Solutions</t>
        </is>
      </c>
      <c r="G277" s="11" t="inlineStr">
        <is>
          <t>OC368475</t>
        </is>
      </c>
      <c r="H277" s="12" t="inlineStr">
        <is>
          <t>Open</t>
        </is>
      </c>
      <c r="I277" s="12" t="inlineStr">
        <is>
          <t>Search</t>
        </is>
      </c>
      <c r="J277" s="11" t="inlineStr">
        <is>
          <t>Full</t>
        </is>
      </c>
      <c r="K277" s="13" t="n">
        <v>40816</v>
      </c>
      <c r="L277" s="11" t="inlineStr">
        <is>
          <t>Level 4, Dashwood House, 69, Old Broad Street, London</t>
        </is>
      </c>
      <c r="M277" s="11" t="inlineStr">
        <is>
          <t>EC2M 1QS</t>
        </is>
      </c>
      <c r="N277" s="11" t="inlineStr">
        <is>
          <t>Yes</t>
        </is>
      </c>
      <c r="U277" s="11" t="inlineStr">
        <is>
          <t>Liverpool St - Attlee Centre</t>
        </is>
      </c>
      <c r="V277" s="11" t="n">
        <v>11</v>
      </c>
      <c r="W277" s="11" t="inlineStr">
        <is>
          <t>Shoreditch Powerleague (14)</t>
        </is>
      </c>
      <c r="X277" s="11" t="inlineStr">
        <is>
          <t>Shoreditch Powerleague</t>
        </is>
      </c>
      <c r="Y277" s="11" t="n">
        <v>14</v>
      </c>
      <c r="Z277" s="14">
        <f>IFERROR(INDEX(Venues!$E$2:$E$15,MATCH(X277,Venues!$A$2:$A$15,0)),"Not checked")</f>
        <v/>
      </c>
      <c r="AA277" s="14">
        <f>IFERROR(INDEX(Venues!$F$2:$F$15,MATCH(X277,Venues!$A$2:$A$15,0)),0)</f>
        <v/>
      </c>
      <c r="AB277" s="15">
        <f>IFERROR(INDEX(Venues!$M$2:$M$15,MATCH(X277,Venues!$A$2:$A$15,0)),"")</f>
        <v/>
      </c>
      <c r="AC277" s="14">
        <f>IFERROR(INDEX(Venues!$N$2:$N$15,MATCH(X277,Venues!$A$2:$A$15,0)),"5-a-side")</f>
        <v/>
      </c>
      <c r="AD277" s="16">
        <f>IF(Offer!$C$4="","",Offer!$C$4)</f>
        <v/>
      </c>
      <c r="AE277" s="14">
        <f>X277&amp;" ("&amp;Y277&amp;" min walk) · "&amp;IF(ISNUMBER(AB277),TEXT(AB277,"ddd d mmm, hh:mm"),"slot to confirm with venue")&amp;" · "&amp;AC277&amp;" · "&amp;IF(AD277&lt;&gt;"","£"&amp;TEXT(AD277,"0.00")&amp;" pp","price TBC")</f>
        <v/>
      </c>
      <c r="AF277" s="14">
        <f>"After-work football for "&amp;F277&amp;" · "&amp;X277&amp;", "&amp;Y277&amp;" min from your office"</f>
        <v/>
      </c>
      <c r="AG277" s="14">
        <f>"Hi"&amp;IF(O277&lt;&gt;""," "&amp;O277,"")&amp;","&amp;CHAR(10)&amp;CHAR(10)&amp;"I'm "&amp;IF(AL277&lt;&gt;"",AL277,IF(Offer!$C$5&lt;&gt;"",Offer!$C$5,"[NAME]"))&amp;" from FC Urban. We organise after-work football for teams in the City and Canary Wharf."&amp;CHAR(10)&amp;CHAR(10)&amp;"We have a "&amp;AC277&amp;" pitch at "&amp;X277&amp;", "&amp;IF(OR(Y277=8,Y277=11,Y277=18),"an ","a ")&amp;Y277&amp;"-minute walk from your "&amp;M277&amp;" office, "&amp;IF(ISNUMBER(AB277),"on "&amp;TEXT(AB277,"dddd d mmmm")&amp;" at "&amp;TEXT(AB277,"hh:mm"),"on a weekday evening that suits your team")&amp;". It's "&amp;IF(AD277&lt;&gt;"","£"&amp;IF(AD277=INT(AD277),TEXT(AD277,"0"),TEXT(AD277,"0.00")),"[PRICE PER PLAYER]")&amp;" a player and we handle the pitch booking, sign-ups and payments, so all it takes is one person sharing a link with the team."&amp;CHAR(10)&amp;CHAR(10)&amp;"It works well as a team social or "&amp;IF(ISNUMBER(SEARCH(LEFT(F277,1),"AEIOU")),"an ","a ")&amp;F277&amp;"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LINK]")&amp;CHAR(10)&amp;CHAR(10)&amp;"Best,"&amp;CHAR(10)&amp;IF(AL277&lt;&gt;"",AL277,IF(Offer!$C$5&lt;&gt;"",Offer!$C$5,"[NAME]"))&amp;CHAR(10)&amp;"FC Urban"</f>
        <v/>
      </c>
      <c r="AH277" s="14">
        <f>IF(LEN("Hi"&amp;IF(O277&lt;&gt;""," "&amp;O277,"")&amp;","&amp;" FC Urban runs after-work football for "&amp;IF(D277="Canary Wharf","Canary Wharf","City")&amp;" teams. We have a "&amp;AC277&amp;" pitch at "&amp;X277&amp;", "&amp;Y277&amp;" min from your office, "&amp;IF(ISNUMBER(AB277),TEXT(AB277,"ddd d mmm")&amp;", "&amp;TEXT(AB277,"hh:mm"),"weekday evenings")&amp;", "&amp;IF(AD277&lt;&gt;"","£"&amp;IF(AD277=INT(AD277),TEXT(AD277,"0"),TEXT(AD277,"0.00")),"[PRICE PER PLAYER]")&amp;" a player. We handle booking, sign-ups and payments. Fancy "&amp;IF(ISNUMBER(SEARCH(LEFT(F277,1),"AEIOU")),"an ","a ")&amp;F277&amp;" team game? "&amp;IF(AL277&lt;&gt;"",AL277,IF(Offer!$C$5&lt;&gt;"",Offer!$C$5,"[NAME]")))&lt;=300,"Hi"&amp;IF(O277&lt;&gt;""," "&amp;O277,"")&amp;","&amp;" FC Urban runs after-work football for "&amp;IF(D277="Canary Wharf","Canary Wharf","City")&amp;" teams. We have a "&amp;AC277&amp;" pitch at "&amp;X277&amp;", "&amp;Y277&amp;" min from your office, "&amp;IF(ISNUMBER(AB277),TEXT(AB277,"ddd d mmm")&amp;", "&amp;TEXT(AB277,"hh:mm"),"weekday evenings")&amp;", "&amp;IF(AD277&lt;&gt;"","£"&amp;IF(AD277=INT(AD277),TEXT(AD277,"0"),TEXT(AD277,"0.00")),"[PRICE PER PLAYER]")&amp;" a player. We handle booking, sign-ups and payments. Fancy "&amp;IF(ISNUMBER(SEARCH(LEFT(F277,1),"AEIOU")),"an ","a ")&amp;F277&amp;" team game? "&amp;IF(AL277&lt;&gt;"",AL277,IF(Offer!$C$5&lt;&gt;"",Offer!$C$5,"[NAME]")),LEFT("Hi"&amp;IF(O277&lt;&gt;""," "&amp;O277,"")&amp;","&amp;" FC Urban runs after-work football for "&amp;IF(D277="Canary Wharf","Canary Wharf","City")&amp;" teams: "&amp;AC277&amp;" at "&amp;X277&amp;", "&amp;Y277&amp;" min from your office, "&amp;IF(ISNUMBER(AB277),TEXT(AB277,"ddd d mmm")&amp;", "&amp;TEXT(AB277,"hh:mm"),"weekday evenings")&amp;", "&amp;IF(AD277&lt;&gt;"","£"&amp;IF(AD277=INT(AD277),TEXT(AD277,"0"),TEXT(AD277,"0.00")),"[PRICE PER PLAYER]")&amp;" pp. We handle booking and payments. Up for a team game? "&amp;IF(AL277&lt;&gt;"",AL277,IF(Offer!$C$5&lt;&gt;"",Offer!$C$5,"[NAME]")),300))</f>
        <v/>
      </c>
      <c r="AI277" s="14">
        <f>LEN(AH277)</f>
        <v/>
      </c>
      <c r="AJ277" s="14">
        <f>"Thanks for connecting"&amp;IF(O277&lt;&gt;"",", "&amp;O277,"")&amp;". "&amp;IF(ISNUMBER(AB277),"The "&amp;AC277&amp;" slot at "&amp;X277&amp;" is "&amp;IF(ISNUMBER(AB277),TEXT(AB277,"ddd d mmm")&amp;", "&amp;TEXT(AB277,"hh:mm"),"weekday evenings"),"We can book "&amp;AC277&amp;" at "&amp;X277&amp;" on a weekday evening that suits you")&amp;" and it's "&amp;IF(AD277&lt;&gt;"","£"&amp;IF(AD277=INT(AD277),TEXT(AD277,"0"),TEXT(AD277,"0.00")),"[PRICE PER PLAYER]")&amp;" a player, all booked and paid through one link. If football isn't your thing, who at "&amp;F277&amp;" would be the right person to organise a team game?"&amp;IF(Offer!$C$7&lt;&gt;""," Spots are held until "&amp;TEXT(Offer!$C$7,"dddd d mmmm")&amp;".","")&amp;" "&amp;IF(Offer!$C$6&lt;&gt;"",Offer!$C$6,"[JOINING LINK]")</f>
        <v/>
      </c>
      <c r="AK277" s="14">
        <f>IF(OR(ISNUMBER(SEARCH("[",AG277)),ISNUMBER(SEARCH("[",AJ277))),"Fill placeholders",IF(ISNUMBER(AB277),"Ready to send","Ready · no fixed slot"))</f>
        <v/>
      </c>
      <c r="AN277" s="17" t="n"/>
    </row>
    <row r="278">
      <c r="A278" s="11" t="n">
        <v>276</v>
      </c>
      <c r="B278" s="11" t="n">
        <v>3</v>
      </c>
      <c r="C278" s="11" t="inlineStr">
        <is>
          <t>Insurance / broker</t>
        </is>
      </c>
      <c r="D278" s="11" t="inlineStr">
        <is>
          <t>City of London</t>
        </is>
      </c>
      <c r="E278" s="11" t="inlineStr">
        <is>
          <t>Ckre Limited</t>
        </is>
      </c>
      <c r="F278" s="11" t="inlineStr">
        <is>
          <t>Ckre</t>
        </is>
      </c>
      <c r="G278" s="11" t="inlineStr">
        <is>
          <t>03600683</t>
        </is>
      </c>
      <c r="H278" s="12" t="inlineStr">
        <is>
          <t>Open</t>
        </is>
      </c>
      <c r="I278" s="12" t="inlineStr">
        <is>
          <t>Search</t>
        </is>
      </c>
      <c r="J278" s="11" t="inlineStr">
        <is>
          <t>Full</t>
        </is>
      </c>
      <c r="K278" s="13" t="n">
        <v>35996</v>
      </c>
      <c r="L278" s="11" t="inlineStr">
        <is>
          <t>2Nd Floor, 40 Lime Street, London</t>
        </is>
      </c>
      <c r="M278" s="11" t="inlineStr">
        <is>
          <t>EC3M 7AW</t>
        </is>
      </c>
      <c r="N278" s="11" t="inlineStr">
        <is>
          <t>No</t>
        </is>
      </c>
      <c r="U278" s="11" t="inlineStr">
        <is>
          <t>Liverpool St - Attlee Centre</t>
        </is>
      </c>
      <c r="V278" s="11" t="n">
        <v>14</v>
      </c>
      <c r="W278" s="11" t="n"/>
      <c r="X278" s="11" t="inlineStr">
        <is>
          <t>Liverpool St - Attlee Centre</t>
        </is>
      </c>
      <c r="Y278" s="11" t="n">
        <v>14</v>
      </c>
      <c r="Z278" s="14">
        <f>IFERROR(INDEX(Venues!$E$2:$E$15,MATCH(X278,Venues!$A$2:$A$15,0)),"Not checked")</f>
        <v/>
      </c>
      <c r="AA278" s="14">
        <f>IFERROR(INDEX(Venues!$F$2:$F$15,MATCH(X278,Venues!$A$2:$A$15,0)),0)</f>
        <v/>
      </c>
      <c r="AB278" s="15">
        <f>IFERROR(INDEX(Venues!$M$2:$M$15,MATCH(X278,Venues!$A$2:$A$15,0)),"")</f>
        <v/>
      </c>
      <c r="AC278" s="14">
        <f>IFERROR(INDEX(Venues!$N$2:$N$15,MATCH(X278,Venues!$A$2:$A$15,0)),"5-a-side")</f>
        <v/>
      </c>
      <c r="AD278" s="16">
        <f>IF(Offer!$C$4="","",Offer!$C$4)</f>
        <v/>
      </c>
      <c r="AE278" s="14">
        <f>X278&amp;" ("&amp;Y278&amp;" min walk) · "&amp;IF(ISNUMBER(AB278),TEXT(AB278,"ddd d mmm, hh:mm"),"slot to confirm with venue")&amp;" · "&amp;AC278&amp;" · "&amp;IF(AD278&lt;&gt;"","£"&amp;TEXT(AD278,"0.00")&amp;" pp","price TBC")</f>
        <v/>
      </c>
      <c r="AF278" s="14">
        <f>"After-work football for "&amp;F278&amp;" · "&amp;X278&amp;", "&amp;Y278&amp;" min from your office"</f>
        <v/>
      </c>
      <c r="AG278" s="14">
        <f>"Hi"&amp;IF(O278&lt;&gt;""," "&amp;O278,"")&amp;","&amp;CHAR(10)&amp;CHAR(10)&amp;"I'm "&amp;IF(AL278&lt;&gt;"",AL278,IF(Offer!$C$5&lt;&gt;"",Offer!$C$5,"[NAME]"))&amp;" from FC Urban. We organise after-work football for teams in the City and Canary Wharf."&amp;CHAR(10)&amp;CHAR(10)&amp;"We have a "&amp;AC278&amp;" pitch at "&amp;X278&amp;", "&amp;IF(OR(Y278=8,Y278=11,Y278=18),"an ","a ")&amp;Y278&amp;"-minute walk from your "&amp;M278&amp;" office, "&amp;IF(ISNUMBER(AB278),"on "&amp;TEXT(AB278,"dddd d mmmm")&amp;" at "&amp;TEXT(AB278,"hh:mm"),"on a weekday evening that suits your team")&amp;". It's "&amp;IF(AD278&lt;&gt;"","£"&amp;IF(AD278=INT(AD278),TEXT(AD278,"0"),TEXT(AD278,"0.00")),"[PRICE PER PLAYER]")&amp;" a player and we handle the pitch booking, sign-ups and payments, so all it takes is one person sharing a link with the team."&amp;CHAR(10)&amp;CHAR(10)&amp;"It works well as a team social or "&amp;IF(ISNUMBER(SEARCH(LEFT(F278,1),"AEIOU")),"an ","a ")&amp;F278&amp;"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LINK]")&amp;CHAR(10)&amp;CHAR(10)&amp;"Best,"&amp;CHAR(10)&amp;IF(AL278&lt;&gt;"",AL278,IF(Offer!$C$5&lt;&gt;"",Offer!$C$5,"[NAME]"))&amp;CHAR(10)&amp;"FC Urban"</f>
        <v/>
      </c>
      <c r="AH278" s="14">
        <f>IF(LEN("Hi"&amp;IF(O278&lt;&gt;""," "&amp;O278,"")&amp;","&amp;" FC Urban runs after-work football for "&amp;IF(D278="Canary Wharf","Canary Wharf","City")&amp;" teams. We have a "&amp;AC278&amp;" pitch at "&amp;X278&amp;", "&amp;Y278&amp;" min from your office, "&amp;IF(ISNUMBER(AB278),TEXT(AB278,"ddd d mmm")&amp;", "&amp;TEXT(AB278,"hh:mm"),"weekday evenings")&amp;", "&amp;IF(AD278&lt;&gt;"","£"&amp;IF(AD278=INT(AD278),TEXT(AD278,"0"),TEXT(AD278,"0.00")),"[PRICE PER PLAYER]")&amp;" a player. We handle booking, sign-ups and payments. Fancy "&amp;IF(ISNUMBER(SEARCH(LEFT(F278,1),"AEIOU")),"an ","a ")&amp;F278&amp;" team game? "&amp;IF(AL278&lt;&gt;"",AL278,IF(Offer!$C$5&lt;&gt;"",Offer!$C$5,"[NAME]")))&lt;=300,"Hi"&amp;IF(O278&lt;&gt;""," "&amp;O278,"")&amp;","&amp;" FC Urban runs after-work football for "&amp;IF(D278="Canary Wharf","Canary Wharf","City")&amp;" teams. We have a "&amp;AC278&amp;" pitch at "&amp;X278&amp;", "&amp;Y278&amp;" min from your office, "&amp;IF(ISNUMBER(AB278),TEXT(AB278,"ddd d mmm")&amp;", "&amp;TEXT(AB278,"hh:mm"),"weekday evenings")&amp;", "&amp;IF(AD278&lt;&gt;"","£"&amp;IF(AD278=INT(AD278),TEXT(AD278,"0"),TEXT(AD278,"0.00")),"[PRICE PER PLAYER]")&amp;" a player. We handle booking, sign-ups and payments. Fancy "&amp;IF(ISNUMBER(SEARCH(LEFT(F278,1),"AEIOU")),"an ","a ")&amp;F278&amp;" team game? "&amp;IF(AL278&lt;&gt;"",AL278,IF(Offer!$C$5&lt;&gt;"",Offer!$C$5,"[NAME]")),LEFT("Hi"&amp;IF(O278&lt;&gt;""," "&amp;O278,"")&amp;","&amp;" FC Urban runs after-work football for "&amp;IF(D278="Canary Wharf","Canary Wharf","City")&amp;" teams: "&amp;AC278&amp;" at "&amp;X278&amp;", "&amp;Y278&amp;" min from your office, "&amp;IF(ISNUMBER(AB278),TEXT(AB278,"ddd d mmm")&amp;", "&amp;TEXT(AB278,"hh:mm"),"weekday evenings")&amp;", "&amp;IF(AD278&lt;&gt;"","£"&amp;IF(AD278=INT(AD278),TEXT(AD278,"0"),TEXT(AD278,"0.00")),"[PRICE PER PLAYER]")&amp;" pp. We handle booking and payments. Up for a team game? "&amp;IF(AL278&lt;&gt;"",AL278,IF(Offer!$C$5&lt;&gt;"",Offer!$C$5,"[NAME]")),300))</f>
        <v/>
      </c>
      <c r="AI278" s="14">
        <f>LEN(AH278)</f>
        <v/>
      </c>
      <c r="AJ278" s="14">
        <f>"Thanks for connecting"&amp;IF(O278&lt;&gt;"",", "&amp;O278,"")&amp;". "&amp;IF(ISNUMBER(AB278),"The "&amp;AC278&amp;" slot at "&amp;X278&amp;" is "&amp;IF(ISNUMBER(AB278),TEXT(AB278,"ddd d mmm")&amp;", "&amp;TEXT(AB278,"hh:mm"),"weekday evenings"),"We can book "&amp;AC278&amp;" at "&amp;X278&amp;" on a weekday evening that suits you")&amp;" and it's "&amp;IF(AD278&lt;&gt;"","£"&amp;IF(AD278=INT(AD278),TEXT(AD278,"0"),TEXT(AD278,"0.00")),"[PRICE PER PLAYER]")&amp;" a player, all booked and paid through one link. If football isn't your thing, who at "&amp;F278&amp;" would be the right person to organise a team game?"&amp;IF(Offer!$C$7&lt;&gt;""," Spots are held until "&amp;TEXT(Offer!$C$7,"dddd d mmmm")&amp;".","")&amp;" "&amp;IF(Offer!$C$6&lt;&gt;"",Offer!$C$6,"[JOINING LINK]")</f>
        <v/>
      </c>
      <c r="AK278" s="14">
        <f>IF(OR(ISNUMBER(SEARCH("[",AG278)),ISNUMBER(SEARCH("[",AJ278))),"Fill placeholders",IF(ISNUMBER(AB278),"Ready to send","Ready · no fixed slot"))</f>
        <v/>
      </c>
      <c r="AN278" s="17" t="n"/>
    </row>
    <row r="279">
      <c r="A279" s="11" t="n">
        <v>277</v>
      </c>
      <c r="B279" s="11" t="n">
        <v>3</v>
      </c>
      <c r="C279" s="11" t="inlineStr">
        <is>
          <t>Insurance / broker</t>
        </is>
      </c>
      <c r="D279" s="11" t="inlineStr">
        <is>
          <t>City of London</t>
        </is>
      </c>
      <c r="E279" s="11" t="inlineStr">
        <is>
          <t>Kerry London Limited</t>
        </is>
      </c>
      <c r="F279" s="11" t="inlineStr">
        <is>
          <t>Kerry London</t>
        </is>
      </c>
      <c r="G279" s="11" t="inlineStr">
        <is>
          <t>02006558</t>
        </is>
      </c>
      <c r="H279" s="12" t="inlineStr">
        <is>
          <t>Open</t>
        </is>
      </c>
      <c r="I279" s="12" t="inlineStr">
        <is>
          <t>Search</t>
        </is>
      </c>
      <c r="J279" s="11" t="inlineStr">
        <is>
          <t>Full</t>
        </is>
      </c>
      <c r="K279" s="13" t="n">
        <v>31506</v>
      </c>
      <c r="L279" s="11" t="inlineStr">
        <is>
          <t>40 Lime Street, 5Th Floor, London</t>
        </is>
      </c>
      <c r="M279" s="11" t="inlineStr">
        <is>
          <t>EC3M 7AW</t>
        </is>
      </c>
      <c r="N279" s="11" t="inlineStr">
        <is>
          <t>No</t>
        </is>
      </c>
      <c r="U279" s="11" t="inlineStr">
        <is>
          <t>Liverpool St - Attlee Centre</t>
        </is>
      </c>
      <c r="V279" s="11" t="n">
        <v>14</v>
      </c>
      <c r="W279" s="11" t="n"/>
      <c r="X279" s="11" t="inlineStr">
        <is>
          <t>Liverpool St - Attlee Centre</t>
        </is>
      </c>
      <c r="Y279" s="11" t="n">
        <v>14</v>
      </c>
      <c r="Z279" s="14">
        <f>IFERROR(INDEX(Venues!$E$2:$E$15,MATCH(X279,Venues!$A$2:$A$15,0)),"Not checked")</f>
        <v/>
      </c>
      <c r="AA279" s="14">
        <f>IFERROR(INDEX(Venues!$F$2:$F$15,MATCH(X279,Venues!$A$2:$A$15,0)),0)</f>
        <v/>
      </c>
      <c r="AB279" s="15">
        <f>IFERROR(INDEX(Venues!$M$2:$M$15,MATCH(X279,Venues!$A$2:$A$15,0)),"")</f>
        <v/>
      </c>
      <c r="AC279" s="14">
        <f>IFERROR(INDEX(Venues!$N$2:$N$15,MATCH(X279,Venues!$A$2:$A$15,0)),"5-a-side")</f>
        <v/>
      </c>
      <c r="AD279" s="16">
        <f>IF(Offer!$C$4="","",Offer!$C$4)</f>
        <v/>
      </c>
      <c r="AE279" s="14">
        <f>X279&amp;" ("&amp;Y279&amp;" min walk) · "&amp;IF(ISNUMBER(AB279),TEXT(AB279,"ddd d mmm, hh:mm"),"slot to confirm with venue")&amp;" · "&amp;AC279&amp;" · "&amp;IF(AD279&lt;&gt;"","£"&amp;TEXT(AD279,"0.00")&amp;" pp","price TBC")</f>
        <v/>
      </c>
      <c r="AF279" s="14">
        <f>"After-work football for "&amp;F279&amp;" · "&amp;X279&amp;", "&amp;Y279&amp;" min from your office"</f>
        <v/>
      </c>
      <c r="AG279" s="14">
        <f>"Hi"&amp;IF(O279&lt;&gt;""," "&amp;O279,"")&amp;","&amp;CHAR(10)&amp;CHAR(10)&amp;"I'm "&amp;IF(AL279&lt;&gt;"",AL279,IF(Offer!$C$5&lt;&gt;"",Offer!$C$5,"[NAME]"))&amp;" from FC Urban. We organise after-work football for teams in the City and Canary Wharf."&amp;CHAR(10)&amp;CHAR(10)&amp;"We have a "&amp;AC279&amp;" pitch at "&amp;X279&amp;", "&amp;IF(OR(Y279=8,Y279=11,Y279=18),"an ","a ")&amp;Y279&amp;"-minute walk from your "&amp;M279&amp;" office, "&amp;IF(ISNUMBER(AB279),"on "&amp;TEXT(AB279,"dddd d mmmm")&amp;" at "&amp;TEXT(AB279,"hh:mm"),"on a weekday evening that suits your team")&amp;". It's "&amp;IF(AD279&lt;&gt;"","£"&amp;IF(AD279=INT(AD279),TEXT(AD279,"0"),TEXT(AD279,"0.00")),"[PRICE PER PLAYER]")&amp;" a player and we handle the pitch booking, sign-ups and payments, so all it takes is one person sharing a link with the team."&amp;CHAR(10)&amp;CHAR(10)&amp;"It works well as a team social or "&amp;IF(ISNUMBER(SEARCH(LEFT(F279,1),"AEIOU")),"an ","a ")&amp;F279&amp;"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LINK]")&amp;CHAR(10)&amp;CHAR(10)&amp;"Best,"&amp;CHAR(10)&amp;IF(AL279&lt;&gt;"",AL279,IF(Offer!$C$5&lt;&gt;"",Offer!$C$5,"[NAME]"))&amp;CHAR(10)&amp;"FC Urban"</f>
        <v/>
      </c>
      <c r="AH279" s="14">
        <f>IF(LEN("Hi"&amp;IF(O279&lt;&gt;""," "&amp;O279,"")&amp;","&amp;" FC Urban runs after-work football for "&amp;IF(D279="Canary Wharf","Canary Wharf","City")&amp;" teams. We have a "&amp;AC279&amp;" pitch at "&amp;X279&amp;", "&amp;Y279&amp;" min from your office, "&amp;IF(ISNUMBER(AB279),TEXT(AB279,"ddd d mmm")&amp;", "&amp;TEXT(AB279,"hh:mm"),"weekday evenings")&amp;", "&amp;IF(AD279&lt;&gt;"","£"&amp;IF(AD279=INT(AD279),TEXT(AD279,"0"),TEXT(AD279,"0.00")),"[PRICE PER PLAYER]")&amp;" a player. We handle booking, sign-ups and payments. Fancy "&amp;IF(ISNUMBER(SEARCH(LEFT(F279,1),"AEIOU")),"an ","a ")&amp;F279&amp;" team game? "&amp;IF(AL279&lt;&gt;"",AL279,IF(Offer!$C$5&lt;&gt;"",Offer!$C$5,"[NAME]")))&lt;=300,"Hi"&amp;IF(O279&lt;&gt;""," "&amp;O279,"")&amp;","&amp;" FC Urban runs after-work football for "&amp;IF(D279="Canary Wharf","Canary Wharf","City")&amp;" teams. We have a "&amp;AC279&amp;" pitch at "&amp;X279&amp;", "&amp;Y279&amp;" min from your office, "&amp;IF(ISNUMBER(AB279),TEXT(AB279,"ddd d mmm")&amp;", "&amp;TEXT(AB279,"hh:mm"),"weekday evenings")&amp;", "&amp;IF(AD279&lt;&gt;"","£"&amp;IF(AD279=INT(AD279),TEXT(AD279,"0"),TEXT(AD279,"0.00")),"[PRICE PER PLAYER]")&amp;" a player. We handle booking, sign-ups and payments. Fancy "&amp;IF(ISNUMBER(SEARCH(LEFT(F279,1),"AEIOU")),"an ","a ")&amp;F279&amp;" team game? "&amp;IF(AL279&lt;&gt;"",AL279,IF(Offer!$C$5&lt;&gt;"",Offer!$C$5,"[NAME]")),LEFT("Hi"&amp;IF(O279&lt;&gt;""," "&amp;O279,"")&amp;","&amp;" FC Urban runs after-work football for "&amp;IF(D279="Canary Wharf","Canary Wharf","City")&amp;" teams: "&amp;AC279&amp;" at "&amp;X279&amp;", "&amp;Y279&amp;" min from your office, "&amp;IF(ISNUMBER(AB279),TEXT(AB279,"ddd d mmm")&amp;", "&amp;TEXT(AB279,"hh:mm"),"weekday evenings")&amp;", "&amp;IF(AD279&lt;&gt;"","£"&amp;IF(AD279=INT(AD279),TEXT(AD279,"0"),TEXT(AD279,"0.00")),"[PRICE PER PLAYER]")&amp;" pp. We handle booking and payments. Up for a team game? "&amp;IF(AL279&lt;&gt;"",AL279,IF(Offer!$C$5&lt;&gt;"",Offer!$C$5,"[NAME]")),300))</f>
        <v/>
      </c>
      <c r="AI279" s="14">
        <f>LEN(AH279)</f>
        <v/>
      </c>
      <c r="AJ279" s="14">
        <f>"Thanks for connecting"&amp;IF(O279&lt;&gt;"",", "&amp;O279,"")&amp;". "&amp;IF(ISNUMBER(AB279),"The "&amp;AC279&amp;" slot at "&amp;X279&amp;" is "&amp;IF(ISNUMBER(AB279),TEXT(AB279,"ddd d mmm")&amp;", "&amp;TEXT(AB279,"hh:mm"),"weekday evenings"),"We can book "&amp;AC279&amp;" at "&amp;X279&amp;" on a weekday evening that suits you")&amp;" and it's "&amp;IF(AD279&lt;&gt;"","£"&amp;IF(AD279=INT(AD279),TEXT(AD279,"0"),TEXT(AD279,"0.00")),"[PRICE PER PLAYER]")&amp;" a player, all booked and paid through one link. If football isn't your thing, who at "&amp;F279&amp;" would be the right person to organise a team game?"&amp;IF(Offer!$C$7&lt;&gt;""," Spots are held until "&amp;TEXT(Offer!$C$7,"dddd d mmmm")&amp;".","")&amp;" "&amp;IF(Offer!$C$6&lt;&gt;"",Offer!$C$6,"[JOINING LINK]")</f>
        <v/>
      </c>
      <c r="AK279" s="14">
        <f>IF(OR(ISNUMBER(SEARCH("[",AG279)),ISNUMBER(SEARCH("[",AJ279))),"Fill placeholders",IF(ISNUMBER(AB279),"Ready to send","Ready · no fixed slot"))</f>
        <v/>
      </c>
      <c r="AN279" s="17" t="n"/>
    </row>
    <row r="280">
      <c r="A280" s="11" t="n">
        <v>278</v>
      </c>
      <c r="B280" s="11" t="n">
        <v>3</v>
      </c>
      <c r="C280" s="11" t="inlineStr">
        <is>
          <t>Insurance / broker</t>
        </is>
      </c>
      <c r="D280" s="11" t="inlineStr">
        <is>
          <t>City of London</t>
        </is>
      </c>
      <c r="E280" s="11" t="inlineStr">
        <is>
          <t>Trade Direct Insurance Services Ltd</t>
        </is>
      </c>
      <c r="F280" s="11" t="inlineStr">
        <is>
          <t>Trade Direct Insurance</t>
        </is>
      </c>
      <c r="G280" s="11" t="inlineStr">
        <is>
          <t>01580129</t>
        </is>
      </c>
      <c r="H280" s="12" t="inlineStr">
        <is>
          <t>Open</t>
        </is>
      </c>
      <c r="I280" s="12" t="inlineStr">
        <is>
          <t>Search</t>
        </is>
      </c>
      <c r="J280" s="11" t="inlineStr">
        <is>
          <t>Full</t>
        </is>
      </c>
      <c r="K280" s="13" t="n">
        <v>29812</v>
      </c>
      <c r="L280" s="11" t="inlineStr">
        <is>
          <t>40 Lime Street, 5Th Floor, London</t>
        </is>
      </c>
      <c r="M280" s="11" t="inlineStr">
        <is>
          <t>EC3M 7AW</t>
        </is>
      </c>
      <c r="N280" s="11" t="inlineStr">
        <is>
          <t>No</t>
        </is>
      </c>
      <c r="U280" s="11" t="inlineStr">
        <is>
          <t>Liverpool St - Attlee Centre</t>
        </is>
      </c>
      <c r="V280" s="11" t="n">
        <v>14</v>
      </c>
      <c r="W280" s="11" t="n"/>
      <c r="X280" s="11" t="inlineStr">
        <is>
          <t>Liverpool St - Attlee Centre</t>
        </is>
      </c>
      <c r="Y280" s="11" t="n">
        <v>14</v>
      </c>
      <c r="Z280" s="14">
        <f>IFERROR(INDEX(Venues!$E$2:$E$15,MATCH(X280,Venues!$A$2:$A$15,0)),"Not checked")</f>
        <v/>
      </c>
      <c r="AA280" s="14">
        <f>IFERROR(INDEX(Venues!$F$2:$F$15,MATCH(X280,Venues!$A$2:$A$15,0)),0)</f>
        <v/>
      </c>
      <c r="AB280" s="15">
        <f>IFERROR(INDEX(Venues!$M$2:$M$15,MATCH(X280,Venues!$A$2:$A$15,0)),"")</f>
        <v/>
      </c>
      <c r="AC280" s="14">
        <f>IFERROR(INDEX(Venues!$N$2:$N$15,MATCH(X280,Venues!$A$2:$A$15,0)),"5-a-side")</f>
        <v/>
      </c>
      <c r="AD280" s="16">
        <f>IF(Offer!$C$4="","",Offer!$C$4)</f>
        <v/>
      </c>
      <c r="AE280" s="14">
        <f>X280&amp;" ("&amp;Y280&amp;" min walk) · "&amp;IF(ISNUMBER(AB280),TEXT(AB280,"ddd d mmm, hh:mm"),"slot to confirm with venue")&amp;" · "&amp;AC280&amp;" · "&amp;IF(AD280&lt;&gt;"","£"&amp;TEXT(AD280,"0.00")&amp;" pp","price TBC")</f>
        <v/>
      </c>
      <c r="AF280" s="14">
        <f>"After-work football for "&amp;F280&amp;" · "&amp;X280&amp;", "&amp;Y280&amp;" min from your office"</f>
        <v/>
      </c>
      <c r="AG280" s="14">
        <f>"Hi"&amp;IF(O280&lt;&gt;""," "&amp;O280,"")&amp;","&amp;CHAR(10)&amp;CHAR(10)&amp;"I'm "&amp;IF(AL280&lt;&gt;"",AL280,IF(Offer!$C$5&lt;&gt;"",Offer!$C$5,"[NAME]"))&amp;" from FC Urban. We organise after-work football for teams in the City and Canary Wharf."&amp;CHAR(10)&amp;CHAR(10)&amp;"We have a "&amp;AC280&amp;" pitch at "&amp;X280&amp;", "&amp;IF(OR(Y280=8,Y280=11,Y280=18),"an ","a ")&amp;Y280&amp;"-minute walk from your "&amp;M280&amp;" office, "&amp;IF(ISNUMBER(AB280),"on "&amp;TEXT(AB280,"dddd d mmmm")&amp;" at "&amp;TEXT(AB280,"hh:mm"),"on a weekday evening that suits your team")&amp;". It's "&amp;IF(AD280&lt;&gt;"","£"&amp;IF(AD280=INT(AD280),TEXT(AD280,"0"),TEXT(AD280,"0.00")),"[PRICE PER PLAYER]")&amp;" a player and we handle the pitch booking, sign-ups and payments, so all it takes is one person sharing a link with the team."&amp;CHAR(10)&amp;CHAR(10)&amp;"It works well as a team social or "&amp;IF(ISNUMBER(SEARCH(LEFT(F280,1),"AEIOU")),"an ","a ")&amp;F280&amp;"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LINK]")&amp;CHAR(10)&amp;CHAR(10)&amp;"Best,"&amp;CHAR(10)&amp;IF(AL280&lt;&gt;"",AL280,IF(Offer!$C$5&lt;&gt;"",Offer!$C$5,"[NAME]"))&amp;CHAR(10)&amp;"FC Urban"</f>
        <v/>
      </c>
      <c r="AH280" s="14">
        <f>IF(LEN("Hi"&amp;IF(O280&lt;&gt;""," "&amp;O280,"")&amp;","&amp;" FC Urban runs after-work football for "&amp;IF(D280="Canary Wharf","Canary Wharf","City")&amp;" teams. We have a "&amp;AC280&amp;" pitch at "&amp;X280&amp;", "&amp;Y280&amp;" min from your office, "&amp;IF(ISNUMBER(AB280),TEXT(AB280,"ddd d mmm")&amp;", "&amp;TEXT(AB280,"hh:mm"),"weekday evenings")&amp;", "&amp;IF(AD280&lt;&gt;"","£"&amp;IF(AD280=INT(AD280),TEXT(AD280,"0"),TEXT(AD280,"0.00")),"[PRICE PER PLAYER]")&amp;" a player. We handle booking, sign-ups and payments. Fancy "&amp;IF(ISNUMBER(SEARCH(LEFT(F280,1),"AEIOU")),"an ","a ")&amp;F280&amp;" team game? "&amp;IF(AL280&lt;&gt;"",AL280,IF(Offer!$C$5&lt;&gt;"",Offer!$C$5,"[NAME]")))&lt;=300,"Hi"&amp;IF(O280&lt;&gt;""," "&amp;O280,"")&amp;","&amp;" FC Urban runs after-work football for "&amp;IF(D280="Canary Wharf","Canary Wharf","City")&amp;" teams. We have a "&amp;AC280&amp;" pitch at "&amp;X280&amp;", "&amp;Y280&amp;" min from your office, "&amp;IF(ISNUMBER(AB280),TEXT(AB280,"ddd d mmm")&amp;", "&amp;TEXT(AB280,"hh:mm"),"weekday evenings")&amp;", "&amp;IF(AD280&lt;&gt;"","£"&amp;IF(AD280=INT(AD280),TEXT(AD280,"0"),TEXT(AD280,"0.00")),"[PRICE PER PLAYER]")&amp;" a player. We handle booking, sign-ups and payments. Fancy "&amp;IF(ISNUMBER(SEARCH(LEFT(F280,1),"AEIOU")),"an ","a ")&amp;F280&amp;" team game? "&amp;IF(AL280&lt;&gt;"",AL280,IF(Offer!$C$5&lt;&gt;"",Offer!$C$5,"[NAME]")),LEFT("Hi"&amp;IF(O280&lt;&gt;""," "&amp;O280,"")&amp;","&amp;" FC Urban runs after-work football for "&amp;IF(D280="Canary Wharf","Canary Wharf","City")&amp;" teams: "&amp;AC280&amp;" at "&amp;X280&amp;", "&amp;Y280&amp;" min from your office, "&amp;IF(ISNUMBER(AB280),TEXT(AB280,"ddd d mmm")&amp;", "&amp;TEXT(AB280,"hh:mm"),"weekday evenings")&amp;", "&amp;IF(AD280&lt;&gt;"","£"&amp;IF(AD280=INT(AD280),TEXT(AD280,"0"),TEXT(AD280,"0.00")),"[PRICE PER PLAYER]")&amp;" pp. We handle booking and payments. Up for a team game? "&amp;IF(AL280&lt;&gt;"",AL280,IF(Offer!$C$5&lt;&gt;"",Offer!$C$5,"[NAME]")),300))</f>
        <v/>
      </c>
      <c r="AI280" s="14">
        <f>LEN(AH280)</f>
        <v/>
      </c>
      <c r="AJ280" s="14">
        <f>"Thanks for connecting"&amp;IF(O280&lt;&gt;"",", "&amp;O280,"")&amp;". "&amp;IF(ISNUMBER(AB280),"The "&amp;AC280&amp;" slot at "&amp;X280&amp;" is "&amp;IF(ISNUMBER(AB280),TEXT(AB280,"ddd d mmm")&amp;", "&amp;TEXT(AB280,"hh:mm"),"weekday evenings"),"We can book "&amp;AC280&amp;" at "&amp;X280&amp;" on a weekday evening that suits you")&amp;" and it's "&amp;IF(AD280&lt;&gt;"","£"&amp;IF(AD280=INT(AD280),TEXT(AD280,"0"),TEXT(AD280,"0.00")),"[PRICE PER PLAYER]")&amp;" a player, all booked and paid through one link. If football isn't your thing, who at "&amp;F280&amp;" would be the right person to organise a team game?"&amp;IF(Offer!$C$7&lt;&gt;""," Spots are held until "&amp;TEXT(Offer!$C$7,"dddd d mmmm")&amp;".","")&amp;" "&amp;IF(Offer!$C$6&lt;&gt;"",Offer!$C$6,"[JOINING LINK]")</f>
        <v/>
      </c>
      <c r="AK280" s="14">
        <f>IF(OR(ISNUMBER(SEARCH("[",AG280)),ISNUMBER(SEARCH("[",AJ280))),"Fill placeholders",IF(ISNUMBER(AB280),"Ready to send","Ready · no fixed slot"))</f>
        <v/>
      </c>
      <c r="AN280" s="17" t="n"/>
    </row>
    <row r="281">
      <c r="A281" s="11" t="n">
        <v>279</v>
      </c>
      <c r="B281" s="11" t="n">
        <v>3</v>
      </c>
      <c r="C281" s="11" t="inlineStr">
        <is>
          <t>Insurance / broker</t>
        </is>
      </c>
      <c r="D281" s="11" t="inlineStr">
        <is>
          <t>City of London</t>
        </is>
      </c>
      <c r="E281" s="11" t="inlineStr">
        <is>
          <t>ICW Insurance Services Ltd</t>
        </is>
      </c>
      <c r="F281" s="11" t="inlineStr">
        <is>
          <t>ICW Insurance</t>
        </is>
      </c>
      <c r="G281" s="11" t="inlineStr">
        <is>
          <t>10985073</t>
        </is>
      </c>
      <c r="H281" s="12" t="inlineStr">
        <is>
          <t>Open</t>
        </is>
      </c>
      <c r="I281" s="12" t="inlineStr">
        <is>
          <t>Search</t>
        </is>
      </c>
      <c r="J281" s="11" t="inlineStr">
        <is>
          <t>Medium</t>
        </is>
      </c>
      <c r="K281" s="13" t="n">
        <v>43005</v>
      </c>
      <c r="L281" s="11" t="inlineStr">
        <is>
          <t>1-2 Charterhouse Mews, London</t>
        </is>
      </c>
      <c r="M281" s="11" t="inlineStr">
        <is>
          <t>EC1M 6BB</t>
        </is>
      </c>
      <c r="N281" s="11" t="inlineStr">
        <is>
          <t>No</t>
        </is>
      </c>
      <c r="U281" s="11" t="inlineStr">
        <is>
          <t>Old St - Moreland Primary School</t>
        </is>
      </c>
      <c r="V281" s="11" t="n">
        <v>14</v>
      </c>
      <c r="W281" s="11" t="n"/>
      <c r="X281" s="11" t="inlineStr">
        <is>
          <t>Old St - Moreland Primary School</t>
        </is>
      </c>
      <c r="Y281" s="11" t="n">
        <v>14</v>
      </c>
      <c r="Z281" s="14">
        <f>IFERROR(INDEX(Venues!$E$2:$E$15,MATCH(X281,Venues!$A$2:$A$15,0)),"Not checked")</f>
        <v/>
      </c>
      <c r="AA281" s="14">
        <f>IFERROR(INDEX(Venues!$F$2:$F$15,MATCH(X281,Venues!$A$2:$A$15,0)),0)</f>
        <v/>
      </c>
      <c r="AB281" s="15">
        <f>IFERROR(INDEX(Venues!$M$2:$M$15,MATCH(X281,Venues!$A$2:$A$15,0)),"")</f>
        <v/>
      </c>
      <c r="AC281" s="14">
        <f>IFERROR(INDEX(Venues!$N$2:$N$15,MATCH(X281,Venues!$A$2:$A$15,0)),"5-a-side")</f>
        <v/>
      </c>
      <c r="AD281" s="16">
        <f>IF(Offer!$C$4="","",Offer!$C$4)</f>
        <v/>
      </c>
      <c r="AE281" s="14">
        <f>X281&amp;" ("&amp;Y281&amp;" min walk) · "&amp;IF(ISNUMBER(AB281),TEXT(AB281,"ddd d mmm, hh:mm"),"slot to confirm with venue")&amp;" · "&amp;AC281&amp;" · "&amp;IF(AD281&lt;&gt;"","£"&amp;TEXT(AD281,"0.00")&amp;" pp","price TBC")</f>
        <v/>
      </c>
      <c r="AF281" s="14">
        <f>"After-work football for "&amp;F281&amp;" · "&amp;X281&amp;", "&amp;Y281&amp;" min from your office"</f>
        <v/>
      </c>
      <c r="AG281" s="14">
        <f>"Hi"&amp;IF(O281&lt;&gt;""," "&amp;O281,"")&amp;","&amp;CHAR(10)&amp;CHAR(10)&amp;"I'm "&amp;IF(AL281&lt;&gt;"",AL281,IF(Offer!$C$5&lt;&gt;"",Offer!$C$5,"[NAME]"))&amp;" from FC Urban. We organise after-work football for teams in the City and Canary Wharf."&amp;CHAR(10)&amp;CHAR(10)&amp;"We have a "&amp;AC281&amp;" pitch at "&amp;X281&amp;", "&amp;IF(OR(Y281=8,Y281=11,Y281=18),"an ","a ")&amp;Y281&amp;"-minute walk from your "&amp;M281&amp;" office, "&amp;IF(ISNUMBER(AB281),"on "&amp;TEXT(AB281,"dddd d mmmm")&amp;" at "&amp;TEXT(AB281,"hh:mm"),"on a weekday evening that suits your team")&amp;". It's "&amp;IF(AD281&lt;&gt;"","£"&amp;IF(AD281=INT(AD281),TEXT(AD281,"0"),TEXT(AD281,"0.00")),"[PRICE PER PLAYER]")&amp;" a player and we handle the pitch booking, sign-ups and payments, so all it takes is one person sharing a link with the team."&amp;CHAR(10)&amp;CHAR(10)&amp;"It works well as a team social or "&amp;IF(ISNUMBER(SEARCH(LEFT(F281,1),"AEIOU")),"an ","a ")&amp;F281&amp;"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LINK]")&amp;CHAR(10)&amp;CHAR(10)&amp;"Best,"&amp;CHAR(10)&amp;IF(AL281&lt;&gt;"",AL281,IF(Offer!$C$5&lt;&gt;"",Offer!$C$5,"[NAME]"))&amp;CHAR(10)&amp;"FC Urban"</f>
        <v/>
      </c>
      <c r="AH281" s="14">
        <f>IF(LEN("Hi"&amp;IF(O281&lt;&gt;""," "&amp;O281,"")&amp;","&amp;" FC Urban runs after-work football for "&amp;IF(D281="Canary Wharf","Canary Wharf","City")&amp;" teams. We have a "&amp;AC281&amp;" pitch at "&amp;X281&amp;", "&amp;Y281&amp;" min from your office, "&amp;IF(ISNUMBER(AB281),TEXT(AB281,"ddd d mmm")&amp;", "&amp;TEXT(AB281,"hh:mm"),"weekday evenings")&amp;", "&amp;IF(AD281&lt;&gt;"","£"&amp;IF(AD281=INT(AD281),TEXT(AD281,"0"),TEXT(AD281,"0.00")),"[PRICE PER PLAYER]")&amp;" a player. We handle booking, sign-ups and payments. Fancy "&amp;IF(ISNUMBER(SEARCH(LEFT(F281,1),"AEIOU")),"an ","a ")&amp;F281&amp;" team game? "&amp;IF(AL281&lt;&gt;"",AL281,IF(Offer!$C$5&lt;&gt;"",Offer!$C$5,"[NAME]")))&lt;=300,"Hi"&amp;IF(O281&lt;&gt;""," "&amp;O281,"")&amp;","&amp;" FC Urban runs after-work football for "&amp;IF(D281="Canary Wharf","Canary Wharf","City")&amp;" teams. We have a "&amp;AC281&amp;" pitch at "&amp;X281&amp;", "&amp;Y281&amp;" min from your office, "&amp;IF(ISNUMBER(AB281),TEXT(AB281,"ddd d mmm")&amp;", "&amp;TEXT(AB281,"hh:mm"),"weekday evenings")&amp;", "&amp;IF(AD281&lt;&gt;"","£"&amp;IF(AD281=INT(AD281),TEXT(AD281,"0"),TEXT(AD281,"0.00")),"[PRICE PER PLAYER]")&amp;" a player. We handle booking, sign-ups and payments. Fancy "&amp;IF(ISNUMBER(SEARCH(LEFT(F281,1),"AEIOU")),"an ","a ")&amp;F281&amp;" team game? "&amp;IF(AL281&lt;&gt;"",AL281,IF(Offer!$C$5&lt;&gt;"",Offer!$C$5,"[NAME]")),LEFT("Hi"&amp;IF(O281&lt;&gt;""," "&amp;O281,"")&amp;","&amp;" FC Urban runs after-work football for "&amp;IF(D281="Canary Wharf","Canary Wharf","City")&amp;" teams: "&amp;AC281&amp;" at "&amp;X281&amp;", "&amp;Y281&amp;" min from your office, "&amp;IF(ISNUMBER(AB281),TEXT(AB281,"ddd d mmm")&amp;", "&amp;TEXT(AB281,"hh:mm"),"weekday evenings")&amp;", "&amp;IF(AD281&lt;&gt;"","£"&amp;IF(AD281=INT(AD281),TEXT(AD281,"0"),TEXT(AD281,"0.00")),"[PRICE PER PLAYER]")&amp;" pp. We handle booking and payments. Up for a team game? "&amp;IF(AL281&lt;&gt;"",AL281,IF(Offer!$C$5&lt;&gt;"",Offer!$C$5,"[NAME]")),300))</f>
        <v/>
      </c>
      <c r="AI281" s="14">
        <f>LEN(AH281)</f>
        <v/>
      </c>
      <c r="AJ281" s="14">
        <f>"Thanks for connecting"&amp;IF(O281&lt;&gt;"",", "&amp;O281,"")&amp;". "&amp;IF(ISNUMBER(AB281),"The "&amp;AC281&amp;" slot at "&amp;X281&amp;" is "&amp;IF(ISNUMBER(AB281),TEXT(AB281,"ddd d mmm")&amp;", "&amp;TEXT(AB281,"hh:mm"),"weekday evenings"),"We can book "&amp;AC281&amp;" at "&amp;X281&amp;" on a weekday evening that suits you")&amp;" and it's "&amp;IF(AD281&lt;&gt;"","£"&amp;IF(AD281=INT(AD281),TEXT(AD281,"0"),TEXT(AD281,"0.00")),"[PRICE PER PLAYER]")&amp;" a player, all booked and paid through one link. If football isn't your thing, who at "&amp;F281&amp;" would be the right person to organise a team game?"&amp;IF(Offer!$C$7&lt;&gt;""," Spots are held until "&amp;TEXT(Offer!$C$7,"dddd d mmmm")&amp;".","")&amp;" "&amp;IF(Offer!$C$6&lt;&gt;"",Offer!$C$6,"[JOINING LINK]")</f>
        <v/>
      </c>
      <c r="AK281" s="14">
        <f>IF(OR(ISNUMBER(SEARCH("[",AG281)),ISNUMBER(SEARCH("[",AJ281))),"Fill placeholders",IF(ISNUMBER(AB281),"Ready to send","Ready · no fixed slot"))</f>
        <v/>
      </c>
      <c r="AN281" s="17" t="n"/>
    </row>
    <row r="282">
      <c r="A282" s="11" t="n">
        <v>280</v>
      </c>
      <c r="B282" s="11" t="n">
        <v>3</v>
      </c>
      <c r="C282" s="11" t="inlineStr">
        <is>
          <t>Insurance / broker</t>
        </is>
      </c>
      <c r="D282" s="11" t="inlineStr">
        <is>
          <t>City of London</t>
        </is>
      </c>
      <c r="E282" s="11" t="inlineStr">
        <is>
          <t>April Medibroker Limited</t>
        </is>
      </c>
      <c r="F282" s="11" t="inlineStr">
        <is>
          <t>April Medibroker</t>
        </is>
      </c>
      <c r="G282" s="11" t="inlineStr">
        <is>
          <t>03673450</t>
        </is>
      </c>
      <c r="H282" s="12" t="inlineStr">
        <is>
          <t>Open</t>
        </is>
      </c>
      <c r="I282" s="12" t="inlineStr">
        <is>
          <t>Search</t>
        </is>
      </c>
      <c r="J282" s="11" t="inlineStr">
        <is>
          <t>Full</t>
        </is>
      </c>
      <c r="K282" s="13" t="n">
        <v>36124</v>
      </c>
      <c r="L282" s="11" t="inlineStr">
        <is>
          <t>Walsingham House, 35 Seething Lane, London</t>
        </is>
      </c>
      <c r="M282" s="11" t="inlineStr">
        <is>
          <t>EC3N 4AH</t>
        </is>
      </c>
      <c r="N282" s="11" t="inlineStr">
        <is>
          <t>No</t>
        </is>
      </c>
      <c r="U282" s="11" t="inlineStr">
        <is>
          <t>Liverpool St - Attlee Centre</t>
        </is>
      </c>
      <c r="V282" s="11" t="n">
        <v>14</v>
      </c>
      <c r="W282" s="11" t="n"/>
      <c r="X282" s="11" t="inlineStr">
        <is>
          <t>Liverpool St - Attlee Centre</t>
        </is>
      </c>
      <c r="Y282" s="11" t="n">
        <v>14</v>
      </c>
      <c r="Z282" s="14">
        <f>IFERROR(INDEX(Venues!$E$2:$E$15,MATCH(X282,Venues!$A$2:$A$15,0)),"Not checked")</f>
        <v/>
      </c>
      <c r="AA282" s="14">
        <f>IFERROR(INDEX(Venues!$F$2:$F$15,MATCH(X282,Venues!$A$2:$A$15,0)),0)</f>
        <v/>
      </c>
      <c r="AB282" s="15">
        <f>IFERROR(INDEX(Venues!$M$2:$M$15,MATCH(X282,Venues!$A$2:$A$15,0)),"")</f>
        <v/>
      </c>
      <c r="AC282" s="14">
        <f>IFERROR(INDEX(Venues!$N$2:$N$15,MATCH(X282,Venues!$A$2:$A$15,0)),"5-a-side")</f>
        <v/>
      </c>
      <c r="AD282" s="16">
        <f>IF(Offer!$C$4="","",Offer!$C$4)</f>
        <v/>
      </c>
      <c r="AE282" s="14">
        <f>X282&amp;" ("&amp;Y282&amp;" min walk) · "&amp;IF(ISNUMBER(AB282),TEXT(AB282,"ddd d mmm, hh:mm"),"slot to confirm with venue")&amp;" · "&amp;AC282&amp;" · "&amp;IF(AD282&lt;&gt;"","£"&amp;TEXT(AD282,"0.00")&amp;" pp","price TBC")</f>
        <v/>
      </c>
      <c r="AF282" s="14">
        <f>"After-work football for "&amp;F282&amp;" · "&amp;X282&amp;", "&amp;Y282&amp;" min from your office"</f>
        <v/>
      </c>
      <c r="AG282" s="14">
        <f>"Hi"&amp;IF(O282&lt;&gt;""," "&amp;O282,"")&amp;","&amp;CHAR(10)&amp;CHAR(10)&amp;"I'm "&amp;IF(AL282&lt;&gt;"",AL282,IF(Offer!$C$5&lt;&gt;"",Offer!$C$5,"[NAME]"))&amp;" from FC Urban. We organise after-work football for teams in the City and Canary Wharf."&amp;CHAR(10)&amp;CHAR(10)&amp;"We have a "&amp;AC282&amp;" pitch at "&amp;X282&amp;", "&amp;IF(OR(Y282=8,Y282=11,Y282=18),"an ","a ")&amp;Y282&amp;"-minute walk from your "&amp;M282&amp;" office, "&amp;IF(ISNUMBER(AB282),"on "&amp;TEXT(AB282,"dddd d mmmm")&amp;" at "&amp;TEXT(AB282,"hh:mm"),"on a weekday evening that suits your team")&amp;". It's "&amp;IF(AD282&lt;&gt;"","£"&amp;IF(AD282=INT(AD282),TEXT(AD282,"0"),TEXT(AD282,"0.00")),"[PRICE PER PLAYER]")&amp;" a player and we handle the pitch booking, sign-ups and payments, so all it takes is one person sharing a link with the team."&amp;CHAR(10)&amp;CHAR(10)&amp;"It works well as a team social or "&amp;IF(ISNUMBER(SEARCH(LEFT(F282,1),"AEIOU")),"an ","a ")&amp;F282&amp;"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LINK]")&amp;CHAR(10)&amp;CHAR(10)&amp;"Best,"&amp;CHAR(10)&amp;IF(AL282&lt;&gt;"",AL282,IF(Offer!$C$5&lt;&gt;"",Offer!$C$5,"[NAME]"))&amp;CHAR(10)&amp;"FC Urban"</f>
        <v/>
      </c>
      <c r="AH282" s="14">
        <f>IF(LEN("Hi"&amp;IF(O282&lt;&gt;""," "&amp;O282,"")&amp;","&amp;" FC Urban runs after-work football for "&amp;IF(D282="Canary Wharf","Canary Wharf","City")&amp;" teams. We have a "&amp;AC282&amp;" pitch at "&amp;X282&amp;", "&amp;Y282&amp;" min from your office, "&amp;IF(ISNUMBER(AB282),TEXT(AB282,"ddd d mmm")&amp;", "&amp;TEXT(AB282,"hh:mm"),"weekday evenings")&amp;", "&amp;IF(AD282&lt;&gt;"","£"&amp;IF(AD282=INT(AD282),TEXT(AD282,"0"),TEXT(AD282,"0.00")),"[PRICE PER PLAYER]")&amp;" a player. We handle booking, sign-ups and payments. Fancy "&amp;IF(ISNUMBER(SEARCH(LEFT(F282,1),"AEIOU")),"an ","a ")&amp;F282&amp;" team game? "&amp;IF(AL282&lt;&gt;"",AL282,IF(Offer!$C$5&lt;&gt;"",Offer!$C$5,"[NAME]")))&lt;=300,"Hi"&amp;IF(O282&lt;&gt;""," "&amp;O282,"")&amp;","&amp;" FC Urban runs after-work football for "&amp;IF(D282="Canary Wharf","Canary Wharf","City")&amp;" teams. We have a "&amp;AC282&amp;" pitch at "&amp;X282&amp;", "&amp;Y282&amp;" min from your office, "&amp;IF(ISNUMBER(AB282),TEXT(AB282,"ddd d mmm")&amp;", "&amp;TEXT(AB282,"hh:mm"),"weekday evenings")&amp;", "&amp;IF(AD282&lt;&gt;"","£"&amp;IF(AD282=INT(AD282),TEXT(AD282,"0"),TEXT(AD282,"0.00")),"[PRICE PER PLAYER]")&amp;" a player. We handle booking, sign-ups and payments. Fancy "&amp;IF(ISNUMBER(SEARCH(LEFT(F282,1),"AEIOU")),"an ","a ")&amp;F282&amp;" team game? "&amp;IF(AL282&lt;&gt;"",AL282,IF(Offer!$C$5&lt;&gt;"",Offer!$C$5,"[NAME]")),LEFT("Hi"&amp;IF(O282&lt;&gt;""," "&amp;O282,"")&amp;","&amp;" FC Urban runs after-work football for "&amp;IF(D282="Canary Wharf","Canary Wharf","City")&amp;" teams: "&amp;AC282&amp;" at "&amp;X282&amp;", "&amp;Y282&amp;" min from your office, "&amp;IF(ISNUMBER(AB282),TEXT(AB282,"ddd d mmm")&amp;", "&amp;TEXT(AB282,"hh:mm"),"weekday evenings")&amp;", "&amp;IF(AD282&lt;&gt;"","£"&amp;IF(AD282=INT(AD282),TEXT(AD282,"0"),TEXT(AD282,"0.00")),"[PRICE PER PLAYER]")&amp;" pp. We handle booking and payments. Up for a team game? "&amp;IF(AL282&lt;&gt;"",AL282,IF(Offer!$C$5&lt;&gt;"",Offer!$C$5,"[NAME]")),300))</f>
        <v/>
      </c>
      <c r="AI282" s="14">
        <f>LEN(AH282)</f>
        <v/>
      </c>
      <c r="AJ282" s="14">
        <f>"Thanks for connecting"&amp;IF(O282&lt;&gt;"",", "&amp;O282,"")&amp;". "&amp;IF(ISNUMBER(AB282),"The "&amp;AC282&amp;" slot at "&amp;X282&amp;" is "&amp;IF(ISNUMBER(AB282),TEXT(AB282,"ddd d mmm")&amp;", "&amp;TEXT(AB282,"hh:mm"),"weekday evenings"),"We can book "&amp;AC282&amp;" at "&amp;X282&amp;" on a weekday evening that suits you")&amp;" and it's "&amp;IF(AD282&lt;&gt;"","£"&amp;IF(AD282=INT(AD282),TEXT(AD282,"0"),TEXT(AD282,"0.00")),"[PRICE PER PLAYER]")&amp;" a player, all booked and paid through one link. If football isn't your thing, who at "&amp;F282&amp;" would be the right person to organise a team game?"&amp;IF(Offer!$C$7&lt;&gt;""," Spots are held until "&amp;TEXT(Offer!$C$7,"dddd d mmmm")&amp;".","")&amp;" "&amp;IF(Offer!$C$6&lt;&gt;"",Offer!$C$6,"[JOINING LINK]")</f>
        <v/>
      </c>
      <c r="AK282" s="14">
        <f>IF(OR(ISNUMBER(SEARCH("[",AG282)),ISNUMBER(SEARCH("[",AJ282))),"Fill placeholders",IF(ISNUMBER(AB282),"Ready to send","Ready · no fixed slot"))</f>
        <v/>
      </c>
      <c r="AN282" s="17" t="n"/>
    </row>
    <row r="283">
      <c r="A283" s="11" t="n">
        <v>281</v>
      </c>
      <c r="B283" s="11" t="n">
        <v>3</v>
      </c>
      <c r="C283" s="11" t="inlineStr">
        <is>
          <t>Fund / asset manager</t>
        </is>
      </c>
      <c r="D283" s="11" t="inlineStr">
        <is>
          <t>City of London</t>
        </is>
      </c>
      <c r="E283" s="11" t="inlineStr">
        <is>
          <t>MKC Investment Management Limited</t>
        </is>
      </c>
      <c r="F283" s="11" t="inlineStr">
        <is>
          <t>MKC Investment Management</t>
        </is>
      </c>
      <c r="G283" s="11" t="inlineStr">
        <is>
          <t>13475203</t>
        </is>
      </c>
      <c r="H283" s="12" t="inlineStr">
        <is>
          <t>Open</t>
        </is>
      </c>
      <c r="I283" s="12" t="inlineStr">
        <is>
          <t>Search</t>
        </is>
      </c>
      <c r="J283" s="11" t="inlineStr">
        <is>
          <t>Full</t>
        </is>
      </c>
      <c r="K283" s="13" t="n">
        <v>44371</v>
      </c>
      <c r="L283" s="11" t="inlineStr">
        <is>
          <t>Walsingham House, 35 Seething Lane, London</t>
        </is>
      </c>
      <c r="M283" s="11" t="inlineStr">
        <is>
          <t>EC3N 4AH</t>
        </is>
      </c>
      <c r="N283" s="11" t="inlineStr">
        <is>
          <t>No</t>
        </is>
      </c>
      <c r="U283" s="11" t="inlineStr">
        <is>
          <t>Liverpool St - Attlee Centre</t>
        </is>
      </c>
      <c r="V283" s="11" t="n">
        <v>14</v>
      </c>
      <c r="W283" s="11" t="n"/>
      <c r="X283" s="11" t="inlineStr">
        <is>
          <t>Liverpool St - Attlee Centre</t>
        </is>
      </c>
      <c r="Y283" s="11" t="n">
        <v>14</v>
      </c>
      <c r="Z283" s="14">
        <f>IFERROR(INDEX(Venues!$E$2:$E$15,MATCH(X283,Venues!$A$2:$A$15,0)),"Not checked")</f>
        <v/>
      </c>
      <c r="AA283" s="14">
        <f>IFERROR(INDEX(Venues!$F$2:$F$15,MATCH(X283,Venues!$A$2:$A$15,0)),0)</f>
        <v/>
      </c>
      <c r="AB283" s="15">
        <f>IFERROR(INDEX(Venues!$M$2:$M$15,MATCH(X283,Venues!$A$2:$A$15,0)),"")</f>
        <v/>
      </c>
      <c r="AC283" s="14">
        <f>IFERROR(INDEX(Venues!$N$2:$N$15,MATCH(X283,Venues!$A$2:$A$15,0)),"5-a-side")</f>
        <v/>
      </c>
      <c r="AD283" s="16">
        <f>IF(Offer!$C$4="","",Offer!$C$4)</f>
        <v/>
      </c>
      <c r="AE283" s="14">
        <f>X283&amp;" ("&amp;Y283&amp;" min walk) · "&amp;IF(ISNUMBER(AB283),TEXT(AB283,"ddd d mmm, hh:mm"),"slot to confirm with venue")&amp;" · "&amp;AC283&amp;" · "&amp;IF(AD283&lt;&gt;"","£"&amp;TEXT(AD283,"0.00")&amp;" pp","price TBC")</f>
        <v/>
      </c>
      <c r="AF283" s="14">
        <f>"After-work football for "&amp;F283&amp;" · "&amp;X283&amp;", "&amp;Y283&amp;" min from your office"</f>
        <v/>
      </c>
      <c r="AG283" s="14">
        <f>"Hi"&amp;IF(O283&lt;&gt;""," "&amp;O283,"")&amp;","&amp;CHAR(10)&amp;CHAR(10)&amp;"I'm "&amp;IF(AL283&lt;&gt;"",AL283,IF(Offer!$C$5&lt;&gt;"",Offer!$C$5,"[NAME]"))&amp;" from FC Urban. We organise after-work football for teams in the City and Canary Wharf."&amp;CHAR(10)&amp;CHAR(10)&amp;"We have a "&amp;AC283&amp;" pitch at "&amp;X283&amp;", "&amp;IF(OR(Y283=8,Y283=11,Y283=18),"an ","a ")&amp;Y283&amp;"-minute walk from your "&amp;M283&amp;" office, "&amp;IF(ISNUMBER(AB283),"on "&amp;TEXT(AB283,"dddd d mmmm")&amp;" at "&amp;TEXT(AB283,"hh:mm"),"on a weekday evening that suits your team")&amp;". It's "&amp;IF(AD283&lt;&gt;"","£"&amp;IF(AD283=INT(AD283),TEXT(AD283,"0"),TEXT(AD283,"0.00")),"[PRICE PER PLAYER]")&amp;" a player and we handle the pitch booking, sign-ups and payments, so all it takes is one person sharing a link with the team."&amp;CHAR(10)&amp;CHAR(10)&amp;"It works well as a team social or "&amp;IF(ISNUMBER(SEARCH(LEFT(F283,1),"AEIOU")),"an ","a ")&amp;F283&amp;"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LINK]")&amp;CHAR(10)&amp;CHAR(10)&amp;"Best,"&amp;CHAR(10)&amp;IF(AL283&lt;&gt;"",AL283,IF(Offer!$C$5&lt;&gt;"",Offer!$C$5,"[NAME]"))&amp;CHAR(10)&amp;"FC Urban"</f>
        <v/>
      </c>
      <c r="AH283" s="14">
        <f>IF(LEN("Hi"&amp;IF(O283&lt;&gt;""," "&amp;O283,"")&amp;","&amp;" FC Urban runs after-work football for "&amp;IF(D283="Canary Wharf","Canary Wharf","City")&amp;" teams. We have a "&amp;AC283&amp;" pitch at "&amp;X283&amp;", "&amp;Y283&amp;" min from your office, "&amp;IF(ISNUMBER(AB283),TEXT(AB283,"ddd d mmm")&amp;", "&amp;TEXT(AB283,"hh:mm"),"weekday evenings")&amp;", "&amp;IF(AD283&lt;&gt;"","£"&amp;IF(AD283=INT(AD283),TEXT(AD283,"0"),TEXT(AD283,"0.00")),"[PRICE PER PLAYER]")&amp;" a player. We handle booking, sign-ups and payments. Fancy "&amp;IF(ISNUMBER(SEARCH(LEFT(F283,1),"AEIOU")),"an ","a ")&amp;F283&amp;" team game? "&amp;IF(AL283&lt;&gt;"",AL283,IF(Offer!$C$5&lt;&gt;"",Offer!$C$5,"[NAME]")))&lt;=300,"Hi"&amp;IF(O283&lt;&gt;""," "&amp;O283,"")&amp;","&amp;" FC Urban runs after-work football for "&amp;IF(D283="Canary Wharf","Canary Wharf","City")&amp;" teams. We have a "&amp;AC283&amp;" pitch at "&amp;X283&amp;", "&amp;Y283&amp;" min from your office, "&amp;IF(ISNUMBER(AB283),TEXT(AB283,"ddd d mmm")&amp;", "&amp;TEXT(AB283,"hh:mm"),"weekday evenings")&amp;", "&amp;IF(AD283&lt;&gt;"","£"&amp;IF(AD283=INT(AD283),TEXT(AD283,"0"),TEXT(AD283,"0.00")),"[PRICE PER PLAYER]")&amp;" a player. We handle booking, sign-ups and payments. Fancy "&amp;IF(ISNUMBER(SEARCH(LEFT(F283,1),"AEIOU")),"an ","a ")&amp;F283&amp;" team game? "&amp;IF(AL283&lt;&gt;"",AL283,IF(Offer!$C$5&lt;&gt;"",Offer!$C$5,"[NAME]")),LEFT("Hi"&amp;IF(O283&lt;&gt;""," "&amp;O283,"")&amp;","&amp;" FC Urban runs after-work football for "&amp;IF(D283="Canary Wharf","Canary Wharf","City")&amp;" teams: "&amp;AC283&amp;" at "&amp;X283&amp;", "&amp;Y283&amp;" min from your office, "&amp;IF(ISNUMBER(AB283),TEXT(AB283,"ddd d mmm")&amp;", "&amp;TEXT(AB283,"hh:mm"),"weekday evenings")&amp;", "&amp;IF(AD283&lt;&gt;"","£"&amp;IF(AD283=INT(AD283),TEXT(AD283,"0"),TEXT(AD283,"0.00")),"[PRICE PER PLAYER]")&amp;" pp. We handle booking and payments. Up for a team game? "&amp;IF(AL283&lt;&gt;"",AL283,IF(Offer!$C$5&lt;&gt;"",Offer!$C$5,"[NAME]")),300))</f>
        <v/>
      </c>
      <c r="AI283" s="14">
        <f>LEN(AH283)</f>
        <v/>
      </c>
      <c r="AJ283" s="14">
        <f>"Thanks for connecting"&amp;IF(O283&lt;&gt;"",", "&amp;O283,"")&amp;". "&amp;IF(ISNUMBER(AB283),"The "&amp;AC283&amp;" slot at "&amp;X283&amp;" is "&amp;IF(ISNUMBER(AB283),TEXT(AB283,"ddd d mmm")&amp;", "&amp;TEXT(AB283,"hh:mm"),"weekday evenings"),"We can book "&amp;AC283&amp;" at "&amp;X283&amp;" on a weekday evening that suits you")&amp;" and it's "&amp;IF(AD283&lt;&gt;"","£"&amp;IF(AD283=INT(AD283),TEXT(AD283,"0"),TEXT(AD283,"0.00")),"[PRICE PER PLAYER]")&amp;" a player, all booked and paid through one link. If football isn't your thing, who at "&amp;F283&amp;" would be the right person to organise a team game?"&amp;IF(Offer!$C$7&lt;&gt;""," Spots are held until "&amp;TEXT(Offer!$C$7,"dddd d mmmm")&amp;".","")&amp;" "&amp;IF(Offer!$C$6&lt;&gt;"",Offer!$C$6,"[JOINING LINK]")</f>
        <v/>
      </c>
      <c r="AK283" s="14">
        <f>IF(OR(ISNUMBER(SEARCH("[",AG283)),ISNUMBER(SEARCH("[",AJ283))),"Fill placeholders",IF(ISNUMBER(AB283),"Ready to send","Ready · no fixed slot"))</f>
        <v/>
      </c>
      <c r="AN283" s="17" t="n"/>
    </row>
    <row r="284">
      <c r="A284" s="11" t="n">
        <v>282</v>
      </c>
      <c r="B284" s="11" t="n">
        <v>3</v>
      </c>
      <c r="C284" s="11" t="inlineStr">
        <is>
          <t>Fund / asset manager</t>
        </is>
      </c>
      <c r="D284" s="11" t="inlineStr">
        <is>
          <t>City of London</t>
        </is>
      </c>
      <c r="E284" s="11" t="inlineStr">
        <is>
          <t>All Seas Capital Partners Ltd</t>
        </is>
      </c>
      <c r="F284" s="11" t="inlineStr">
        <is>
          <t>All Seas Capital Partners</t>
        </is>
      </c>
      <c r="G284" s="11" t="inlineStr">
        <is>
          <t>11701908</t>
        </is>
      </c>
      <c r="H284" s="12" t="inlineStr">
        <is>
          <t>Open</t>
        </is>
      </c>
      <c r="I284" s="12" t="inlineStr">
        <is>
          <t>Search</t>
        </is>
      </c>
      <c r="J284" s="11" t="inlineStr">
        <is>
          <t>Full</t>
        </is>
      </c>
      <c r="K284" s="13" t="n">
        <v>43432</v>
      </c>
      <c r="L284" s="11" t="inlineStr">
        <is>
          <t>C/O Kroll Advisory Ltd, The Shard, Level 14, 32 London Bridge Street,, London</t>
        </is>
      </c>
      <c r="M284" s="11" t="inlineStr">
        <is>
          <t>SE1 9SG</t>
        </is>
      </c>
      <c r="N284" s="11" t="inlineStr">
        <is>
          <t>No</t>
        </is>
      </c>
      <c r="U284" s="11" t="inlineStr">
        <is>
          <t>Borough Academy</t>
        </is>
      </c>
      <c r="V284" s="11" t="n">
        <v>15</v>
      </c>
      <c r="W284" s="11" t="n"/>
      <c r="X284" s="11" t="inlineStr">
        <is>
          <t>Borough Academy</t>
        </is>
      </c>
      <c r="Y284" s="11" t="n">
        <v>15</v>
      </c>
      <c r="Z284" s="14">
        <f>IFERROR(INDEX(Venues!$E$2:$E$15,MATCH(X284,Venues!$A$2:$A$15,0)),"Not checked")</f>
        <v/>
      </c>
      <c r="AA284" s="14">
        <f>IFERROR(INDEX(Venues!$F$2:$F$15,MATCH(X284,Venues!$A$2:$A$15,0)),0)</f>
        <v/>
      </c>
      <c r="AB284" s="15">
        <f>IFERROR(INDEX(Venues!$M$2:$M$15,MATCH(X284,Venues!$A$2:$A$15,0)),"")</f>
        <v/>
      </c>
      <c r="AC284" s="14">
        <f>IFERROR(INDEX(Venues!$N$2:$N$15,MATCH(X284,Venues!$A$2:$A$15,0)),"5-a-side")</f>
        <v/>
      </c>
      <c r="AD284" s="16">
        <f>IF(Offer!$C$4="","",Offer!$C$4)</f>
        <v/>
      </c>
      <c r="AE284" s="14">
        <f>X284&amp;" ("&amp;Y284&amp;" min walk) · "&amp;IF(ISNUMBER(AB284),TEXT(AB284,"ddd d mmm, hh:mm"),"slot to confirm with venue")&amp;" · "&amp;AC284&amp;" · "&amp;IF(AD284&lt;&gt;"","£"&amp;TEXT(AD284,"0.00")&amp;" pp","price TBC")</f>
        <v/>
      </c>
      <c r="AF284" s="14">
        <f>"After-work football for "&amp;F284&amp;" · "&amp;X284&amp;", "&amp;Y284&amp;" min from your office"</f>
        <v/>
      </c>
      <c r="AG284" s="14">
        <f>"Hi"&amp;IF(O284&lt;&gt;""," "&amp;O284,"")&amp;","&amp;CHAR(10)&amp;CHAR(10)&amp;"I'm "&amp;IF(AL284&lt;&gt;"",AL284,IF(Offer!$C$5&lt;&gt;"",Offer!$C$5,"[NAME]"))&amp;" from FC Urban. We organise after-work football for teams in the City and Canary Wharf."&amp;CHAR(10)&amp;CHAR(10)&amp;"We have a "&amp;AC284&amp;" pitch at "&amp;X284&amp;", "&amp;IF(OR(Y284=8,Y284=11,Y284=18),"an ","a ")&amp;Y284&amp;"-minute walk from your "&amp;M284&amp;" office, "&amp;IF(ISNUMBER(AB284),"on "&amp;TEXT(AB284,"dddd d mmmm")&amp;" at "&amp;TEXT(AB284,"hh:mm"),"on a weekday evening that suits your team")&amp;". It's "&amp;IF(AD284&lt;&gt;"","£"&amp;IF(AD284=INT(AD284),TEXT(AD284,"0"),TEXT(AD284,"0.00")),"[PRICE PER PLAYER]")&amp;" a player and we handle the pitch booking, sign-ups and payments, so all it takes is one person sharing a link with the team."&amp;CHAR(10)&amp;CHAR(10)&amp;"It works well as a team social or "&amp;IF(ISNUMBER(SEARCH(LEFT(F284,1),"AEIOU")),"an ","a ")&amp;F284&amp;"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LINK]")&amp;CHAR(10)&amp;CHAR(10)&amp;"Best,"&amp;CHAR(10)&amp;IF(AL284&lt;&gt;"",AL284,IF(Offer!$C$5&lt;&gt;"",Offer!$C$5,"[NAME]"))&amp;CHAR(10)&amp;"FC Urban"</f>
        <v/>
      </c>
      <c r="AH284" s="14">
        <f>IF(LEN("Hi"&amp;IF(O284&lt;&gt;""," "&amp;O284,"")&amp;","&amp;" FC Urban runs after-work football for "&amp;IF(D284="Canary Wharf","Canary Wharf","City")&amp;" teams. We have a "&amp;AC284&amp;" pitch at "&amp;X284&amp;", "&amp;Y284&amp;" min from your office, "&amp;IF(ISNUMBER(AB284),TEXT(AB284,"ddd d mmm")&amp;", "&amp;TEXT(AB284,"hh:mm"),"weekday evenings")&amp;", "&amp;IF(AD284&lt;&gt;"","£"&amp;IF(AD284=INT(AD284),TEXT(AD284,"0"),TEXT(AD284,"0.00")),"[PRICE PER PLAYER]")&amp;" a player. We handle booking, sign-ups and payments. Fancy "&amp;IF(ISNUMBER(SEARCH(LEFT(F284,1),"AEIOU")),"an ","a ")&amp;F284&amp;" team game? "&amp;IF(AL284&lt;&gt;"",AL284,IF(Offer!$C$5&lt;&gt;"",Offer!$C$5,"[NAME]")))&lt;=300,"Hi"&amp;IF(O284&lt;&gt;""," "&amp;O284,"")&amp;","&amp;" FC Urban runs after-work football for "&amp;IF(D284="Canary Wharf","Canary Wharf","City")&amp;" teams. We have a "&amp;AC284&amp;" pitch at "&amp;X284&amp;", "&amp;Y284&amp;" min from your office, "&amp;IF(ISNUMBER(AB284),TEXT(AB284,"ddd d mmm")&amp;", "&amp;TEXT(AB284,"hh:mm"),"weekday evenings")&amp;", "&amp;IF(AD284&lt;&gt;"","£"&amp;IF(AD284=INT(AD284),TEXT(AD284,"0"),TEXT(AD284,"0.00")),"[PRICE PER PLAYER]")&amp;" a player. We handle booking, sign-ups and payments. Fancy "&amp;IF(ISNUMBER(SEARCH(LEFT(F284,1),"AEIOU")),"an ","a ")&amp;F284&amp;" team game? "&amp;IF(AL284&lt;&gt;"",AL284,IF(Offer!$C$5&lt;&gt;"",Offer!$C$5,"[NAME]")),LEFT("Hi"&amp;IF(O284&lt;&gt;""," "&amp;O284,"")&amp;","&amp;" FC Urban runs after-work football for "&amp;IF(D284="Canary Wharf","Canary Wharf","City")&amp;" teams: "&amp;AC284&amp;" at "&amp;X284&amp;", "&amp;Y284&amp;" min from your office, "&amp;IF(ISNUMBER(AB284),TEXT(AB284,"ddd d mmm")&amp;", "&amp;TEXT(AB284,"hh:mm"),"weekday evenings")&amp;", "&amp;IF(AD284&lt;&gt;"","£"&amp;IF(AD284=INT(AD284),TEXT(AD284,"0"),TEXT(AD284,"0.00")),"[PRICE PER PLAYER]")&amp;" pp. We handle booking and payments. Up for a team game? "&amp;IF(AL284&lt;&gt;"",AL284,IF(Offer!$C$5&lt;&gt;"",Offer!$C$5,"[NAME]")),300))</f>
        <v/>
      </c>
      <c r="AI284" s="14">
        <f>LEN(AH284)</f>
        <v/>
      </c>
      <c r="AJ284" s="14">
        <f>"Thanks for connecting"&amp;IF(O284&lt;&gt;"",", "&amp;O284,"")&amp;". "&amp;IF(ISNUMBER(AB284),"The "&amp;AC284&amp;" slot at "&amp;X284&amp;" is "&amp;IF(ISNUMBER(AB284),TEXT(AB284,"ddd d mmm")&amp;", "&amp;TEXT(AB284,"hh:mm"),"weekday evenings"),"We can book "&amp;AC284&amp;" at "&amp;X284&amp;" on a weekday evening that suits you")&amp;" and it's "&amp;IF(AD284&lt;&gt;"","£"&amp;IF(AD284=INT(AD284),TEXT(AD284,"0"),TEXT(AD284,"0.00")),"[PRICE PER PLAYER]")&amp;" a player, all booked and paid through one link. If football isn't your thing, who at "&amp;F284&amp;" would be the right person to organise a team game?"&amp;IF(Offer!$C$7&lt;&gt;""," Spots are held until "&amp;TEXT(Offer!$C$7,"dddd d mmmm")&amp;".","")&amp;" "&amp;IF(Offer!$C$6&lt;&gt;"",Offer!$C$6,"[JOINING LINK]")</f>
        <v/>
      </c>
      <c r="AK284" s="14">
        <f>IF(OR(ISNUMBER(SEARCH("[",AG284)),ISNUMBER(SEARCH("[",AJ284))),"Fill placeholders",IF(ISNUMBER(AB284),"Ready to send","Ready · no fixed slot"))</f>
        <v/>
      </c>
      <c r="AN284" s="17" t="n"/>
    </row>
    <row r="285">
      <c r="A285" s="11" t="n">
        <v>283</v>
      </c>
      <c r="B285" s="11" t="n">
        <v>3</v>
      </c>
      <c r="C285" s="11" t="inlineStr">
        <is>
          <t>Fund / asset manager</t>
        </is>
      </c>
      <c r="D285" s="11" t="inlineStr">
        <is>
          <t>City of London</t>
        </is>
      </c>
      <c r="E285" s="11" t="inlineStr">
        <is>
          <t>Apollo Partners LLP</t>
        </is>
      </c>
      <c r="F285" s="11" t="inlineStr">
        <is>
          <t>Apollo Partners</t>
        </is>
      </c>
      <c r="G285" s="11" t="inlineStr">
        <is>
          <t>OC392885</t>
        </is>
      </c>
      <c r="H285" s="12" t="inlineStr">
        <is>
          <t>Open</t>
        </is>
      </c>
      <c r="I285" s="12" t="inlineStr">
        <is>
          <t>Search</t>
        </is>
      </c>
      <c r="J285" s="11" t="inlineStr">
        <is>
          <t>Full</t>
        </is>
      </c>
      <c r="K285" s="13" t="n">
        <v>41757</v>
      </c>
      <c r="L285" s="11" t="inlineStr">
        <is>
          <t>1 Bishopsgate, London</t>
        </is>
      </c>
      <c r="M285" s="11" t="inlineStr">
        <is>
          <t>EC2N 3AQ</t>
        </is>
      </c>
      <c r="N285" s="11" t="inlineStr">
        <is>
          <t>Yes</t>
        </is>
      </c>
      <c r="U285" s="11" t="inlineStr">
        <is>
          <t>Liverpool St - Attlee Centre</t>
        </is>
      </c>
      <c r="V285" s="11" t="n">
        <v>15</v>
      </c>
      <c r="W285" s="11" t="n"/>
      <c r="X285" s="11" t="inlineStr">
        <is>
          <t>Liverpool St - Attlee Centre</t>
        </is>
      </c>
      <c r="Y285" s="11" t="n">
        <v>15</v>
      </c>
      <c r="Z285" s="14">
        <f>IFERROR(INDEX(Venues!$E$2:$E$15,MATCH(X285,Venues!$A$2:$A$15,0)),"Not checked")</f>
        <v/>
      </c>
      <c r="AA285" s="14">
        <f>IFERROR(INDEX(Venues!$F$2:$F$15,MATCH(X285,Venues!$A$2:$A$15,0)),0)</f>
        <v/>
      </c>
      <c r="AB285" s="15">
        <f>IFERROR(INDEX(Venues!$M$2:$M$15,MATCH(X285,Venues!$A$2:$A$15,0)),"")</f>
        <v/>
      </c>
      <c r="AC285" s="14">
        <f>IFERROR(INDEX(Venues!$N$2:$N$15,MATCH(X285,Venues!$A$2:$A$15,0)),"5-a-side")</f>
        <v/>
      </c>
      <c r="AD285" s="16">
        <f>IF(Offer!$C$4="","",Offer!$C$4)</f>
        <v/>
      </c>
      <c r="AE285" s="14">
        <f>X285&amp;" ("&amp;Y285&amp;" min walk) · "&amp;IF(ISNUMBER(AB285),TEXT(AB285,"ddd d mmm, hh:mm"),"slot to confirm with venue")&amp;" · "&amp;AC285&amp;" · "&amp;IF(AD285&lt;&gt;"","£"&amp;TEXT(AD285,"0.00")&amp;" pp","price TBC")</f>
        <v/>
      </c>
      <c r="AF285" s="14">
        <f>"After-work football for "&amp;F285&amp;" · "&amp;X285&amp;", "&amp;Y285&amp;" min from your office"</f>
        <v/>
      </c>
      <c r="AG285" s="14">
        <f>"Hi"&amp;IF(O285&lt;&gt;""," "&amp;O285,"")&amp;","&amp;CHAR(10)&amp;CHAR(10)&amp;"I'm "&amp;IF(AL285&lt;&gt;"",AL285,IF(Offer!$C$5&lt;&gt;"",Offer!$C$5,"[NAME]"))&amp;" from FC Urban. We organise after-work football for teams in the City and Canary Wharf."&amp;CHAR(10)&amp;CHAR(10)&amp;"We have a "&amp;AC285&amp;" pitch at "&amp;X285&amp;", "&amp;IF(OR(Y285=8,Y285=11,Y285=18),"an ","a ")&amp;Y285&amp;"-minute walk from your "&amp;M285&amp;" office, "&amp;IF(ISNUMBER(AB285),"on "&amp;TEXT(AB285,"dddd d mmmm")&amp;" at "&amp;TEXT(AB285,"hh:mm"),"on a weekday evening that suits your team")&amp;". It's "&amp;IF(AD285&lt;&gt;"","£"&amp;IF(AD285=INT(AD285),TEXT(AD285,"0"),TEXT(AD285,"0.00")),"[PRICE PER PLAYER]")&amp;" a player and we handle the pitch booking, sign-ups and payments, so all it takes is one person sharing a link with the team."&amp;CHAR(10)&amp;CHAR(10)&amp;"It works well as a team social or "&amp;IF(ISNUMBER(SEARCH(LEFT(F285,1),"AEIOU")),"an ","a ")&amp;F285&amp;"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LINK]")&amp;CHAR(10)&amp;CHAR(10)&amp;"Best,"&amp;CHAR(10)&amp;IF(AL285&lt;&gt;"",AL285,IF(Offer!$C$5&lt;&gt;"",Offer!$C$5,"[NAME]"))&amp;CHAR(10)&amp;"FC Urban"</f>
        <v/>
      </c>
      <c r="AH285" s="14">
        <f>IF(LEN("Hi"&amp;IF(O285&lt;&gt;""," "&amp;O285,"")&amp;","&amp;" FC Urban runs after-work football for "&amp;IF(D285="Canary Wharf","Canary Wharf","City")&amp;" teams. We have a "&amp;AC285&amp;" pitch at "&amp;X285&amp;", "&amp;Y285&amp;" min from your office, "&amp;IF(ISNUMBER(AB285),TEXT(AB285,"ddd d mmm")&amp;", "&amp;TEXT(AB285,"hh:mm"),"weekday evenings")&amp;", "&amp;IF(AD285&lt;&gt;"","£"&amp;IF(AD285=INT(AD285),TEXT(AD285,"0"),TEXT(AD285,"0.00")),"[PRICE PER PLAYER]")&amp;" a player. We handle booking, sign-ups and payments. Fancy "&amp;IF(ISNUMBER(SEARCH(LEFT(F285,1),"AEIOU")),"an ","a ")&amp;F285&amp;" team game? "&amp;IF(AL285&lt;&gt;"",AL285,IF(Offer!$C$5&lt;&gt;"",Offer!$C$5,"[NAME]")))&lt;=300,"Hi"&amp;IF(O285&lt;&gt;""," "&amp;O285,"")&amp;","&amp;" FC Urban runs after-work football for "&amp;IF(D285="Canary Wharf","Canary Wharf","City")&amp;" teams. We have a "&amp;AC285&amp;" pitch at "&amp;X285&amp;", "&amp;Y285&amp;" min from your office, "&amp;IF(ISNUMBER(AB285),TEXT(AB285,"ddd d mmm")&amp;", "&amp;TEXT(AB285,"hh:mm"),"weekday evenings")&amp;", "&amp;IF(AD285&lt;&gt;"","£"&amp;IF(AD285=INT(AD285),TEXT(AD285,"0"),TEXT(AD285,"0.00")),"[PRICE PER PLAYER]")&amp;" a player. We handle booking, sign-ups and payments. Fancy "&amp;IF(ISNUMBER(SEARCH(LEFT(F285,1),"AEIOU")),"an ","a ")&amp;F285&amp;" team game? "&amp;IF(AL285&lt;&gt;"",AL285,IF(Offer!$C$5&lt;&gt;"",Offer!$C$5,"[NAME]")),LEFT("Hi"&amp;IF(O285&lt;&gt;""," "&amp;O285,"")&amp;","&amp;" FC Urban runs after-work football for "&amp;IF(D285="Canary Wharf","Canary Wharf","City")&amp;" teams: "&amp;AC285&amp;" at "&amp;X285&amp;", "&amp;Y285&amp;" min from your office, "&amp;IF(ISNUMBER(AB285),TEXT(AB285,"ddd d mmm")&amp;", "&amp;TEXT(AB285,"hh:mm"),"weekday evenings")&amp;", "&amp;IF(AD285&lt;&gt;"","£"&amp;IF(AD285=INT(AD285),TEXT(AD285,"0"),TEXT(AD285,"0.00")),"[PRICE PER PLAYER]")&amp;" pp. We handle booking and payments. Up for a team game? "&amp;IF(AL285&lt;&gt;"",AL285,IF(Offer!$C$5&lt;&gt;"",Offer!$C$5,"[NAME]")),300))</f>
        <v/>
      </c>
      <c r="AI285" s="14">
        <f>LEN(AH285)</f>
        <v/>
      </c>
      <c r="AJ285" s="14">
        <f>"Thanks for connecting"&amp;IF(O285&lt;&gt;"",", "&amp;O285,"")&amp;". "&amp;IF(ISNUMBER(AB285),"The "&amp;AC285&amp;" slot at "&amp;X285&amp;" is "&amp;IF(ISNUMBER(AB285),TEXT(AB285,"ddd d mmm")&amp;", "&amp;TEXT(AB285,"hh:mm"),"weekday evenings"),"We can book "&amp;AC285&amp;" at "&amp;X285&amp;" on a weekday evening that suits you")&amp;" and it's "&amp;IF(AD285&lt;&gt;"","£"&amp;IF(AD285=INT(AD285),TEXT(AD285,"0"),TEXT(AD285,"0.00")),"[PRICE PER PLAYER]")&amp;" a player, all booked and paid through one link. If football isn't your thing, who at "&amp;F285&amp;" would be the right person to organise a team game?"&amp;IF(Offer!$C$7&lt;&gt;""," Spots are held until "&amp;TEXT(Offer!$C$7,"dddd d mmmm")&amp;".","")&amp;" "&amp;IF(Offer!$C$6&lt;&gt;"",Offer!$C$6,"[JOINING LINK]")</f>
        <v/>
      </c>
      <c r="AK285" s="14">
        <f>IF(OR(ISNUMBER(SEARCH("[",AG285)),ISNUMBER(SEARCH("[",AJ285))),"Fill placeholders",IF(ISNUMBER(AB285),"Ready to send","Ready · no fixed slot"))</f>
        <v/>
      </c>
      <c r="AN285" s="17" t="n"/>
    </row>
    <row r="286">
      <c r="A286" s="11" t="n">
        <v>284</v>
      </c>
      <c r="B286" s="11" t="n">
        <v>3</v>
      </c>
      <c r="C286" s="11" t="inlineStr">
        <is>
          <t>Fund / asset manager</t>
        </is>
      </c>
      <c r="D286" s="11" t="inlineStr">
        <is>
          <t>City of London</t>
        </is>
      </c>
      <c r="E286" s="11" t="inlineStr">
        <is>
          <t>Fairtree Asset Management LLP</t>
        </is>
      </c>
      <c r="F286" s="11" t="inlineStr">
        <is>
          <t>Fairtree Asset Management</t>
        </is>
      </c>
      <c r="G286" s="11" t="inlineStr">
        <is>
          <t>OC420877</t>
        </is>
      </c>
      <c r="H286" s="12" t="inlineStr">
        <is>
          <t>Open</t>
        </is>
      </c>
      <c r="I286" s="12" t="inlineStr">
        <is>
          <t>Search</t>
        </is>
      </c>
      <c r="J286" s="11" t="inlineStr">
        <is>
          <t>Full</t>
        </is>
      </c>
      <c r="K286" s="13" t="n">
        <v>43133</v>
      </c>
      <c r="L286" s="11" t="inlineStr">
        <is>
          <t>C/O Kroll Advisory Ltd., The Shard, Level 14, 32 London Bridge Street, London</t>
        </is>
      </c>
      <c r="M286" s="11" t="inlineStr">
        <is>
          <t>SE1 9SG</t>
        </is>
      </c>
      <c r="N286" s="11" t="inlineStr">
        <is>
          <t>No</t>
        </is>
      </c>
      <c r="U286" s="11" t="inlineStr">
        <is>
          <t>Borough Academy</t>
        </is>
      </c>
      <c r="V286" s="11" t="n">
        <v>15</v>
      </c>
      <c r="W286" s="11" t="n"/>
      <c r="X286" s="11" t="inlineStr">
        <is>
          <t>Borough Academy</t>
        </is>
      </c>
      <c r="Y286" s="11" t="n">
        <v>15</v>
      </c>
      <c r="Z286" s="14">
        <f>IFERROR(INDEX(Venues!$E$2:$E$15,MATCH(X286,Venues!$A$2:$A$15,0)),"Not checked")</f>
        <v/>
      </c>
      <c r="AA286" s="14">
        <f>IFERROR(INDEX(Venues!$F$2:$F$15,MATCH(X286,Venues!$A$2:$A$15,0)),0)</f>
        <v/>
      </c>
      <c r="AB286" s="15">
        <f>IFERROR(INDEX(Venues!$M$2:$M$15,MATCH(X286,Venues!$A$2:$A$15,0)),"")</f>
        <v/>
      </c>
      <c r="AC286" s="14">
        <f>IFERROR(INDEX(Venues!$N$2:$N$15,MATCH(X286,Venues!$A$2:$A$15,0)),"5-a-side")</f>
        <v/>
      </c>
      <c r="AD286" s="16">
        <f>IF(Offer!$C$4="","",Offer!$C$4)</f>
        <v/>
      </c>
      <c r="AE286" s="14">
        <f>X286&amp;" ("&amp;Y286&amp;" min walk) · "&amp;IF(ISNUMBER(AB286),TEXT(AB286,"ddd d mmm, hh:mm"),"slot to confirm with venue")&amp;" · "&amp;AC286&amp;" · "&amp;IF(AD286&lt;&gt;"","£"&amp;TEXT(AD286,"0.00")&amp;" pp","price TBC")</f>
        <v/>
      </c>
      <c r="AF286" s="14">
        <f>"After-work football for "&amp;F286&amp;" · "&amp;X286&amp;", "&amp;Y286&amp;" min from your office"</f>
        <v/>
      </c>
      <c r="AG286" s="14">
        <f>"Hi"&amp;IF(O286&lt;&gt;""," "&amp;O286,"")&amp;","&amp;CHAR(10)&amp;CHAR(10)&amp;"I'm "&amp;IF(AL286&lt;&gt;"",AL286,IF(Offer!$C$5&lt;&gt;"",Offer!$C$5,"[NAME]"))&amp;" from FC Urban. We organise after-work football for teams in the City and Canary Wharf."&amp;CHAR(10)&amp;CHAR(10)&amp;"We have a "&amp;AC286&amp;" pitch at "&amp;X286&amp;", "&amp;IF(OR(Y286=8,Y286=11,Y286=18),"an ","a ")&amp;Y286&amp;"-minute walk from your "&amp;M286&amp;" office, "&amp;IF(ISNUMBER(AB286),"on "&amp;TEXT(AB286,"dddd d mmmm")&amp;" at "&amp;TEXT(AB286,"hh:mm"),"on a weekday evening that suits your team")&amp;". It's "&amp;IF(AD286&lt;&gt;"","£"&amp;IF(AD286=INT(AD286),TEXT(AD286,"0"),TEXT(AD286,"0.00")),"[PRICE PER PLAYER]")&amp;" a player and we handle the pitch booking, sign-ups and payments, so all it takes is one person sharing a link with the team."&amp;CHAR(10)&amp;CHAR(10)&amp;"It works well as a team social or "&amp;IF(ISNUMBER(SEARCH(LEFT(F286,1),"AEIOU")),"an ","a ")&amp;F286&amp;"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LINK]")&amp;CHAR(10)&amp;CHAR(10)&amp;"Best,"&amp;CHAR(10)&amp;IF(AL286&lt;&gt;"",AL286,IF(Offer!$C$5&lt;&gt;"",Offer!$C$5,"[NAME]"))&amp;CHAR(10)&amp;"FC Urban"</f>
        <v/>
      </c>
      <c r="AH286" s="14">
        <f>IF(LEN("Hi"&amp;IF(O286&lt;&gt;""," "&amp;O286,"")&amp;","&amp;" FC Urban runs after-work football for "&amp;IF(D286="Canary Wharf","Canary Wharf","City")&amp;" teams. We have a "&amp;AC286&amp;" pitch at "&amp;X286&amp;", "&amp;Y286&amp;" min from your office, "&amp;IF(ISNUMBER(AB286),TEXT(AB286,"ddd d mmm")&amp;", "&amp;TEXT(AB286,"hh:mm"),"weekday evenings")&amp;", "&amp;IF(AD286&lt;&gt;"","£"&amp;IF(AD286=INT(AD286),TEXT(AD286,"0"),TEXT(AD286,"0.00")),"[PRICE PER PLAYER]")&amp;" a player. We handle booking, sign-ups and payments. Fancy "&amp;IF(ISNUMBER(SEARCH(LEFT(F286,1),"AEIOU")),"an ","a ")&amp;F286&amp;" team game? "&amp;IF(AL286&lt;&gt;"",AL286,IF(Offer!$C$5&lt;&gt;"",Offer!$C$5,"[NAME]")))&lt;=300,"Hi"&amp;IF(O286&lt;&gt;""," "&amp;O286,"")&amp;","&amp;" FC Urban runs after-work football for "&amp;IF(D286="Canary Wharf","Canary Wharf","City")&amp;" teams. We have a "&amp;AC286&amp;" pitch at "&amp;X286&amp;", "&amp;Y286&amp;" min from your office, "&amp;IF(ISNUMBER(AB286),TEXT(AB286,"ddd d mmm")&amp;", "&amp;TEXT(AB286,"hh:mm"),"weekday evenings")&amp;", "&amp;IF(AD286&lt;&gt;"","£"&amp;IF(AD286=INT(AD286),TEXT(AD286,"0"),TEXT(AD286,"0.00")),"[PRICE PER PLAYER]")&amp;" a player. We handle booking, sign-ups and payments. Fancy "&amp;IF(ISNUMBER(SEARCH(LEFT(F286,1),"AEIOU")),"an ","a ")&amp;F286&amp;" team game? "&amp;IF(AL286&lt;&gt;"",AL286,IF(Offer!$C$5&lt;&gt;"",Offer!$C$5,"[NAME]")),LEFT("Hi"&amp;IF(O286&lt;&gt;""," "&amp;O286,"")&amp;","&amp;" FC Urban runs after-work football for "&amp;IF(D286="Canary Wharf","Canary Wharf","City")&amp;" teams: "&amp;AC286&amp;" at "&amp;X286&amp;", "&amp;Y286&amp;" min from your office, "&amp;IF(ISNUMBER(AB286),TEXT(AB286,"ddd d mmm")&amp;", "&amp;TEXT(AB286,"hh:mm"),"weekday evenings")&amp;", "&amp;IF(AD286&lt;&gt;"","£"&amp;IF(AD286=INT(AD286),TEXT(AD286,"0"),TEXT(AD286,"0.00")),"[PRICE PER PLAYER]")&amp;" pp. We handle booking and payments. Up for a team game? "&amp;IF(AL286&lt;&gt;"",AL286,IF(Offer!$C$5&lt;&gt;"",Offer!$C$5,"[NAME]")),300))</f>
        <v/>
      </c>
      <c r="AI286" s="14">
        <f>LEN(AH286)</f>
        <v/>
      </c>
      <c r="AJ286" s="14">
        <f>"Thanks for connecting"&amp;IF(O286&lt;&gt;"",", "&amp;O286,"")&amp;". "&amp;IF(ISNUMBER(AB286),"The "&amp;AC286&amp;" slot at "&amp;X286&amp;" is "&amp;IF(ISNUMBER(AB286),TEXT(AB286,"ddd d mmm")&amp;", "&amp;TEXT(AB286,"hh:mm"),"weekday evenings"),"We can book "&amp;AC286&amp;" at "&amp;X286&amp;" on a weekday evening that suits you")&amp;" and it's "&amp;IF(AD286&lt;&gt;"","£"&amp;IF(AD286=INT(AD286),TEXT(AD286,"0"),TEXT(AD286,"0.00")),"[PRICE PER PLAYER]")&amp;" a player, all booked and paid through one link. If football isn't your thing, who at "&amp;F286&amp;" would be the right person to organise a team game?"&amp;IF(Offer!$C$7&lt;&gt;""," Spots are held until "&amp;TEXT(Offer!$C$7,"dddd d mmmm")&amp;".","")&amp;" "&amp;IF(Offer!$C$6&lt;&gt;"",Offer!$C$6,"[JOINING LINK]")</f>
        <v/>
      </c>
      <c r="AK286" s="14">
        <f>IF(OR(ISNUMBER(SEARCH("[",AG286)),ISNUMBER(SEARCH("[",AJ286))),"Fill placeholders",IF(ISNUMBER(AB286),"Ready to send","Ready · no fixed slot"))</f>
        <v/>
      </c>
      <c r="AN286" s="17" t="n"/>
    </row>
    <row r="287">
      <c r="A287" s="11" t="n">
        <v>285</v>
      </c>
      <c r="B287" s="11" t="n">
        <v>3</v>
      </c>
      <c r="C287" s="11" t="inlineStr">
        <is>
          <t>Fund / asset manager</t>
        </is>
      </c>
      <c r="D287" s="11" t="inlineStr">
        <is>
          <t>City of London</t>
        </is>
      </c>
      <c r="E287" s="11" t="inlineStr">
        <is>
          <t>Fall Ridge Partners LLP</t>
        </is>
      </c>
      <c r="F287" s="11" t="inlineStr">
        <is>
          <t>Fall Ridge Partners</t>
        </is>
      </c>
      <c r="G287" s="11" t="inlineStr">
        <is>
          <t>OC380416</t>
        </is>
      </c>
      <c r="H287" s="12" t="inlineStr">
        <is>
          <t>Open</t>
        </is>
      </c>
      <c r="I287" s="12" t="inlineStr">
        <is>
          <t>Search</t>
        </is>
      </c>
      <c r="J287" s="11" t="inlineStr">
        <is>
          <t>Full</t>
        </is>
      </c>
      <c r="K287" s="13" t="n">
        <v>41234</v>
      </c>
      <c r="L287" s="11" t="inlineStr">
        <is>
          <t>The Shard, 32 London Bridge Street, London</t>
        </is>
      </c>
      <c r="M287" s="11" t="inlineStr">
        <is>
          <t>SE1 9SG</t>
        </is>
      </c>
      <c r="N287" s="11" t="inlineStr">
        <is>
          <t>No</t>
        </is>
      </c>
      <c r="U287" s="11" t="inlineStr">
        <is>
          <t>Borough Academy</t>
        </is>
      </c>
      <c r="V287" s="11" t="n">
        <v>15</v>
      </c>
      <c r="W287" s="11" t="n"/>
      <c r="X287" s="11" t="inlineStr">
        <is>
          <t>Borough Academy</t>
        </is>
      </c>
      <c r="Y287" s="11" t="n">
        <v>15</v>
      </c>
      <c r="Z287" s="14">
        <f>IFERROR(INDEX(Venues!$E$2:$E$15,MATCH(X287,Venues!$A$2:$A$15,0)),"Not checked")</f>
        <v/>
      </c>
      <c r="AA287" s="14">
        <f>IFERROR(INDEX(Venues!$F$2:$F$15,MATCH(X287,Venues!$A$2:$A$15,0)),0)</f>
        <v/>
      </c>
      <c r="AB287" s="15">
        <f>IFERROR(INDEX(Venues!$M$2:$M$15,MATCH(X287,Venues!$A$2:$A$15,0)),"")</f>
        <v/>
      </c>
      <c r="AC287" s="14">
        <f>IFERROR(INDEX(Venues!$N$2:$N$15,MATCH(X287,Venues!$A$2:$A$15,0)),"5-a-side")</f>
        <v/>
      </c>
      <c r="AD287" s="16">
        <f>IF(Offer!$C$4="","",Offer!$C$4)</f>
        <v/>
      </c>
      <c r="AE287" s="14">
        <f>X287&amp;" ("&amp;Y287&amp;" min walk) · "&amp;IF(ISNUMBER(AB287),TEXT(AB287,"ddd d mmm, hh:mm"),"slot to confirm with venue")&amp;" · "&amp;AC287&amp;" · "&amp;IF(AD287&lt;&gt;"","£"&amp;TEXT(AD287,"0.00")&amp;" pp","price TBC")</f>
        <v/>
      </c>
      <c r="AF287" s="14">
        <f>"After-work football for "&amp;F287&amp;" · "&amp;X287&amp;", "&amp;Y287&amp;" min from your office"</f>
        <v/>
      </c>
      <c r="AG287" s="14">
        <f>"Hi"&amp;IF(O287&lt;&gt;""," "&amp;O287,"")&amp;","&amp;CHAR(10)&amp;CHAR(10)&amp;"I'm "&amp;IF(AL287&lt;&gt;"",AL287,IF(Offer!$C$5&lt;&gt;"",Offer!$C$5,"[NAME]"))&amp;" from FC Urban. We organise after-work football for teams in the City and Canary Wharf."&amp;CHAR(10)&amp;CHAR(10)&amp;"We have a "&amp;AC287&amp;" pitch at "&amp;X287&amp;", "&amp;IF(OR(Y287=8,Y287=11,Y287=18),"an ","a ")&amp;Y287&amp;"-minute walk from your "&amp;M287&amp;" office, "&amp;IF(ISNUMBER(AB287),"on "&amp;TEXT(AB287,"dddd d mmmm")&amp;" at "&amp;TEXT(AB287,"hh:mm"),"on a weekday evening that suits your team")&amp;". It's "&amp;IF(AD287&lt;&gt;"","£"&amp;IF(AD287=INT(AD287),TEXT(AD287,"0"),TEXT(AD287,"0.00")),"[PRICE PER PLAYER]")&amp;" a player and we handle the pitch booking, sign-ups and payments, so all it takes is one person sharing a link with the team."&amp;CHAR(10)&amp;CHAR(10)&amp;"It works well as a team social or "&amp;IF(ISNUMBER(SEARCH(LEFT(F287,1),"AEIOU")),"an ","a ")&amp;F287&amp;"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LINK]")&amp;CHAR(10)&amp;CHAR(10)&amp;"Best,"&amp;CHAR(10)&amp;IF(AL287&lt;&gt;"",AL287,IF(Offer!$C$5&lt;&gt;"",Offer!$C$5,"[NAME]"))&amp;CHAR(10)&amp;"FC Urban"</f>
        <v/>
      </c>
      <c r="AH287" s="14">
        <f>IF(LEN("Hi"&amp;IF(O287&lt;&gt;""," "&amp;O287,"")&amp;","&amp;" FC Urban runs after-work football for "&amp;IF(D287="Canary Wharf","Canary Wharf","City")&amp;" teams. We have a "&amp;AC287&amp;" pitch at "&amp;X287&amp;", "&amp;Y287&amp;" min from your office, "&amp;IF(ISNUMBER(AB287),TEXT(AB287,"ddd d mmm")&amp;", "&amp;TEXT(AB287,"hh:mm"),"weekday evenings")&amp;", "&amp;IF(AD287&lt;&gt;"","£"&amp;IF(AD287=INT(AD287),TEXT(AD287,"0"),TEXT(AD287,"0.00")),"[PRICE PER PLAYER]")&amp;" a player. We handle booking, sign-ups and payments. Fancy "&amp;IF(ISNUMBER(SEARCH(LEFT(F287,1),"AEIOU")),"an ","a ")&amp;F287&amp;" team game? "&amp;IF(AL287&lt;&gt;"",AL287,IF(Offer!$C$5&lt;&gt;"",Offer!$C$5,"[NAME]")))&lt;=300,"Hi"&amp;IF(O287&lt;&gt;""," "&amp;O287,"")&amp;","&amp;" FC Urban runs after-work football for "&amp;IF(D287="Canary Wharf","Canary Wharf","City")&amp;" teams. We have a "&amp;AC287&amp;" pitch at "&amp;X287&amp;", "&amp;Y287&amp;" min from your office, "&amp;IF(ISNUMBER(AB287),TEXT(AB287,"ddd d mmm")&amp;", "&amp;TEXT(AB287,"hh:mm"),"weekday evenings")&amp;", "&amp;IF(AD287&lt;&gt;"","£"&amp;IF(AD287=INT(AD287),TEXT(AD287,"0"),TEXT(AD287,"0.00")),"[PRICE PER PLAYER]")&amp;" a player. We handle booking, sign-ups and payments. Fancy "&amp;IF(ISNUMBER(SEARCH(LEFT(F287,1),"AEIOU")),"an ","a ")&amp;F287&amp;" team game? "&amp;IF(AL287&lt;&gt;"",AL287,IF(Offer!$C$5&lt;&gt;"",Offer!$C$5,"[NAME]")),LEFT("Hi"&amp;IF(O287&lt;&gt;""," "&amp;O287,"")&amp;","&amp;" FC Urban runs after-work football for "&amp;IF(D287="Canary Wharf","Canary Wharf","City")&amp;" teams: "&amp;AC287&amp;" at "&amp;X287&amp;", "&amp;Y287&amp;" min from your office, "&amp;IF(ISNUMBER(AB287),TEXT(AB287,"ddd d mmm")&amp;", "&amp;TEXT(AB287,"hh:mm"),"weekday evenings")&amp;", "&amp;IF(AD287&lt;&gt;"","£"&amp;IF(AD287=INT(AD287),TEXT(AD287,"0"),TEXT(AD287,"0.00")),"[PRICE PER PLAYER]")&amp;" pp. We handle booking and payments. Up for a team game? "&amp;IF(AL287&lt;&gt;"",AL287,IF(Offer!$C$5&lt;&gt;"",Offer!$C$5,"[NAME]")),300))</f>
        <v/>
      </c>
      <c r="AI287" s="14">
        <f>LEN(AH287)</f>
        <v/>
      </c>
      <c r="AJ287" s="14">
        <f>"Thanks for connecting"&amp;IF(O287&lt;&gt;"",", "&amp;O287,"")&amp;". "&amp;IF(ISNUMBER(AB287),"The "&amp;AC287&amp;" slot at "&amp;X287&amp;" is "&amp;IF(ISNUMBER(AB287),TEXT(AB287,"ddd d mmm")&amp;", "&amp;TEXT(AB287,"hh:mm"),"weekday evenings"),"We can book "&amp;AC287&amp;" at "&amp;X287&amp;" on a weekday evening that suits you")&amp;" and it's "&amp;IF(AD287&lt;&gt;"","£"&amp;IF(AD287=INT(AD287),TEXT(AD287,"0"),TEXT(AD287,"0.00")),"[PRICE PER PLAYER]")&amp;" a player, all booked and paid through one link. If football isn't your thing, who at "&amp;F287&amp;" would be the right person to organise a team game?"&amp;IF(Offer!$C$7&lt;&gt;""," Spots are held until "&amp;TEXT(Offer!$C$7,"dddd d mmmm")&amp;".","")&amp;" "&amp;IF(Offer!$C$6&lt;&gt;"",Offer!$C$6,"[JOINING LINK]")</f>
        <v/>
      </c>
      <c r="AK287" s="14">
        <f>IF(OR(ISNUMBER(SEARCH("[",AG287)),ISNUMBER(SEARCH("[",AJ287))),"Fill placeholders",IF(ISNUMBER(AB287),"Ready to send","Ready · no fixed slot"))</f>
        <v/>
      </c>
      <c r="AN287" s="17" t="n"/>
    </row>
    <row r="288">
      <c r="A288" s="11" t="n">
        <v>286</v>
      </c>
      <c r="B288" s="11" t="n">
        <v>3</v>
      </c>
      <c r="C288" s="11" t="inlineStr">
        <is>
          <t>Fund / asset manager</t>
        </is>
      </c>
      <c r="D288" s="11" t="inlineStr">
        <is>
          <t>City of London</t>
        </is>
      </c>
      <c r="E288" s="11" t="inlineStr">
        <is>
          <t>Firmament Capital Advisors UK LLP</t>
        </is>
      </c>
      <c r="F288" s="11" t="inlineStr">
        <is>
          <t>Firmament Capital Advisors</t>
        </is>
      </c>
      <c r="G288" s="11" t="inlineStr">
        <is>
          <t>OC413430</t>
        </is>
      </c>
      <c r="H288" s="12" t="inlineStr">
        <is>
          <t>Open</t>
        </is>
      </c>
      <c r="I288" s="12" t="inlineStr">
        <is>
          <t>Search</t>
        </is>
      </c>
      <c r="J288" s="11" t="inlineStr">
        <is>
          <t>Full</t>
        </is>
      </c>
      <c r="K288" s="13" t="n">
        <v>42608</v>
      </c>
      <c r="L288" s="11" t="inlineStr">
        <is>
          <t>C/O Kroll Advisory Ltd, The Shard, Level 14, 32 London Bridge Street,, London</t>
        </is>
      </c>
      <c r="M288" s="11" t="inlineStr">
        <is>
          <t>SE1 9SG</t>
        </is>
      </c>
      <c r="N288" s="11" t="inlineStr">
        <is>
          <t>No</t>
        </is>
      </c>
      <c r="U288" s="11" t="inlineStr">
        <is>
          <t>Borough Academy</t>
        </is>
      </c>
      <c r="V288" s="11" t="n">
        <v>15</v>
      </c>
      <c r="W288" s="11" t="n"/>
      <c r="X288" s="11" t="inlineStr">
        <is>
          <t>Borough Academy</t>
        </is>
      </c>
      <c r="Y288" s="11" t="n">
        <v>15</v>
      </c>
      <c r="Z288" s="14">
        <f>IFERROR(INDEX(Venues!$E$2:$E$15,MATCH(X288,Venues!$A$2:$A$15,0)),"Not checked")</f>
        <v/>
      </c>
      <c r="AA288" s="14">
        <f>IFERROR(INDEX(Venues!$F$2:$F$15,MATCH(X288,Venues!$A$2:$A$15,0)),0)</f>
        <v/>
      </c>
      <c r="AB288" s="15">
        <f>IFERROR(INDEX(Venues!$M$2:$M$15,MATCH(X288,Venues!$A$2:$A$15,0)),"")</f>
        <v/>
      </c>
      <c r="AC288" s="14">
        <f>IFERROR(INDEX(Venues!$N$2:$N$15,MATCH(X288,Venues!$A$2:$A$15,0)),"5-a-side")</f>
        <v/>
      </c>
      <c r="AD288" s="16">
        <f>IF(Offer!$C$4="","",Offer!$C$4)</f>
        <v/>
      </c>
      <c r="AE288" s="14">
        <f>X288&amp;" ("&amp;Y288&amp;" min walk) · "&amp;IF(ISNUMBER(AB288),TEXT(AB288,"ddd d mmm, hh:mm"),"slot to confirm with venue")&amp;" · "&amp;AC288&amp;" · "&amp;IF(AD288&lt;&gt;"","£"&amp;TEXT(AD288,"0.00")&amp;" pp","price TBC")</f>
        <v/>
      </c>
      <c r="AF288" s="14">
        <f>"After-work football for "&amp;F288&amp;" · "&amp;X288&amp;", "&amp;Y288&amp;" min from your office"</f>
        <v/>
      </c>
      <c r="AG288" s="14">
        <f>"Hi"&amp;IF(O288&lt;&gt;""," "&amp;O288,"")&amp;","&amp;CHAR(10)&amp;CHAR(10)&amp;"I'm "&amp;IF(AL288&lt;&gt;"",AL288,IF(Offer!$C$5&lt;&gt;"",Offer!$C$5,"[NAME]"))&amp;" from FC Urban. We organise after-work football for teams in the City and Canary Wharf."&amp;CHAR(10)&amp;CHAR(10)&amp;"We have a "&amp;AC288&amp;" pitch at "&amp;X288&amp;", "&amp;IF(OR(Y288=8,Y288=11,Y288=18),"an ","a ")&amp;Y288&amp;"-minute walk from your "&amp;M288&amp;" office, "&amp;IF(ISNUMBER(AB288),"on "&amp;TEXT(AB288,"dddd d mmmm")&amp;" at "&amp;TEXT(AB288,"hh:mm"),"on a weekday evening that suits your team")&amp;". It's "&amp;IF(AD288&lt;&gt;"","£"&amp;IF(AD288=INT(AD288),TEXT(AD288,"0"),TEXT(AD288,"0.00")),"[PRICE PER PLAYER]")&amp;" a player and we handle the pitch booking, sign-ups and payments, so all it takes is one person sharing a link with the team."&amp;CHAR(10)&amp;CHAR(10)&amp;"It works well as a team social or "&amp;IF(ISNUMBER(SEARCH(LEFT(F288,1),"AEIOU")),"an ","a ")&amp;F288&amp;"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LINK]")&amp;CHAR(10)&amp;CHAR(10)&amp;"Best,"&amp;CHAR(10)&amp;IF(AL288&lt;&gt;"",AL288,IF(Offer!$C$5&lt;&gt;"",Offer!$C$5,"[NAME]"))&amp;CHAR(10)&amp;"FC Urban"</f>
        <v/>
      </c>
      <c r="AH288" s="14">
        <f>IF(LEN("Hi"&amp;IF(O288&lt;&gt;""," "&amp;O288,"")&amp;","&amp;" FC Urban runs after-work football for "&amp;IF(D288="Canary Wharf","Canary Wharf","City")&amp;" teams. We have a "&amp;AC288&amp;" pitch at "&amp;X288&amp;", "&amp;Y288&amp;" min from your office, "&amp;IF(ISNUMBER(AB288),TEXT(AB288,"ddd d mmm")&amp;", "&amp;TEXT(AB288,"hh:mm"),"weekday evenings")&amp;", "&amp;IF(AD288&lt;&gt;"","£"&amp;IF(AD288=INT(AD288),TEXT(AD288,"0"),TEXT(AD288,"0.00")),"[PRICE PER PLAYER]")&amp;" a player. We handle booking, sign-ups and payments. Fancy "&amp;IF(ISNUMBER(SEARCH(LEFT(F288,1),"AEIOU")),"an ","a ")&amp;F288&amp;" team game? "&amp;IF(AL288&lt;&gt;"",AL288,IF(Offer!$C$5&lt;&gt;"",Offer!$C$5,"[NAME]")))&lt;=300,"Hi"&amp;IF(O288&lt;&gt;""," "&amp;O288,"")&amp;","&amp;" FC Urban runs after-work football for "&amp;IF(D288="Canary Wharf","Canary Wharf","City")&amp;" teams. We have a "&amp;AC288&amp;" pitch at "&amp;X288&amp;", "&amp;Y288&amp;" min from your office, "&amp;IF(ISNUMBER(AB288),TEXT(AB288,"ddd d mmm")&amp;", "&amp;TEXT(AB288,"hh:mm"),"weekday evenings")&amp;", "&amp;IF(AD288&lt;&gt;"","£"&amp;IF(AD288=INT(AD288),TEXT(AD288,"0"),TEXT(AD288,"0.00")),"[PRICE PER PLAYER]")&amp;" a player. We handle booking, sign-ups and payments. Fancy "&amp;IF(ISNUMBER(SEARCH(LEFT(F288,1),"AEIOU")),"an ","a ")&amp;F288&amp;" team game? "&amp;IF(AL288&lt;&gt;"",AL288,IF(Offer!$C$5&lt;&gt;"",Offer!$C$5,"[NAME]")),LEFT("Hi"&amp;IF(O288&lt;&gt;""," "&amp;O288,"")&amp;","&amp;" FC Urban runs after-work football for "&amp;IF(D288="Canary Wharf","Canary Wharf","City")&amp;" teams: "&amp;AC288&amp;" at "&amp;X288&amp;", "&amp;Y288&amp;" min from your office, "&amp;IF(ISNUMBER(AB288),TEXT(AB288,"ddd d mmm")&amp;", "&amp;TEXT(AB288,"hh:mm"),"weekday evenings")&amp;", "&amp;IF(AD288&lt;&gt;"","£"&amp;IF(AD288=INT(AD288),TEXT(AD288,"0"),TEXT(AD288,"0.00")),"[PRICE PER PLAYER]")&amp;" pp. We handle booking and payments. Up for a team game? "&amp;IF(AL288&lt;&gt;"",AL288,IF(Offer!$C$5&lt;&gt;"",Offer!$C$5,"[NAME]")),300))</f>
        <v/>
      </c>
      <c r="AI288" s="14">
        <f>LEN(AH288)</f>
        <v/>
      </c>
      <c r="AJ288" s="14">
        <f>"Thanks for connecting"&amp;IF(O288&lt;&gt;"",", "&amp;O288,"")&amp;". "&amp;IF(ISNUMBER(AB288),"The "&amp;AC288&amp;" slot at "&amp;X288&amp;" is "&amp;IF(ISNUMBER(AB288),TEXT(AB288,"ddd d mmm")&amp;", "&amp;TEXT(AB288,"hh:mm"),"weekday evenings"),"We can book "&amp;AC288&amp;" at "&amp;X288&amp;" on a weekday evening that suits you")&amp;" and it's "&amp;IF(AD288&lt;&gt;"","£"&amp;IF(AD288=INT(AD288),TEXT(AD288,"0"),TEXT(AD288,"0.00")),"[PRICE PER PLAYER]")&amp;" a player, all booked and paid through one link. If football isn't your thing, who at "&amp;F288&amp;" would be the right person to organise a team game?"&amp;IF(Offer!$C$7&lt;&gt;""," Spots are held until "&amp;TEXT(Offer!$C$7,"dddd d mmmm")&amp;".","")&amp;" "&amp;IF(Offer!$C$6&lt;&gt;"",Offer!$C$6,"[JOINING LINK]")</f>
        <v/>
      </c>
      <c r="AK288" s="14">
        <f>IF(OR(ISNUMBER(SEARCH("[",AG288)),ISNUMBER(SEARCH("[",AJ288))),"Fill placeholders",IF(ISNUMBER(AB288),"Ready to send","Ready · no fixed slot"))</f>
        <v/>
      </c>
      <c r="AN288" s="17" t="n"/>
    </row>
    <row r="289">
      <c r="A289" s="11" t="n">
        <v>287</v>
      </c>
      <c r="B289" s="11" t="n">
        <v>3</v>
      </c>
      <c r="C289" s="11" t="inlineStr">
        <is>
          <t>Fund / asset manager</t>
        </is>
      </c>
      <c r="D289" s="11" t="inlineStr">
        <is>
          <t>City of London</t>
        </is>
      </c>
      <c r="E289" s="11" t="inlineStr">
        <is>
          <t>GLMX Europe Limited</t>
        </is>
      </c>
      <c r="F289" s="11" t="inlineStr">
        <is>
          <t>GLMX</t>
        </is>
      </c>
      <c r="G289" s="11" t="inlineStr">
        <is>
          <t>11476871</t>
        </is>
      </c>
      <c r="H289" s="12" t="inlineStr">
        <is>
          <t>Open</t>
        </is>
      </c>
      <c r="I289" s="12" t="inlineStr">
        <is>
          <t>Search</t>
        </is>
      </c>
      <c r="J289" s="11" t="inlineStr">
        <is>
          <t>Full</t>
        </is>
      </c>
      <c r="K289" s="13" t="n">
        <v>43304</v>
      </c>
      <c r="L289" s="11" t="inlineStr">
        <is>
          <t>C/O Kroll Advisory Ltd., The Shard, Level 14, 32 London Bridge Street, London</t>
        </is>
      </c>
      <c r="M289" s="11" t="inlineStr">
        <is>
          <t>SE1 9SG</t>
        </is>
      </c>
      <c r="N289" s="11" t="inlineStr">
        <is>
          <t>No</t>
        </is>
      </c>
      <c r="U289" s="11" t="inlineStr">
        <is>
          <t>Borough Academy</t>
        </is>
      </c>
      <c r="V289" s="11" t="n">
        <v>15</v>
      </c>
      <c r="W289" s="11" t="n"/>
      <c r="X289" s="11" t="inlineStr">
        <is>
          <t>Borough Academy</t>
        </is>
      </c>
      <c r="Y289" s="11" t="n">
        <v>15</v>
      </c>
      <c r="Z289" s="14">
        <f>IFERROR(INDEX(Venues!$E$2:$E$15,MATCH(X289,Venues!$A$2:$A$15,0)),"Not checked")</f>
        <v/>
      </c>
      <c r="AA289" s="14">
        <f>IFERROR(INDEX(Venues!$F$2:$F$15,MATCH(X289,Venues!$A$2:$A$15,0)),0)</f>
        <v/>
      </c>
      <c r="AB289" s="15">
        <f>IFERROR(INDEX(Venues!$M$2:$M$15,MATCH(X289,Venues!$A$2:$A$15,0)),"")</f>
        <v/>
      </c>
      <c r="AC289" s="14">
        <f>IFERROR(INDEX(Venues!$N$2:$N$15,MATCH(X289,Venues!$A$2:$A$15,0)),"5-a-side")</f>
        <v/>
      </c>
      <c r="AD289" s="16">
        <f>IF(Offer!$C$4="","",Offer!$C$4)</f>
        <v/>
      </c>
      <c r="AE289" s="14">
        <f>X289&amp;" ("&amp;Y289&amp;" min walk) · "&amp;IF(ISNUMBER(AB289),TEXT(AB289,"ddd d mmm, hh:mm"),"slot to confirm with venue")&amp;" · "&amp;AC289&amp;" · "&amp;IF(AD289&lt;&gt;"","£"&amp;TEXT(AD289,"0.00")&amp;" pp","price TBC")</f>
        <v/>
      </c>
      <c r="AF289" s="14">
        <f>"After-work football for "&amp;F289&amp;" · "&amp;X289&amp;", "&amp;Y289&amp;" min from your office"</f>
        <v/>
      </c>
      <c r="AG289" s="14">
        <f>"Hi"&amp;IF(O289&lt;&gt;""," "&amp;O289,"")&amp;","&amp;CHAR(10)&amp;CHAR(10)&amp;"I'm "&amp;IF(AL289&lt;&gt;"",AL289,IF(Offer!$C$5&lt;&gt;"",Offer!$C$5,"[NAME]"))&amp;" from FC Urban. We organise after-work football for teams in the City and Canary Wharf."&amp;CHAR(10)&amp;CHAR(10)&amp;"We have a "&amp;AC289&amp;" pitch at "&amp;X289&amp;", "&amp;IF(OR(Y289=8,Y289=11,Y289=18),"an ","a ")&amp;Y289&amp;"-minute walk from your "&amp;M289&amp;" office, "&amp;IF(ISNUMBER(AB289),"on "&amp;TEXT(AB289,"dddd d mmmm")&amp;" at "&amp;TEXT(AB289,"hh:mm"),"on a weekday evening that suits your team")&amp;". It's "&amp;IF(AD289&lt;&gt;"","£"&amp;IF(AD289=INT(AD289),TEXT(AD289,"0"),TEXT(AD289,"0.00")),"[PRICE PER PLAYER]")&amp;" a player and we handle the pitch booking, sign-ups and payments, so all it takes is one person sharing a link with the team."&amp;CHAR(10)&amp;CHAR(10)&amp;"It works well as a team social or "&amp;IF(ISNUMBER(SEARCH(LEFT(F289,1),"AEIOU")),"an ","a ")&amp;F289&amp;"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LINK]")&amp;CHAR(10)&amp;CHAR(10)&amp;"Best,"&amp;CHAR(10)&amp;IF(AL289&lt;&gt;"",AL289,IF(Offer!$C$5&lt;&gt;"",Offer!$C$5,"[NAME]"))&amp;CHAR(10)&amp;"FC Urban"</f>
        <v/>
      </c>
      <c r="AH289" s="14">
        <f>IF(LEN("Hi"&amp;IF(O289&lt;&gt;""," "&amp;O289,"")&amp;","&amp;" FC Urban runs after-work football for "&amp;IF(D289="Canary Wharf","Canary Wharf","City")&amp;" teams. We have a "&amp;AC289&amp;" pitch at "&amp;X289&amp;", "&amp;Y289&amp;" min from your office, "&amp;IF(ISNUMBER(AB289),TEXT(AB289,"ddd d mmm")&amp;", "&amp;TEXT(AB289,"hh:mm"),"weekday evenings")&amp;", "&amp;IF(AD289&lt;&gt;"","£"&amp;IF(AD289=INT(AD289),TEXT(AD289,"0"),TEXT(AD289,"0.00")),"[PRICE PER PLAYER]")&amp;" a player. We handle booking, sign-ups and payments. Fancy "&amp;IF(ISNUMBER(SEARCH(LEFT(F289,1),"AEIOU")),"an ","a ")&amp;F289&amp;" team game? "&amp;IF(AL289&lt;&gt;"",AL289,IF(Offer!$C$5&lt;&gt;"",Offer!$C$5,"[NAME]")))&lt;=300,"Hi"&amp;IF(O289&lt;&gt;""," "&amp;O289,"")&amp;","&amp;" FC Urban runs after-work football for "&amp;IF(D289="Canary Wharf","Canary Wharf","City")&amp;" teams. We have a "&amp;AC289&amp;" pitch at "&amp;X289&amp;", "&amp;Y289&amp;" min from your office, "&amp;IF(ISNUMBER(AB289),TEXT(AB289,"ddd d mmm")&amp;", "&amp;TEXT(AB289,"hh:mm"),"weekday evenings")&amp;", "&amp;IF(AD289&lt;&gt;"","£"&amp;IF(AD289=INT(AD289),TEXT(AD289,"0"),TEXT(AD289,"0.00")),"[PRICE PER PLAYER]")&amp;" a player. We handle booking, sign-ups and payments. Fancy "&amp;IF(ISNUMBER(SEARCH(LEFT(F289,1),"AEIOU")),"an ","a ")&amp;F289&amp;" team game? "&amp;IF(AL289&lt;&gt;"",AL289,IF(Offer!$C$5&lt;&gt;"",Offer!$C$5,"[NAME]")),LEFT("Hi"&amp;IF(O289&lt;&gt;""," "&amp;O289,"")&amp;","&amp;" FC Urban runs after-work football for "&amp;IF(D289="Canary Wharf","Canary Wharf","City")&amp;" teams: "&amp;AC289&amp;" at "&amp;X289&amp;", "&amp;Y289&amp;" min from your office, "&amp;IF(ISNUMBER(AB289),TEXT(AB289,"ddd d mmm")&amp;", "&amp;TEXT(AB289,"hh:mm"),"weekday evenings")&amp;", "&amp;IF(AD289&lt;&gt;"","£"&amp;IF(AD289=INT(AD289),TEXT(AD289,"0"),TEXT(AD289,"0.00")),"[PRICE PER PLAYER]")&amp;" pp. We handle booking and payments. Up for a team game? "&amp;IF(AL289&lt;&gt;"",AL289,IF(Offer!$C$5&lt;&gt;"",Offer!$C$5,"[NAME]")),300))</f>
        <v/>
      </c>
      <c r="AI289" s="14">
        <f>LEN(AH289)</f>
        <v/>
      </c>
      <c r="AJ289" s="14">
        <f>"Thanks for connecting"&amp;IF(O289&lt;&gt;"",", "&amp;O289,"")&amp;". "&amp;IF(ISNUMBER(AB289),"The "&amp;AC289&amp;" slot at "&amp;X289&amp;" is "&amp;IF(ISNUMBER(AB289),TEXT(AB289,"ddd d mmm")&amp;", "&amp;TEXT(AB289,"hh:mm"),"weekday evenings"),"We can book "&amp;AC289&amp;" at "&amp;X289&amp;" on a weekday evening that suits you")&amp;" and it's "&amp;IF(AD289&lt;&gt;"","£"&amp;IF(AD289=INT(AD289),TEXT(AD289,"0"),TEXT(AD289,"0.00")),"[PRICE PER PLAYER]")&amp;" a player, all booked and paid through one link. If football isn't your thing, who at "&amp;F289&amp;" would be the right person to organise a team game?"&amp;IF(Offer!$C$7&lt;&gt;""," Spots are held until "&amp;TEXT(Offer!$C$7,"dddd d mmmm")&amp;".","")&amp;" "&amp;IF(Offer!$C$6&lt;&gt;"",Offer!$C$6,"[JOINING LINK]")</f>
        <v/>
      </c>
      <c r="AK289" s="14">
        <f>IF(OR(ISNUMBER(SEARCH("[",AG289)),ISNUMBER(SEARCH("[",AJ289))),"Fill placeholders",IF(ISNUMBER(AB289),"Ready to send","Ready · no fixed slot"))</f>
        <v/>
      </c>
      <c r="AN289" s="17" t="n"/>
    </row>
    <row r="290">
      <c r="A290" s="11" t="n">
        <v>288</v>
      </c>
      <c r="B290" s="11" t="n">
        <v>3</v>
      </c>
      <c r="C290" s="11" t="inlineStr">
        <is>
          <t>Fund / asset manager</t>
        </is>
      </c>
      <c r="D290" s="11" t="inlineStr">
        <is>
          <t>City of London</t>
        </is>
      </c>
      <c r="E290" s="11" t="inlineStr">
        <is>
          <t>Harboro Capital Limited</t>
        </is>
      </c>
      <c r="F290" s="11" t="inlineStr">
        <is>
          <t>Harboro Capital</t>
        </is>
      </c>
      <c r="G290" s="11" t="inlineStr">
        <is>
          <t>10510317</t>
        </is>
      </c>
      <c r="H290" s="12" t="inlineStr">
        <is>
          <t>Open</t>
        </is>
      </c>
      <c r="I290" s="12" t="inlineStr">
        <is>
          <t>Search</t>
        </is>
      </c>
      <c r="J290" s="11" t="inlineStr">
        <is>
          <t>Full</t>
        </is>
      </c>
      <c r="K290" s="13" t="n">
        <v>42709</v>
      </c>
      <c r="L290" s="11" t="inlineStr">
        <is>
          <t>C/O Kroll Advisory Ltd., The Shard, Level 14, 32 London Bridge Street, London</t>
        </is>
      </c>
      <c r="M290" s="11" t="inlineStr">
        <is>
          <t>SE1 9SG</t>
        </is>
      </c>
      <c r="N290" s="11" t="inlineStr">
        <is>
          <t>No</t>
        </is>
      </c>
      <c r="U290" s="11" t="inlineStr">
        <is>
          <t>Borough Academy</t>
        </is>
      </c>
      <c r="V290" s="11" t="n">
        <v>15</v>
      </c>
      <c r="W290" s="11" t="n"/>
      <c r="X290" s="11" t="inlineStr">
        <is>
          <t>Borough Academy</t>
        </is>
      </c>
      <c r="Y290" s="11" t="n">
        <v>15</v>
      </c>
      <c r="Z290" s="14">
        <f>IFERROR(INDEX(Venues!$E$2:$E$15,MATCH(X290,Venues!$A$2:$A$15,0)),"Not checked")</f>
        <v/>
      </c>
      <c r="AA290" s="14">
        <f>IFERROR(INDEX(Venues!$F$2:$F$15,MATCH(X290,Venues!$A$2:$A$15,0)),0)</f>
        <v/>
      </c>
      <c r="AB290" s="15">
        <f>IFERROR(INDEX(Venues!$M$2:$M$15,MATCH(X290,Venues!$A$2:$A$15,0)),"")</f>
        <v/>
      </c>
      <c r="AC290" s="14">
        <f>IFERROR(INDEX(Venues!$N$2:$N$15,MATCH(X290,Venues!$A$2:$A$15,0)),"5-a-side")</f>
        <v/>
      </c>
      <c r="AD290" s="16">
        <f>IF(Offer!$C$4="","",Offer!$C$4)</f>
        <v/>
      </c>
      <c r="AE290" s="14">
        <f>X290&amp;" ("&amp;Y290&amp;" min walk) · "&amp;IF(ISNUMBER(AB290),TEXT(AB290,"ddd d mmm, hh:mm"),"slot to confirm with venue")&amp;" · "&amp;AC290&amp;" · "&amp;IF(AD290&lt;&gt;"","£"&amp;TEXT(AD290,"0.00")&amp;" pp","price TBC")</f>
        <v/>
      </c>
      <c r="AF290" s="14">
        <f>"After-work football for "&amp;F290&amp;" · "&amp;X290&amp;", "&amp;Y290&amp;" min from your office"</f>
        <v/>
      </c>
      <c r="AG290" s="14">
        <f>"Hi"&amp;IF(O290&lt;&gt;""," "&amp;O290,"")&amp;","&amp;CHAR(10)&amp;CHAR(10)&amp;"I'm "&amp;IF(AL290&lt;&gt;"",AL290,IF(Offer!$C$5&lt;&gt;"",Offer!$C$5,"[NAME]"))&amp;" from FC Urban. We organise after-work football for teams in the City and Canary Wharf."&amp;CHAR(10)&amp;CHAR(10)&amp;"We have a "&amp;AC290&amp;" pitch at "&amp;X290&amp;", "&amp;IF(OR(Y290=8,Y290=11,Y290=18),"an ","a ")&amp;Y290&amp;"-minute walk from your "&amp;M290&amp;" office, "&amp;IF(ISNUMBER(AB290),"on "&amp;TEXT(AB290,"dddd d mmmm")&amp;" at "&amp;TEXT(AB290,"hh:mm"),"on a weekday evening that suits your team")&amp;". It's "&amp;IF(AD290&lt;&gt;"","£"&amp;IF(AD290=INT(AD290),TEXT(AD290,"0"),TEXT(AD290,"0.00")),"[PRICE PER PLAYER]")&amp;" a player and we handle the pitch booking, sign-ups and payments, so all it takes is one person sharing a link with the team."&amp;CHAR(10)&amp;CHAR(10)&amp;"It works well as a team social or "&amp;IF(ISNUMBER(SEARCH(LEFT(F290,1),"AEIOU")),"an ","a ")&amp;F290&amp;"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LINK]")&amp;CHAR(10)&amp;CHAR(10)&amp;"Best,"&amp;CHAR(10)&amp;IF(AL290&lt;&gt;"",AL290,IF(Offer!$C$5&lt;&gt;"",Offer!$C$5,"[NAME]"))&amp;CHAR(10)&amp;"FC Urban"</f>
        <v/>
      </c>
      <c r="AH290" s="14">
        <f>IF(LEN("Hi"&amp;IF(O290&lt;&gt;""," "&amp;O290,"")&amp;","&amp;" FC Urban runs after-work football for "&amp;IF(D290="Canary Wharf","Canary Wharf","City")&amp;" teams. We have a "&amp;AC290&amp;" pitch at "&amp;X290&amp;", "&amp;Y290&amp;" min from your office, "&amp;IF(ISNUMBER(AB290),TEXT(AB290,"ddd d mmm")&amp;", "&amp;TEXT(AB290,"hh:mm"),"weekday evenings")&amp;", "&amp;IF(AD290&lt;&gt;"","£"&amp;IF(AD290=INT(AD290),TEXT(AD290,"0"),TEXT(AD290,"0.00")),"[PRICE PER PLAYER]")&amp;" a player. We handle booking, sign-ups and payments. Fancy "&amp;IF(ISNUMBER(SEARCH(LEFT(F290,1),"AEIOU")),"an ","a ")&amp;F290&amp;" team game? "&amp;IF(AL290&lt;&gt;"",AL290,IF(Offer!$C$5&lt;&gt;"",Offer!$C$5,"[NAME]")))&lt;=300,"Hi"&amp;IF(O290&lt;&gt;""," "&amp;O290,"")&amp;","&amp;" FC Urban runs after-work football for "&amp;IF(D290="Canary Wharf","Canary Wharf","City")&amp;" teams. We have a "&amp;AC290&amp;" pitch at "&amp;X290&amp;", "&amp;Y290&amp;" min from your office, "&amp;IF(ISNUMBER(AB290),TEXT(AB290,"ddd d mmm")&amp;", "&amp;TEXT(AB290,"hh:mm"),"weekday evenings")&amp;", "&amp;IF(AD290&lt;&gt;"","£"&amp;IF(AD290=INT(AD290),TEXT(AD290,"0"),TEXT(AD290,"0.00")),"[PRICE PER PLAYER]")&amp;" a player. We handle booking, sign-ups and payments. Fancy "&amp;IF(ISNUMBER(SEARCH(LEFT(F290,1),"AEIOU")),"an ","a ")&amp;F290&amp;" team game? "&amp;IF(AL290&lt;&gt;"",AL290,IF(Offer!$C$5&lt;&gt;"",Offer!$C$5,"[NAME]")),LEFT("Hi"&amp;IF(O290&lt;&gt;""," "&amp;O290,"")&amp;","&amp;" FC Urban runs after-work football for "&amp;IF(D290="Canary Wharf","Canary Wharf","City")&amp;" teams: "&amp;AC290&amp;" at "&amp;X290&amp;", "&amp;Y290&amp;" min from your office, "&amp;IF(ISNUMBER(AB290),TEXT(AB290,"ddd d mmm")&amp;", "&amp;TEXT(AB290,"hh:mm"),"weekday evenings")&amp;", "&amp;IF(AD290&lt;&gt;"","£"&amp;IF(AD290=INT(AD290),TEXT(AD290,"0"),TEXT(AD290,"0.00")),"[PRICE PER PLAYER]")&amp;" pp. We handle booking and payments. Up for a team game? "&amp;IF(AL290&lt;&gt;"",AL290,IF(Offer!$C$5&lt;&gt;"",Offer!$C$5,"[NAME]")),300))</f>
        <v/>
      </c>
      <c r="AI290" s="14">
        <f>LEN(AH290)</f>
        <v/>
      </c>
      <c r="AJ290" s="14">
        <f>"Thanks for connecting"&amp;IF(O290&lt;&gt;"",", "&amp;O290,"")&amp;". "&amp;IF(ISNUMBER(AB290),"The "&amp;AC290&amp;" slot at "&amp;X290&amp;" is "&amp;IF(ISNUMBER(AB290),TEXT(AB290,"ddd d mmm")&amp;", "&amp;TEXT(AB290,"hh:mm"),"weekday evenings"),"We can book "&amp;AC290&amp;" at "&amp;X290&amp;" on a weekday evening that suits you")&amp;" and it's "&amp;IF(AD290&lt;&gt;"","£"&amp;IF(AD290=INT(AD290),TEXT(AD290,"0"),TEXT(AD290,"0.00")),"[PRICE PER PLAYER]")&amp;" a player, all booked and paid through one link. If football isn't your thing, who at "&amp;F290&amp;" would be the right person to organise a team game?"&amp;IF(Offer!$C$7&lt;&gt;""," Spots are held until "&amp;TEXT(Offer!$C$7,"dddd d mmmm")&amp;".","")&amp;" "&amp;IF(Offer!$C$6&lt;&gt;"",Offer!$C$6,"[JOINING LINK]")</f>
        <v/>
      </c>
      <c r="AK290" s="14">
        <f>IF(OR(ISNUMBER(SEARCH("[",AG290)),ISNUMBER(SEARCH("[",AJ290))),"Fill placeholders",IF(ISNUMBER(AB290),"Ready to send","Ready · no fixed slot"))</f>
        <v/>
      </c>
      <c r="AN290" s="17" t="n"/>
    </row>
    <row r="291">
      <c r="A291" s="11" t="n">
        <v>289</v>
      </c>
      <c r="B291" s="11" t="n">
        <v>3</v>
      </c>
      <c r="C291" s="11" t="inlineStr">
        <is>
          <t>Fund / asset manager</t>
        </is>
      </c>
      <c r="D291" s="11" t="inlineStr">
        <is>
          <t>City of London</t>
        </is>
      </c>
      <c r="E291" s="11" t="inlineStr">
        <is>
          <t>MPI (London) Limited</t>
        </is>
      </c>
      <c r="F291" s="11" t="inlineStr">
        <is>
          <t>MPI</t>
        </is>
      </c>
      <c r="G291" s="11" t="inlineStr">
        <is>
          <t>02702785</t>
        </is>
      </c>
      <c r="H291" s="12" t="inlineStr">
        <is>
          <t>Open</t>
        </is>
      </c>
      <c r="I291" s="12" t="inlineStr">
        <is>
          <t>Search</t>
        </is>
      </c>
      <c r="J291" s="11" t="inlineStr">
        <is>
          <t>Full</t>
        </is>
      </c>
      <c r="K291" s="13" t="n">
        <v>33695</v>
      </c>
      <c r="L291" s="11" t="inlineStr">
        <is>
          <t>Level 19, The Shard, 32 London Bridge Street, London</t>
        </is>
      </c>
      <c r="M291" s="11" t="inlineStr">
        <is>
          <t>SE1 9SG</t>
        </is>
      </c>
      <c r="N291" s="11" t="inlineStr">
        <is>
          <t>No</t>
        </is>
      </c>
      <c r="U291" s="11" t="inlineStr">
        <is>
          <t>Borough Academy</t>
        </is>
      </c>
      <c r="V291" s="11" t="n">
        <v>15</v>
      </c>
      <c r="W291" s="11" t="n"/>
      <c r="X291" s="11" t="inlineStr">
        <is>
          <t>Borough Academy</t>
        </is>
      </c>
      <c r="Y291" s="11" t="n">
        <v>15</v>
      </c>
      <c r="Z291" s="14">
        <f>IFERROR(INDEX(Venues!$E$2:$E$15,MATCH(X291,Venues!$A$2:$A$15,0)),"Not checked")</f>
        <v/>
      </c>
      <c r="AA291" s="14">
        <f>IFERROR(INDEX(Venues!$F$2:$F$15,MATCH(X291,Venues!$A$2:$A$15,0)),0)</f>
        <v/>
      </c>
      <c r="AB291" s="15">
        <f>IFERROR(INDEX(Venues!$M$2:$M$15,MATCH(X291,Venues!$A$2:$A$15,0)),"")</f>
        <v/>
      </c>
      <c r="AC291" s="14">
        <f>IFERROR(INDEX(Venues!$N$2:$N$15,MATCH(X291,Venues!$A$2:$A$15,0)),"5-a-side")</f>
        <v/>
      </c>
      <c r="AD291" s="16">
        <f>IF(Offer!$C$4="","",Offer!$C$4)</f>
        <v/>
      </c>
      <c r="AE291" s="14">
        <f>X291&amp;" ("&amp;Y291&amp;" min walk) · "&amp;IF(ISNUMBER(AB291),TEXT(AB291,"ddd d mmm, hh:mm"),"slot to confirm with venue")&amp;" · "&amp;AC291&amp;" · "&amp;IF(AD291&lt;&gt;"","£"&amp;TEXT(AD291,"0.00")&amp;" pp","price TBC")</f>
        <v/>
      </c>
      <c r="AF291" s="14">
        <f>"After-work football for "&amp;F291&amp;" · "&amp;X291&amp;", "&amp;Y291&amp;" min from your office"</f>
        <v/>
      </c>
      <c r="AG291" s="14">
        <f>"Hi"&amp;IF(O291&lt;&gt;""," "&amp;O291,"")&amp;","&amp;CHAR(10)&amp;CHAR(10)&amp;"I'm "&amp;IF(AL291&lt;&gt;"",AL291,IF(Offer!$C$5&lt;&gt;"",Offer!$C$5,"[NAME]"))&amp;" from FC Urban. We organise after-work football for teams in the City and Canary Wharf."&amp;CHAR(10)&amp;CHAR(10)&amp;"We have a "&amp;AC291&amp;" pitch at "&amp;X291&amp;", "&amp;IF(OR(Y291=8,Y291=11,Y291=18),"an ","a ")&amp;Y291&amp;"-minute walk from your "&amp;M291&amp;" office, "&amp;IF(ISNUMBER(AB291),"on "&amp;TEXT(AB291,"dddd d mmmm")&amp;" at "&amp;TEXT(AB291,"hh:mm"),"on a weekday evening that suits your team")&amp;". It's "&amp;IF(AD291&lt;&gt;"","£"&amp;IF(AD291=INT(AD291),TEXT(AD291,"0"),TEXT(AD291,"0.00")),"[PRICE PER PLAYER]")&amp;" a player and we handle the pitch booking, sign-ups and payments, so all it takes is one person sharing a link with the team."&amp;CHAR(10)&amp;CHAR(10)&amp;"It works well as a team social or "&amp;IF(ISNUMBER(SEARCH(LEFT(F291,1),"AEIOU")),"an ","a ")&amp;F291&amp;"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LINK]")&amp;CHAR(10)&amp;CHAR(10)&amp;"Best,"&amp;CHAR(10)&amp;IF(AL291&lt;&gt;"",AL291,IF(Offer!$C$5&lt;&gt;"",Offer!$C$5,"[NAME]"))&amp;CHAR(10)&amp;"FC Urban"</f>
        <v/>
      </c>
      <c r="AH291" s="14">
        <f>IF(LEN("Hi"&amp;IF(O291&lt;&gt;""," "&amp;O291,"")&amp;","&amp;" FC Urban runs after-work football for "&amp;IF(D291="Canary Wharf","Canary Wharf","City")&amp;" teams. We have a "&amp;AC291&amp;" pitch at "&amp;X291&amp;", "&amp;Y291&amp;" min from your office, "&amp;IF(ISNUMBER(AB291),TEXT(AB291,"ddd d mmm")&amp;", "&amp;TEXT(AB291,"hh:mm"),"weekday evenings")&amp;", "&amp;IF(AD291&lt;&gt;"","£"&amp;IF(AD291=INT(AD291),TEXT(AD291,"0"),TEXT(AD291,"0.00")),"[PRICE PER PLAYER]")&amp;" a player. We handle booking, sign-ups and payments. Fancy "&amp;IF(ISNUMBER(SEARCH(LEFT(F291,1),"AEIOU")),"an ","a ")&amp;F291&amp;" team game? "&amp;IF(AL291&lt;&gt;"",AL291,IF(Offer!$C$5&lt;&gt;"",Offer!$C$5,"[NAME]")))&lt;=300,"Hi"&amp;IF(O291&lt;&gt;""," "&amp;O291,"")&amp;","&amp;" FC Urban runs after-work football for "&amp;IF(D291="Canary Wharf","Canary Wharf","City")&amp;" teams. We have a "&amp;AC291&amp;" pitch at "&amp;X291&amp;", "&amp;Y291&amp;" min from your office, "&amp;IF(ISNUMBER(AB291),TEXT(AB291,"ddd d mmm")&amp;", "&amp;TEXT(AB291,"hh:mm"),"weekday evenings")&amp;", "&amp;IF(AD291&lt;&gt;"","£"&amp;IF(AD291=INT(AD291),TEXT(AD291,"0"),TEXT(AD291,"0.00")),"[PRICE PER PLAYER]")&amp;" a player. We handle booking, sign-ups and payments. Fancy "&amp;IF(ISNUMBER(SEARCH(LEFT(F291,1),"AEIOU")),"an ","a ")&amp;F291&amp;" team game? "&amp;IF(AL291&lt;&gt;"",AL291,IF(Offer!$C$5&lt;&gt;"",Offer!$C$5,"[NAME]")),LEFT("Hi"&amp;IF(O291&lt;&gt;""," "&amp;O291,"")&amp;","&amp;" FC Urban runs after-work football for "&amp;IF(D291="Canary Wharf","Canary Wharf","City")&amp;" teams: "&amp;AC291&amp;" at "&amp;X291&amp;", "&amp;Y291&amp;" min from your office, "&amp;IF(ISNUMBER(AB291),TEXT(AB291,"ddd d mmm")&amp;", "&amp;TEXT(AB291,"hh:mm"),"weekday evenings")&amp;", "&amp;IF(AD291&lt;&gt;"","£"&amp;IF(AD291=INT(AD291),TEXT(AD291,"0"),TEXT(AD291,"0.00")),"[PRICE PER PLAYER]")&amp;" pp. We handle booking and payments. Up for a team game? "&amp;IF(AL291&lt;&gt;"",AL291,IF(Offer!$C$5&lt;&gt;"",Offer!$C$5,"[NAME]")),300))</f>
        <v/>
      </c>
      <c r="AI291" s="14">
        <f>LEN(AH291)</f>
        <v/>
      </c>
      <c r="AJ291" s="14">
        <f>"Thanks for connecting"&amp;IF(O291&lt;&gt;"",", "&amp;O291,"")&amp;". "&amp;IF(ISNUMBER(AB291),"The "&amp;AC291&amp;" slot at "&amp;X291&amp;" is "&amp;IF(ISNUMBER(AB291),TEXT(AB291,"ddd d mmm")&amp;", "&amp;TEXT(AB291,"hh:mm"),"weekday evenings"),"We can book "&amp;AC291&amp;" at "&amp;X291&amp;" on a weekday evening that suits you")&amp;" and it's "&amp;IF(AD291&lt;&gt;"","£"&amp;IF(AD291=INT(AD291),TEXT(AD291,"0"),TEXT(AD291,"0.00")),"[PRICE PER PLAYER]")&amp;" a player, all booked and paid through one link. If football isn't your thing, who at "&amp;F291&amp;" would be the right person to organise a team game?"&amp;IF(Offer!$C$7&lt;&gt;""," Spots are held until "&amp;TEXT(Offer!$C$7,"dddd d mmmm")&amp;".","")&amp;" "&amp;IF(Offer!$C$6&lt;&gt;"",Offer!$C$6,"[JOINING LINK]")</f>
        <v/>
      </c>
      <c r="AK291" s="14">
        <f>IF(OR(ISNUMBER(SEARCH("[",AG291)),ISNUMBER(SEARCH("[",AJ291))),"Fill placeholders",IF(ISNUMBER(AB291),"Ready to send","Ready · no fixed slot"))</f>
        <v/>
      </c>
      <c r="AN291" s="17" t="n"/>
    </row>
    <row r="292">
      <c r="A292" s="11" t="n">
        <v>290</v>
      </c>
      <c r="B292" s="11" t="n">
        <v>3</v>
      </c>
      <c r="C292" s="11" t="inlineStr">
        <is>
          <t>Fund / asset manager</t>
        </is>
      </c>
      <c r="D292" s="11" t="inlineStr">
        <is>
          <t>City of London</t>
        </is>
      </c>
      <c r="E292" s="11" t="inlineStr">
        <is>
          <t>Northlander Commodity Advisors LLP</t>
        </is>
      </c>
      <c r="F292" s="11" t="inlineStr">
        <is>
          <t>Northlander Commodity Advisors</t>
        </is>
      </c>
      <c r="G292" s="11" t="inlineStr">
        <is>
          <t>OC371111</t>
        </is>
      </c>
      <c r="H292" s="12" t="inlineStr">
        <is>
          <t>Open</t>
        </is>
      </c>
      <c r="I292" s="12" t="inlineStr">
        <is>
          <t>Search</t>
        </is>
      </c>
      <c r="J292" s="11" t="inlineStr">
        <is>
          <t>Full</t>
        </is>
      </c>
      <c r="K292" s="13" t="n">
        <v>40906</v>
      </c>
      <c r="L292" s="11" t="inlineStr">
        <is>
          <t>Office 24.02 24/25 The Shard, 32 London Bridge Street, London</t>
        </is>
      </c>
      <c r="M292" s="11" t="inlineStr">
        <is>
          <t>SE1 9SG</t>
        </is>
      </c>
      <c r="N292" s="11" t="inlineStr">
        <is>
          <t>No</t>
        </is>
      </c>
      <c r="U292" s="11" t="inlineStr">
        <is>
          <t>Borough Academy</t>
        </is>
      </c>
      <c r="V292" s="11" t="n">
        <v>15</v>
      </c>
      <c r="W292" s="11" t="n"/>
      <c r="X292" s="11" t="inlineStr">
        <is>
          <t>Borough Academy</t>
        </is>
      </c>
      <c r="Y292" s="11" t="n">
        <v>15</v>
      </c>
      <c r="Z292" s="14">
        <f>IFERROR(INDEX(Venues!$E$2:$E$15,MATCH(X292,Venues!$A$2:$A$15,0)),"Not checked")</f>
        <v/>
      </c>
      <c r="AA292" s="14">
        <f>IFERROR(INDEX(Venues!$F$2:$F$15,MATCH(X292,Venues!$A$2:$A$15,0)),0)</f>
        <v/>
      </c>
      <c r="AB292" s="15">
        <f>IFERROR(INDEX(Venues!$M$2:$M$15,MATCH(X292,Venues!$A$2:$A$15,0)),"")</f>
        <v/>
      </c>
      <c r="AC292" s="14">
        <f>IFERROR(INDEX(Venues!$N$2:$N$15,MATCH(X292,Venues!$A$2:$A$15,0)),"5-a-side")</f>
        <v/>
      </c>
      <c r="AD292" s="16">
        <f>IF(Offer!$C$4="","",Offer!$C$4)</f>
        <v/>
      </c>
      <c r="AE292" s="14">
        <f>X292&amp;" ("&amp;Y292&amp;" min walk) · "&amp;IF(ISNUMBER(AB292),TEXT(AB292,"ddd d mmm, hh:mm"),"slot to confirm with venue")&amp;" · "&amp;AC292&amp;" · "&amp;IF(AD292&lt;&gt;"","£"&amp;TEXT(AD292,"0.00")&amp;" pp","price TBC")</f>
        <v/>
      </c>
      <c r="AF292" s="14">
        <f>"After-work football for "&amp;F292&amp;" · "&amp;X292&amp;", "&amp;Y292&amp;" min from your office"</f>
        <v/>
      </c>
      <c r="AG292" s="14">
        <f>"Hi"&amp;IF(O292&lt;&gt;""," "&amp;O292,"")&amp;","&amp;CHAR(10)&amp;CHAR(10)&amp;"I'm "&amp;IF(AL292&lt;&gt;"",AL292,IF(Offer!$C$5&lt;&gt;"",Offer!$C$5,"[NAME]"))&amp;" from FC Urban. We organise after-work football for teams in the City and Canary Wharf."&amp;CHAR(10)&amp;CHAR(10)&amp;"We have a "&amp;AC292&amp;" pitch at "&amp;X292&amp;", "&amp;IF(OR(Y292=8,Y292=11,Y292=18),"an ","a ")&amp;Y292&amp;"-minute walk from your "&amp;M292&amp;" office, "&amp;IF(ISNUMBER(AB292),"on "&amp;TEXT(AB292,"dddd d mmmm")&amp;" at "&amp;TEXT(AB292,"hh:mm"),"on a weekday evening that suits your team")&amp;". It's "&amp;IF(AD292&lt;&gt;"","£"&amp;IF(AD292=INT(AD292),TEXT(AD292,"0"),TEXT(AD292,"0.00")),"[PRICE PER PLAYER]")&amp;" a player and we handle the pitch booking, sign-ups and payments, so all it takes is one person sharing a link with the team."&amp;CHAR(10)&amp;CHAR(10)&amp;"It works well as a team social or "&amp;IF(ISNUMBER(SEARCH(LEFT(F292,1),"AEIOU")),"an ","a ")&amp;F292&amp;"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LINK]")&amp;CHAR(10)&amp;CHAR(10)&amp;"Best,"&amp;CHAR(10)&amp;IF(AL292&lt;&gt;"",AL292,IF(Offer!$C$5&lt;&gt;"",Offer!$C$5,"[NAME]"))&amp;CHAR(10)&amp;"FC Urban"</f>
        <v/>
      </c>
      <c r="AH292" s="14">
        <f>IF(LEN("Hi"&amp;IF(O292&lt;&gt;""," "&amp;O292,"")&amp;","&amp;" FC Urban runs after-work football for "&amp;IF(D292="Canary Wharf","Canary Wharf","City")&amp;" teams. We have a "&amp;AC292&amp;" pitch at "&amp;X292&amp;", "&amp;Y292&amp;" min from your office, "&amp;IF(ISNUMBER(AB292),TEXT(AB292,"ddd d mmm")&amp;", "&amp;TEXT(AB292,"hh:mm"),"weekday evenings")&amp;", "&amp;IF(AD292&lt;&gt;"","£"&amp;IF(AD292=INT(AD292),TEXT(AD292,"0"),TEXT(AD292,"0.00")),"[PRICE PER PLAYER]")&amp;" a player. We handle booking, sign-ups and payments. Fancy "&amp;IF(ISNUMBER(SEARCH(LEFT(F292,1),"AEIOU")),"an ","a ")&amp;F292&amp;" team game? "&amp;IF(AL292&lt;&gt;"",AL292,IF(Offer!$C$5&lt;&gt;"",Offer!$C$5,"[NAME]")))&lt;=300,"Hi"&amp;IF(O292&lt;&gt;""," "&amp;O292,"")&amp;","&amp;" FC Urban runs after-work football for "&amp;IF(D292="Canary Wharf","Canary Wharf","City")&amp;" teams. We have a "&amp;AC292&amp;" pitch at "&amp;X292&amp;", "&amp;Y292&amp;" min from your office, "&amp;IF(ISNUMBER(AB292),TEXT(AB292,"ddd d mmm")&amp;", "&amp;TEXT(AB292,"hh:mm"),"weekday evenings")&amp;", "&amp;IF(AD292&lt;&gt;"","£"&amp;IF(AD292=INT(AD292),TEXT(AD292,"0"),TEXT(AD292,"0.00")),"[PRICE PER PLAYER]")&amp;" a player. We handle booking, sign-ups and payments. Fancy "&amp;IF(ISNUMBER(SEARCH(LEFT(F292,1),"AEIOU")),"an ","a ")&amp;F292&amp;" team game? "&amp;IF(AL292&lt;&gt;"",AL292,IF(Offer!$C$5&lt;&gt;"",Offer!$C$5,"[NAME]")),LEFT("Hi"&amp;IF(O292&lt;&gt;""," "&amp;O292,"")&amp;","&amp;" FC Urban runs after-work football for "&amp;IF(D292="Canary Wharf","Canary Wharf","City")&amp;" teams: "&amp;AC292&amp;" at "&amp;X292&amp;", "&amp;Y292&amp;" min from your office, "&amp;IF(ISNUMBER(AB292),TEXT(AB292,"ddd d mmm")&amp;", "&amp;TEXT(AB292,"hh:mm"),"weekday evenings")&amp;", "&amp;IF(AD292&lt;&gt;"","£"&amp;IF(AD292=INT(AD292),TEXT(AD292,"0"),TEXT(AD292,"0.00")),"[PRICE PER PLAYER]")&amp;" pp. We handle booking and payments. Up for a team game? "&amp;IF(AL292&lt;&gt;"",AL292,IF(Offer!$C$5&lt;&gt;"",Offer!$C$5,"[NAME]")),300))</f>
        <v/>
      </c>
      <c r="AI292" s="14">
        <f>LEN(AH292)</f>
        <v/>
      </c>
      <c r="AJ292" s="14">
        <f>"Thanks for connecting"&amp;IF(O292&lt;&gt;"",", "&amp;O292,"")&amp;". "&amp;IF(ISNUMBER(AB292),"The "&amp;AC292&amp;" slot at "&amp;X292&amp;" is "&amp;IF(ISNUMBER(AB292),TEXT(AB292,"ddd d mmm")&amp;", "&amp;TEXT(AB292,"hh:mm"),"weekday evenings"),"We can book "&amp;AC292&amp;" at "&amp;X292&amp;" on a weekday evening that suits you")&amp;" and it's "&amp;IF(AD292&lt;&gt;"","£"&amp;IF(AD292=INT(AD292),TEXT(AD292,"0"),TEXT(AD292,"0.00")),"[PRICE PER PLAYER]")&amp;" a player, all booked and paid through one link. If football isn't your thing, who at "&amp;F292&amp;" would be the right person to organise a team game?"&amp;IF(Offer!$C$7&lt;&gt;""," Spots are held until "&amp;TEXT(Offer!$C$7,"dddd d mmmm")&amp;".","")&amp;" "&amp;IF(Offer!$C$6&lt;&gt;"",Offer!$C$6,"[JOINING LINK]")</f>
        <v/>
      </c>
      <c r="AK292" s="14">
        <f>IF(OR(ISNUMBER(SEARCH("[",AG292)),ISNUMBER(SEARCH("[",AJ292))),"Fill placeholders",IF(ISNUMBER(AB292),"Ready to send","Ready · no fixed slot"))</f>
        <v/>
      </c>
      <c r="AN292" s="17" t="n"/>
    </row>
    <row r="293">
      <c r="A293" s="11" t="n">
        <v>291</v>
      </c>
      <c r="B293" s="11" t="n">
        <v>3</v>
      </c>
      <c r="C293" s="11" t="inlineStr">
        <is>
          <t>Fund / asset manager</t>
        </is>
      </c>
      <c r="D293" s="11" t="inlineStr">
        <is>
          <t>City of London</t>
        </is>
      </c>
      <c r="E293" s="11" t="inlineStr">
        <is>
          <t>TF Global Markets (UK) Limited</t>
        </is>
      </c>
      <c r="F293" s="11" t="inlineStr">
        <is>
          <t>TF Global Markets</t>
        </is>
      </c>
      <c r="G293" s="11" t="inlineStr">
        <is>
          <t>09042646</t>
        </is>
      </c>
      <c r="H293" s="12" t="inlineStr">
        <is>
          <t>Open</t>
        </is>
      </c>
      <c r="I293" s="12" t="inlineStr">
        <is>
          <t>Search</t>
        </is>
      </c>
      <c r="J293" s="11" t="inlineStr">
        <is>
          <t>Full</t>
        </is>
      </c>
      <c r="K293" s="13" t="n">
        <v>41774</v>
      </c>
      <c r="L293" s="11" t="inlineStr">
        <is>
          <t>35 New Broad Street, Unit G07 C/O Think Capital Services Uk Ltd, London</t>
        </is>
      </c>
      <c r="M293" s="11" t="inlineStr">
        <is>
          <t>EC2M 1NH</t>
        </is>
      </c>
      <c r="N293" s="11" t="inlineStr">
        <is>
          <t>No</t>
        </is>
      </c>
      <c r="U293" s="11" t="inlineStr">
        <is>
          <t>Liverpool St - Attlee Centre</t>
        </is>
      </c>
      <c r="V293" s="11" t="n">
        <v>12</v>
      </c>
      <c r="W293" s="11" t="inlineStr">
        <is>
          <t>Shoreditch Powerleague (14.6)</t>
        </is>
      </c>
      <c r="X293" s="11" t="inlineStr">
        <is>
          <t>Shoreditch Powerleague</t>
        </is>
      </c>
      <c r="Y293" s="11" t="n">
        <v>15</v>
      </c>
      <c r="Z293" s="14">
        <f>IFERROR(INDEX(Venues!$E$2:$E$15,MATCH(X293,Venues!$A$2:$A$15,0)),"Not checked")</f>
        <v/>
      </c>
      <c r="AA293" s="14">
        <f>IFERROR(INDEX(Venues!$F$2:$F$15,MATCH(X293,Venues!$A$2:$A$15,0)),0)</f>
        <v/>
      </c>
      <c r="AB293" s="15">
        <f>IFERROR(INDEX(Venues!$M$2:$M$15,MATCH(X293,Venues!$A$2:$A$15,0)),"")</f>
        <v/>
      </c>
      <c r="AC293" s="14">
        <f>IFERROR(INDEX(Venues!$N$2:$N$15,MATCH(X293,Venues!$A$2:$A$15,0)),"5-a-side")</f>
        <v/>
      </c>
      <c r="AD293" s="16">
        <f>IF(Offer!$C$4="","",Offer!$C$4)</f>
        <v/>
      </c>
      <c r="AE293" s="14">
        <f>X293&amp;" ("&amp;Y293&amp;" min walk) · "&amp;IF(ISNUMBER(AB293),TEXT(AB293,"ddd d mmm, hh:mm"),"slot to confirm with venue")&amp;" · "&amp;AC293&amp;" · "&amp;IF(AD293&lt;&gt;"","£"&amp;TEXT(AD293,"0.00")&amp;" pp","price TBC")</f>
        <v/>
      </c>
      <c r="AF293" s="14">
        <f>"After-work football for "&amp;F293&amp;" · "&amp;X293&amp;", "&amp;Y293&amp;" min from your office"</f>
        <v/>
      </c>
      <c r="AG293" s="14">
        <f>"Hi"&amp;IF(O293&lt;&gt;""," "&amp;O293,"")&amp;","&amp;CHAR(10)&amp;CHAR(10)&amp;"I'm "&amp;IF(AL293&lt;&gt;"",AL293,IF(Offer!$C$5&lt;&gt;"",Offer!$C$5,"[NAME]"))&amp;" from FC Urban. We organise after-work football for teams in the City and Canary Wharf."&amp;CHAR(10)&amp;CHAR(10)&amp;"We have a "&amp;AC293&amp;" pitch at "&amp;X293&amp;", "&amp;IF(OR(Y293=8,Y293=11,Y293=18),"an ","a ")&amp;Y293&amp;"-minute walk from your "&amp;M293&amp;" office, "&amp;IF(ISNUMBER(AB293),"on "&amp;TEXT(AB293,"dddd d mmmm")&amp;" at "&amp;TEXT(AB293,"hh:mm"),"on a weekday evening that suits your team")&amp;". It's "&amp;IF(AD293&lt;&gt;"","£"&amp;IF(AD293=INT(AD293),TEXT(AD293,"0"),TEXT(AD293,"0.00")),"[PRICE PER PLAYER]")&amp;" a player and we handle the pitch booking, sign-ups and payments, so all it takes is one person sharing a link with the team."&amp;CHAR(10)&amp;CHAR(10)&amp;"It works well as a team social or "&amp;IF(ISNUMBER(SEARCH(LEFT(F293,1),"AEIOU")),"an ","a ")&amp;F293&amp;"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LINK]")&amp;CHAR(10)&amp;CHAR(10)&amp;"Best,"&amp;CHAR(10)&amp;IF(AL293&lt;&gt;"",AL293,IF(Offer!$C$5&lt;&gt;"",Offer!$C$5,"[NAME]"))&amp;CHAR(10)&amp;"FC Urban"</f>
        <v/>
      </c>
      <c r="AH293" s="14">
        <f>IF(LEN("Hi"&amp;IF(O293&lt;&gt;""," "&amp;O293,"")&amp;","&amp;" FC Urban runs after-work football for "&amp;IF(D293="Canary Wharf","Canary Wharf","City")&amp;" teams. We have a "&amp;AC293&amp;" pitch at "&amp;X293&amp;", "&amp;Y293&amp;" min from your office, "&amp;IF(ISNUMBER(AB293),TEXT(AB293,"ddd d mmm")&amp;", "&amp;TEXT(AB293,"hh:mm"),"weekday evenings")&amp;", "&amp;IF(AD293&lt;&gt;"","£"&amp;IF(AD293=INT(AD293),TEXT(AD293,"0"),TEXT(AD293,"0.00")),"[PRICE PER PLAYER]")&amp;" a player. We handle booking, sign-ups and payments. Fancy "&amp;IF(ISNUMBER(SEARCH(LEFT(F293,1),"AEIOU")),"an ","a ")&amp;F293&amp;" team game? "&amp;IF(AL293&lt;&gt;"",AL293,IF(Offer!$C$5&lt;&gt;"",Offer!$C$5,"[NAME]")))&lt;=300,"Hi"&amp;IF(O293&lt;&gt;""," "&amp;O293,"")&amp;","&amp;" FC Urban runs after-work football for "&amp;IF(D293="Canary Wharf","Canary Wharf","City")&amp;" teams. We have a "&amp;AC293&amp;" pitch at "&amp;X293&amp;", "&amp;Y293&amp;" min from your office, "&amp;IF(ISNUMBER(AB293),TEXT(AB293,"ddd d mmm")&amp;", "&amp;TEXT(AB293,"hh:mm"),"weekday evenings")&amp;", "&amp;IF(AD293&lt;&gt;"","£"&amp;IF(AD293=INT(AD293),TEXT(AD293,"0"),TEXT(AD293,"0.00")),"[PRICE PER PLAYER]")&amp;" a player. We handle booking, sign-ups and payments. Fancy "&amp;IF(ISNUMBER(SEARCH(LEFT(F293,1),"AEIOU")),"an ","a ")&amp;F293&amp;" team game? "&amp;IF(AL293&lt;&gt;"",AL293,IF(Offer!$C$5&lt;&gt;"",Offer!$C$5,"[NAME]")),LEFT("Hi"&amp;IF(O293&lt;&gt;""," "&amp;O293,"")&amp;","&amp;" FC Urban runs after-work football for "&amp;IF(D293="Canary Wharf","Canary Wharf","City")&amp;" teams: "&amp;AC293&amp;" at "&amp;X293&amp;", "&amp;Y293&amp;" min from your office, "&amp;IF(ISNUMBER(AB293),TEXT(AB293,"ddd d mmm")&amp;", "&amp;TEXT(AB293,"hh:mm"),"weekday evenings")&amp;", "&amp;IF(AD293&lt;&gt;"","£"&amp;IF(AD293=INT(AD293),TEXT(AD293,"0"),TEXT(AD293,"0.00")),"[PRICE PER PLAYER]")&amp;" pp. We handle booking and payments. Up for a team game? "&amp;IF(AL293&lt;&gt;"",AL293,IF(Offer!$C$5&lt;&gt;"",Offer!$C$5,"[NAME]")),300))</f>
        <v/>
      </c>
      <c r="AI293" s="14">
        <f>LEN(AH293)</f>
        <v/>
      </c>
      <c r="AJ293" s="14">
        <f>"Thanks for connecting"&amp;IF(O293&lt;&gt;"",", "&amp;O293,"")&amp;". "&amp;IF(ISNUMBER(AB293),"The "&amp;AC293&amp;" slot at "&amp;X293&amp;" is "&amp;IF(ISNUMBER(AB293),TEXT(AB293,"ddd d mmm")&amp;", "&amp;TEXT(AB293,"hh:mm"),"weekday evenings"),"We can book "&amp;AC293&amp;" at "&amp;X293&amp;" on a weekday evening that suits you")&amp;" and it's "&amp;IF(AD293&lt;&gt;"","£"&amp;IF(AD293=INT(AD293),TEXT(AD293,"0"),TEXT(AD293,"0.00")),"[PRICE PER PLAYER]")&amp;" a player, all booked and paid through one link. If football isn't your thing, who at "&amp;F293&amp;" would be the right person to organise a team game?"&amp;IF(Offer!$C$7&lt;&gt;""," Spots are held until "&amp;TEXT(Offer!$C$7,"dddd d mmmm")&amp;".","")&amp;" "&amp;IF(Offer!$C$6&lt;&gt;"",Offer!$C$6,"[JOINING LINK]")</f>
        <v/>
      </c>
      <c r="AK293" s="14">
        <f>IF(OR(ISNUMBER(SEARCH("[",AG293)),ISNUMBER(SEARCH("[",AJ293))),"Fill placeholders",IF(ISNUMBER(AB293),"Ready to send","Ready · no fixed slot"))</f>
        <v/>
      </c>
      <c r="AN293" s="17" t="n"/>
    </row>
    <row r="294">
      <c r="A294" s="11" t="n">
        <v>292</v>
      </c>
      <c r="B294" s="11" t="n">
        <v>3</v>
      </c>
      <c r="C294" s="11" t="inlineStr">
        <is>
          <t>Fund / asset manager</t>
        </is>
      </c>
      <c r="D294" s="11" t="inlineStr">
        <is>
          <t>City of London</t>
        </is>
      </c>
      <c r="E294" s="11" t="inlineStr">
        <is>
          <t>Balanz Capital UK LLP</t>
        </is>
      </c>
      <c r="F294" s="11" t="inlineStr">
        <is>
          <t>Balanz Capital</t>
        </is>
      </c>
      <c r="G294" s="11" t="inlineStr">
        <is>
          <t>OC420535</t>
        </is>
      </c>
      <c r="H294" s="12" t="inlineStr">
        <is>
          <t>Open</t>
        </is>
      </c>
      <c r="I294" s="12" t="inlineStr">
        <is>
          <t>Search</t>
        </is>
      </c>
      <c r="J294" s="11" t="inlineStr">
        <is>
          <t>Full</t>
        </is>
      </c>
      <c r="K294" s="13" t="n">
        <v>43105</v>
      </c>
      <c r="L294" s="11" t="inlineStr">
        <is>
          <t>23Rd Floor, One Leadenhall Street, London</t>
        </is>
      </c>
      <c r="M294" s="11" t="inlineStr">
        <is>
          <t>EC3V 1AB</t>
        </is>
      </c>
      <c r="N294" s="11" t="inlineStr">
        <is>
          <t>No</t>
        </is>
      </c>
      <c r="U294" s="11" t="inlineStr">
        <is>
          <t>Liverpool St - Attlee Centre</t>
        </is>
      </c>
      <c r="V294" s="11" t="n">
        <v>15</v>
      </c>
      <c r="W294" s="11" t="n"/>
      <c r="X294" s="11" t="inlineStr">
        <is>
          <t>Liverpool St - Attlee Centre</t>
        </is>
      </c>
      <c r="Y294" s="11" t="n">
        <v>15</v>
      </c>
      <c r="Z294" s="14">
        <f>IFERROR(INDEX(Venues!$E$2:$E$15,MATCH(X294,Venues!$A$2:$A$15,0)),"Not checked")</f>
        <v/>
      </c>
      <c r="AA294" s="14">
        <f>IFERROR(INDEX(Venues!$F$2:$F$15,MATCH(X294,Venues!$A$2:$A$15,0)),0)</f>
        <v/>
      </c>
      <c r="AB294" s="15">
        <f>IFERROR(INDEX(Venues!$M$2:$M$15,MATCH(X294,Venues!$A$2:$A$15,0)),"")</f>
        <v/>
      </c>
      <c r="AC294" s="14">
        <f>IFERROR(INDEX(Venues!$N$2:$N$15,MATCH(X294,Venues!$A$2:$A$15,0)),"5-a-side")</f>
        <v/>
      </c>
      <c r="AD294" s="16">
        <f>IF(Offer!$C$4="","",Offer!$C$4)</f>
        <v/>
      </c>
      <c r="AE294" s="14">
        <f>X294&amp;" ("&amp;Y294&amp;" min walk) · "&amp;IF(ISNUMBER(AB294),TEXT(AB294,"ddd d mmm, hh:mm"),"slot to confirm with venue")&amp;" · "&amp;AC294&amp;" · "&amp;IF(AD294&lt;&gt;"","£"&amp;TEXT(AD294,"0.00")&amp;" pp","price TBC")</f>
        <v/>
      </c>
      <c r="AF294" s="14">
        <f>"After-work football for "&amp;F294&amp;" · "&amp;X294&amp;", "&amp;Y294&amp;" min from your office"</f>
        <v/>
      </c>
      <c r="AG294" s="14">
        <f>"Hi"&amp;IF(O294&lt;&gt;""," "&amp;O294,"")&amp;","&amp;CHAR(10)&amp;CHAR(10)&amp;"I'm "&amp;IF(AL294&lt;&gt;"",AL294,IF(Offer!$C$5&lt;&gt;"",Offer!$C$5,"[NAME]"))&amp;" from FC Urban. We organise after-work football for teams in the City and Canary Wharf."&amp;CHAR(10)&amp;CHAR(10)&amp;"We have a "&amp;AC294&amp;" pitch at "&amp;X294&amp;", "&amp;IF(OR(Y294=8,Y294=11,Y294=18),"an ","a ")&amp;Y294&amp;"-minute walk from your "&amp;M294&amp;" office, "&amp;IF(ISNUMBER(AB294),"on "&amp;TEXT(AB294,"dddd d mmmm")&amp;" at "&amp;TEXT(AB294,"hh:mm"),"on a weekday evening that suits your team")&amp;". It's "&amp;IF(AD294&lt;&gt;"","£"&amp;IF(AD294=INT(AD294),TEXT(AD294,"0"),TEXT(AD294,"0.00")),"[PRICE PER PLAYER]")&amp;" a player and we handle the pitch booking, sign-ups and payments, so all it takes is one person sharing a link with the team."&amp;CHAR(10)&amp;CHAR(10)&amp;"It works well as a team social or "&amp;IF(ISNUMBER(SEARCH(LEFT(F294,1),"AEIOU")),"an ","a ")&amp;F294&amp;"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LINK]")&amp;CHAR(10)&amp;CHAR(10)&amp;"Best,"&amp;CHAR(10)&amp;IF(AL294&lt;&gt;"",AL294,IF(Offer!$C$5&lt;&gt;"",Offer!$C$5,"[NAME]"))&amp;CHAR(10)&amp;"FC Urban"</f>
        <v/>
      </c>
      <c r="AH294" s="14">
        <f>IF(LEN("Hi"&amp;IF(O294&lt;&gt;""," "&amp;O294,"")&amp;","&amp;" FC Urban runs after-work football for "&amp;IF(D294="Canary Wharf","Canary Wharf","City")&amp;" teams. We have a "&amp;AC294&amp;" pitch at "&amp;X294&amp;", "&amp;Y294&amp;" min from your office, "&amp;IF(ISNUMBER(AB294),TEXT(AB294,"ddd d mmm")&amp;", "&amp;TEXT(AB294,"hh:mm"),"weekday evenings")&amp;", "&amp;IF(AD294&lt;&gt;"","£"&amp;IF(AD294=INT(AD294),TEXT(AD294,"0"),TEXT(AD294,"0.00")),"[PRICE PER PLAYER]")&amp;" a player. We handle booking, sign-ups and payments. Fancy "&amp;IF(ISNUMBER(SEARCH(LEFT(F294,1),"AEIOU")),"an ","a ")&amp;F294&amp;" team game? "&amp;IF(AL294&lt;&gt;"",AL294,IF(Offer!$C$5&lt;&gt;"",Offer!$C$5,"[NAME]")))&lt;=300,"Hi"&amp;IF(O294&lt;&gt;""," "&amp;O294,"")&amp;","&amp;" FC Urban runs after-work football for "&amp;IF(D294="Canary Wharf","Canary Wharf","City")&amp;" teams. We have a "&amp;AC294&amp;" pitch at "&amp;X294&amp;", "&amp;Y294&amp;" min from your office, "&amp;IF(ISNUMBER(AB294),TEXT(AB294,"ddd d mmm")&amp;", "&amp;TEXT(AB294,"hh:mm"),"weekday evenings")&amp;", "&amp;IF(AD294&lt;&gt;"","£"&amp;IF(AD294=INT(AD294),TEXT(AD294,"0"),TEXT(AD294,"0.00")),"[PRICE PER PLAYER]")&amp;" a player. We handle booking, sign-ups and payments. Fancy "&amp;IF(ISNUMBER(SEARCH(LEFT(F294,1),"AEIOU")),"an ","a ")&amp;F294&amp;" team game? "&amp;IF(AL294&lt;&gt;"",AL294,IF(Offer!$C$5&lt;&gt;"",Offer!$C$5,"[NAME]")),LEFT("Hi"&amp;IF(O294&lt;&gt;""," "&amp;O294,"")&amp;","&amp;" FC Urban runs after-work football for "&amp;IF(D294="Canary Wharf","Canary Wharf","City")&amp;" teams: "&amp;AC294&amp;" at "&amp;X294&amp;", "&amp;Y294&amp;" min from your office, "&amp;IF(ISNUMBER(AB294),TEXT(AB294,"ddd d mmm")&amp;", "&amp;TEXT(AB294,"hh:mm"),"weekday evenings")&amp;", "&amp;IF(AD294&lt;&gt;"","£"&amp;IF(AD294=INT(AD294),TEXT(AD294,"0"),TEXT(AD294,"0.00")),"[PRICE PER PLAYER]")&amp;" pp. We handle booking and payments. Up for a team game? "&amp;IF(AL294&lt;&gt;"",AL294,IF(Offer!$C$5&lt;&gt;"",Offer!$C$5,"[NAME]")),300))</f>
        <v/>
      </c>
      <c r="AI294" s="14">
        <f>LEN(AH294)</f>
        <v/>
      </c>
      <c r="AJ294" s="14">
        <f>"Thanks for connecting"&amp;IF(O294&lt;&gt;"",", "&amp;O294,"")&amp;". "&amp;IF(ISNUMBER(AB294),"The "&amp;AC294&amp;" slot at "&amp;X294&amp;" is "&amp;IF(ISNUMBER(AB294),TEXT(AB294,"ddd d mmm")&amp;", "&amp;TEXT(AB294,"hh:mm"),"weekday evenings"),"We can book "&amp;AC294&amp;" at "&amp;X294&amp;" on a weekday evening that suits you")&amp;" and it's "&amp;IF(AD294&lt;&gt;"","£"&amp;IF(AD294=INT(AD294),TEXT(AD294,"0"),TEXT(AD294,"0.00")),"[PRICE PER PLAYER]")&amp;" a player, all booked and paid through one link. If football isn't your thing, who at "&amp;F294&amp;" would be the right person to organise a team game?"&amp;IF(Offer!$C$7&lt;&gt;""," Spots are held until "&amp;TEXT(Offer!$C$7,"dddd d mmmm")&amp;".","")&amp;" "&amp;IF(Offer!$C$6&lt;&gt;"",Offer!$C$6,"[JOINING LINK]")</f>
        <v/>
      </c>
      <c r="AK294" s="14">
        <f>IF(OR(ISNUMBER(SEARCH("[",AG294)),ISNUMBER(SEARCH("[",AJ294))),"Fill placeholders",IF(ISNUMBER(AB294),"Ready to send","Ready · no fixed slot"))</f>
        <v/>
      </c>
      <c r="AN294" s="17" t="n"/>
    </row>
    <row r="295">
      <c r="A295" s="11" t="n">
        <v>293</v>
      </c>
      <c r="B295" s="11" t="n">
        <v>3</v>
      </c>
      <c r="C295" s="11" t="inlineStr">
        <is>
          <t>Insurance / broker</t>
        </is>
      </c>
      <c r="D295" s="11" t="inlineStr">
        <is>
          <t>City of London</t>
        </is>
      </c>
      <c r="E295" s="11" t="inlineStr">
        <is>
          <t>Hsf Health Plan Limited</t>
        </is>
      </c>
      <c r="F295" s="11" t="inlineStr">
        <is>
          <t>Hsf Health Plan</t>
        </is>
      </c>
      <c r="G295" s="11" t="inlineStr">
        <is>
          <t>00030869</t>
        </is>
      </c>
      <c r="H295" s="12" t="inlineStr">
        <is>
          <t>Open</t>
        </is>
      </c>
      <c r="I295" s="12" t="inlineStr">
        <is>
          <t>Search</t>
        </is>
      </c>
      <c r="J295" s="11" t="inlineStr">
        <is>
          <t>Full</t>
        </is>
      </c>
      <c r="K295" s="13" t="n">
        <v>-3601</v>
      </c>
      <c r="L295" s="11" t="inlineStr">
        <is>
          <t>24 Upper Ground, London</t>
        </is>
      </c>
      <c r="M295" s="11" t="inlineStr">
        <is>
          <t>SE1 9PD</t>
        </is>
      </c>
      <c r="N295" s="11" t="inlineStr">
        <is>
          <t>No</t>
        </is>
      </c>
      <c r="U295" s="11" t="inlineStr">
        <is>
          <t>Borough Academy</t>
        </is>
      </c>
      <c r="V295" s="11" t="n">
        <v>15</v>
      </c>
      <c r="W295" s="11" t="n"/>
      <c r="X295" s="11" t="inlineStr">
        <is>
          <t>Borough Academy</t>
        </is>
      </c>
      <c r="Y295" s="11" t="n">
        <v>15</v>
      </c>
      <c r="Z295" s="14">
        <f>IFERROR(INDEX(Venues!$E$2:$E$15,MATCH(X295,Venues!$A$2:$A$15,0)),"Not checked")</f>
        <v/>
      </c>
      <c r="AA295" s="14">
        <f>IFERROR(INDEX(Venues!$F$2:$F$15,MATCH(X295,Venues!$A$2:$A$15,0)),0)</f>
        <v/>
      </c>
      <c r="AB295" s="15">
        <f>IFERROR(INDEX(Venues!$M$2:$M$15,MATCH(X295,Venues!$A$2:$A$15,0)),"")</f>
        <v/>
      </c>
      <c r="AC295" s="14">
        <f>IFERROR(INDEX(Venues!$N$2:$N$15,MATCH(X295,Venues!$A$2:$A$15,0)),"5-a-side")</f>
        <v/>
      </c>
      <c r="AD295" s="16">
        <f>IF(Offer!$C$4="","",Offer!$C$4)</f>
        <v/>
      </c>
      <c r="AE295" s="14">
        <f>X295&amp;" ("&amp;Y295&amp;" min walk) · "&amp;IF(ISNUMBER(AB295),TEXT(AB295,"ddd d mmm, hh:mm"),"slot to confirm with venue")&amp;" · "&amp;AC295&amp;" · "&amp;IF(AD295&lt;&gt;"","£"&amp;TEXT(AD295,"0.00")&amp;" pp","price TBC")</f>
        <v/>
      </c>
      <c r="AF295" s="14">
        <f>"After-work football for "&amp;F295&amp;" · "&amp;X295&amp;", "&amp;Y295&amp;" min from your office"</f>
        <v/>
      </c>
      <c r="AG295" s="14">
        <f>"Hi"&amp;IF(O295&lt;&gt;""," "&amp;O295,"")&amp;","&amp;CHAR(10)&amp;CHAR(10)&amp;"I'm "&amp;IF(AL295&lt;&gt;"",AL295,IF(Offer!$C$5&lt;&gt;"",Offer!$C$5,"[NAME]"))&amp;" from FC Urban. We organise after-work football for teams in the City and Canary Wharf."&amp;CHAR(10)&amp;CHAR(10)&amp;"We have a "&amp;AC295&amp;" pitch at "&amp;X295&amp;", "&amp;IF(OR(Y295=8,Y295=11,Y295=18),"an ","a ")&amp;Y295&amp;"-minute walk from your "&amp;M295&amp;" office, "&amp;IF(ISNUMBER(AB295),"on "&amp;TEXT(AB295,"dddd d mmmm")&amp;" at "&amp;TEXT(AB295,"hh:mm"),"on a weekday evening that suits your team")&amp;". It's "&amp;IF(AD295&lt;&gt;"","£"&amp;IF(AD295=INT(AD295),TEXT(AD295,"0"),TEXT(AD295,"0.00")),"[PRICE PER PLAYER]")&amp;" a player and we handle the pitch booking, sign-ups and payments, so all it takes is one person sharing a link with the team."&amp;CHAR(10)&amp;CHAR(10)&amp;"It works well as a team social or "&amp;IF(ISNUMBER(SEARCH(LEFT(F295,1),"AEIOU")),"an ","a ")&amp;F295&amp;"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LINK]")&amp;CHAR(10)&amp;CHAR(10)&amp;"Best,"&amp;CHAR(10)&amp;IF(AL295&lt;&gt;"",AL295,IF(Offer!$C$5&lt;&gt;"",Offer!$C$5,"[NAME]"))&amp;CHAR(10)&amp;"FC Urban"</f>
        <v/>
      </c>
      <c r="AH295" s="14">
        <f>IF(LEN("Hi"&amp;IF(O295&lt;&gt;""," "&amp;O295,"")&amp;","&amp;" FC Urban runs after-work football for "&amp;IF(D295="Canary Wharf","Canary Wharf","City")&amp;" teams. We have a "&amp;AC295&amp;" pitch at "&amp;X295&amp;", "&amp;Y295&amp;" min from your office, "&amp;IF(ISNUMBER(AB295),TEXT(AB295,"ddd d mmm")&amp;", "&amp;TEXT(AB295,"hh:mm"),"weekday evenings")&amp;", "&amp;IF(AD295&lt;&gt;"","£"&amp;IF(AD295=INT(AD295),TEXT(AD295,"0"),TEXT(AD295,"0.00")),"[PRICE PER PLAYER]")&amp;" a player. We handle booking, sign-ups and payments. Fancy "&amp;IF(ISNUMBER(SEARCH(LEFT(F295,1),"AEIOU")),"an ","a ")&amp;F295&amp;" team game? "&amp;IF(AL295&lt;&gt;"",AL295,IF(Offer!$C$5&lt;&gt;"",Offer!$C$5,"[NAME]")))&lt;=300,"Hi"&amp;IF(O295&lt;&gt;""," "&amp;O295,"")&amp;","&amp;" FC Urban runs after-work football for "&amp;IF(D295="Canary Wharf","Canary Wharf","City")&amp;" teams. We have a "&amp;AC295&amp;" pitch at "&amp;X295&amp;", "&amp;Y295&amp;" min from your office, "&amp;IF(ISNUMBER(AB295),TEXT(AB295,"ddd d mmm")&amp;", "&amp;TEXT(AB295,"hh:mm"),"weekday evenings")&amp;", "&amp;IF(AD295&lt;&gt;"","£"&amp;IF(AD295=INT(AD295),TEXT(AD295,"0"),TEXT(AD295,"0.00")),"[PRICE PER PLAYER]")&amp;" a player. We handle booking, sign-ups and payments. Fancy "&amp;IF(ISNUMBER(SEARCH(LEFT(F295,1),"AEIOU")),"an ","a ")&amp;F295&amp;" team game? "&amp;IF(AL295&lt;&gt;"",AL295,IF(Offer!$C$5&lt;&gt;"",Offer!$C$5,"[NAME]")),LEFT("Hi"&amp;IF(O295&lt;&gt;""," "&amp;O295,"")&amp;","&amp;" FC Urban runs after-work football for "&amp;IF(D295="Canary Wharf","Canary Wharf","City")&amp;" teams: "&amp;AC295&amp;" at "&amp;X295&amp;", "&amp;Y295&amp;" min from your office, "&amp;IF(ISNUMBER(AB295),TEXT(AB295,"ddd d mmm")&amp;", "&amp;TEXT(AB295,"hh:mm"),"weekday evenings")&amp;", "&amp;IF(AD295&lt;&gt;"","£"&amp;IF(AD295=INT(AD295),TEXT(AD295,"0"),TEXT(AD295,"0.00")),"[PRICE PER PLAYER]")&amp;" pp. We handle booking and payments. Up for a team game? "&amp;IF(AL295&lt;&gt;"",AL295,IF(Offer!$C$5&lt;&gt;"",Offer!$C$5,"[NAME]")),300))</f>
        <v/>
      </c>
      <c r="AI295" s="14">
        <f>LEN(AH295)</f>
        <v/>
      </c>
      <c r="AJ295" s="14">
        <f>"Thanks for connecting"&amp;IF(O295&lt;&gt;"",", "&amp;O295,"")&amp;". "&amp;IF(ISNUMBER(AB295),"The "&amp;AC295&amp;" slot at "&amp;X295&amp;" is "&amp;IF(ISNUMBER(AB295),TEXT(AB295,"ddd d mmm")&amp;", "&amp;TEXT(AB295,"hh:mm"),"weekday evenings"),"We can book "&amp;AC295&amp;" at "&amp;X295&amp;" on a weekday evening that suits you")&amp;" and it's "&amp;IF(AD295&lt;&gt;"","£"&amp;IF(AD295=INT(AD295),TEXT(AD295,"0"),TEXT(AD295,"0.00")),"[PRICE PER PLAYER]")&amp;" a player, all booked and paid through one link. If football isn't your thing, who at "&amp;F295&amp;" would be the right person to organise a team game?"&amp;IF(Offer!$C$7&lt;&gt;""," Spots are held until "&amp;TEXT(Offer!$C$7,"dddd d mmmm")&amp;".","")&amp;" "&amp;IF(Offer!$C$6&lt;&gt;"",Offer!$C$6,"[JOINING LINK]")</f>
        <v/>
      </c>
      <c r="AK295" s="14">
        <f>IF(OR(ISNUMBER(SEARCH("[",AG295)),ISNUMBER(SEARCH("[",AJ295))),"Fill placeholders",IF(ISNUMBER(AB295),"Ready to send","Ready · no fixed slot"))</f>
        <v/>
      </c>
      <c r="AN295" s="17" t="n"/>
    </row>
    <row r="296">
      <c r="A296" s="11" t="n">
        <v>294</v>
      </c>
      <c r="B296" s="11" t="n">
        <v>3</v>
      </c>
      <c r="C296" s="11" t="inlineStr">
        <is>
          <t>Insurance / broker</t>
        </is>
      </c>
      <c r="D296" s="11" t="inlineStr">
        <is>
          <t>City of London</t>
        </is>
      </c>
      <c r="E296" s="11" t="inlineStr">
        <is>
          <t>Ulyssere Limited</t>
        </is>
      </c>
      <c r="F296" s="11" t="inlineStr">
        <is>
          <t>Ulyssere</t>
        </is>
      </c>
      <c r="G296" s="11" t="inlineStr">
        <is>
          <t>03606440</t>
        </is>
      </c>
      <c r="H296" s="12" t="inlineStr">
        <is>
          <t>Open</t>
        </is>
      </c>
      <c r="I296" s="12" t="inlineStr">
        <is>
          <t>Search</t>
        </is>
      </c>
      <c r="J296" s="11" t="inlineStr">
        <is>
          <t>Full</t>
        </is>
      </c>
      <c r="K296" s="13" t="n">
        <v>36005</v>
      </c>
      <c r="L296" s="11" t="inlineStr">
        <is>
          <t>Office Suite 2.15, 34, Lime Street, London</t>
        </is>
      </c>
      <c r="M296" s="11" t="inlineStr">
        <is>
          <t>EC3M 7AT</t>
        </is>
      </c>
      <c r="N296" s="11" t="inlineStr">
        <is>
          <t>Yes</t>
        </is>
      </c>
      <c r="U296" s="11" t="inlineStr">
        <is>
          <t>Liverpool St - Attlee Centre</t>
        </is>
      </c>
      <c r="V296" s="11" t="n">
        <v>15</v>
      </c>
      <c r="W296" s="11" t="n"/>
      <c r="X296" s="11" t="inlineStr">
        <is>
          <t>Liverpool St - Attlee Centre</t>
        </is>
      </c>
      <c r="Y296" s="11" t="n">
        <v>15</v>
      </c>
      <c r="Z296" s="14">
        <f>IFERROR(INDEX(Venues!$E$2:$E$15,MATCH(X296,Venues!$A$2:$A$15,0)),"Not checked")</f>
        <v/>
      </c>
      <c r="AA296" s="14">
        <f>IFERROR(INDEX(Venues!$F$2:$F$15,MATCH(X296,Venues!$A$2:$A$15,0)),0)</f>
        <v/>
      </c>
      <c r="AB296" s="15">
        <f>IFERROR(INDEX(Venues!$M$2:$M$15,MATCH(X296,Venues!$A$2:$A$15,0)),"")</f>
        <v/>
      </c>
      <c r="AC296" s="14">
        <f>IFERROR(INDEX(Venues!$N$2:$N$15,MATCH(X296,Venues!$A$2:$A$15,0)),"5-a-side")</f>
        <v/>
      </c>
      <c r="AD296" s="16">
        <f>IF(Offer!$C$4="","",Offer!$C$4)</f>
        <v/>
      </c>
      <c r="AE296" s="14">
        <f>X296&amp;" ("&amp;Y296&amp;" min walk) · "&amp;IF(ISNUMBER(AB296),TEXT(AB296,"ddd d mmm, hh:mm"),"slot to confirm with venue")&amp;" · "&amp;AC296&amp;" · "&amp;IF(AD296&lt;&gt;"","£"&amp;TEXT(AD296,"0.00")&amp;" pp","price TBC")</f>
        <v/>
      </c>
      <c r="AF296" s="14">
        <f>"After-work football for "&amp;F296&amp;" · "&amp;X296&amp;", "&amp;Y296&amp;" min from your office"</f>
        <v/>
      </c>
      <c r="AG296" s="14">
        <f>"Hi"&amp;IF(O296&lt;&gt;""," "&amp;O296,"")&amp;","&amp;CHAR(10)&amp;CHAR(10)&amp;"I'm "&amp;IF(AL296&lt;&gt;"",AL296,IF(Offer!$C$5&lt;&gt;"",Offer!$C$5,"[NAME]"))&amp;" from FC Urban. We organise after-work football for teams in the City and Canary Wharf."&amp;CHAR(10)&amp;CHAR(10)&amp;"We have a "&amp;AC296&amp;" pitch at "&amp;X296&amp;", "&amp;IF(OR(Y296=8,Y296=11,Y296=18),"an ","a ")&amp;Y296&amp;"-minute walk from your "&amp;M296&amp;" office, "&amp;IF(ISNUMBER(AB296),"on "&amp;TEXT(AB296,"dddd d mmmm")&amp;" at "&amp;TEXT(AB296,"hh:mm"),"on a weekday evening that suits your team")&amp;". It's "&amp;IF(AD296&lt;&gt;"","£"&amp;IF(AD296=INT(AD296),TEXT(AD296,"0"),TEXT(AD296,"0.00")),"[PRICE PER PLAYER]")&amp;" a player and we handle the pitch booking, sign-ups and payments, so all it takes is one person sharing a link with the team."&amp;CHAR(10)&amp;CHAR(10)&amp;"It works well as a team social or "&amp;IF(ISNUMBER(SEARCH(LEFT(F296,1),"AEIOU")),"an ","a ")&amp;F296&amp;"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LINK]")&amp;CHAR(10)&amp;CHAR(10)&amp;"Best,"&amp;CHAR(10)&amp;IF(AL296&lt;&gt;"",AL296,IF(Offer!$C$5&lt;&gt;"",Offer!$C$5,"[NAME]"))&amp;CHAR(10)&amp;"FC Urban"</f>
        <v/>
      </c>
      <c r="AH296" s="14">
        <f>IF(LEN("Hi"&amp;IF(O296&lt;&gt;""," "&amp;O296,"")&amp;","&amp;" FC Urban runs after-work football for "&amp;IF(D296="Canary Wharf","Canary Wharf","City")&amp;" teams. We have a "&amp;AC296&amp;" pitch at "&amp;X296&amp;", "&amp;Y296&amp;" min from your office, "&amp;IF(ISNUMBER(AB296),TEXT(AB296,"ddd d mmm")&amp;", "&amp;TEXT(AB296,"hh:mm"),"weekday evenings")&amp;", "&amp;IF(AD296&lt;&gt;"","£"&amp;IF(AD296=INT(AD296),TEXT(AD296,"0"),TEXT(AD296,"0.00")),"[PRICE PER PLAYER]")&amp;" a player. We handle booking, sign-ups and payments. Fancy "&amp;IF(ISNUMBER(SEARCH(LEFT(F296,1),"AEIOU")),"an ","a ")&amp;F296&amp;" team game? "&amp;IF(AL296&lt;&gt;"",AL296,IF(Offer!$C$5&lt;&gt;"",Offer!$C$5,"[NAME]")))&lt;=300,"Hi"&amp;IF(O296&lt;&gt;""," "&amp;O296,"")&amp;","&amp;" FC Urban runs after-work football for "&amp;IF(D296="Canary Wharf","Canary Wharf","City")&amp;" teams. We have a "&amp;AC296&amp;" pitch at "&amp;X296&amp;", "&amp;Y296&amp;" min from your office, "&amp;IF(ISNUMBER(AB296),TEXT(AB296,"ddd d mmm")&amp;", "&amp;TEXT(AB296,"hh:mm"),"weekday evenings")&amp;", "&amp;IF(AD296&lt;&gt;"","£"&amp;IF(AD296=INT(AD296),TEXT(AD296,"0"),TEXT(AD296,"0.00")),"[PRICE PER PLAYER]")&amp;" a player. We handle booking, sign-ups and payments. Fancy "&amp;IF(ISNUMBER(SEARCH(LEFT(F296,1),"AEIOU")),"an ","a ")&amp;F296&amp;" team game? "&amp;IF(AL296&lt;&gt;"",AL296,IF(Offer!$C$5&lt;&gt;"",Offer!$C$5,"[NAME]")),LEFT("Hi"&amp;IF(O296&lt;&gt;""," "&amp;O296,"")&amp;","&amp;" FC Urban runs after-work football for "&amp;IF(D296="Canary Wharf","Canary Wharf","City")&amp;" teams: "&amp;AC296&amp;" at "&amp;X296&amp;", "&amp;Y296&amp;" min from your office, "&amp;IF(ISNUMBER(AB296),TEXT(AB296,"ddd d mmm")&amp;", "&amp;TEXT(AB296,"hh:mm"),"weekday evenings")&amp;", "&amp;IF(AD296&lt;&gt;"","£"&amp;IF(AD296=INT(AD296),TEXT(AD296,"0"),TEXT(AD296,"0.00")),"[PRICE PER PLAYER]")&amp;" pp. We handle booking and payments. Up for a team game? "&amp;IF(AL296&lt;&gt;"",AL296,IF(Offer!$C$5&lt;&gt;"",Offer!$C$5,"[NAME]")),300))</f>
        <v/>
      </c>
      <c r="AI296" s="14">
        <f>LEN(AH296)</f>
        <v/>
      </c>
      <c r="AJ296" s="14">
        <f>"Thanks for connecting"&amp;IF(O296&lt;&gt;"",", "&amp;O296,"")&amp;". "&amp;IF(ISNUMBER(AB296),"The "&amp;AC296&amp;" slot at "&amp;X296&amp;" is "&amp;IF(ISNUMBER(AB296),TEXT(AB296,"ddd d mmm")&amp;", "&amp;TEXT(AB296,"hh:mm"),"weekday evenings"),"We can book "&amp;AC296&amp;" at "&amp;X296&amp;" on a weekday evening that suits you")&amp;" and it's "&amp;IF(AD296&lt;&gt;"","£"&amp;IF(AD296=INT(AD296),TEXT(AD296,"0"),TEXT(AD296,"0.00")),"[PRICE PER PLAYER]")&amp;" a player, all booked and paid through one link. If football isn't your thing, who at "&amp;F296&amp;" would be the right person to organise a team game?"&amp;IF(Offer!$C$7&lt;&gt;""," Spots are held until "&amp;TEXT(Offer!$C$7,"dddd d mmmm")&amp;".","")&amp;" "&amp;IF(Offer!$C$6&lt;&gt;"",Offer!$C$6,"[JOINING LINK]")</f>
        <v/>
      </c>
      <c r="AK296" s="14">
        <f>IF(OR(ISNUMBER(SEARCH("[",AG296)),ISNUMBER(SEARCH("[",AJ296))),"Fill placeholders",IF(ISNUMBER(AB296),"Ready to send","Ready · no fixed slot"))</f>
        <v/>
      </c>
      <c r="AN296" s="17" t="n"/>
    </row>
    <row r="297">
      <c r="A297" s="11" t="n">
        <v>295</v>
      </c>
      <c r="B297" s="11" t="n">
        <v>3</v>
      </c>
      <c r="C297" s="11" t="inlineStr">
        <is>
          <t>Fund / asset manager</t>
        </is>
      </c>
      <c r="D297" s="11" t="inlineStr">
        <is>
          <t>City of London</t>
        </is>
      </c>
      <c r="E297" s="11" t="inlineStr">
        <is>
          <t>ACG Advisors (UK) LLP</t>
        </is>
      </c>
      <c r="F297" s="11" t="inlineStr">
        <is>
          <t>ACG Advisors</t>
        </is>
      </c>
      <c r="G297" s="11" t="inlineStr">
        <is>
          <t>OC385075</t>
        </is>
      </c>
      <c r="H297" s="12" t="inlineStr">
        <is>
          <t>Open</t>
        </is>
      </c>
      <c r="I297" s="12" t="inlineStr">
        <is>
          <t>Search</t>
        </is>
      </c>
      <c r="J297" s="11" t="inlineStr">
        <is>
          <t>Full</t>
        </is>
      </c>
      <c r="K297" s="13" t="n">
        <v>41407</v>
      </c>
      <c r="L297" s="11" t="inlineStr">
        <is>
          <t>34 Lime Street, London</t>
        </is>
      </c>
      <c r="M297" s="11" t="inlineStr">
        <is>
          <t>EC3M 7AT</t>
        </is>
      </c>
      <c r="N297" s="11" t="inlineStr">
        <is>
          <t>No</t>
        </is>
      </c>
      <c r="U297" s="11" t="inlineStr">
        <is>
          <t>Liverpool St - Attlee Centre</t>
        </is>
      </c>
      <c r="V297" s="11" t="n">
        <v>15</v>
      </c>
      <c r="W297" s="11" t="n"/>
      <c r="X297" s="11" t="inlineStr">
        <is>
          <t>Liverpool St - Attlee Centre</t>
        </is>
      </c>
      <c r="Y297" s="11" t="n">
        <v>15</v>
      </c>
      <c r="Z297" s="14">
        <f>IFERROR(INDEX(Venues!$E$2:$E$15,MATCH(X297,Venues!$A$2:$A$15,0)),"Not checked")</f>
        <v/>
      </c>
      <c r="AA297" s="14">
        <f>IFERROR(INDEX(Venues!$F$2:$F$15,MATCH(X297,Venues!$A$2:$A$15,0)),0)</f>
        <v/>
      </c>
      <c r="AB297" s="15">
        <f>IFERROR(INDEX(Venues!$M$2:$M$15,MATCH(X297,Venues!$A$2:$A$15,0)),"")</f>
        <v/>
      </c>
      <c r="AC297" s="14">
        <f>IFERROR(INDEX(Venues!$N$2:$N$15,MATCH(X297,Venues!$A$2:$A$15,0)),"5-a-side")</f>
        <v/>
      </c>
      <c r="AD297" s="16">
        <f>IF(Offer!$C$4="","",Offer!$C$4)</f>
        <v/>
      </c>
      <c r="AE297" s="14">
        <f>X297&amp;" ("&amp;Y297&amp;" min walk) · "&amp;IF(ISNUMBER(AB297),TEXT(AB297,"ddd d mmm, hh:mm"),"slot to confirm with venue")&amp;" · "&amp;AC297&amp;" · "&amp;IF(AD297&lt;&gt;"","£"&amp;TEXT(AD297,"0.00")&amp;" pp","price TBC")</f>
        <v/>
      </c>
      <c r="AF297" s="14">
        <f>"After-work football for "&amp;F297&amp;" · "&amp;X297&amp;", "&amp;Y297&amp;" min from your office"</f>
        <v/>
      </c>
      <c r="AG297" s="14">
        <f>"Hi"&amp;IF(O297&lt;&gt;""," "&amp;O297,"")&amp;","&amp;CHAR(10)&amp;CHAR(10)&amp;"I'm "&amp;IF(AL297&lt;&gt;"",AL297,IF(Offer!$C$5&lt;&gt;"",Offer!$C$5,"[NAME]"))&amp;" from FC Urban. We organise after-work football for teams in the City and Canary Wharf."&amp;CHAR(10)&amp;CHAR(10)&amp;"We have a "&amp;AC297&amp;" pitch at "&amp;X297&amp;", "&amp;IF(OR(Y297=8,Y297=11,Y297=18),"an ","a ")&amp;Y297&amp;"-minute walk from your "&amp;M297&amp;" office, "&amp;IF(ISNUMBER(AB297),"on "&amp;TEXT(AB297,"dddd d mmmm")&amp;" at "&amp;TEXT(AB297,"hh:mm"),"on a weekday evening that suits your team")&amp;". It's "&amp;IF(AD297&lt;&gt;"","£"&amp;IF(AD297=INT(AD297),TEXT(AD297,"0"),TEXT(AD297,"0.00")),"[PRICE PER PLAYER]")&amp;" a player and we handle the pitch booking, sign-ups and payments, so all it takes is one person sharing a link with the team."&amp;CHAR(10)&amp;CHAR(10)&amp;"It works well as a team social or "&amp;IF(ISNUMBER(SEARCH(LEFT(F297,1),"AEIOU")),"an ","a ")&amp;F297&amp;"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LINK]")&amp;CHAR(10)&amp;CHAR(10)&amp;"Best,"&amp;CHAR(10)&amp;IF(AL297&lt;&gt;"",AL297,IF(Offer!$C$5&lt;&gt;"",Offer!$C$5,"[NAME]"))&amp;CHAR(10)&amp;"FC Urban"</f>
        <v/>
      </c>
      <c r="AH297" s="14">
        <f>IF(LEN("Hi"&amp;IF(O297&lt;&gt;""," "&amp;O297,"")&amp;","&amp;" FC Urban runs after-work football for "&amp;IF(D297="Canary Wharf","Canary Wharf","City")&amp;" teams. We have a "&amp;AC297&amp;" pitch at "&amp;X297&amp;", "&amp;Y297&amp;" min from your office, "&amp;IF(ISNUMBER(AB297),TEXT(AB297,"ddd d mmm")&amp;", "&amp;TEXT(AB297,"hh:mm"),"weekday evenings")&amp;", "&amp;IF(AD297&lt;&gt;"","£"&amp;IF(AD297=INT(AD297),TEXT(AD297,"0"),TEXT(AD297,"0.00")),"[PRICE PER PLAYER]")&amp;" a player. We handle booking, sign-ups and payments. Fancy "&amp;IF(ISNUMBER(SEARCH(LEFT(F297,1),"AEIOU")),"an ","a ")&amp;F297&amp;" team game? "&amp;IF(AL297&lt;&gt;"",AL297,IF(Offer!$C$5&lt;&gt;"",Offer!$C$5,"[NAME]")))&lt;=300,"Hi"&amp;IF(O297&lt;&gt;""," "&amp;O297,"")&amp;","&amp;" FC Urban runs after-work football for "&amp;IF(D297="Canary Wharf","Canary Wharf","City")&amp;" teams. We have a "&amp;AC297&amp;" pitch at "&amp;X297&amp;", "&amp;Y297&amp;" min from your office, "&amp;IF(ISNUMBER(AB297),TEXT(AB297,"ddd d mmm")&amp;", "&amp;TEXT(AB297,"hh:mm"),"weekday evenings")&amp;", "&amp;IF(AD297&lt;&gt;"","£"&amp;IF(AD297=INT(AD297),TEXT(AD297,"0"),TEXT(AD297,"0.00")),"[PRICE PER PLAYER]")&amp;" a player. We handle booking, sign-ups and payments. Fancy "&amp;IF(ISNUMBER(SEARCH(LEFT(F297,1),"AEIOU")),"an ","a ")&amp;F297&amp;" team game? "&amp;IF(AL297&lt;&gt;"",AL297,IF(Offer!$C$5&lt;&gt;"",Offer!$C$5,"[NAME]")),LEFT("Hi"&amp;IF(O297&lt;&gt;""," "&amp;O297,"")&amp;","&amp;" FC Urban runs after-work football for "&amp;IF(D297="Canary Wharf","Canary Wharf","City")&amp;" teams: "&amp;AC297&amp;" at "&amp;X297&amp;", "&amp;Y297&amp;" min from your office, "&amp;IF(ISNUMBER(AB297),TEXT(AB297,"ddd d mmm")&amp;", "&amp;TEXT(AB297,"hh:mm"),"weekday evenings")&amp;", "&amp;IF(AD297&lt;&gt;"","£"&amp;IF(AD297=INT(AD297),TEXT(AD297,"0"),TEXT(AD297,"0.00")),"[PRICE PER PLAYER]")&amp;" pp. We handle booking and payments. Up for a team game? "&amp;IF(AL297&lt;&gt;"",AL297,IF(Offer!$C$5&lt;&gt;"",Offer!$C$5,"[NAME]")),300))</f>
        <v/>
      </c>
      <c r="AI297" s="14">
        <f>LEN(AH297)</f>
        <v/>
      </c>
      <c r="AJ297" s="14">
        <f>"Thanks for connecting"&amp;IF(O297&lt;&gt;"",", "&amp;O297,"")&amp;". "&amp;IF(ISNUMBER(AB297),"The "&amp;AC297&amp;" slot at "&amp;X297&amp;" is "&amp;IF(ISNUMBER(AB297),TEXT(AB297,"ddd d mmm")&amp;", "&amp;TEXT(AB297,"hh:mm"),"weekday evenings"),"We can book "&amp;AC297&amp;" at "&amp;X297&amp;" on a weekday evening that suits you")&amp;" and it's "&amp;IF(AD297&lt;&gt;"","£"&amp;IF(AD297=INT(AD297),TEXT(AD297,"0"),TEXT(AD297,"0.00")),"[PRICE PER PLAYER]")&amp;" a player, all booked and paid through one link. If football isn't your thing, who at "&amp;F297&amp;" would be the right person to organise a team game?"&amp;IF(Offer!$C$7&lt;&gt;""," Spots are held until "&amp;TEXT(Offer!$C$7,"dddd d mmmm")&amp;".","")&amp;" "&amp;IF(Offer!$C$6&lt;&gt;"",Offer!$C$6,"[JOINING LINK]")</f>
        <v/>
      </c>
      <c r="AK297" s="14">
        <f>IF(OR(ISNUMBER(SEARCH("[",AG297)),ISNUMBER(SEARCH("[",AJ297))),"Fill placeholders",IF(ISNUMBER(AB297),"Ready to send","Ready · no fixed slot"))</f>
        <v/>
      </c>
      <c r="AN297" s="17" t="n"/>
    </row>
    <row r="298">
      <c r="A298" s="11" t="n">
        <v>296</v>
      </c>
      <c r="B298" s="11" t="n">
        <v>3</v>
      </c>
      <c r="C298" s="11" t="inlineStr">
        <is>
          <t>Fund / asset manager</t>
        </is>
      </c>
      <c r="D298" s="11" t="inlineStr">
        <is>
          <t>City of London</t>
        </is>
      </c>
      <c r="E298" s="11" t="inlineStr">
        <is>
          <t>CMC Markets Services Limited</t>
        </is>
      </c>
      <c r="F298" s="11" t="inlineStr">
        <is>
          <t>CMC Markets</t>
        </is>
      </c>
      <c r="G298" s="11" t="inlineStr">
        <is>
          <t>15661636</t>
        </is>
      </c>
      <c r="H298" s="12" t="inlineStr">
        <is>
          <t>Open</t>
        </is>
      </c>
      <c r="I298" s="12" t="inlineStr">
        <is>
          <t>Search</t>
        </is>
      </c>
      <c r="J298" s="11" t="inlineStr">
        <is>
          <t>Full</t>
        </is>
      </c>
      <c r="K298" s="13" t="n">
        <v>45401</v>
      </c>
      <c r="L298" s="11" t="inlineStr">
        <is>
          <t>133 Houndsditch, London</t>
        </is>
      </c>
      <c r="M298" s="11" t="inlineStr">
        <is>
          <t>EC3A 7BX</t>
        </is>
      </c>
      <c r="N298" s="11" t="inlineStr">
        <is>
          <t>No</t>
        </is>
      </c>
      <c r="U298" s="11" t="inlineStr">
        <is>
          <t>Liverpool St - Attlee Centre</t>
        </is>
      </c>
      <c r="V298" s="11" t="n">
        <v>8</v>
      </c>
      <c r="W298" s="11" t="inlineStr">
        <is>
          <t>Shoreditch Powerleague (14.9)</t>
        </is>
      </c>
      <c r="X298" s="11" t="inlineStr">
        <is>
          <t>Shoreditch Powerleague</t>
        </is>
      </c>
      <c r="Y298" s="11" t="n">
        <v>15</v>
      </c>
      <c r="Z298" s="14">
        <f>IFERROR(INDEX(Venues!$E$2:$E$15,MATCH(X298,Venues!$A$2:$A$15,0)),"Not checked")</f>
        <v/>
      </c>
      <c r="AA298" s="14">
        <f>IFERROR(INDEX(Venues!$F$2:$F$15,MATCH(X298,Venues!$A$2:$A$15,0)),0)</f>
        <v/>
      </c>
      <c r="AB298" s="15">
        <f>IFERROR(INDEX(Venues!$M$2:$M$15,MATCH(X298,Venues!$A$2:$A$15,0)),"")</f>
        <v/>
      </c>
      <c r="AC298" s="14">
        <f>IFERROR(INDEX(Venues!$N$2:$N$15,MATCH(X298,Venues!$A$2:$A$15,0)),"5-a-side")</f>
        <v/>
      </c>
      <c r="AD298" s="16">
        <f>IF(Offer!$C$4="","",Offer!$C$4)</f>
        <v/>
      </c>
      <c r="AE298" s="14">
        <f>X298&amp;" ("&amp;Y298&amp;" min walk) · "&amp;IF(ISNUMBER(AB298),TEXT(AB298,"ddd d mmm, hh:mm"),"slot to confirm with venue")&amp;" · "&amp;AC298&amp;" · "&amp;IF(AD298&lt;&gt;"","£"&amp;TEXT(AD298,"0.00")&amp;" pp","price TBC")</f>
        <v/>
      </c>
      <c r="AF298" s="14">
        <f>"After-work football for "&amp;F298&amp;" · "&amp;X298&amp;", "&amp;Y298&amp;" min from your office"</f>
        <v/>
      </c>
      <c r="AG298" s="14">
        <f>"Hi"&amp;IF(O298&lt;&gt;""," "&amp;O298,"")&amp;","&amp;CHAR(10)&amp;CHAR(10)&amp;"I'm "&amp;IF(AL298&lt;&gt;"",AL298,IF(Offer!$C$5&lt;&gt;"",Offer!$C$5,"[NAME]"))&amp;" from FC Urban. We organise after-work football for teams in the City and Canary Wharf."&amp;CHAR(10)&amp;CHAR(10)&amp;"We have a "&amp;AC298&amp;" pitch at "&amp;X298&amp;", "&amp;IF(OR(Y298=8,Y298=11,Y298=18),"an ","a ")&amp;Y298&amp;"-minute walk from your "&amp;M298&amp;" office, "&amp;IF(ISNUMBER(AB298),"on "&amp;TEXT(AB298,"dddd d mmmm")&amp;" at "&amp;TEXT(AB298,"hh:mm"),"on a weekday evening that suits your team")&amp;". It's "&amp;IF(AD298&lt;&gt;"","£"&amp;IF(AD298=INT(AD298),TEXT(AD298,"0"),TEXT(AD298,"0.00")),"[PRICE PER PLAYER]")&amp;" a player and we handle the pitch booking, sign-ups and payments, so all it takes is one person sharing a link with the team."&amp;CHAR(10)&amp;CHAR(10)&amp;"It works well as a team social or "&amp;IF(ISNUMBER(SEARCH(LEFT(F298,1),"AEIOU")),"an ","a ")&amp;F298&amp;"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LINK]")&amp;CHAR(10)&amp;CHAR(10)&amp;"Best,"&amp;CHAR(10)&amp;IF(AL298&lt;&gt;"",AL298,IF(Offer!$C$5&lt;&gt;"",Offer!$C$5,"[NAME]"))&amp;CHAR(10)&amp;"FC Urban"</f>
        <v/>
      </c>
      <c r="AH298" s="14">
        <f>IF(LEN("Hi"&amp;IF(O298&lt;&gt;""," "&amp;O298,"")&amp;","&amp;" FC Urban runs after-work football for "&amp;IF(D298="Canary Wharf","Canary Wharf","City")&amp;" teams. We have a "&amp;AC298&amp;" pitch at "&amp;X298&amp;", "&amp;Y298&amp;" min from your office, "&amp;IF(ISNUMBER(AB298),TEXT(AB298,"ddd d mmm")&amp;", "&amp;TEXT(AB298,"hh:mm"),"weekday evenings")&amp;", "&amp;IF(AD298&lt;&gt;"","£"&amp;IF(AD298=INT(AD298),TEXT(AD298,"0"),TEXT(AD298,"0.00")),"[PRICE PER PLAYER]")&amp;" a player. We handle booking, sign-ups and payments. Fancy "&amp;IF(ISNUMBER(SEARCH(LEFT(F298,1),"AEIOU")),"an ","a ")&amp;F298&amp;" team game? "&amp;IF(AL298&lt;&gt;"",AL298,IF(Offer!$C$5&lt;&gt;"",Offer!$C$5,"[NAME]")))&lt;=300,"Hi"&amp;IF(O298&lt;&gt;""," "&amp;O298,"")&amp;","&amp;" FC Urban runs after-work football for "&amp;IF(D298="Canary Wharf","Canary Wharf","City")&amp;" teams. We have a "&amp;AC298&amp;" pitch at "&amp;X298&amp;", "&amp;Y298&amp;" min from your office, "&amp;IF(ISNUMBER(AB298),TEXT(AB298,"ddd d mmm")&amp;", "&amp;TEXT(AB298,"hh:mm"),"weekday evenings")&amp;", "&amp;IF(AD298&lt;&gt;"","£"&amp;IF(AD298=INT(AD298),TEXT(AD298,"0"),TEXT(AD298,"0.00")),"[PRICE PER PLAYER]")&amp;" a player. We handle booking, sign-ups and payments. Fancy "&amp;IF(ISNUMBER(SEARCH(LEFT(F298,1),"AEIOU")),"an ","a ")&amp;F298&amp;" team game? "&amp;IF(AL298&lt;&gt;"",AL298,IF(Offer!$C$5&lt;&gt;"",Offer!$C$5,"[NAME]")),LEFT("Hi"&amp;IF(O298&lt;&gt;""," "&amp;O298,"")&amp;","&amp;" FC Urban runs after-work football for "&amp;IF(D298="Canary Wharf","Canary Wharf","City")&amp;" teams: "&amp;AC298&amp;" at "&amp;X298&amp;", "&amp;Y298&amp;" min from your office, "&amp;IF(ISNUMBER(AB298),TEXT(AB298,"ddd d mmm")&amp;", "&amp;TEXT(AB298,"hh:mm"),"weekday evenings")&amp;", "&amp;IF(AD298&lt;&gt;"","£"&amp;IF(AD298=INT(AD298),TEXT(AD298,"0"),TEXT(AD298,"0.00")),"[PRICE PER PLAYER]")&amp;" pp. We handle booking and payments. Up for a team game? "&amp;IF(AL298&lt;&gt;"",AL298,IF(Offer!$C$5&lt;&gt;"",Offer!$C$5,"[NAME]")),300))</f>
        <v/>
      </c>
      <c r="AI298" s="14">
        <f>LEN(AH298)</f>
        <v/>
      </c>
      <c r="AJ298" s="14">
        <f>"Thanks for connecting"&amp;IF(O298&lt;&gt;"",", "&amp;O298,"")&amp;". "&amp;IF(ISNUMBER(AB298),"The "&amp;AC298&amp;" slot at "&amp;X298&amp;" is "&amp;IF(ISNUMBER(AB298),TEXT(AB298,"ddd d mmm")&amp;", "&amp;TEXT(AB298,"hh:mm"),"weekday evenings"),"We can book "&amp;AC298&amp;" at "&amp;X298&amp;" on a weekday evening that suits you")&amp;" and it's "&amp;IF(AD298&lt;&gt;"","£"&amp;IF(AD298=INT(AD298),TEXT(AD298,"0"),TEXT(AD298,"0.00")),"[PRICE PER PLAYER]")&amp;" a player, all booked and paid through one link. If football isn't your thing, who at "&amp;F298&amp;" would be the right person to organise a team game?"&amp;IF(Offer!$C$7&lt;&gt;""," Spots are held until "&amp;TEXT(Offer!$C$7,"dddd d mmmm")&amp;".","")&amp;" "&amp;IF(Offer!$C$6&lt;&gt;"",Offer!$C$6,"[JOINING LINK]")</f>
        <v/>
      </c>
      <c r="AK298" s="14">
        <f>IF(OR(ISNUMBER(SEARCH("[",AG298)),ISNUMBER(SEARCH("[",AJ298))),"Fill placeholders",IF(ISNUMBER(AB298),"Ready to send","Ready · no fixed slot"))</f>
        <v/>
      </c>
      <c r="AN298" s="17" t="n"/>
    </row>
    <row r="299">
      <c r="A299" s="11" t="n">
        <v>297</v>
      </c>
      <c r="B299" s="11" t="n">
        <v>3</v>
      </c>
      <c r="C299" s="11" t="inlineStr">
        <is>
          <t>Fund / asset manager</t>
        </is>
      </c>
      <c r="D299" s="11" t="inlineStr">
        <is>
          <t>City of London</t>
        </is>
      </c>
      <c r="E299" s="11" t="inlineStr">
        <is>
          <t>Farringdon Capital Ltd</t>
        </is>
      </c>
      <c r="F299" s="11" t="inlineStr">
        <is>
          <t>Farringdon Capital</t>
        </is>
      </c>
      <c r="G299" s="11" t="inlineStr">
        <is>
          <t>11270472</t>
        </is>
      </c>
      <c r="H299" s="12" t="inlineStr">
        <is>
          <t>Open</t>
        </is>
      </c>
      <c r="I299" s="12" t="inlineStr">
        <is>
          <t>Search</t>
        </is>
      </c>
      <c r="J299" s="11" t="inlineStr">
        <is>
          <t>Full</t>
        </is>
      </c>
      <c r="K299" s="13" t="n">
        <v>43181</v>
      </c>
      <c r="L299" s="11" t="inlineStr">
        <is>
          <t>6/F West, Bridge House, 4 Borough High Street, London</t>
        </is>
      </c>
      <c r="M299" s="11" t="inlineStr">
        <is>
          <t>SE1 9QQ</t>
        </is>
      </c>
      <c r="N299" s="11" t="inlineStr">
        <is>
          <t>No</t>
        </is>
      </c>
      <c r="U299" s="11" t="inlineStr">
        <is>
          <t>Borough Academy</t>
        </is>
      </c>
      <c r="V299" s="11" t="n">
        <v>15</v>
      </c>
      <c r="W299" s="11" t="n"/>
      <c r="X299" s="11" t="inlineStr">
        <is>
          <t>Borough Academy</t>
        </is>
      </c>
      <c r="Y299" s="11" t="n">
        <v>15</v>
      </c>
      <c r="Z299" s="14">
        <f>IFERROR(INDEX(Venues!$E$2:$E$15,MATCH(X299,Venues!$A$2:$A$15,0)),"Not checked")</f>
        <v/>
      </c>
      <c r="AA299" s="14">
        <f>IFERROR(INDEX(Venues!$F$2:$F$15,MATCH(X299,Venues!$A$2:$A$15,0)),0)</f>
        <v/>
      </c>
      <c r="AB299" s="15">
        <f>IFERROR(INDEX(Venues!$M$2:$M$15,MATCH(X299,Venues!$A$2:$A$15,0)),"")</f>
        <v/>
      </c>
      <c r="AC299" s="14">
        <f>IFERROR(INDEX(Venues!$N$2:$N$15,MATCH(X299,Venues!$A$2:$A$15,0)),"5-a-side")</f>
        <v/>
      </c>
      <c r="AD299" s="16">
        <f>IF(Offer!$C$4="","",Offer!$C$4)</f>
        <v/>
      </c>
      <c r="AE299" s="14">
        <f>X299&amp;" ("&amp;Y299&amp;" min walk) · "&amp;IF(ISNUMBER(AB299),TEXT(AB299,"ddd d mmm, hh:mm"),"slot to confirm with venue")&amp;" · "&amp;AC299&amp;" · "&amp;IF(AD299&lt;&gt;"","£"&amp;TEXT(AD299,"0.00")&amp;" pp","price TBC")</f>
        <v/>
      </c>
      <c r="AF299" s="14">
        <f>"After-work football for "&amp;F299&amp;" · "&amp;X299&amp;", "&amp;Y299&amp;" min from your office"</f>
        <v/>
      </c>
      <c r="AG299" s="14">
        <f>"Hi"&amp;IF(O299&lt;&gt;""," "&amp;O299,"")&amp;","&amp;CHAR(10)&amp;CHAR(10)&amp;"I'm "&amp;IF(AL299&lt;&gt;"",AL299,IF(Offer!$C$5&lt;&gt;"",Offer!$C$5,"[NAME]"))&amp;" from FC Urban. We organise after-work football for teams in the City and Canary Wharf."&amp;CHAR(10)&amp;CHAR(10)&amp;"We have a "&amp;AC299&amp;" pitch at "&amp;X299&amp;", "&amp;IF(OR(Y299=8,Y299=11,Y299=18),"an ","a ")&amp;Y299&amp;"-minute walk from your "&amp;M299&amp;" office, "&amp;IF(ISNUMBER(AB299),"on "&amp;TEXT(AB299,"dddd d mmmm")&amp;" at "&amp;TEXT(AB299,"hh:mm"),"on a weekday evening that suits your team")&amp;". It's "&amp;IF(AD299&lt;&gt;"","£"&amp;IF(AD299=INT(AD299),TEXT(AD299,"0"),TEXT(AD299,"0.00")),"[PRICE PER PLAYER]")&amp;" a player and we handle the pitch booking, sign-ups and payments, so all it takes is one person sharing a link with the team."&amp;CHAR(10)&amp;CHAR(10)&amp;"It works well as a team social or "&amp;IF(ISNUMBER(SEARCH(LEFT(F299,1),"AEIOU")),"an ","a ")&amp;F299&amp;"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LINK]")&amp;CHAR(10)&amp;CHAR(10)&amp;"Best,"&amp;CHAR(10)&amp;IF(AL299&lt;&gt;"",AL299,IF(Offer!$C$5&lt;&gt;"",Offer!$C$5,"[NAME]"))&amp;CHAR(10)&amp;"FC Urban"</f>
        <v/>
      </c>
      <c r="AH299" s="14">
        <f>IF(LEN("Hi"&amp;IF(O299&lt;&gt;""," "&amp;O299,"")&amp;","&amp;" FC Urban runs after-work football for "&amp;IF(D299="Canary Wharf","Canary Wharf","City")&amp;" teams. We have a "&amp;AC299&amp;" pitch at "&amp;X299&amp;", "&amp;Y299&amp;" min from your office, "&amp;IF(ISNUMBER(AB299),TEXT(AB299,"ddd d mmm")&amp;", "&amp;TEXT(AB299,"hh:mm"),"weekday evenings")&amp;", "&amp;IF(AD299&lt;&gt;"","£"&amp;IF(AD299=INT(AD299),TEXT(AD299,"0"),TEXT(AD299,"0.00")),"[PRICE PER PLAYER]")&amp;" a player. We handle booking, sign-ups and payments. Fancy "&amp;IF(ISNUMBER(SEARCH(LEFT(F299,1),"AEIOU")),"an ","a ")&amp;F299&amp;" team game? "&amp;IF(AL299&lt;&gt;"",AL299,IF(Offer!$C$5&lt;&gt;"",Offer!$C$5,"[NAME]")))&lt;=300,"Hi"&amp;IF(O299&lt;&gt;""," "&amp;O299,"")&amp;","&amp;" FC Urban runs after-work football for "&amp;IF(D299="Canary Wharf","Canary Wharf","City")&amp;" teams. We have a "&amp;AC299&amp;" pitch at "&amp;X299&amp;", "&amp;Y299&amp;" min from your office, "&amp;IF(ISNUMBER(AB299),TEXT(AB299,"ddd d mmm")&amp;", "&amp;TEXT(AB299,"hh:mm"),"weekday evenings")&amp;", "&amp;IF(AD299&lt;&gt;"","£"&amp;IF(AD299=INT(AD299),TEXT(AD299,"0"),TEXT(AD299,"0.00")),"[PRICE PER PLAYER]")&amp;" a player. We handle booking, sign-ups and payments. Fancy "&amp;IF(ISNUMBER(SEARCH(LEFT(F299,1),"AEIOU")),"an ","a ")&amp;F299&amp;" team game? "&amp;IF(AL299&lt;&gt;"",AL299,IF(Offer!$C$5&lt;&gt;"",Offer!$C$5,"[NAME]")),LEFT("Hi"&amp;IF(O299&lt;&gt;""," "&amp;O299,"")&amp;","&amp;" FC Urban runs after-work football for "&amp;IF(D299="Canary Wharf","Canary Wharf","City")&amp;" teams: "&amp;AC299&amp;" at "&amp;X299&amp;", "&amp;Y299&amp;" min from your office, "&amp;IF(ISNUMBER(AB299),TEXT(AB299,"ddd d mmm")&amp;", "&amp;TEXT(AB299,"hh:mm"),"weekday evenings")&amp;", "&amp;IF(AD299&lt;&gt;"","£"&amp;IF(AD299=INT(AD299),TEXT(AD299,"0"),TEXT(AD299,"0.00")),"[PRICE PER PLAYER]")&amp;" pp. We handle booking and payments. Up for a team game? "&amp;IF(AL299&lt;&gt;"",AL299,IF(Offer!$C$5&lt;&gt;"",Offer!$C$5,"[NAME]")),300))</f>
        <v/>
      </c>
      <c r="AI299" s="14">
        <f>LEN(AH299)</f>
        <v/>
      </c>
      <c r="AJ299" s="14">
        <f>"Thanks for connecting"&amp;IF(O299&lt;&gt;"",", "&amp;O299,"")&amp;". "&amp;IF(ISNUMBER(AB299),"The "&amp;AC299&amp;" slot at "&amp;X299&amp;" is "&amp;IF(ISNUMBER(AB299),TEXT(AB299,"ddd d mmm")&amp;", "&amp;TEXT(AB299,"hh:mm"),"weekday evenings"),"We can book "&amp;AC299&amp;" at "&amp;X299&amp;" on a weekday evening that suits you")&amp;" and it's "&amp;IF(AD299&lt;&gt;"","£"&amp;IF(AD299=INT(AD299),TEXT(AD299,"0"),TEXT(AD299,"0.00")),"[PRICE PER PLAYER]")&amp;" a player, all booked and paid through one link. If football isn't your thing, who at "&amp;F299&amp;" would be the right person to organise a team game?"&amp;IF(Offer!$C$7&lt;&gt;""," Spots are held until "&amp;TEXT(Offer!$C$7,"dddd d mmmm")&amp;".","")&amp;" "&amp;IF(Offer!$C$6&lt;&gt;"",Offer!$C$6,"[JOINING LINK]")</f>
        <v/>
      </c>
      <c r="AK299" s="14">
        <f>IF(OR(ISNUMBER(SEARCH("[",AG299)),ISNUMBER(SEARCH("[",AJ299))),"Fill placeholders",IF(ISNUMBER(AB299),"Ready to send","Ready · no fixed slot"))</f>
        <v/>
      </c>
      <c r="AN299" s="17" t="n"/>
    </row>
    <row r="300">
      <c r="A300" s="11" t="n">
        <v>298</v>
      </c>
      <c r="B300" s="11" t="n">
        <v>3</v>
      </c>
      <c r="C300" s="11" t="inlineStr">
        <is>
          <t>Fund / asset manager</t>
        </is>
      </c>
      <c r="D300" s="11" t="inlineStr">
        <is>
          <t>City of London</t>
        </is>
      </c>
      <c r="E300" s="11" t="inlineStr">
        <is>
          <t>Rossie House Investment Management LLP</t>
        </is>
      </c>
      <c r="F300" s="11" t="inlineStr">
        <is>
          <t>Rossie House Investment Management</t>
        </is>
      </c>
      <c r="G300" s="11" t="inlineStr">
        <is>
          <t>OC419374</t>
        </is>
      </c>
      <c r="H300" s="12" t="inlineStr">
        <is>
          <t>Open</t>
        </is>
      </c>
      <c r="I300" s="12" t="inlineStr">
        <is>
          <t>Search</t>
        </is>
      </c>
      <c r="J300" s="11" t="inlineStr">
        <is>
          <t>Full</t>
        </is>
      </c>
      <c r="K300" s="13" t="n">
        <v>43013</v>
      </c>
      <c r="L300" s="11" t="inlineStr">
        <is>
          <t>10-11 Charterhouse Square, London, 10 - 11 Charterhouse Square, London</t>
        </is>
      </c>
      <c r="M300" s="11" t="inlineStr">
        <is>
          <t>EC1M 6EE</t>
        </is>
      </c>
      <c r="N300" s="11" t="inlineStr">
        <is>
          <t>No</t>
        </is>
      </c>
      <c r="U300" s="11" t="inlineStr">
        <is>
          <t>Old St - Moreland Primary School</t>
        </is>
      </c>
      <c r="V300" s="11" t="n">
        <v>15</v>
      </c>
      <c r="W300" s="11" t="n"/>
      <c r="X300" s="11" t="inlineStr">
        <is>
          <t>Old St - Moreland Primary School</t>
        </is>
      </c>
      <c r="Y300" s="11" t="n">
        <v>15</v>
      </c>
      <c r="Z300" s="14">
        <f>IFERROR(INDEX(Venues!$E$2:$E$15,MATCH(X300,Venues!$A$2:$A$15,0)),"Not checked")</f>
        <v/>
      </c>
      <c r="AA300" s="14">
        <f>IFERROR(INDEX(Venues!$F$2:$F$15,MATCH(X300,Venues!$A$2:$A$15,0)),0)</f>
        <v/>
      </c>
      <c r="AB300" s="15">
        <f>IFERROR(INDEX(Venues!$M$2:$M$15,MATCH(X300,Venues!$A$2:$A$15,0)),"")</f>
        <v/>
      </c>
      <c r="AC300" s="14">
        <f>IFERROR(INDEX(Venues!$N$2:$N$15,MATCH(X300,Venues!$A$2:$A$15,0)),"5-a-side")</f>
        <v/>
      </c>
      <c r="AD300" s="16">
        <f>IF(Offer!$C$4="","",Offer!$C$4)</f>
        <v/>
      </c>
      <c r="AE300" s="14">
        <f>X300&amp;" ("&amp;Y300&amp;" min walk) · "&amp;IF(ISNUMBER(AB300),TEXT(AB300,"ddd d mmm, hh:mm"),"slot to confirm with venue")&amp;" · "&amp;AC300&amp;" · "&amp;IF(AD300&lt;&gt;"","£"&amp;TEXT(AD300,"0.00")&amp;" pp","price TBC")</f>
        <v/>
      </c>
      <c r="AF300" s="14">
        <f>"After-work football for "&amp;F300&amp;" · "&amp;X300&amp;", "&amp;Y300&amp;" min from your office"</f>
        <v/>
      </c>
      <c r="AG300" s="14">
        <f>"Hi"&amp;IF(O300&lt;&gt;""," "&amp;O300,"")&amp;","&amp;CHAR(10)&amp;CHAR(10)&amp;"I'm "&amp;IF(AL300&lt;&gt;"",AL300,IF(Offer!$C$5&lt;&gt;"",Offer!$C$5,"[NAME]"))&amp;" from FC Urban. We organise after-work football for teams in the City and Canary Wharf."&amp;CHAR(10)&amp;CHAR(10)&amp;"We have a "&amp;AC300&amp;" pitch at "&amp;X300&amp;", "&amp;IF(OR(Y300=8,Y300=11,Y300=18),"an ","a ")&amp;Y300&amp;"-minute walk from your "&amp;M300&amp;" office, "&amp;IF(ISNUMBER(AB300),"on "&amp;TEXT(AB300,"dddd d mmmm")&amp;" at "&amp;TEXT(AB300,"hh:mm"),"on a weekday evening that suits your team")&amp;". It's "&amp;IF(AD300&lt;&gt;"","£"&amp;IF(AD300=INT(AD300),TEXT(AD300,"0"),TEXT(AD300,"0.00")),"[PRICE PER PLAYER]")&amp;" a player and we handle the pitch booking, sign-ups and payments, so all it takes is one person sharing a link with the team."&amp;CHAR(10)&amp;CHAR(10)&amp;"It works well as a team social or "&amp;IF(ISNUMBER(SEARCH(LEFT(F300,1),"AEIOU")),"an ","a ")&amp;F300&amp;"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LINK]")&amp;CHAR(10)&amp;CHAR(10)&amp;"Best,"&amp;CHAR(10)&amp;IF(AL300&lt;&gt;"",AL300,IF(Offer!$C$5&lt;&gt;"",Offer!$C$5,"[NAME]"))&amp;CHAR(10)&amp;"FC Urban"</f>
        <v/>
      </c>
      <c r="AH300" s="14">
        <f>IF(LEN("Hi"&amp;IF(O300&lt;&gt;""," "&amp;O300,"")&amp;","&amp;" FC Urban runs after-work football for "&amp;IF(D300="Canary Wharf","Canary Wharf","City")&amp;" teams. We have a "&amp;AC300&amp;" pitch at "&amp;X300&amp;", "&amp;Y300&amp;" min from your office, "&amp;IF(ISNUMBER(AB300),TEXT(AB300,"ddd d mmm")&amp;", "&amp;TEXT(AB300,"hh:mm"),"weekday evenings")&amp;", "&amp;IF(AD300&lt;&gt;"","£"&amp;IF(AD300=INT(AD300),TEXT(AD300,"0"),TEXT(AD300,"0.00")),"[PRICE PER PLAYER]")&amp;" a player. We handle booking, sign-ups and payments. Fancy "&amp;IF(ISNUMBER(SEARCH(LEFT(F300,1),"AEIOU")),"an ","a ")&amp;F300&amp;" team game? "&amp;IF(AL300&lt;&gt;"",AL300,IF(Offer!$C$5&lt;&gt;"",Offer!$C$5,"[NAME]")))&lt;=300,"Hi"&amp;IF(O300&lt;&gt;""," "&amp;O300,"")&amp;","&amp;" FC Urban runs after-work football for "&amp;IF(D300="Canary Wharf","Canary Wharf","City")&amp;" teams. We have a "&amp;AC300&amp;" pitch at "&amp;X300&amp;", "&amp;Y300&amp;" min from your office, "&amp;IF(ISNUMBER(AB300),TEXT(AB300,"ddd d mmm")&amp;", "&amp;TEXT(AB300,"hh:mm"),"weekday evenings")&amp;", "&amp;IF(AD300&lt;&gt;"","£"&amp;IF(AD300=INT(AD300),TEXT(AD300,"0"),TEXT(AD300,"0.00")),"[PRICE PER PLAYER]")&amp;" a player. We handle booking, sign-ups and payments. Fancy "&amp;IF(ISNUMBER(SEARCH(LEFT(F300,1),"AEIOU")),"an ","a ")&amp;F300&amp;" team game? "&amp;IF(AL300&lt;&gt;"",AL300,IF(Offer!$C$5&lt;&gt;"",Offer!$C$5,"[NAME]")),LEFT("Hi"&amp;IF(O300&lt;&gt;""," "&amp;O300,"")&amp;","&amp;" FC Urban runs after-work football for "&amp;IF(D300="Canary Wharf","Canary Wharf","City")&amp;" teams: "&amp;AC300&amp;" at "&amp;X300&amp;", "&amp;Y300&amp;" min from your office, "&amp;IF(ISNUMBER(AB300),TEXT(AB300,"ddd d mmm")&amp;", "&amp;TEXT(AB300,"hh:mm"),"weekday evenings")&amp;", "&amp;IF(AD300&lt;&gt;"","£"&amp;IF(AD300=INT(AD300),TEXT(AD300,"0"),TEXT(AD300,"0.00")),"[PRICE PER PLAYER]")&amp;" pp. We handle booking and payments. Up for a team game? "&amp;IF(AL300&lt;&gt;"",AL300,IF(Offer!$C$5&lt;&gt;"",Offer!$C$5,"[NAME]")),300))</f>
        <v/>
      </c>
      <c r="AI300" s="14">
        <f>LEN(AH300)</f>
        <v/>
      </c>
      <c r="AJ300" s="14">
        <f>"Thanks for connecting"&amp;IF(O300&lt;&gt;"",", "&amp;O300,"")&amp;". "&amp;IF(ISNUMBER(AB300),"The "&amp;AC300&amp;" slot at "&amp;X300&amp;" is "&amp;IF(ISNUMBER(AB300),TEXT(AB300,"ddd d mmm")&amp;", "&amp;TEXT(AB300,"hh:mm"),"weekday evenings"),"We can book "&amp;AC300&amp;" at "&amp;X300&amp;" on a weekday evening that suits you")&amp;" and it's "&amp;IF(AD300&lt;&gt;"","£"&amp;IF(AD300=INT(AD300),TEXT(AD300,"0"),TEXT(AD300,"0.00")),"[PRICE PER PLAYER]")&amp;" a player, all booked and paid through one link. If football isn't your thing, who at "&amp;F300&amp;" would be the right person to organise a team game?"&amp;IF(Offer!$C$7&lt;&gt;""," Spots are held until "&amp;TEXT(Offer!$C$7,"dddd d mmmm")&amp;".","")&amp;" "&amp;IF(Offer!$C$6&lt;&gt;"",Offer!$C$6,"[JOINING LINK]")</f>
        <v/>
      </c>
      <c r="AK300" s="14">
        <f>IF(OR(ISNUMBER(SEARCH("[",AG300)),ISNUMBER(SEARCH("[",AJ300))),"Fill placeholders",IF(ISNUMBER(AB300),"Ready to send","Ready · no fixed slot"))</f>
        <v/>
      </c>
      <c r="AN300" s="17" t="n"/>
    </row>
    <row r="301">
      <c r="A301" s="11" t="n">
        <v>299</v>
      </c>
      <c r="B301" s="11" t="n">
        <v>3</v>
      </c>
      <c r="C301" s="11" t="inlineStr">
        <is>
          <t>Fund / asset manager</t>
        </is>
      </c>
      <c r="D301" s="11" t="inlineStr">
        <is>
          <t>City of London</t>
        </is>
      </c>
      <c r="E301" s="11" t="inlineStr">
        <is>
          <t>Sun European Partners LLP</t>
        </is>
      </c>
      <c r="F301" s="11" t="inlineStr">
        <is>
          <t>Sun European Partners</t>
        </is>
      </c>
      <c r="G301" s="11" t="inlineStr">
        <is>
          <t>OC307206</t>
        </is>
      </c>
      <c r="H301" s="12" t="inlineStr">
        <is>
          <t>Open</t>
        </is>
      </c>
      <c r="I301" s="12" t="inlineStr">
        <is>
          <t>Search</t>
        </is>
      </c>
      <c r="J301" s="11" t="inlineStr">
        <is>
          <t>Full</t>
        </is>
      </c>
      <c r="K301" s="13" t="n">
        <v>38057</v>
      </c>
      <c r="L301" s="11" t="inlineStr">
        <is>
          <t>Second Floor, 34 Lime Street, London</t>
        </is>
      </c>
      <c r="M301" s="11" t="inlineStr">
        <is>
          <t>EC3M 7AT</t>
        </is>
      </c>
      <c r="N301" s="11" t="inlineStr">
        <is>
          <t>No</t>
        </is>
      </c>
      <c r="U301" s="11" t="inlineStr">
        <is>
          <t>Liverpool St - Attlee Centre</t>
        </is>
      </c>
      <c r="V301" s="11" t="n">
        <v>15</v>
      </c>
      <c r="W301" s="11" t="n"/>
      <c r="X301" s="11" t="inlineStr">
        <is>
          <t>Liverpool St - Attlee Centre</t>
        </is>
      </c>
      <c r="Y301" s="11" t="n">
        <v>15</v>
      </c>
      <c r="Z301" s="14">
        <f>IFERROR(INDEX(Venues!$E$2:$E$15,MATCH(X301,Venues!$A$2:$A$15,0)),"Not checked")</f>
        <v/>
      </c>
      <c r="AA301" s="14">
        <f>IFERROR(INDEX(Venues!$F$2:$F$15,MATCH(X301,Venues!$A$2:$A$15,0)),0)</f>
        <v/>
      </c>
      <c r="AB301" s="15">
        <f>IFERROR(INDEX(Venues!$M$2:$M$15,MATCH(X301,Venues!$A$2:$A$15,0)),"")</f>
        <v/>
      </c>
      <c r="AC301" s="14">
        <f>IFERROR(INDEX(Venues!$N$2:$N$15,MATCH(X301,Venues!$A$2:$A$15,0)),"5-a-side")</f>
        <v/>
      </c>
      <c r="AD301" s="16">
        <f>IF(Offer!$C$4="","",Offer!$C$4)</f>
        <v/>
      </c>
      <c r="AE301" s="14">
        <f>X301&amp;" ("&amp;Y301&amp;" min walk) · "&amp;IF(ISNUMBER(AB301),TEXT(AB301,"ddd d mmm, hh:mm"),"slot to confirm with venue")&amp;" · "&amp;AC301&amp;" · "&amp;IF(AD301&lt;&gt;"","£"&amp;TEXT(AD301,"0.00")&amp;" pp","price TBC")</f>
        <v/>
      </c>
      <c r="AF301" s="14">
        <f>"After-work football for "&amp;F301&amp;" · "&amp;X301&amp;", "&amp;Y301&amp;" min from your office"</f>
        <v/>
      </c>
      <c r="AG301" s="14">
        <f>"Hi"&amp;IF(O301&lt;&gt;""," "&amp;O301,"")&amp;","&amp;CHAR(10)&amp;CHAR(10)&amp;"I'm "&amp;IF(AL301&lt;&gt;"",AL301,IF(Offer!$C$5&lt;&gt;"",Offer!$C$5,"[NAME]"))&amp;" from FC Urban. We organise after-work football for teams in the City and Canary Wharf."&amp;CHAR(10)&amp;CHAR(10)&amp;"We have a "&amp;AC301&amp;" pitch at "&amp;X301&amp;", "&amp;IF(OR(Y301=8,Y301=11,Y301=18),"an ","a ")&amp;Y301&amp;"-minute walk from your "&amp;M301&amp;" office, "&amp;IF(ISNUMBER(AB301),"on "&amp;TEXT(AB301,"dddd d mmmm")&amp;" at "&amp;TEXT(AB301,"hh:mm"),"on a weekday evening that suits your team")&amp;". It's "&amp;IF(AD301&lt;&gt;"","£"&amp;IF(AD301=INT(AD301),TEXT(AD301,"0"),TEXT(AD301,"0.00")),"[PRICE PER PLAYER]")&amp;" a player and we handle the pitch booking, sign-ups and payments, so all it takes is one person sharing a link with the team."&amp;CHAR(10)&amp;CHAR(10)&amp;"It works well as a team social or "&amp;IF(ISNUMBER(SEARCH(LEFT(F301,1),"AEIOU")),"an ","a ")&amp;F301&amp;"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LINK]")&amp;CHAR(10)&amp;CHAR(10)&amp;"Best,"&amp;CHAR(10)&amp;IF(AL301&lt;&gt;"",AL301,IF(Offer!$C$5&lt;&gt;"",Offer!$C$5,"[NAME]"))&amp;CHAR(10)&amp;"FC Urban"</f>
        <v/>
      </c>
      <c r="AH301" s="14">
        <f>IF(LEN("Hi"&amp;IF(O301&lt;&gt;""," "&amp;O301,"")&amp;","&amp;" FC Urban runs after-work football for "&amp;IF(D301="Canary Wharf","Canary Wharf","City")&amp;" teams. We have a "&amp;AC301&amp;" pitch at "&amp;X301&amp;", "&amp;Y301&amp;" min from your office, "&amp;IF(ISNUMBER(AB301),TEXT(AB301,"ddd d mmm")&amp;", "&amp;TEXT(AB301,"hh:mm"),"weekday evenings")&amp;", "&amp;IF(AD301&lt;&gt;"","£"&amp;IF(AD301=INT(AD301),TEXT(AD301,"0"),TEXT(AD301,"0.00")),"[PRICE PER PLAYER]")&amp;" a player. We handle booking, sign-ups and payments. Fancy "&amp;IF(ISNUMBER(SEARCH(LEFT(F301,1),"AEIOU")),"an ","a ")&amp;F301&amp;" team game? "&amp;IF(AL301&lt;&gt;"",AL301,IF(Offer!$C$5&lt;&gt;"",Offer!$C$5,"[NAME]")))&lt;=300,"Hi"&amp;IF(O301&lt;&gt;""," "&amp;O301,"")&amp;","&amp;" FC Urban runs after-work football for "&amp;IF(D301="Canary Wharf","Canary Wharf","City")&amp;" teams. We have a "&amp;AC301&amp;" pitch at "&amp;X301&amp;", "&amp;Y301&amp;" min from your office, "&amp;IF(ISNUMBER(AB301),TEXT(AB301,"ddd d mmm")&amp;", "&amp;TEXT(AB301,"hh:mm"),"weekday evenings")&amp;", "&amp;IF(AD301&lt;&gt;"","£"&amp;IF(AD301=INT(AD301),TEXT(AD301,"0"),TEXT(AD301,"0.00")),"[PRICE PER PLAYER]")&amp;" a player. We handle booking, sign-ups and payments. Fancy "&amp;IF(ISNUMBER(SEARCH(LEFT(F301,1),"AEIOU")),"an ","a ")&amp;F301&amp;" team game? "&amp;IF(AL301&lt;&gt;"",AL301,IF(Offer!$C$5&lt;&gt;"",Offer!$C$5,"[NAME]")),LEFT("Hi"&amp;IF(O301&lt;&gt;""," "&amp;O301,"")&amp;","&amp;" FC Urban runs after-work football for "&amp;IF(D301="Canary Wharf","Canary Wharf","City")&amp;" teams: "&amp;AC301&amp;" at "&amp;X301&amp;", "&amp;Y301&amp;" min from your office, "&amp;IF(ISNUMBER(AB301),TEXT(AB301,"ddd d mmm")&amp;", "&amp;TEXT(AB301,"hh:mm"),"weekday evenings")&amp;", "&amp;IF(AD301&lt;&gt;"","£"&amp;IF(AD301=INT(AD301),TEXT(AD301,"0"),TEXT(AD301,"0.00")),"[PRICE PER PLAYER]")&amp;" pp. We handle booking and payments. Up for a team game? "&amp;IF(AL301&lt;&gt;"",AL301,IF(Offer!$C$5&lt;&gt;"",Offer!$C$5,"[NAME]")),300))</f>
        <v/>
      </c>
      <c r="AI301" s="14">
        <f>LEN(AH301)</f>
        <v/>
      </c>
      <c r="AJ301" s="14">
        <f>"Thanks for connecting"&amp;IF(O301&lt;&gt;"",", "&amp;O301,"")&amp;". "&amp;IF(ISNUMBER(AB301),"The "&amp;AC301&amp;" slot at "&amp;X301&amp;" is "&amp;IF(ISNUMBER(AB301),TEXT(AB301,"ddd d mmm")&amp;", "&amp;TEXT(AB301,"hh:mm"),"weekday evenings"),"We can book "&amp;AC301&amp;" at "&amp;X301&amp;" on a weekday evening that suits you")&amp;" and it's "&amp;IF(AD301&lt;&gt;"","£"&amp;IF(AD301=INT(AD301),TEXT(AD301,"0"),TEXT(AD301,"0.00")),"[PRICE PER PLAYER]")&amp;" a player, all booked and paid through one link. If football isn't your thing, who at "&amp;F301&amp;" would be the right person to organise a team game?"&amp;IF(Offer!$C$7&lt;&gt;""," Spots are held until "&amp;TEXT(Offer!$C$7,"dddd d mmmm")&amp;".","")&amp;" "&amp;IF(Offer!$C$6&lt;&gt;"",Offer!$C$6,"[JOINING LINK]")</f>
        <v/>
      </c>
      <c r="AK301" s="14">
        <f>IF(OR(ISNUMBER(SEARCH("[",AG301)),ISNUMBER(SEARCH("[",AJ301))),"Fill placeholders",IF(ISNUMBER(AB301),"Ready to send","Ready · no fixed slot"))</f>
        <v/>
      </c>
      <c r="AN301" s="17" t="n"/>
    </row>
    <row r="302">
      <c r="A302" s="11" t="n">
        <v>300</v>
      </c>
      <c r="B302" s="11" t="n">
        <v>3</v>
      </c>
      <c r="C302" s="11" t="inlineStr">
        <is>
          <t>Insurance / broker</t>
        </is>
      </c>
      <c r="D302" s="11" t="inlineStr">
        <is>
          <t>City of London</t>
        </is>
      </c>
      <c r="E302" s="11" t="inlineStr">
        <is>
          <t>Astrenska Insurance Limited</t>
        </is>
      </c>
      <c r="F302" s="11" t="inlineStr">
        <is>
          <t>Astrenska Insurance</t>
        </is>
      </c>
      <c r="G302" s="11" t="inlineStr">
        <is>
          <t>01708613</t>
        </is>
      </c>
      <c r="H302" s="12" t="inlineStr">
        <is>
          <t>Open</t>
        </is>
      </c>
      <c r="I302" s="12" t="inlineStr">
        <is>
          <t>Search</t>
        </is>
      </c>
      <c r="J302" s="11" t="inlineStr">
        <is>
          <t>Full</t>
        </is>
      </c>
      <c r="K302" s="13" t="n">
        <v>30397</v>
      </c>
      <c r="L302" s="11" t="inlineStr">
        <is>
          <t>3 More London Riverside, 5Th Floor, London</t>
        </is>
      </c>
      <c r="M302" s="11" t="inlineStr">
        <is>
          <t>SE1 2AQ</t>
        </is>
      </c>
      <c r="N302" s="11" t="inlineStr">
        <is>
          <t>No</t>
        </is>
      </c>
      <c r="U302" s="11" t="inlineStr">
        <is>
          <t>Bermondsey Riverside</t>
        </is>
      </c>
      <c r="V302" s="11" t="n">
        <v>15</v>
      </c>
      <c r="W302" s="11" t="n"/>
      <c r="X302" s="11" t="inlineStr">
        <is>
          <t>Bermondsey Riverside</t>
        </is>
      </c>
      <c r="Y302" s="11" t="n">
        <v>15</v>
      </c>
      <c r="Z302" s="14">
        <f>IFERROR(INDEX(Venues!$E$2:$E$15,MATCH(X302,Venues!$A$2:$A$15,0)),"Not checked")</f>
        <v/>
      </c>
      <c r="AA302" s="14">
        <f>IFERROR(INDEX(Venues!$F$2:$F$15,MATCH(X302,Venues!$A$2:$A$15,0)),0)</f>
        <v/>
      </c>
      <c r="AB302" s="15">
        <f>IFERROR(INDEX(Venues!$M$2:$M$15,MATCH(X302,Venues!$A$2:$A$15,0)),"")</f>
        <v/>
      </c>
      <c r="AC302" s="14">
        <f>IFERROR(INDEX(Venues!$N$2:$N$15,MATCH(X302,Venues!$A$2:$A$15,0)),"5-a-side")</f>
        <v/>
      </c>
      <c r="AD302" s="16">
        <f>IF(Offer!$C$4="","",Offer!$C$4)</f>
        <v/>
      </c>
      <c r="AE302" s="14">
        <f>X302&amp;" ("&amp;Y302&amp;" min walk) · "&amp;IF(ISNUMBER(AB302),TEXT(AB302,"ddd d mmm, hh:mm"),"slot to confirm with venue")&amp;" · "&amp;AC302&amp;" · "&amp;IF(AD302&lt;&gt;"","£"&amp;TEXT(AD302,"0.00")&amp;" pp","price TBC")</f>
        <v/>
      </c>
      <c r="AF302" s="14">
        <f>"After-work football for "&amp;F302&amp;" · "&amp;X302&amp;", "&amp;Y302&amp;" min from your office"</f>
        <v/>
      </c>
      <c r="AG302" s="14">
        <f>"Hi"&amp;IF(O302&lt;&gt;""," "&amp;O302,"")&amp;","&amp;CHAR(10)&amp;CHAR(10)&amp;"I'm "&amp;IF(AL302&lt;&gt;"",AL302,IF(Offer!$C$5&lt;&gt;"",Offer!$C$5,"[NAME]"))&amp;" from FC Urban. We organise after-work football for teams in the City and Canary Wharf."&amp;CHAR(10)&amp;CHAR(10)&amp;"We have a "&amp;AC302&amp;" pitch at "&amp;X302&amp;", "&amp;IF(OR(Y302=8,Y302=11,Y302=18),"an ","a ")&amp;Y302&amp;"-minute walk from your "&amp;M302&amp;" office, "&amp;IF(ISNUMBER(AB302),"on "&amp;TEXT(AB302,"dddd d mmmm")&amp;" at "&amp;TEXT(AB302,"hh:mm"),"on a weekday evening that suits your team")&amp;". It's "&amp;IF(AD302&lt;&gt;"","£"&amp;IF(AD302=INT(AD302),TEXT(AD302,"0"),TEXT(AD302,"0.00")),"[PRICE PER PLAYER]")&amp;" a player and we handle the pitch booking, sign-ups and payments, so all it takes is one person sharing a link with the team."&amp;CHAR(10)&amp;CHAR(10)&amp;"It works well as a team social or "&amp;IF(ISNUMBER(SEARCH(LEFT(F302,1),"AEIOU")),"an ","a ")&amp;F302&amp;"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LINK]")&amp;CHAR(10)&amp;CHAR(10)&amp;"Best,"&amp;CHAR(10)&amp;IF(AL302&lt;&gt;"",AL302,IF(Offer!$C$5&lt;&gt;"",Offer!$C$5,"[NAME]"))&amp;CHAR(10)&amp;"FC Urban"</f>
        <v/>
      </c>
      <c r="AH302" s="14">
        <f>IF(LEN("Hi"&amp;IF(O302&lt;&gt;""," "&amp;O302,"")&amp;","&amp;" FC Urban runs after-work football for "&amp;IF(D302="Canary Wharf","Canary Wharf","City")&amp;" teams. We have a "&amp;AC302&amp;" pitch at "&amp;X302&amp;", "&amp;Y302&amp;" min from your office, "&amp;IF(ISNUMBER(AB302),TEXT(AB302,"ddd d mmm")&amp;", "&amp;TEXT(AB302,"hh:mm"),"weekday evenings")&amp;", "&amp;IF(AD302&lt;&gt;"","£"&amp;IF(AD302=INT(AD302),TEXT(AD302,"0"),TEXT(AD302,"0.00")),"[PRICE PER PLAYER]")&amp;" a player. We handle booking, sign-ups and payments. Fancy "&amp;IF(ISNUMBER(SEARCH(LEFT(F302,1),"AEIOU")),"an ","a ")&amp;F302&amp;" team game? "&amp;IF(AL302&lt;&gt;"",AL302,IF(Offer!$C$5&lt;&gt;"",Offer!$C$5,"[NAME]")))&lt;=300,"Hi"&amp;IF(O302&lt;&gt;""," "&amp;O302,"")&amp;","&amp;" FC Urban runs after-work football for "&amp;IF(D302="Canary Wharf","Canary Wharf","City")&amp;" teams. We have a "&amp;AC302&amp;" pitch at "&amp;X302&amp;", "&amp;Y302&amp;" min from your office, "&amp;IF(ISNUMBER(AB302),TEXT(AB302,"ddd d mmm")&amp;", "&amp;TEXT(AB302,"hh:mm"),"weekday evenings")&amp;", "&amp;IF(AD302&lt;&gt;"","£"&amp;IF(AD302=INT(AD302),TEXT(AD302,"0"),TEXT(AD302,"0.00")),"[PRICE PER PLAYER]")&amp;" a player. We handle booking, sign-ups and payments. Fancy "&amp;IF(ISNUMBER(SEARCH(LEFT(F302,1),"AEIOU")),"an ","a ")&amp;F302&amp;" team game? "&amp;IF(AL302&lt;&gt;"",AL302,IF(Offer!$C$5&lt;&gt;"",Offer!$C$5,"[NAME]")),LEFT("Hi"&amp;IF(O302&lt;&gt;""," "&amp;O302,"")&amp;","&amp;" FC Urban runs after-work football for "&amp;IF(D302="Canary Wharf","Canary Wharf","City")&amp;" teams: "&amp;AC302&amp;" at "&amp;X302&amp;", "&amp;Y302&amp;" min from your office, "&amp;IF(ISNUMBER(AB302),TEXT(AB302,"ddd d mmm")&amp;", "&amp;TEXT(AB302,"hh:mm"),"weekday evenings")&amp;", "&amp;IF(AD302&lt;&gt;"","£"&amp;IF(AD302=INT(AD302),TEXT(AD302,"0"),TEXT(AD302,"0.00")),"[PRICE PER PLAYER]")&amp;" pp. We handle booking and payments. Up for a team game? "&amp;IF(AL302&lt;&gt;"",AL302,IF(Offer!$C$5&lt;&gt;"",Offer!$C$5,"[NAME]")),300))</f>
        <v/>
      </c>
      <c r="AI302" s="14">
        <f>LEN(AH302)</f>
        <v/>
      </c>
      <c r="AJ302" s="14">
        <f>"Thanks for connecting"&amp;IF(O302&lt;&gt;"",", "&amp;O302,"")&amp;". "&amp;IF(ISNUMBER(AB302),"The "&amp;AC302&amp;" slot at "&amp;X302&amp;" is "&amp;IF(ISNUMBER(AB302),TEXT(AB302,"ddd d mmm")&amp;", "&amp;TEXT(AB302,"hh:mm"),"weekday evenings"),"We can book "&amp;AC302&amp;" at "&amp;X302&amp;" on a weekday evening that suits you")&amp;" and it's "&amp;IF(AD302&lt;&gt;"","£"&amp;IF(AD302=INT(AD302),TEXT(AD302,"0"),TEXT(AD302,"0.00")),"[PRICE PER PLAYER]")&amp;" a player, all booked and paid through one link. If football isn't your thing, who at "&amp;F302&amp;" would be the right person to organise a team game?"&amp;IF(Offer!$C$7&lt;&gt;""," Spots are held until "&amp;TEXT(Offer!$C$7,"dddd d mmmm")&amp;".","")&amp;" "&amp;IF(Offer!$C$6&lt;&gt;"",Offer!$C$6,"[JOINING LINK]")</f>
        <v/>
      </c>
      <c r="AK302" s="14">
        <f>IF(OR(ISNUMBER(SEARCH("[",AG302)),ISNUMBER(SEARCH("[",AJ302))),"Fill placeholders",IF(ISNUMBER(AB302),"Ready to send","Ready · no fixed slot"))</f>
        <v/>
      </c>
      <c r="AN302" s="17" t="n"/>
    </row>
    <row r="303">
      <c r="A303" s="11" t="n">
        <v>301</v>
      </c>
      <c r="B303" s="11" t="n">
        <v>3</v>
      </c>
      <c r="C303" s="11" t="inlineStr">
        <is>
          <t>Fund / asset manager</t>
        </is>
      </c>
      <c r="D303" s="11" t="inlineStr">
        <is>
          <t>City of London</t>
        </is>
      </c>
      <c r="E303" s="11" t="inlineStr">
        <is>
          <t>Aikya Investment Management Limited</t>
        </is>
      </c>
      <c r="F303" s="11" t="inlineStr">
        <is>
          <t>Aikya Investment Management</t>
        </is>
      </c>
      <c r="G303" s="11" t="inlineStr">
        <is>
          <t>12329682</t>
        </is>
      </c>
      <c r="H303" s="12" t="inlineStr">
        <is>
          <t>Open</t>
        </is>
      </c>
      <c r="I303" s="12" t="inlineStr">
        <is>
          <t>Search</t>
        </is>
      </c>
      <c r="J303" s="11" t="inlineStr">
        <is>
          <t>Full</t>
        </is>
      </c>
      <c r="K303" s="13" t="n">
        <v>43791</v>
      </c>
      <c r="L303" s="11" t="inlineStr">
        <is>
          <t>C/O Norose Company Secretarial Services Ltd, 3 More London Riverside, London</t>
        </is>
      </c>
      <c r="M303" s="11" t="inlineStr">
        <is>
          <t>SE1 2AQ</t>
        </is>
      </c>
      <c r="N303" s="11" t="inlineStr">
        <is>
          <t>No</t>
        </is>
      </c>
      <c r="U303" s="11" t="inlineStr">
        <is>
          <t>Bermondsey Riverside</t>
        </is>
      </c>
      <c r="V303" s="11" t="n">
        <v>15</v>
      </c>
      <c r="W303" s="11" t="n"/>
      <c r="X303" s="11" t="inlineStr">
        <is>
          <t>Bermondsey Riverside</t>
        </is>
      </c>
      <c r="Y303" s="11" t="n">
        <v>15</v>
      </c>
      <c r="Z303" s="14">
        <f>IFERROR(INDEX(Venues!$E$2:$E$15,MATCH(X303,Venues!$A$2:$A$15,0)),"Not checked")</f>
        <v/>
      </c>
      <c r="AA303" s="14">
        <f>IFERROR(INDEX(Venues!$F$2:$F$15,MATCH(X303,Venues!$A$2:$A$15,0)),0)</f>
        <v/>
      </c>
      <c r="AB303" s="15">
        <f>IFERROR(INDEX(Venues!$M$2:$M$15,MATCH(X303,Venues!$A$2:$A$15,0)),"")</f>
        <v/>
      </c>
      <c r="AC303" s="14">
        <f>IFERROR(INDEX(Venues!$N$2:$N$15,MATCH(X303,Venues!$A$2:$A$15,0)),"5-a-side")</f>
        <v/>
      </c>
      <c r="AD303" s="16">
        <f>IF(Offer!$C$4="","",Offer!$C$4)</f>
        <v/>
      </c>
      <c r="AE303" s="14">
        <f>X303&amp;" ("&amp;Y303&amp;" min walk) · "&amp;IF(ISNUMBER(AB303),TEXT(AB303,"ddd d mmm, hh:mm"),"slot to confirm with venue")&amp;" · "&amp;AC303&amp;" · "&amp;IF(AD303&lt;&gt;"","£"&amp;TEXT(AD303,"0.00")&amp;" pp","price TBC")</f>
        <v/>
      </c>
      <c r="AF303" s="14">
        <f>"After-work football for "&amp;F303&amp;" · "&amp;X303&amp;", "&amp;Y303&amp;" min from your office"</f>
        <v/>
      </c>
      <c r="AG303" s="14">
        <f>"Hi"&amp;IF(O303&lt;&gt;""," "&amp;O303,"")&amp;","&amp;CHAR(10)&amp;CHAR(10)&amp;"I'm "&amp;IF(AL303&lt;&gt;"",AL303,IF(Offer!$C$5&lt;&gt;"",Offer!$C$5,"[NAME]"))&amp;" from FC Urban. We organise after-work football for teams in the City and Canary Wharf."&amp;CHAR(10)&amp;CHAR(10)&amp;"We have a "&amp;AC303&amp;" pitch at "&amp;X303&amp;", "&amp;IF(OR(Y303=8,Y303=11,Y303=18),"an ","a ")&amp;Y303&amp;"-minute walk from your "&amp;M303&amp;" office, "&amp;IF(ISNUMBER(AB303),"on "&amp;TEXT(AB303,"dddd d mmmm")&amp;" at "&amp;TEXT(AB303,"hh:mm"),"on a weekday evening that suits your team")&amp;". It's "&amp;IF(AD303&lt;&gt;"","£"&amp;IF(AD303=INT(AD303),TEXT(AD303,"0"),TEXT(AD303,"0.00")),"[PRICE PER PLAYER]")&amp;" a player and we handle the pitch booking, sign-ups and payments, so all it takes is one person sharing a link with the team."&amp;CHAR(10)&amp;CHAR(10)&amp;"It works well as a team social or "&amp;IF(ISNUMBER(SEARCH(LEFT(F303,1),"AEIOU")),"an ","a ")&amp;F303&amp;"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LINK]")&amp;CHAR(10)&amp;CHAR(10)&amp;"Best,"&amp;CHAR(10)&amp;IF(AL303&lt;&gt;"",AL303,IF(Offer!$C$5&lt;&gt;"",Offer!$C$5,"[NAME]"))&amp;CHAR(10)&amp;"FC Urban"</f>
        <v/>
      </c>
      <c r="AH303" s="14">
        <f>IF(LEN("Hi"&amp;IF(O303&lt;&gt;""," "&amp;O303,"")&amp;","&amp;" FC Urban runs after-work football for "&amp;IF(D303="Canary Wharf","Canary Wharf","City")&amp;" teams. We have a "&amp;AC303&amp;" pitch at "&amp;X303&amp;", "&amp;Y303&amp;" min from your office, "&amp;IF(ISNUMBER(AB303),TEXT(AB303,"ddd d mmm")&amp;", "&amp;TEXT(AB303,"hh:mm"),"weekday evenings")&amp;", "&amp;IF(AD303&lt;&gt;"","£"&amp;IF(AD303=INT(AD303),TEXT(AD303,"0"),TEXT(AD303,"0.00")),"[PRICE PER PLAYER]")&amp;" a player. We handle booking, sign-ups and payments. Fancy "&amp;IF(ISNUMBER(SEARCH(LEFT(F303,1),"AEIOU")),"an ","a ")&amp;F303&amp;" team game? "&amp;IF(AL303&lt;&gt;"",AL303,IF(Offer!$C$5&lt;&gt;"",Offer!$C$5,"[NAME]")))&lt;=300,"Hi"&amp;IF(O303&lt;&gt;""," "&amp;O303,"")&amp;","&amp;" FC Urban runs after-work football for "&amp;IF(D303="Canary Wharf","Canary Wharf","City")&amp;" teams. We have a "&amp;AC303&amp;" pitch at "&amp;X303&amp;", "&amp;Y303&amp;" min from your office, "&amp;IF(ISNUMBER(AB303),TEXT(AB303,"ddd d mmm")&amp;", "&amp;TEXT(AB303,"hh:mm"),"weekday evenings")&amp;", "&amp;IF(AD303&lt;&gt;"","£"&amp;IF(AD303=INT(AD303),TEXT(AD303,"0"),TEXT(AD303,"0.00")),"[PRICE PER PLAYER]")&amp;" a player. We handle booking, sign-ups and payments. Fancy "&amp;IF(ISNUMBER(SEARCH(LEFT(F303,1),"AEIOU")),"an ","a ")&amp;F303&amp;" team game? "&amp;IF(AL303&lt;&gt;"",AL303,IF(Offer!$C$5&lt;&gt;"",Offer!$C$5,"[NAME]")),LEFT("Hi"&amp;IF(O303&lt;&gt;""," "&amp;O303,"")&amp;","&amp;" FC Urban runs after-work football for "&amp;IF(D303="Canary Wharf","Canary Wharf","City")&amp;" teams: "&amp;AC303&amp;" at "&amp;X303&amp;", "&amp;Y303&amp;" min from your office, "&amp;IF(ISNUMBER(AB303),TEXT(AB303,"ddd d mmm")&amp;", "&amp;TEXT(AB303,"hh:mm"),"weekday evenings")&amp;", "&amp;IF(AD303&lt;&gt;"","£"&amp;IF(AD303=INT(AD303),TEXT(AD303,"0"),TEXT(AD303,"0.00")),"[PRICE PER PLAYER]")&amp;" pp. We handle booking and payments. Up for a team game? "&amp;IF(AL303&lt;&gt;"",AL303,IF(Offer!$C$5&lt;&gt;"",Offer!$C$5,"[NAME]")),300))</f>
        <v/>
      </c>
      <c r="AI303" s="14">
        <f>LEN(AH303)</f>
        <v/>
      </c>
      <c r="AJ303" s="14">
        <f>"Thanks for connecting"&amp;IF(O303&lt;&gt;"",", "&amp;O303,"")&amp;". "&amp;IF(ISNUMBER(AB303),"The "&amp;AC303&amp;" slot at "&amp;X303&amp;" is "&amp;IF(ISNUMBER(AB303),TEXT(AB303,"ddd d mmm")&amp;", "&amp;TEXT(AB303,"hh:mm"),"weekday evenings"),"We can book "&amp;AC303&amp;" at "&amp;X303&amp;" on a weekday evening that suits you")&amp;" and it's "&amp;IF(AD303&lt;&gt;"","£"&amp;IF(AD303=INT(AD303),TEXT(AD303,"0"),TEXT(AD303,"0.00")),"[PRICE PER PLAYER]")&amp;" a player, all booked and paid through one link. If football isn't your thing, who at "&amp;F303&amp;" would be the right person to organise a team game?"&amp;IF(Offer!$C$7&lt;&gt;""," Spots are held until "&amp;TEXT(Offer!$C$7,"dddd d mmmm")&amp;".","")&amp;" "&amp;IF(Offer!$C$6&lt;&gt;"",Offer!$C$6,"[JOINING LINK]")</f>
        <v/>
      </c>
      <c r="AK303" s="14">
        <f>IF(OR(ISNUMBER(SEARCH("[",AG303)),ISNUMBER(SEARCH("[",AJ303))),"Fill placeholders",IF(ISNUMBER(AB303),"Ready to send","Ready · no fixed slot"))</f>
        <v/>
      </c>
      <c r="AN303" s="17" t="n"/>
    </row>
    <row r="304">
      <c r="A304" s="11" t="n">
        <v>302</v>
      </c>
      <c r="B304" s="11" t="n">
        <v>3</v>
      </c>
      <c r="C304" s="11" t="inlineStr">
        <is>
          <t>Fund / asset manager</t>
        </is>
      </c>
      <c r="D304" s="11" t="inlineStr">
        <is>
          <t>City of London</t>
        </is>
      </c>
      <c r="E304" s="11" t="inlineStr">
        <is>
          <t>Antipodes Partners Management (UK) Limited</t>
        </is>
      </c>
      <c r="F304" s="11" t="inlineStr">
        <is>
          <t>Antipodes Partners Management</t>
        </is>
      </c>
      <c r="G304" s="11" t="inlineStr">
        <is>
          <t>13379203</t>
        </is>
      </c>
      <c r="H304" s="12" t="inlineStr">
        <is>
          <t>Open</t>
        </is>
      </c>
      <c r="I304" s="12" t="inlineStr">
        <is>
          <t>Search</t>
        </is>
      </c>
      <c r="J304" s="11" t="inlineStr">
        <is>
          <t>Full</t>
        </is>
      </c>
      <c r="K304" s="13" t="n">
        <v>44322</v>
      </c>
      <c r="L304" s="11" t="inlineStr">
        <is>
          <t>C/O Norose Company Secretarial Services Ltd, 3 More London Riverside, London</t>
        </is>
      </c>
      <c r="M304" s="11" t="inlineStr">
        <is>
          <t>SE1 2AQ</t>
        </is>
      </c>
      <c r="N304" s="11" t="inlineStr">
        <is>
          <t>No</t>
        </is>
      </c>
      <c r="U304" s="11" t="inlineStr">
        <is>
          <t>Bermondsey Riverside</t>
        </is>
      </c>
      <c r="V304" s="11" t="n">
        <v>15</v>
      </c>
      <c r="W304" s="11" t="n"/>
      <c r="X304" s="11" t="inlineStr">
        <is>
          <t>Bermondsey Riverside</t>
        </is>
      </c>
      <c r="Y304" s="11" t="n">
        <v>15</v>
      </c>
      <c r="Z304" s="14">
        <f>IFERROR(INDEX(Venues!$E$2:$E$15,MATCH(X304,Venues!$A$2:$A$15,0)),"Not checked")</f>
        <v/>
      </c>
      <c r="AA304" s="14">
        <f>IFERROR(INDEX(Venues!$F$2:$F$15,MATCH(X304,Venues!$A$2:$A$15,0)),0)</f>
        <v/>
      </c>
      <c r="AB304" s="15">
        <f>IFERROR(INDEX(Venues!$M$2:$M$15,MATCH(X304,Venues!$A$2:$A$15,0)),"")</f>
        <v/>
      </c>
      <c r="AC304" s="14">
        <f>IFERROR(INDEX(Venues!$N$2:$N$15,MATCH(X304,Venues!$A$2:$A$15,0)),"5-a-side")</f>
        <v/>
      </c>
      <c r="AD304" s="16">
        <f>IF(Offer!$C$4="","",Offer!$C$4)</f>
        <v/>
      </c>
      <c r="AE304" s="14">
        <f>X304&amp;" ("&amp;Y304&amp;" min walk) · "&amp;IF(ISNUMBER(AB304),TEXT(AB304,"ddd d mmm, hh:mm"),"slot to confirm with venue")&amp;" · "&amp;AC304&amp;" · "&amp;IF(AD304&lt;&gt;"","£"&amp;TEXT(AD304,"0.00")&amp;" pp","price TBC")</f>
        <v/>
      </c>
      <c r="AF304" s="14">
        <f>"After-work football for "&amp;F304&amp;" · "&amp;X304&amp;", "&amp;Y304&amp;" min from your office"</f>
        <v/>
      </c>
      <c r="AG304" s="14">
        <f>"Hi"&amp;IF(O304&lt;&gt;""," "&amp;O304,"")&amp;","&amp;CHAR(10)&amp;CHAR(10)&amp;"I'm "&amp;IF(AL304&lt;&gt;"",AL304,IF(Offer!$C$5&lt;&gt;"",Offer!$C$5,"[NAME]"))&amp;" from FC Urban. We organise after-work football for teams in the City and Canary Wharf."&amp;CHAR(10)&amp;CHAR(10)&amp;"We have a "&amp;AC304&amp;" pitch at "&amp;X304&amp;", "&amp;IF(OR(Y304=8,Y304=11,Y304=18),"an ","a ")&amp;Y304&amp;"-minute walk from your "&amp;M304&amp;" office, "&amp;IF(ISNUMBER(AB304),"on "&amp;TEXT(AB304,"dddd d mmmm")&amp;" at "&amp;TEXT(AB304,"hh:mm"),"on a weekday evening that suits your team")&amp;". It's "&amp;IF(AD304&lt;&gt;"","£"&amp;IF(AD304=INT(AD304),TEXT(AD304,"0"),TEXT(AD304,"0.00")),"[PRICE PER PLAYER]")&amp;" a player and we handle the pitch booking, sign-ups and payments, so all it takes is one person sharing a link with the team."&amp;CHAR(10)&amp;CHAR(10)&amp;"It works well as a team social or "&amp;IF(ISNUMBER(SEARCH(LEFT(F304,1),"AEIOU")),"an ","a ")&amp;F304&amp;"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LINK]")&amp;CHAR(10)&amp;CHAR(10)&amp;"Best,"&amp;CHAR(10)&amp;IF(AL304&lt;&gt;"",AL304,IF(Offer!$C$5&lt;&gt;"",Offer!$C$5,"[NAME]"))&amp;CHAR(10)&amp;"FC Urban"</f>
        <v/>
      </c>
      <c r="AH304" s="14">
        <f>IF(LEN("Hi"&amp;IF(O304&lt;&gt;""," "&amp;O304,"")&amp;","&amp;" FC Urban runs after-work football for "&amp;IF(D304="Canary Wharf","Canary Wharf","City")&amp;" teams. We have a "&amp;AC304&amp;" pitch at "&amp;X304&amp;", "&amp;Y304&amp;" min from your office, "&amp;IF(ISNUMBER(AB304),TEXT(AB304,"ddd d mmm")&amp;", "&amp;TEXT(AB304,"hh:mm"),"weekday evenings")&amp;", "&amp;IF(AD304&lt;&gt;"","£"&amp;IF(AD304=INT(AD304),TEXT(AD304,"0"),TEXT(AD304,"0.00")),"[PRICE PER PLAYER]")&amp;" a player. We handle booking, sign-ups and payments. Fancy "&amp;IF(ISNUMBER(SEARCH(LEFT(F304,1),"AEIOU")),"an ","a ")&amp;F304&amp;" team game? "&amp;IF(AL304&lt;&gt;"",AL304,IF(Offer!$C$5&lt;&gt;"",Offer!$C$5,"[NAME]")))&lt;=300,"Hi"&amp;IF(O304&lt;&gt;""," "&amp;O304,"")&amp;","&amp;" FC Urban runs after-work football for "&amp;IF(D304="Canary Wharf","Canary Wharf","City")&amp;" teams. We have a "&amp;AC304&amp;" pitch at "&amp;X304&amp;", "&amp;Y304&amp;" min from your office, "&amp;IF(ISNUMBER(AB304),TEXT(AB304,"ddd d mmm")&amp;", "&amp;TEXT(AB304,"hh:mm"),"weekday evenings")&amp;", "&amp;IF(AD304&lt;&gt;"","£"&amp;IF(AD304=INT(AD304),TEXT(AD304,"0"),TEXT(AD304,"0.00")),"[PRICE PER PLAYER]")&amp;" a player. We handle booking, sign-ups and payments. Fancy "&amp;IF(ISNUMBER(SEARCH(LEFT(F304,1),"AEIOU")),"an ","a ")&amp;F304&amp;" team game? "&amp;IF(AL304&lt;&gt;"",AL304,IF(Offer!$C$5&lt;&gt;"",Offer!$C$5,"[NAME]")),LEFT("Hi"&amp;IF(O304&lt;&gt;""," "&amp;O304,"")&amp;","&amp;" FC Urban runs after-work football for "&amp;IF(D304="Canary Wharf","Canary Wharf","City")&amp;" teams: "&amp;AC304&amp;" at "&amp;X304&amp;", "&amp;Y304&amp;" min from your office, "&amp;IF(ISNUMBER(AB304),TEXT(AB304,"ddd d mmm")&amp;", "&amp;TEXT(AB304,"hh:mm"),"weekday evenings")&amp;", "&amp;IF(AD304&lt;&gt;"","£"&amp;IF(AD304=INT(AD304),TEXT(AD304,"0"),TEXT(AD304,"0.00")),"[PRICE PER PLAYER]")&amp;" pp. We handle booking and payments. Up for a team game? "&amp;IF(AL304&lt;&gt;"",AL304,IF(Offer!$C$5&lt;&gt;"",Offer!$C$5,"[NAME]")),300))</f>
        <v/>
      </c>
      <c r="AI304" s="14">
        <f>LEN(AH304)</f>
        <v/>
      </c>
      <c r="AJ304" s="14">
        <f>"Thanks for connecting"&amp;IF(O304&lt;&gt;"",", "&amp;O304,"")&amp;". "&amp;IF(ISNUMBER(AB304),"The "&amp;AC304&amp;" slot at "&amp;X304&amp;" is "&amp;IF(ISNUMBER(AB304),TEXT(AB304,"ddd d mmm")&amp;", "&amp;TEXT(AB304,"hh:mm"),"weekday evenings"),"We can book "&amp;AC304&amp;" at "&amp;X304&amp;" on a weekday evening that suits you")&amp;" and it's "&amp;IF(AD304&lt;&gt;"","£"&amp;IF(AD304=INT(AD304),TEXT(AD304,"0"),TEXT(AD304,"0.00")),"[PRICE PER PLAYER]")&amp;" a player, all booked and paid through one link. If football isn't your thing, who at "&amp;F304&amp;" would be the right person to organise a team game?"&amp;IF(Offer!$C$7&lt;&gt;""," Spots are held until "&amp;TEXT(Offer!$C$7,"dddd d mmmm")&amp;".","")&amp;" "&amp;IF(Offer!$C$6&lt;&gt;"",Offer!$C$6,"[JOINING LINK]")</f>
        <v/>
      </c>
      <c r="AK304" s="14">
        <f>IF(OR(ISNUMBER(SEARCH("[",AG304)),ISNUMBER(SEARCH("[",AJ304))),"Fill placeholders",IF(ISNUMBER(AB304),"Ready to send","Ready · no fixed slot"))</f>
        <v/>
      </c>
      <c r="AN304" s="17" t="n"/>
    </row>
    <row r="305">
      <c r="A305" s="11" t="n">
        <v>303</v>
      </c>
      <c r="B305" s="11" t="n">
        <v>3</v>
      </c>
      <c r="C305" s="11" t="inlineStr">
        <is>
          <t>Fund / asset manager</t>
        </is>
      </c>
      <c r="D305" s="11" t="inlineStr">
        <is>
          <t>City of London</t>
        </is>
      </c>
      <c r="E305" s="11" t="inlineStr">
        <is>
          <t>Momentum Global Investment Management Limited</t>
        </is>
      </c>
      <c r="F305" s="11" t="inlineStr">
        <is>
          <t>Momentum Global Investment Management</t>
        </is>
      </c>
      <c r="G305" s="11" t="inlineStr">
        <is>
          <t>03733094</t>
        </is>
      </c>
      <c r="H305" s="12" t="inlineStr">
        <is>
          <t>Open</t>
        </is>
      </c>
      <c r="I305" s="12" t="inlineStr">
        <is>
          <t>Search</t>
        </is>
      </c>
      <c r="J305" s="11" t="inlineStr">
        <is>
          <t>Full</t>
        </is>
      </c>
      <c r="K305" s="13" t="n">
        <v>36230</v>
      </c>
      <c r="L305" s="11" t="inlineStr">
        <is>
          <t>3 More London Riverside, 3Rd Floor, London</t>
        </is>
      </c>
      <c r="M305" s="11" t="inlineStr">
        <is>
          <t>SE1 2AQ</t>
        </is>
      </c>
      <c r="N305" s="11" t="inlineStr">
        <is>
          <t>No</t>
        </is>
      </c>
      <c r="U305" s="11" t="inlineStr">
        <is>
          <t>Bermondsey Riverside</t>
        </is>
      </c>
      <c r="V305" s="11" t="n">
        <v>15</v>
      </c>
      <c r="W305" s="11" t="n"/>
      <c r="X305" s="11" t="inlineStr">
        <is>
          <t>Bermondsey Riverside</t>
        </is>
      </c>
      <c r="Y305" s="11" t="n">
        <v>15</v>
      </c>
      <c r="Z305" s="14">
        <f>IFERROR(INDEX(Venues!$E$2:$E$15,MATCH(X305,Venues!$A$2:$A$15,0)),"Not checked")</f>
        <v/>
      </c>
      <c r="AA305" s="14">
        <f>IFERROR(INDEX(Venues!$F$2:$F$15,MATCH(X305,Venues!$A$2:$A$15,0)),0)</f>
        <v/>
      </c>
      <c r="AB305" s="15">
        <f>IFERROR(INDEX(Venues!$M$2:$M$15,MATCH(X305,Venues!$A$2:$A$15,0)),"")</f>
        <v/>
      </c>
      <c r="AC305" s="14">
        <f>IFERROR(INDEX(Venues!$N$2:$N$15,MATCH(X305,Venues!$A$2:$A$15,0)),"5-a-side")</f>
        <v/>
      </c>
      <c r="AD305" s="16">
        <f>IF(Offer!$C$4="","",Offer!$C$4)</f>
        <v/>
      </c>
      <c r="AE305" s="14">
        <f>X305&amp;" ("&amp;Y305&amp;" min walk) · "&amp;IF(ISNUMBER(AB305),TEXT(AB305,"ddd d mmm, hh:mm"),"slot to confirm with venue")&amp;" · "&amp;AC305&amp;" · "&amp;IF(AD305&lt;&gt;"","£"&amp;TEXT(AD305,"0.00")&amp;" pp","price TBC")</f>
        <v/>
      </c>
      <c r="AF305" s="14">
        <f>"After-work football for "&amp;F305&amp;" · "&amp;X305&amp;", "&amp;Y305&amp;" min from your office"</f>
        <v/>
      </c>
      <c r="AG305" s="14">
        <f>"Hi"&amp;IF(O305&lt;&gt;""," "&amp;O305,"")&amp;","&amp;CHAR(10)&amp;CHAR(10)&amp;"I'm "&amp;IF(AL305&lt;&gt;"",AL305,IF(Offer!$C$5&lt;&gt;"",Offer!$C$5,"[NAME]"))&amp;" from FC Urban. We organise after-work football for teams in the City and Canary Wharf."&amp;CHAR(10)&amp;CHAR(10)&amp;"We have a "&amp;AC305&amp;" pitch at "&amp;X305&amp;", "&amp;IF(OR(Y305=8,Y305=11,Y305=18),"an ","a ")&amp;Y305&amp;"-minute walk from your "&amp;M305&amp;" office, "&amp;IF(ISNUMBER(AB305),"on "&amp;TEXT(AB305,"dddd d mmmm")&amp;" at "&amp;TEXT(AB305,"hh:mm"),"on a weekday evening that suits your team")&amp;". It's "&amp;IF(AD305&lt;&gt;"","£"&amp;IF(AD305=INT(AD305),TEXT(AD305,"0"),TEXT(AD305,"0.00")),"[PRICE PER PLAYER]")&amp;" a player and we handle the pitch booking, sign-ups and payments, so all it takes is one person sharing a link with the team."&amp;CHAR(10)&amp;CHAR(10)&amp;"It works well as a team social or "&amp;IF(ISNUMBER(SEARCH(LEFT(F305,1),"AEIOU")),"an ","a ")&amp;F305&amp;"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LINK]")&amp;CHAR(10)&amp;CHAR(10)&amp;"Best,"&amp;CHAR(10)&amp;IF(AL305&lt;&gt;"",AL305,IF(Offer!$C$5&lt;&gt;"",Offer!$C$5,"[NAME]"))&amp;CHAR(10)&amp;"FC Urban"</f>
        <v/>
      </c>
      <c r="AH305" s="14">
        <f>IF(LEN("Hi"&amp;IF(O305&lt;&gt;""," "&amp;O305,"")&amp;","&amp;" FC Urban runs after-work football for "&amp;IF(D305="Canary Wharf","Canary Wharf","City")&amp;" teams. We have a "&amp;AC305&amp;" pitch at "&amp;X305&amp;", "&amp;Y305&amp;" min from your office, "&amp;IF(ISNUMBER(AB305),TEXT(AB305,"ddd d mmm")&amp;", "&amp;TEXT(AB305,"hh:mm"),"weekday evenings")&amp;", "&amp;IF(AD305&lt;&gt;"","£"&amp;IF(AD305=INT(AD305),TEXT(AD305,"0"),TEXT(AD305,"0.00")),"[PRICE PER PLAYER]")&amp;" a player. We handle booking, sign-ups and payments. Fancy "&amp;IF(ISNUMBER(SEARCH(LEFT(F305,1),"AEIOU")),"an ","a ")&amp;F305&amp;" team game? "&amp;IF(AL305&lt;&gt;"",AL305,IF(Offer!$C$5&lt;&gt;"",Offer!$C$5,"[NAME]")))&lt;=300,"Hi"&amp;IF(O305&lt;&gt;""," "&amp;O305,"")&amp;","&amp;" FC Urban runs after-work football for "&amp;IF(D305="Canary Wharf","Canary Wharf","City")&amp;" teams. We have a "&amp;AC305&amp;" pitch at "&amp;X305&amp;", "&amp;Y305&amp;" min from your office, "&amp;IF(ISNUMBER(AB305),TEXT(AB305,"ddd d mmm")&amp;", "&amp;TEXT(AB305,"hh:mm"),"weekday evenings")&amp;", "&amp;IF(AD305&lt;&gt;"","£"&amp;IF(AD305=INT(AD305),TEXT(AD305,"0"),TEXT(AD305,"0.00")),"[PRICE PER PLAYER]")&amp;" a player. We handle booking, sign-ups and payments. Fancy "&amp;IF(ISNUMBER(SEARCH(LEFT(F305,1),"AEIOU")),"an ","a ")&amp;F305&amp;" team game? "&amp;IF(AL305&lt;&gt;"",AL305,IF(Offer!$C$5&lt;&gt;"",Offer!$C$5,"[NAME]")),LEFT("Hi"&amp;IF(O305&lt;&gt;""," "&amp;O305,"")&amp;","&amp;" FC Urban runs after-work football for "&amp;IF(D305="Canary Wharf","Canary Wharf","City")&amp;" teams: "&amp;AC305&amp;" at "&amp;X305&amp;", "&amp;Y305&amp;" min from your office, "&amp;IF(ISNUMBER(AB305),TEXT(AB305,"ddd d mmm")&amp;", "&amp;TEXT(AB305,"hh:mm"),"weekday evenings")&amp;", "&amp;IF(AD305&lt;&gt;"","£"&amp;IF(AD305=INT(AD305),TEXT(AD305,"0"),TEXT(AD305,"0.00")),"[PRICE PER PLAYER]")&amp;" pp. We handle booking and payments. Up for a team game? "&amp;IF(AL305&lt;&gt;"",AL305,IF(Offer!$C$5&lt;&gt;"",Offer!$C$5,"[NAME]")),300))</f>
        <v/>
      </c>
      <c r="AI305" s="14">
        <f>LEN(AH305)</f>
        <v/>
      </c>
      <c r="AJ305" s="14">
        <f>"Thanks for connecting"&amp;IF(O305&lt;&gt;"",", "&amp;O305,"")&amp;". "&amp;IF(ISNUMBER(AB305),"The "&amp;AC305&amp;" slot at "&amp;X305&amp;" is "&amp;IF(ISNUMBER(AB305),TEXT(AB305,"ddd d mmm")&amp;", "&amp;TEXT(AB305,"hh:mm"),"weekday evenings"),"We can book "&amp;AC305&amp;" at "&amp;X305&amp;" on a weekday evening that suits you")&amp;" and it's "&amp;IF(AD305&lt;&gt;"","£"&amp;IF(AD305=INT(AD305),TEXT(AD305,"0"),TEXT(AD305,"0.00")),"[PRICE PER PLAYER]")&amp;" a player, all booked and paid through one link. If football isn't your thing, who at "&amp;F305&amp;" would be the right person to organise a team game?"&amp;IF(Offer!$C$7&lt;&gt;""," Spots are held until "&amp;TEXT(Offer!$C$7,"dddd d mmmm")&amp;".","")&amp;" "&amp;IF(Offer!$C$6&lt;&gt;"",Offer!$C$6,"[JOINING LINK]")</f>
        <v/>
      </c>
      <c r="AK305" s="14">
        <f>IF(OR(ISNUMBER(SEARCH("[",AG305)),ISNUMBER(SEARCH("[",AJ305))),"Fill placeholders",IF(ISNUMBER(AB305),"Ready to send","Ready · no fixed slot"))</f>
        <v/>
      </c>
      <c r="AN305" s="17" t="n"/>
    </row>
    <row r="306">
      <c r="A306" s="11" t="n">
        <v>304</v>
      </c>
      <c r="B306" s="11" t="n">
        <v>3</v>
      </c>
      <c r="C306" s="11" t="inlineStr">
        <is>
          <t>Fund / asset manager</t>
        </is>
      </c>
      <c r="D306" s="11" t="inlineStr">
        <is>
          <t>City of London</t>
        </is>
      </c>
      <c r="E306" s="11" t="inlineStr">
        <is>
          <t>Pinnacle Investment Management (UK) Limited</t>
        </is>
      </c>
      <c r="F306" s="11" t="inlineStr">
        <is>
          <t>Pinnacle Investment Management</t>
        </is>
      </c>
      <c r="G306" s="11" t="inlineStr">
        <is>
          <t>11026111</t>
        </is>
      </c>
      <c r="H306" s="12" t="inlineStr">
        <is>
          <t>Open</t>
        </is>
      </c>
      <c r="I306" s="12" t="inlineStr">
        <is>
          <t>Search</t>
        </is>
      </c>
      <c r="J306" s="11" t="inlineStr">
        <is>
          <t>Full</t>
        </is>
      </c>
      <c r="K306" s="13" t="n">
        <v>43031</v>
      </c>
      <c r="L306" s="11" t="inlineStr">
        <is>
          <t>C/O Norose Company Secretarial Services Ltd, 3 More London Riverside, London</t>
        </is>
      </c>
      <c r="M306" s="11" t="inlineStr">
        <is>
          <t>SE1 2AQ</t>
        </is>
      </c>
      <c r="N306" s="11" t="inlineStr">
        <is>
          <t>No</t>
        </is>
      </c>
      <c r="U306" s="11" t="inlineStr">
        <is>
          <t>Bermondsey Riverside</t>
        </is>
      </c>
      <c r="V306" s="11" t="n">
        <v>15</v>
      </c>
      <c r="W306" s="11" t="n"/>
      <c r="X306" s="11" t="inlineStr">
        <is>
          <t>Bermondsey Riverside</t>
        </is>
      </c>
      <c r="Y306" s="11" t="n">
        <v>15</v>
      </c>
      <c r="Z306" s="14">
        <f>IFERROR(INDEX(Venues!$E$2:$E$15,MATCH(X306,Venues!$A$2:$A$15,0)),"Not checked")</f>
        <v/>
      </c>
      <c r="AA306" s="14">
        <f>IFERROR(INDEX(Venues!$F$2:$F$15,MATCH(X306,Venues!$A$2:$A$15,0)),0)</f>
        <v/>
      </c>
      <c r="AB306" s="15">
        <f>IFERROR(INDEX(Venues!$M$2:$M$15,MATCH(X306,Venues!$A$2:$A$15,0)),"")</f>
        <v/>
      </c>
      <c r="AC306" s="14">
        <f>IFERROR(INDEX(Venues!$N$2:$N$15,MATCH(X306,Venues!$A$2:$A$15,0)),"5-a-side")</f>
        <v/>
      </c>
      <c r="AD306" s="16">
        <f>IF(Offer!$C$4="","",Offer!$C$4)</f>
        <v/>
      </c>
      <c r="AE306" s="14">
        <f>X306&amp;" ("&amp;Y306&amp;" min walk) · "&amp;IF(ISNUMBER(AB306),TEXT(AB306,"ddd d mmm, hh:mm"),"slot to confirm with venue")&amp;" · "&amp;AC306&amp;" · "&amp;IF(AD306&lt;&gt;"","£"&amp;TEXT(AD306,"0.00")&amp;" pp","price TBC")</f>
        <v/>
      </c>
      <c r="AF306" s="14">
        <f>"After-work football for "&amp;F306&amp;" · "&amp;X306&amp;", "&amp;Y306&amp;" min from your office"</f>
        <v/>
      </c>
      <c r="AG306" s="14">
        <f>"Hi"&amp;IF(O306&lt;&gt;""," "&amp;O306,"")&amp;","&amp;CHAR(10)&amp;CHAR(10)&amp;"I'm "&amp;IF(AL306&lt;&gt;"",AL306,IF(Offer!$C$5&lt;&gt;"",Offer!$C$5,"[NAME]"))&amp;" from FC Urban. We organise after-work football for teams in the City and Canary Wharf."&amp;CHAR(10)&amp;CHAR(10)&amp;"We have a "&amp;AC306&amp;" pitch at "&amp;X306&amp;", "&amp;IF(OR(Y306=8,Y306=11,Y306=18),"an ","a ")&amp;Y306&amp;"-minute walk from your "&amp;M306&amp;" office, "&amp;IF(ISNUMBER(AB306),"on "&amp;TEXT(AB306,"dddd d mmmm")&amp;" at "&amp;TEXT(AB306,"hh:mm"),"on a weekday evening that suits your team")&amp;". It's "&amp;IF(AD306&lt;&gt;"","£"&amp;IF(AD306=INT(AD306),TEXT(AD306,"0"),TEXT(AD306,"0.00")),"[PRICE PER PLAYER]")&amp;" a player and we handle the pitch booking, sign-ups and payments, so all it takes is one person sharing a link with the team."&amp;CHAR(10)&amp;CHAR(10)&amp;"It works well as a team social or "&amp;IF(ISNUMBER(SEARCH(LEFT(F306,1),"AEIOU")),"an ","a ")&amp;F306&amp;"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LINK]")&amp;CHAR(10)&amp;CHAR(10)&amp;"Best,"&amp;CHAR(10)&amp;IF(AL306&lt;&gt;"",AL306,IF(Offer!$C$5&lt;&gt;"",Offer!$C$5,"[NAME]"))&amp;CHAR(10)&amp;"FC Urban"</f>
        <v/>
      </c>
      <c r="AH306" s="14">
        <f>IF(LEN("Hi"&amp;IF(O306&lt;&gt;""," "&amp;O306,"")&amp;","&amp;" FC Urban runs after-work football for "&amp;IF(D306="Canary Wharf","Canary Wharf","City")&amp;" teams. We have a "&amp;AC306&amp;" pitch at "&amp;X306&amp;", "&amp;Y306&amp;" min from your office, "&amp;IF(ISNUMBER(AB306),TEXT(AB306,"ddd d mmm")&amp;", "&amp;TEXT(AB306,"hh:mm"),"weekday evenings")&amp;", "&amp;IF(AD306&lt;&gt;"","£"&amp;IF(AD306=INT(AD306),TEXT(AD306,"0"),TEXT(AD306,"0.00")),"[PRICE PER PLAYER]")&amp;" a player. We handle booking, sign-ups and payments. Fancy "&amp;IF(ISNUMBER(SEARCH(LEFT(F306,1),"AEIOU")),"an ","a ")&amp;F306&amp;" team game? "&amp;IF(AL306&lt;&gt;"",AL306,IF(Offer!$C$5&lt;&gt;"",Offer!$C$5,"[NAME]")))&lt;=300,"Hi"&amp;IF(O306&lt;&gt;""," "&amp;O306,"")&amp;","&amp;" FC Urban runs after-work football for "&amp;IF(D306="Canary Wharf","Canary Wharf","City")&amp;" teams. We have a "&amp;AC306&amp;" pitch at "&amp;X306&amp;", "&amp;Y306&amp;" min from your office, "&amp;IF(ISNUMBER(AB306),TEXT(AB306,"ddd d mmm")&amp;", "&amp;TEXT(AB306,"hh:mm"),"weekday evenings")&amp;", "&amp;IF(AD306&lt;&gt;"","£"&amp;IF(AD306=INT(AD306),TEXT(AD306,"0"),TEXT(AD306,"0.00")),"[PRICE PER PLAYER]")&amp;" a player. We handle booking, sign-ups and payments. Fancy "&amp;IF(ISNUMBER(SEARCH(LEFT(F306,1),"AEIOU")),"an ","a ")&amp;F306&amp;" team game? "&amp;IF(AL306&lt;&gt;"",AL306,IF(Offer!$C$5&lt;&gt;"",Offer!$C$5,"[NAME]")),LEFT("Hi"&amp;IF(O306&lt;&gt;""," "&amp;O306,"")&amp;","&amp;" FC Urban runs after-work football for "&amp;IF(D306="Canary Wharf","Canary Wharf","City")&amp;" teams: "&amp;AC306&amp;" at "&amp;X306&amp;", "&amp;Y306&amp;" min from your office, "&amp;IF(ISNUMBER(AB306),TEXT(AB306,"ddd d mmm")&amp;", "&amp;TEXT(AB306,"hh:mm"),"weekday evenings")&amp;", "&amp;IF(AD306&lt;&gt;"","£"&amp;IF(AD306=INT(AD306),TEXT(AD306,"0"),TEXT(AD306,"0.00")),"[PRICE PER PLAYER]")&amp;" pp. We handle booking and payments. Up for a team game? "&amp;IF(AL306&lt;&gt;"",AL306,IF(Offer!$C$5&lt;&gt;"",Offer!$C$5,"[NAME]")),300))</f>
        <v/>
      </c>
      <c r="AI306" s="14">
        <f>LEN(AH306)</f>
        <v/>
      </c>
      <c r="AJ306" s="14">
        <f>"Thanks for connecting"&amp;IF(O306&lt;&gt;"",", "&amp;O306,"")&amp;". "&amp;IF(ISNUMBER(AB306),"The "&amp;AC306&amp;" slot at "&amp;X306&amp;" is "&amp;IF(ISNUMBER(AB306),TEXT(AB306,"ddd d mmm")&amp;", "&amp;TEXT(AB306,"hh:mm"),"weekday evenings"),"We can book "&amp;AC306&amp;" at "&amp;X306&amp;" on a weekday evening that suits you")&amp;" and it's "&amp;IF(AD306&lt;&gt;"","£"&amp;IF(AD306=INT(AD306),TEXT(AD306,"0"),TEXT(AD306,"0.00")),"[PRICE PER PLAYER]")&amp;" a player, all booked and paid through one link. If football isn't your thing, who at "&amp;F306&amp;" would be the right person to organise a team game?"&amp;IF(Offer!$C$7&lt;&gt;""," Spots are held until "&amp;TEXT(Offer!$C$7,"dddd d mmmm")&amp;".","")&amp;" "&amp;IF(Offer!$C$6&lt;&gt;"",Offer!$C$6,"[JOINING LINK]")</f>
        <v/>
      </c>
      <c r="AK306" s="14">
        <f>IF(OR(ISNUMBER(SEARCH("[",AG306)),ISNUMBER(SEARCH("[",AJ306))),"Fill placeholders",IF(ISNUMBER(AB306),"Ready to send","Ready · no fixed slot"))</f>
        <v/>
      </c>
      <c r="AN306" s="17" t="n"/>
    </row>
    <row r="307">
      <c r="A307" s="11" t="n">
        <v>305</v>
      </c>
      <c r="B307" s="11" t="n">
        <v>3</v>
      </c>
      <c r="C307" s="11" t="inlineStr">
        <is>
          <t>Fund / asset manager</t>
        </is>
      </c>
      <c r="D307" s="11" t="inlineStr">
        <is>
          <t>City of London</t>
        </is>
      </c>
      <c r="E307" s="11" t="inlineStr">
        <is>
          <t>Sapia Partners LLP</t>
        </is>
      </c>
      <c r="F307" s="11" t="inlineStr">
        <is>
          <t>Sapia Partners</t>
        </is>
      </c>
      <c r="G307" s="11" t="inlineStr">
        <is>
          <t>OC354934</t>
        </is>
      </c>
      <c r="H307" s="12" t="inlineStr">
        <is>
          <t>Open</t>
        </is>
      </c>
      <c r="I307" s="12" t="inlineStr">
        <is>
          <t>Search</t>
        </is>
      </c>
      <c r="J307" s="11" t="inlineStr">
        <is>
          <t>Full</t>
        </is>
      </c>
      <c r="K307" s="13" t="n">
        <v>40312</v>
      </c>
      <c r="L307" s="11" t="inlineStr">
        <is>
          <t>4Th Floor, 3 More London Riverside, London</t>
        </is>
      </c>
      <c r="M307" s="11" t="inlineStr">
        <is>
          <t>SE1 2AQ</t>
        </is>
      </c>
      <c r="N307" s="11" t="inlineStr">
        <is>
          <t>No</t>
        </is>
      </c>
      <c r="U307" s="11" t="inlineStr">
        <is>
          <t>Bermondsey Riverside</t>
        </is>
      </c>
      <c r="V307" s="11" t="n">
        <v>15</v>
      </c>
      <c r="W307" s="11" t="n"/>
      <c r="X307" s="11" t="inlineStr">
        <is>
          <t>Bermondsey Riverside</t>
        </is>
      </c>
      <c r="Y307" s="11" t="n">
        <v>15</v>
      </c>
      <c r="Z307" s="14">
        <f>IFERROR(INDEX(Venues!$E$2:$E$15,MATCH(X307,Venues!$A$2:$A$15,0)),"Not checked")</f>
        <v/>
      </c>
      <c r="AA307" s="14">
        <f>IFERROR(INDEX(Venues!$F$2:$F$15,MATCH(X307,Venues!$A$2:$A$15,0)),0)</f>
        <v/>
      </c>
      <c r="AB307" s="15">
        <f>IFERROR(INDEX(Venues!$M$2:$M$15,MATCH(X307,Venues!$A$2:$A$15,0)),"")</f>
        <v/>
      </c>
      <c r="AC307" s="14">
        <f>IFERROR(INDEX(Venues!$N$2:$N$15,MATCH(X307,Venues!$A$2:$A$15,0)),"5-a-side")</f>
        <v/>
      </c>
      <c r="AD307" s="16">
        <f>IF(Offer!$C$4="","",Offer!$C$4)</f>
        <v/>
      </c>
      <c r="AE307" s="14">
        <f>X307&amp;" ("&amp;Y307&amp;" min walk) · "&amp;IF(ISNUMBER(AB307),TEXT(AB307,"ddd d mmm, hh:mm"),"slot to confirm with venue")&amp;" · "&amp;AC307&amp;" · "&amp;IF(AD307&lt;&gt;"","£"&amp;TEXT(AD307,"0.00")&amp;" pp","price TBC")</f>
        <v/>
      </c>
      <c r="AF307" s="14">
        <f>"After-work football for "&amp;F307&amp;" · "&amp;X307&amp;", "&amp;Y307&amp;" min from your office"</f>
        <v/>
      </c>
      <c r="AG307" s="14">
        <f>"Hi"&amp;IF(O307&lt;&gt;""," "&amp;O307,"")&amp;","&amp;CHAR(10)&amp;CHAR(10)&amp;"I'm "&amp;IF(AL307&lt;&gt;"",AL307,IF(Offer!$C$5&lt;&gt;"",Offer!$C$5,"[NAME]"))&amp;" from FC Urban. We organise after-work football for teams in the City and Canary Wharf."&amp;CHAR(10)&amp;CHAR(10)&amp;"We have a "&amp;AC307&amp;" pitch at "&amp;X307&amp;", "&amp;IF(OR(Y307=8,Y307=11,Y307=18),"an ","a ")&amp;Y307&amp;"-minute walk from your "&amp;M307&amp;" office, "&amp;IF(ISNUMBER(AB307),"on "&amp;TEXT(AB307,"dddd d mmmm")&amp;" at "&amp;TEXT(AB307,"hh:mm"),"on a weekday evening that suits your team")&amp;". It's "&amp;IF(AD307&lt;&gt;"","£"&amp;IF(AD307=INT(AD307),TEXT(AD307,"0"),TEXT(AD307,"0.00")),"[PRICE PER PLAYER]")&amp;" a player and we handle the pitch booking, sign-ups and payments, so all it takes is one person sharing a link with the team."&amp;CHAR(10)&amp;CHAR(10)&amp;"It works well as a team social or "&amp;IF(ISNUMBER(SEARCH(LEFT(F307,1),"AEIOU")),"an ","a ")&amp;F307&amp;"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LINK]")&amp;CHAR(10)&amp;CHAR(10)&amp;"Best,"&amp;CHAR(10)&amp;IF(AL307&lt;&gt;"",AL307,IF(Offer!$C$5&lt;&gt;"",Offer!$C$5,"[NAME]"))&amp;CHAR(10)&amp;"FC Urban"</f>
        <v/>
      </c>
      <c r="AH307" s="14">
        <f>IF(LEN("Hi"&amp;IF(O307&lt;&gt;""," "&amp;O307,"")&amp;","&amp;" FC Urban runs after-work football for "&amp;IF(D307="Canary Wharf","Canary Wharf","City")&amp;" teams. We have a "&amp;AC307&amp;" pitch at "&amp;X307&amp;", "&amp;Y307&amp;" min from your office, "&amp;IF(ISNUMBER(AB307),TEXT(AB307,"ddd d mmm")&amp;", "&amp;TEXT(AB307,"hh:mm"),"weekday evenings")&amp;", "&amp;IF(AD307&lt;&gt;"","£"&amp;IF(AD307=INT(AD307),TEXT(AD307,"0"),TEXT(AD307,"0.00")),"[PRICE PER PLAYER]")&amp;" a player. We handle booking, sign-ups and payments. Fancy "&amp;IF(ISNUMBER(SEARCH(LEFT(F307,1),"AEIOU")),"an ","a ")&amp;F307&amp;" team game? "&amp;IF(AL307&lt;&gt;"",AL307,IF(Offer!$C$5&lt;&gt;"",Offer!$C$5,"[NAME]")))&lt;=300,"Hi"&amp;IF(O307&lt;&gt;""," "&amp;O307,"")&amp;","&amp;" FC Urban runs after-work football for "&amp;IF(D307="Canary Wharf","Canary Wharf","City")&amp;" teams. We have a "&amp;AC307&amp;" pitch at "&amp;X307&amp;", "&amp;Y307&amp;" min from your office, "&amp;IF(ISNUMBER(AB307),TEXT(AB307,"ddd d mmm")&amp;", "&amp;TEXT(AB307,"hh:mm"),"weekday evenings")&amp;", "&amp;IF(AD307&lt;&gt;"","£"&amp;IF(AD307=INT(AD307),TEXT(AD307,"0"),TEXT(AD307,"0.00")),"[PRICE PER PLAYER]")&amp;" a player. We handle booking, sign-ups and payments. Fancy "&amp;IF(ISNUMBER(SEARCH(LEFT(F307,1),"AEIOU")),"an ","a ")&amp;F307&amp;" team game? "&amp;IF(AL307&lt;&gt;"",AL307,IF(Offer!$C$5&lt;&gt;"",Offer!$C$5,"[NAME]")),LEFT("Hi"&amp;IF(O307&lt;&gt;""," "&amp;O307,"")&amp;","&amp;" FC Urban runs after-work football for "&amp;IF(D307="Canary Wharf","Canary Wharf","City")&amp;" teams: "&amp;AC307&amp;" at "&amp;X307&amp;", "&amp;Y307&amp;" min from your office, "&amp;IF(ISNUMBER(AB307),TEXT(AB307,"ddd d mmm")&amp;", "&amp;TEXT(AB307,"hh:mm"),"weekday evenings")&amp;", "&amp;IF(AD307&lt;&gt;"","£"&amp;IF(AD307=INT(AD307),TEXT(AD307,"0"),TEXT(AD307,"0.00")),"[PRICE PER PLAYER]")&amp;" pp. We handle booking and payments. Up for a team game? "&amp;IF(AL307&lt;&gt;"",AL307,IF(Offer!$C$5&lt;&gt;"",Offer!$C$5,"[NAME]")),300))</f>
        <v/>
      </c>
      <c r="AI307" s="14">
        <f>LEN(AH307)</f>
        <v/>
      </c>
      <c r="AJ307" s="14">
        <f>"Thanks for connecting"&amp;IF(O307&lt;&gt;"",", "&amp;O307,"")&amp;". "&amp;IF(ISNUMBER(AB307),"The "&amp;AC307&amp;" slot at "&amp;X307&amp;" is "&amp;IF(ISNUMBER(AB307),TEXT(AB307,"ddd d mmm")&amp;", "&amp;TEXT(AB307,"hh:mm"),"weekday evenings"),"We can book "&amp;AC307&amp;" at "&amp;X307&amp;" on a weekday evening that suits you")&amp;" and it's "&amp;IF(AD307&lt;&gt;"","£"&amp;IF(AD307=INT(AD307),TEXT(AD307,"0"),TEXT(AD307,"0.00")),"[PRICE PER PLAYER]")&amp;" a player, all booked and paid through one link. If football isn't your thing, who at "&amp;F307&amp;" would be the right person to organise a team game?"&amp;IF(Offer!$C$7&lt;&gt;""," Spots are held until "&amp;TEXT(Offer!$C$7,"dddd d mmmm")&amp;".","")&amp;" "&amp;IF(Offer!$C$6&lt;&gt;"",Offer!$C$6,"[JOINING LINK]")</f>
        <v/>
      </c>
      <c r="AK307" s="14">
        <f>IF(OR(ISNUMBER(SEARCH("[",AG307)),ISNUMBER(SEARCH("[",AJ307))),"Fill placeholders",IF(ISNUMBER(AB307),"Ready to send","Ready · no fixed slot"))</f>
        <v/>
      </c>
      <c r="AN307" s="17" t="n"/>
    </row>
    <row r="308">
      <c r="A308" s="11" t="n">
        <v>306</v>
      </c>
      <c r="B308" s="11" t="n">
        <v>3</v>
      </c>
      <c r="C308" s="11" t="inlineStr">
        <is>
          <t>Insurance / broker</t>
        </is>
      </c>
      <c r="D308" s="11" t="inlineStr">
        <is>
          <t>City of London</t>
        </is>
      </c>
      <c r="E308" s="11" t="inlineStr">
        <is>
          <t>Wakam UK Limited</t>
        </is>
      </c>
      <c r="F308" s="11" t="inlineStr">
        <is>
          <t>Wakam</t>
        </is>
      </c>
      <c r="G308" s="11" t="inlineStr">
        <is>
          <t>14778827</t>
        </is>
      </c>
      <c r="H308" s="12" t="inlineStr">
        <is>
          <t>Open</t>
        </is>
      </c>
      <c r="I308" s="12" t="inlineStr">
        <is>
          <t>Search</t>
        </is>
      </c>
      <c r="J308" s="11" t="inlineStr">
        <is>
          <t>Full</t>
        </is>
      </c>
      <c r="K308" s="13" t="n">
        <v>45020</v>
      </c>
      <c r="L308" s="11" t="inlineStr">
        <is>
          <t>18Th &amp; 19 Floors, 100 Bishopsgate, London</t>
        </is>
      </c>
      <c r="M308" s="11" t="inlineStr">
        <is>
          <t>EC2N 4AG</t>
        </is>
      </c>
      <c r="N308" s="11" t="inlineStr">
        <is>
          <t>No</t>
        </is>
      </c>
      <c r="U308" s="11" t="inlineStr">
        <is>
          <t>Liverpool St - Attlee Centre</t>
        </is>
      </c>
      <c r="V308" s="11" t="n">
        <v>10</v>
      </c>
      <c r="W308" s="11" t="inlineStr">
        <is>
          <t>Shoreditch Powerleague (15.2)</t>
        </is>
      </c>
      <c r="X308" s="11" t="inlineStr">
        <is>
          <t>Shoreditch Powerleague</t>
        </is>
      </c>
      <c r="Y308" s="11" t="n">
        <v>15</v>
      </c>
      <c r="Z308" s="14">
        <f>IFERROR(INDEX(Venues!$E$2:$E$15,MATCH(X308,Venues!$A$2:$A$15,0)),"Not checked")</f>
        <v/>
      </c>
      <c r="AA308" s="14">
        <f>IFERROR(INDEX(Venues!$F$2:$F$15,MATCH(X308,Venues!$A$2:$A$15,0)),0)</f>
        <v/>
      </c>
      <c r="AB308" s="15">
        <f>IFERROR(INDEX(Venues!$M$2:$M$15,MATCH(X308,Venues!$A$2:$A$15,0)),"")</f>
        <v/>
      </c>
      <c r="AC308" s="14">
        <f>IFERROR(INDEX(Venues!$N$2:$N$15,MATCH(X308,Venues!$A$2:$A$15,0)),"5-a-side")</f>
        <v/>
      </c>
      <c r="AD308" s="16">
        <f>IF(Offer!$C$4="","",Offer!$C$4)</f>
        <v/>
      </c>
      <c r="AE308" s="14">
        <f>X308&amp;" ("&amp;Y308&amp;" min walk) · "&amp;IF(ISNUMBER(AB308),TEXT(AB308,"ddd d mmm, hh:mm"),"slot to confirm with venue")&amp;" · "&amp;AC308&amp;" · "&amp;IF(AD308&lt;&gt;"","£"&amp;TEXT(AD308,"0.00")&amp;" pp","price TBC")</f>
        <v/>
      </c>
      <c r="AF308" s="14">
        <f>"After-work football for "&amp;F308&amp;" · "&amp;X308&amp;", "&amp;Y308&amp;" min from your office"</f>
        <v/>
      </c>
      <c r="AG308" s="14">
        <f>"Hi"&amp;IF(O308&lt;&gt;""," "&amp;O308,"")&amp;","&amp;CHAR(10)&amp;CHAR(10)&amp;"I'm "&amp;IF(AL308&lt;&gt;"",AL308,IF(Offer!$C$5&lt;&gt;"",Offer!$C$5,"[NAME]"))&amp;" from FC Urban. We organise after-work football for teams in the City and Canary Wharf."&amp;CHAR(10)&amp;CHAR(10)&amp;"We have a "&amp;AC308&amp;" pitch at "&amp;X308&amp;", "&amp;IF(OR(Y308=8,Y308=11,Y308=18),"an ","a ")&amp;Y308&amp;"-minute walk from your "&amp;M308&amp;" office, "&amp;IF(ISNUMBER(AB308),"on "&amp;TEXT(AB308,"dddd d mmmm")&amp;" at "&amp;TEXT(AB308,"hh:mm"),"on a weekday evening that suits your team")&amp;". It's "&amp;IF(AD308&lt;&gt;"","£"&amp;IF(AD308=INT(AD308),TEXT(AD308,"0"),TEXT(AD308,"0.00")),"[PRICE PER PLAYER]")&amp;" a player and we handle the pitch booking, sign-ups and payments, so all it takes is one person sharing a link with the team."&amp;CHAR(10)&amp;CHAR(10)&amp;"It works well as a team social or "&amp;IF(ISNUMBER(SEARCH(LEFT(F308,1),"AEIOU")),"an ","a ")&amp;F308&amp;"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LINK]")&amp;CHAR(10)&amp;CHAR(10)&amp;"Best,"&amp;CHAR(10)&amp;IF(AL308&lt;&gt;"",AL308,IF(Offer!$C$5&lt;&gt;"",Offer!$C$5,"[NAME]"))&amp;CHAR(10)&amp;"FC Urban"</f>
        <v/>
      </c>
      <c r="AH308" s="14">
        <f>IF(LEN("Hi"&amp;IF(O308&lt;&gt;""," "&amp;O308,"")&amp;","&amp;" FC Urban runs after-work football for "&amp;IF(D308="Canary Wharf","Canary Wharf","City")&amp;" teams. We have a "&amp;AC308&amp;" pitch at "&amp;X308&amp;", "&amp;Y308&amp;" min from your office, "&amp;IF(ISNUMBER(AB308),TEXT(AB308,"ddd d mmm")&amp;", "&amp;TEXT(AB308,"hh:mm"),"weekday evenings")&amp;", "&amp;IF(AD308&lt;&gt;"","£"&amp;IF(AD308=INT(AD308),TEXT(AD308,"0"),TEXT(AD308,"0.00")),"[PRICE PER PLAYER]")&amp;" a player. We handle booking, sign-ups and payments. Fancy "&amp;IF(ISNUMBER(SEARCH(LEFT(F308,1),"AEIOU")),"an ","a ")&amp;F308&amp;" team game? "&amp;IF(AL308&lt;&gt;"",AL308,IF(Offer!$C$5&lt;&gt;"",Offer!$C$5,"[NAME]")))&lt;=300,"Hi"&amp;IF(O308&lt;&gt;""," "&amp;O308,"")&amp;","&amp;" FC Urban runs after-work football for "&amp;IF(D308="Canary Wharf","Canary Wharf","City")&amp;" teams. We have a "&amp;AC308&amp;" pitch at "&amp;X308&amp;", "&amp;Y308&amp;" min from your office, "&amp;IF(ISNUMBER(AB308),TEXT(AB308,"ddd d mmm")&amp;", "&amp;TEXT(AB308,"hh:mm"),"weekday evenings")&amp;", "&amp;IF(AD308&lt;&gt;"","£"&amp;IF(AD308=INT(AD308),TEXT(AD308,"0"),TEXT(AD308,"0.00")),"[PRICE PER PLAYER]")&amp;" a player. We handle booking, sign-ups and payments. Fancy "&amp;IF(ISNUMBER(SEARCH(LEFT(F308,1),"AEIOU")),"an ","a ")&amp;F308&amp;" team game? "&amp;IF(AL308&lt;&gt;"",AL308,IF(Offer!$C$5&lt;&gt;"",Offer!$C$5,"[NAME]")),LEFT("Hi"&amp;IF(O308&lt;&gt;""," "&amp;O308,"")&amp;","&amp;" FC Urban runs after-work football for "&amp;IF(D308="Canary Wharf","Canary Wharf","City")&amp;" teams: "&amp;AC308&amp;" at "&amp;X308&amp;", "&amp;Y308&amp;" min from your office, "&amp;IF(ISNUMBER(AB308),TEXT(AB308,"ddd d mmm")&amp;", "&amp;TEXT(AB308,"hh:mm"),"weekday evenings")&amp;", "&amp;IF(AD308&lt;&gt;"","£"&amp;IF(AD308=INT(AD308),TEXT(AD308,"0"),TEXT(AD308,"0.00")),"[PRICE PER PLAYER]")&amp;" pp. We handle booking and payments. Up for a team game? "&amp;IF(AL308&lt;&gt;"",AL308,IF(Offer!$C$5&lt;&gt;"",Offer!$C$5,"[NAME]")),300))</f>
        <v/>
      </c>
      <c r="AI308" s="14">
        <f>LEN(AH308)</f>
        <v/>
      </c>
      <c r="AJ308" s="14">
        <f>"Thanks for connecting"&amp;IF(O308&lt;&gt;"",", "&amp;O308,"")&amp;". "&amp;IF(ISNUMBER(AB308),"The "&amp;AC308&amp;" slot at "&amp;X308&amp;" is "&amp;IF(ISNUMBER(AB308),TEXT(AB308,"ddd d mmm")&amp;", "&amp;TEXT(AB308,"hh:mm"),"weekday evenings"),"We can book "&amp;AC308&amp;" at "&amp;X308&amp;" on a weekday evening that suits you")&amp;" and it's "&amp;IF(AD308&lt;&gt;"","£"&amp;IF(AD308=INT(AD308),TEXT(AD308,"0"),TEXT(AD308,"0.00")),"[PRICE PER PLAYER]")&amp;" a player, all booked and paid through one link. If football isn't your thing, who at "&amp;F308&amp;" would be the right person to organise a team game?"&amp;IF(Offer!$C$7&lt;&gt;""," Spots are held until "&amp;TEXT(Offer!$C$7,"dddd d mmmm")&amp;".","")&amp;" "&amp;IF(Offer!$C$6&lt;&gt;"",Offer!$C$6,"[JOINING LINK]")</f>
        <v/>
      </c>
      <c r="AK308" s="14">
        <f>IF(OR(ISNUMBER(SEARCH("[",AG308)),ISNUMBER(SEARCH("[",AJ308))),"Fill placeholders",IF(ISNUMBER(AB308),"Ready to send","Ready · no fixed slot"))</f>
        <v/>
      </c>
      <c r="AN308" s="17" t="n"/>
    </row>
    <row r="309">
      <c r="A309" s="11" t="n">
        <v>307</v>
      </c>
      <c r="B309" s="11" t="n">
        <v>3</v>
      </c>
      <c r="C309" s="11" t="inlineStr">
        <is>
          <t>Fund / asset manager</t>
        </is>
      </c>
      <c r="D309" s="11" t="inlineStr">
        <is>
          <t>City of London</t>
        </is>
      </c>
      <c r="E309" s="11" t="inlineStr">
        <is>
          <t>Bluebay Asset Management International Limited</t>
        </is>
      </c>
      <c r="F309" s="11" t="inlineStr">
        <is>
          <t>BlueBay</t>
        </is>
      </c>
      <c r="G309" s="11" t="inlineStr">
        <is>
          <t>05310624</t>
        </is>
      </c>
      <c r="H309" s="12" t="inlineStr">
        <is>
          <t>Open</t>
        </is>
      </c>
      <c r="I309" s="12" t="inlineStr">
        <is>
          <t>Search</t>
        </is>
      </c>
      <c r="J309" s="11" t="inlineStr">
        <is>
          <t>Full</t>
        </is>
      </c>
      <c r="K309" s="13" t="n">
        <v>38331</v>
      </c>
      <c r="L309" s="11" t="inlineStr">
        <is>
          <t>100 Bishopsgate, London</t>
        </is>
      </c>
      <c r="M309" s="11" t="inlineStr">
        <is>
          <t>EC2N 4AA</t>
        </is>
      </c>
      <c r="N309" s="11" t="inlineStr">
        <is>
          <t>No</t>
        </is>
      </c>
      <c r="U309" s="11" t="inlineStr">
        <is>
          <t>Liverpool St - Attlee Centre</t>
        </is>
      </c>
      <c r="V309" s="11" t="n">
        <v>10</v>
      </c>
      <c r="W309" s="11" t="inlineStr">
        <is>
          <t>Shoreditch Powerleague (15.2)</t>
        </is>
      </c>
      <c r="X309" s="11" t="inlineStr">
        <is>
          <t>Shoreditch Powerleague</t>
        </is>
      </c>
      <c r="Y309" s="11" t="n">
        <v>15</v>
      </c>
      <c r="Z309" s="14">
        <f>IFERROR(INDEX(Venues!$E$2:$E$15,MATCH(X309,Venues!$A$2:$A$15,0)),"Not checked")</f>
        <v/>
      </c>
      <c r="AA309" s="14">
        <f>IFERROR(INDEX(Venues!$F$2:$F$15,MATCH(X309,Venues!$A$2:$A$15,0)),0)</f>
        <v/>
      </c>
      <c r="AB309" s="15">
        <f>IFERROR(INDEX(Venues!$M$2:$M$15,MATCH(X309,Venues!$A$2:$A$15,0)),"")</f>
        <v/>
      </c>
      <c r="AC309" s="14">
        <f>IFERROR(INDEX(Venues!$N$2:$N$15,MATCH(X309,Venues!$A$2:$A$15,0)),"5-a-side")</f>
        <v/>
      </c>
      <c r="AD309" s="16">
        <f>IF(Offer!$C$4="","",Offer!$C$4)</f>
        <v/>
      </c>
      <c r="AE309" s="14">
        <f>X309&amp;" ("&amp;Y309&amp;" min walk) · "&amp;IF(ISNUMBER(AB309),TEXT(AB309,"ddd d mmm, hh:mm"),"slot to confirm with venue")&amp;" · "&amp;AC309&amp;" · "&amp;IF(AD309&lt;&gt;"","£"&amp;TEXT(AD309,"0.00")&amp;" pp","price TBC")</f>
        <v/>
      </c>
      <c r="AF309" s="14">
        <f>"After-work football for "&amp;F309&amp;" · "&amp;X309&amp;", "&amp;Y309&amp;" min from your office"</f>
        <v/>
      </c>
      <c r="AG309" s="14">
        <f>"Hi"&amp;IF(O309&lt;&gt;""," "&amp;O309,"")&amp;","&amp;CHAR(10)&amp;CHAR(10)&amp;"I'm "&amp;IF(AL309&lt;&gt;"",AL309,IF(Offer!$C$5&lt;&gt;"",Offer!$C$5,"[NAME]"))&amp;" from FC Urban. We organise after-work football for teams in the City and Canary Wharf."&amp;CHAR(10)&amp;CHAR(10)&amp;"We have a "&amp;AC309&amp;" pitch at "&amp;X309&amp;", "&amp;IF(OR(Y309=8,Y309=11,Y309=18),"an ","a ")&amp;Y309&amp;"-minute walk from your "&amp;M309&amp;" office, "&amp;IF(ISNUMBER(AB309),"on "&amp;TEXT(AB309,"dddd d mmmm")&amp;" at "&amp;TEXT(AB309,"hh:mm"),"on a weekday evening that suits your team")&amp;". It's "&amp;IF(AD309&lt;&gt;"","£"&amp;IF(AD309=INT(AD309),TEXT(AD309,"0"),TEXT(AD309,"0.00")),"[PRICE PER PLAYER]")&amp;" a player and we handle the pitch booking, sign-ups and payments, so all it takes is one person sharing a link with the team."&amp;CHAR(10)&amp;CHAR(10)&amp;"It works well as a team social or "&amp;IF(ISNUMBER(SEARCH(LEFT(F309,1),"AEIOU")),"an ","a ")&amp;F309&amp;"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LINK]")&amp;CHAR(10)&amp;CHAR(10)&amp;"Best,"&amp;CHAR(10)&amp;IF(AL309&lt;&gt;"",AL309,IF(Offer!$C$5&lt;&gt;"",Offer!$C$5,"[NAME]"))&amp;CHAR(10)&amp;"FC Urban"</f>
        <v/>
      </c>
      <c r="AH309" s="14">
        <f>IF(LEN("Hi"&amp;IF(O309&lt;&gt;""," "&amp;O309,"")&amp;","&amp;" FC Urban runs after-work football for "&amp;IF(D309="Canary Wharf","Canary Wharf","City")&amp;" teams. We have a "&amp;AC309&amp;" pitch at "&amp;X309&amp;", "&amp;Y309&amp;" min from your office, "&amp;IF(ISNUMBER(AB309),TEXT(AB309,"ddd d mmm")&amp;", "&amp;TEXT(AB309,"hh:mm"),"weekday evenings")&amp;", "&amp;IF(AD309&lt;&gt;"","£"&amp;IF(AD309=INT(AD309),TEXT(AD309,"0"),TEXT(AD309,"0.00")),"[PRICE PER PLAYER]")&amp;" a player. We handle booking, sign-ups and payments. Fancy "&amp;IF(ISNUMBER(SEARCH(LEFT(F309,1),"AEIOU")),"an ","a ")&amp;F309&amp;" team game? "&amp;IF(AL309&lt;&gt;"",AL309,IF(Offer!$C$5&lt;&gt;"",Offer!$C$5,"[NAME]")))&lt;=300,"Hi"&amp;IF(O309&lt;&gt;""," "&amp;O309,"")&amp;","&amp;" FC Urban runs after-work football for "&amp;IF(D309="Canary Wharf","Canary Wharf","City")&amp;" teams. We have a "&amp;AC309&amp;" pitch at "&amp;X309&amp;", "&amp;Y309&amp;" min from your office, "&amp;IF(ISNUMBER(AB309),TEXT(AB309,"ddd d mmm")&amp;", "&amp;TEXT(AB309,"hh:mm"),"weekday evenings")&amp;", "&amp;IF(AD309&lt;&gt;"","£"&amp;IF(AD309=INT(AD309),TEXT(AD309,"0"),TEXT(AD309,"0.00")),"[PRICE PER PLAYER]")&amp;" a player. We handle booking, sign-ups and payments. Fancy "&amp;IF(ISNUMBER(SEARCH(LEFT(F309,1),"AEIOU")),"an ","a ")&amp;F309&amp;" team game? "&amp;IF(AL309&lt;&gt;"",AL309,IF(Offer!$C$5&lt;&gt;"",Offer!$C$5,"[NAME]")),LEFT("Hi"&amp;IF(O309&lt;&gt;""," "&amp;O309,"")&amp;","&amp;" FC Urban runs after-work football for "&amp;IF(D309="Canary Wharf","Canary Wharf","City")&amp;" teams: "&amp;AC309&amp;" at "&amp;X309&amp;", "&amp;Y309&amp;" min from your office, "&amp;IF(ISNUMBER(AB309),TEXT(AB309,"ddd d mmm")&amp;", "&amp;TEXT(AB309,"hh:mm"),"weekday evenings")&amp;", "&amp;IF(AD309&lt;&gt;"","£"&amp;IF(AD309=INT(AD309),TEXT(AD309,"0"),TEXT(AD309,"0.00")),"[PRICE PER PLAYER]")&amp;" pp. We handle booking and payments. Up for a team game? "&amp;IF(AL309&lt;&gt;"",AL309,IF(Offer!$C$5&lt;&gt;"",Offer!$C$5,"[NAME]")),300))</f>
        <v/>
      </c>
      <c r="AI309" s="14">
        <f>LEN(AH309)</f>
        <v/>
      </c>
      <c r="AJ309" s="14">
        <f>"Thanks for connecting"&amp;IF(O309&lt;&gt;"",", "&amp;O309,"")&amp;". "&amp;IF(ISNUMBER(AB309),"The "&amp;AC309&amp;" slot at "&amp;X309&amp;" is "&amp;IF(ISNUMBER(AB309),TEXT(AB309,"ddd d mmm")&amp;", "&amp;TEXT(AB309,"hh:mm"),"weekday evenings"),"We can book "&amp;AC309&amp;" at "&amp;X309&amp;" on a weekday evening that suits you")&amp;" and it's "&amp;IF(AD309&lt;&gt;"","£"&amp;IF(AD309=INT(AD309),TEXT(AD309,"0"),TEXT(AD309,"0.00")),"[PRICE PER PLAYER]")&amp;" a player, all booked and paid through one link. If football isn't your thing, who at "&amp;F309&amp;" would be the right person to organise a team game?"&amp;IF(Offer!$C$7&lt;&gt;""," Spots are held until "&amp;TEXT(Offer!$C$7,"dddd d mmmm")&amp;".","")&amp;" "&amp;IF(Offer!$C$6&lt;&gt;"",Offer!$C$6,"[JOINING LINK]")</f>
        <v/>
      </c>
      <c r="AK309" s="14">
        <f>IF(OR(ISNUMBER(SEARCH("[",AG309)),ISNUMBER(SEARCH("[",AJ309))),"Fill placeholders",IF(ISNUMBER(AB309),"Ready to send","Ready · no fixed slot"))</f>
        <v/>
      </c>
      <c r="AN309" s="17" t="n"/>
    </row>
    <row r="310">
      <c r="A310" s="11" t="n">
        <v>308</v>
      </c>
      <c r="B310" s="11" t="n">
        <v>3</v>
      </c>
      <c r="C310" s="11" t="inlineStr">
        <is>
          <t>Fund / asset manager</t>
        </is>
      </c>
      <c r="D310" s="11" t="inlineStr">
        <is>
          <t>City of London</t>
        </is>
      </c>
      <c r="E310" s="11" t="inlineStr">
        <is>
          <t>GAM London Limited</t>
        </is>
      </c>
      <c r="F310" s="11" t="inlineStr">
        <is>
          <t>GAM London</t>
        </is>
      </c>
      <c r="G310" s="11" t="inlineStr">
        <is>
          <t>00874802</t>
        </is>
      </c>
      <c r="H310" s="12" t="inlineStr">
        <is>
          <t>Open</t>
        </is>
      </c>
      <c r="I310" s="12" t="inlineStr">
        <is>
          <t>Search</t>
        </is>
      </c>
      <c r="J310" s="11" t="inlineStr">
        <is>
          <t>Full</t>
        </is>
      </c>
      <c r="K310" s="13" t="n">
        <v>24190</v>
      </c>
      <c r="L310" s="11" t="inlineStr">
        <is>
          <t>8 Finsbury Circus, London</t>
        </is>
      </c>
      <c r="M310" s="11" t="inlineStr">
        <is>
          <t>EC2M 7GB</t>
        </is>
      </c>
      <c r="N310" s="11" t="inlineStr">
        <is>
          <t>No</t>
        </is>
      </c>
      <c r="U310" s="11" t="inlineStr">
        <is>
          <t>Shoreditch Powerleague</t>
        </is>
      </c>
      <c r="V310" s="11" t="n">
        <v>15</v>
      </c>
      <c r="W310" s="11" t="inlineStr">
        <is>
          <t>Liverpool St - Attlee Centre (15.7)</t>
        </is>
      </c>
      <c r="X310" s="11" t="inlineStr">
        <is>
          <t>Shoreditch Powerleague</t>
        </is>
      </c>
      <c r="Y310" s="11" t="n">
        <v>15</v>
      </c>
      <c r="Z310" s="14">
        <f>IFERROR(INDEX(Venues!$E$2:$E$15,MATCH(X310,Venues!$A$2:$A$15,0)),"Not checked")</f>
        <v/>
      </c>
      <c r="AA310" s="14">
        <f>IFERROR(INDEX(Venues!$F$2:$F$15,MATCH(X310,Venues!$A$2:$A$15,0)),0)</f>
        <v/>
      </c>
      <c r="AB310" s="15">
        <f>IFERROR(INDEX(Venues!$M$2:$M$15,MATCH(X310,Venues!$A$2:$A$15,0)),"")</f>
        <v/>
      </c>
      <c r="AC310" s="14">
        <f>IFERROR(INDEX(Venues!$N$2:$N$15,MATCH(X310,Venues!$A$2:$A$15,0)),"5-a-side")</f>
        <v/>
      </c>
      <c r="AD310" s="16">
        <f>IF(Offer!$C$4="","",Offer!$C$4)</f>
        <v/>
      </c>
      <c r="AE310" s="14">
        <f>X310&amp;" ("&amp;Y310&amp;" min walk) · "&amp;IF(ISNUMBER(AB310),TEXT(AB310,"ddd d mmm, hh:mm"),"slot to confirm with venue")&amp;" · "&amp;AC310&amp;" · "&amp;IF(AD310&lt;&gt;"","£"&amp;TEXT(AD310,"0.00")&amp;" pp","price TBC")</f>
        <v/>
      </c>
      <c r="AF310" s="14">
        <f>"After-work football for "&amp;F310&amp;" · "&amp;X310&amp;", "&amp;Y310&amp;" min from your office"</f>
        <v/>
      </c>
      <c r="AG310" s="14">
        <f>"Hi"&amp;IF(O310&lt;&gt;""," "&amp;O310,"")&amp;","&amp;CHAR(10)&amp;CHAR(10)&amp;"I'm "&amp;IF(AL310&lt;&gt;"",AL310,IF(Offer!$C$5&lt;&gt;"",Offer!$C$5,"[NAME]"))&amp;" from FC Urban. We organise after-work football for teams in the City and Canary Wharf."&amp;CHAR(10)&amp;CHAR(10)&amp;"We have a "&amp;AC310&amp;" pitch at "&amp;X310&amp;", "&amp;IF(OR(Y310=8,Y310=11,Y310=18),"an ","a ")&amp;Y310&amp;"-minute walk from your "&amp;M310&amp;" office, "&amp;IF(ISNUMBER(AB310),"on "&amp;TEXT(AB310,"dddd d mmmm")&amp;" at "&amp;TEXT(AB310,"hh:mm"),"on a weekday evening that suits your team")&amp;". It's "&amp;IF(AD310&lt;&gt;"","£"&amp;IF(AD310=INT(AD310),TEXT(AD310,"0"),TEXT(AD310,"0.00")),"[PRICE PER PLAYER]")&amp;" a player and we handle the pitch booking, sign-ups and payments, so all it takes is one person sharing a link with the team."&amp;CHAR(10)&amp;CHAR(10)&amp;"It works well as a team social or "&amp;IF(ISNUMBER(SEARCH(LEFT(F310,1),"AEIOU")),"an ","a ")&amp;F310&amp;"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LINK]")&amp;CHAR(10)&amp;CHAR(10)&amp;"Best,"&amp;CHAR(10)&amp;IF(AL310&lt;&gt;"",AL310,IF(Offer!$C$5&lt;&gt;"",Offer!$C$5,"[NAME]"))&amp;CHAR(10)&amp;"FC Urban"</f>
        <v/>
      </c>
      <c r="AH310" s="14">
        <f>IF(LEN("Hi"&amp;IF(O310&lt;&gt;""," "&amp;O310,"")&amp;","&amp;" FC Urban runs after-work football for "&amp;IF(D310="Canary Wharf","Canary Wharf","City")&amp;" teams. We have a "&amp;AC310&amp;" pitch at "&amp;X310&amp;", "&amp;Y310&amp;" min from your office, "&amp;IF(ISNUMBER(AB310),TEXT(AB310,"ddd d mmm")&amp;", "&amp;TEXT(AB310,"hh:mm"),"weekday evenings")&amp;", "&amp;IF(AD310&lt;&gt;"","£"&amp;IF(AD310=INT(AD310),TEXT(AD310,"0"),TEXT(AD310,"0.00")),"[PRICE PER PLAYER]")&amp;" a player. We handle booking, sign-ups and payments. Fancy "&amp;IF(ISNUMBER(SEARCH(LEFT(F310,1),"AEIOU")),"an ","a ")&amp;F310&amp;" team game? "&amp;IF(AL310&lt;&gt;"",AL310,IF(Offer!$C$5&lt;&gt;"",Offer!$C$5,"[NAME]")))&lt;=300,"Hi"&amp;IF(O310&lt;&gt;""," "&amp;O310,"")&amp;","&amp;" FC Urban runs after-work football for "&amp;IF(D310="Canary Wharf","Canary Wharf","City")&amp;" teams. We have a "&amp;AC310&amp;" pitch at "&amp;X310&amp;", "&amp;Y310&amp;" min from your office, "&amp;IF(ISNUMBER(AB310),TEXT(AB310,"ddd d mmm")&amp;", "&amp;TEXT(AB310,"hh:mm"),"weekday evenings")&amp;", "&amp;IF(AD310&lt;&gt;"","£"&amp;IF(AD310=INT(AD310),TEXT(AD310,"0"),TEXT(AD310,"0.00")),"[PRICE PER PLAYER]")&amp;" a player. We handle booking, sign-ups and payments. Fancy "&amp;IF(ISNUMBER(SEARCH(LEFT(F310,1),"AEIOU")),"an ","a ")&amp;F310&amp;" team game? "&amp;IF(AL310&lt;&gt;"",AL310,IF(Offer!$C$5&lt;&gt;"",Offer!$C$5,"[NAME]")),LEFT("Hi"&amp;IF(O310&lt;&gt;""," "&amp;O310,"")&amp;","&amp;" FC Urban runs after-work football for "&amp;IF(D310="Canary Wharf","Canary Wharf","City")&amp;" teams: "&amp;AC310&amp;" at "&amp;X310&amp;", "&amp;Y310&amp;" min from your office, "&amp;IF(ISNUMBER(AB310),TEXT(AB310,"ddd d mmm")&amp;", "&amp;TEXT(AB310,"hh:mm"),"weekday evenings")&amp;", "&amp;IF(AD310&lt;&gt;"","£"&amp;IF(AD310=INT(AD310),TEXT(AD310,"0"),TEXT(AD310,"0.00")),"[PRICE PER PLAYER]")&amp;" pp. We handle booking and payments. Up for a team game? "&amp;IF(AL310&lt;&gt;"",AL310,IF(Offer!$C$5&lt;&gt;"",Offer!$C$5,"[NAME]")),300))</f>
        <v/>
      </c>
      <c r="AI310" s="14">
        <f>LEN(AH310)</f>
        <v/>
      </c>
      <c r="AJ310" s="14">
        <f>"Thanks for connecting"&amp;IF(O310&lt;&gt;"",", "&amp;O310,"")&amp;". "&amp;IF(ISNUMBER(AB310),"The "&amp;AC310&amp;" slot at "&amp;X310&amp;" is "&amp;IF(ISNUMBER(AB310),TEXT(AB310,"ddd d mmm")&amp;", "&amp;TEXT(AB310,"hh:mm"),"weekday evenings"),"We can book "&amp;AC310&amp;" at "&amp;X310&amp;" on a weekday evening that suits you")&amp;" and it's "&amp;IF(AD310&lt;&gt;"","£"&amp;IF(AD310=INT(AD310),TEXT(AD310,"0"),TEXT(AD310,"0.00")),"[PRICE PER PLAYER]")&amp;" a player, all booked and paid through one link. If football isn't your thing, who at "&amp;F310&amp;" would be the right person to organise a team game?"&amp;IF(Offer!$C$7&lt;&gt;""," Spots are held until "&amp;TEXT(Offer!$C$7,"dddd d mmmm")&amp;".","")&amp;" "&amp;IF(Offer!$C$6&lt;&gt;"",Offer!$C$6,"[JOINING LINK]")</f>
        <v/>
      </c>
      <c r="AK310" s="14">
        <f>IF(OR(ISNUMBER(SEARCH("[",AG310)),ISNUMBER(SEARCH("[",AJ310))),"Fill placeholders",IF(ISNUMBER(AB310),"Ready to send","Ready · no fixed slot"))</f>
        <v/>
      </c>
      <c r="AN310" s="17" t="n"/>
    </row>
    <row r="311">
      <c r="A311" s="11" t="n">
        <v>309</v>
      </c>
      <c r="B311" s="11" t="n">
        <v>3</v>
      </c>
      <c r="C311" s="11" t="inlineStr">
        <is>
          <t>Insurance / broker</t>
        </is>
      </c>
      <c r="D311" s="11" t="inlineStr">
        <is>
          <t>City of London</t>
        </is>
      </c>
      <c r="E311" s="11" t="inlineStr">
        <is>
          <t>HCC International Insurance Company PLC</t>
        </is>
      </c>
      <c r="F311" s="11" t="inlineStr">
        <is>
          <t>HCC International Insurance Company</t>
        </is>
      </c>
      <c r="G311" s="11" t="inlineStr">
        <is>
          <t>01575839</t>
        </is>
      </c>
      <c r="H311" s="12" t="inlineStr">
        <is>
          <t>Open</t>
        </is>
      </c>
      <c r="I311" s="12" t="inlineStr">
        <is>
          <t>Search</t>
        </is>
      </c>
      <c r="J311" s="11" t="inlineStr">
        <is>
          <t>Full</t>
        </is>
      </c>
      <c r="K311" s="13" t="n">
        <v>29789</v>
      </c>
      <c r="L311" s="11" t="inlineStr">
        <is>
          <t>The St Botolph Building, 138 Houndsditch, London</t>
        </is>
      </c>
      <c r="M311" s="11" t="inlineStr">
        <is>
          <t>EC3A 7BT</t>
        </is>
      </c>
      <c r="N311" s="11" t="inlineStr">
        <is>
          <t>No</t>
        </is>
      </c>
      <c r="U311" s="11" t="inlineStr">
        <is>
          <t>Liverpool St - Attlee Centre</t>
        </is>
      </c>
      <c r="V311" s="11" t="n">
        <v>8</v>
      </c>
      <c r="W311" s="11" t="inlineStr">
        <is>
          <t>Shoreditch Powerleague (15.4)</t>
        </is>
      </c>
      <c r="X311" s="11" t="inlineStr">
        <is>
          <t>Shoreditch Powerleague</t>
        </is>
      </c>
      <c r="Y311" s="11" t="n">
        <v>15</v>
      </c>
      <c r="Z311" s="14">
        <f>IFERROR(INDEX(Venues!$E$2:$E$15,MATCH(X311,Venues!$A$2:$A$15,0)),"Not checked")</f>
        <v/>
      </c>
      <c r="AA311" s="14">
        <f>IFERROR(INDEX(Venues!$F$2:$F$15,MATCH(X311,Venues!$A$2:$A$15,0)),0)</f>
        <v/>
      </c>
      <c r="AB311" s="15">
        <f>IFERROR(INDEX(Venues!$M$2:$M$15,MATCH(X311,Venues!$A$2:$A$15,0)),"")</f>
        <v/>
      </c>
      <c r="AC311" s="14">
        <f>IFERROR(INDEX(Venues!$N$2:$N$15,MATCH(X311,Venues!$A$2:$A$15,0)),"5-a-side")</f>
        <v/>
      </c>
      <c r="AD311" s="16">
        <f>IF(Offer!$C$4="","",Offer!$C$4)</f>
        <v/>
      </c>
      <c r="AE311" s="14">
        <f>X311&amp;" ("&amp;Y311&amp;" min walk) · "&amp;IF(ISNUMBER(AB311),TEXT(AB311,"ddd d mmm, hh:mm"),"slot to confirm with venue")&amp;" · "&amp;AC311&amp;" · "&amp;IF(AD311&lt;&gt;"","£"&amp;TEXT(AD311,"0.00")&amp;" pp","price TBC")</f>
        <v/>
      </c>
      <c r="AF311" s="14">
        <f>"After-work football for "&amp;F311&amp;" · "&amp;X311&amp;", "&amp;Y311&amp;" min from your office"</f>
        <v/>
      </c>
      <c r="AG311" s="14">
        <f>"Hi"&amp;IF(O311&lt;&gt;""," "&amp;O311,"")&amp;","&amp;CHAR(10)&amp;CHAR(10)&amp;"I'm "&amp;IF(AL311&lt;&gt;"",AL311,IF(Offer!$C$5&lt;&gt;"",Offer!$C$5,"[NAME]"))&amp;" from FC Urban. We organise after-work football for teams in the City and Canary Wharf."&amp;CHAR(10)&amp;CHAR(10)&amp;"We have a "&amp;AC311&amp;" pitch at "&amp;X311&amp;", "&amp;IF(OR(Y311=8,Y311=11,Y311=18),"an ","a ")&amp;Y311&amp;"-minute walk from your "&amp;M311&amp;" office, "&amp;IF(ISNUMBER(AB311),"on "&amp;TEXT(AB311,"dddd d mmmm")&amp;" at "&amp;TEXT(AB311,"hh:mm"),"on a weekday evening that suits your team")&amp;". It's "&amp;IF(AD311&lt;&gt;"","£"&amp;IF(AD311=INT(AD311),TEXT(AD311,"0"),TEXT(AD311,"0.00")),"[PRICE PER PLAYER]")&amp;" a player and we handle the pitch booking, sign-ups and payments, so all it takes is one person sharing a link with the team."&amp;CHAR(10)&amp;CHAR(10)&amp;"It works well as a team social or "&amp;IF(ISNUMBER(SEARCH(LEFT(F311,1),"AEIOU")),"an ","a ")&amp;F311&amp;"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LINK]")&amp;CHAR(10)&amp;CHAR(10)&amp;"Best,"&amp;CHAR(10)&amp;IF(AL311&lt;&gt;"",AL311,IF(Offer!$C$5&lt;&gt;"",Offer!$C$5,"[NAME]"))&amp;CHAR(10)&amp;"FC Urban"</f>
        <v/>
      </c>
      <c r="AH311" s="14">
        <f>IF(LEN("Hi"&amp;IF(O311&lt;&gt;""," "&amp;O311,"")&amp;","&amp;" FC Urban runs after-work football for "&amp;IF(D311="Canary Wharf","Canary Wharf","City")&amp;" teams. We have a "&amp;AC311&amp;" pitch at "&amp;X311&amp;", "&amp;Y311&amp;" min from your office, "&amp;IF(ISNUMBER(AB311),TEXT(AB311,"ddd d mmm")&amp;", "&amp;TEXT(AB311,"hh:mm"),"weekday evenings")&amp;", "&amp;IF(AD311&lt;&gt;"","£"&amp;IF(AD311=INT(AD311),TEXT(AD311,"0"),TEXT(AD311,"0.00")),"[PRICE PER PLAYER]")&amp;" a player. We handle booking, sign-ups and payments. Fancy "&amp;IF(ISNUMBER(SEARCH(LEFT(F311,1),"AEIOU")),"an ","a ")&amp;F311&amp;" team game? "&amp;IF(AL311&lt;&gt;"",AL311,IF(Offer!$C$5&lt;&gt;"",Offer!$C$5,"[NAME]")))&lt;=300,"Hi"&amp;IF(O311&lt;&gt;""," "&amp;O311,"")&amp;","&amp;" FC Urban runs after-work football for "&amp;IF(D311="Canary Wharf","Canary Wharf","City")&amp;" teams. We have a "&amp;AC311&amp;" pitch at "&amp;X311&amp;", "&amp;Y311&amp;" min from your office, "&amp;IF(ISNUMBER(AB311),TEXT(AB311,"ddd d mmm")&amp;", "&amp;TEXT(AB311,"hh:mm"),"weekday evenings")&amp;", "&amp;IF(AD311&lt;&gt;"","£"&amp;IF(AD311=INT(AD311),TEXT(AD311,"0"),TEXT(AD311,"0.00")),"[PRICE PER PLAYER]")&amp;" a player. We handle booking, sign-ups and payments. Fancy "&amp;IF(ISNUMBER(SEARCH(LEFT(F311,1),"AEIOU")),"an ","a ")&amp;F311&amp;" team game? "&amp;IF(AL311&lt;&gt;"",AL311,IF(Offer!$C$5&lt;&gt;"",Offer!$C$5,"[NAME]")),LEFT("Hi"&amp;IF(O311&lt;&gt;""," "&amp;O311,"")&amp;","&amp;" FC Urban runs after-work football for "&amp;IF(D311="Canary Wharf","Canary Wharf","City")&amp;" teams: "&amp;AC311&amp;" at "&amp;X311&amp;", "&amp;Y311&amp;" min from your office, "&amp;IF(ISNUMBER(AB311),TEXT(AB311,"ddd d mmm")&amp;", "&amp;TEXT(AB311,"hh:mm"),"weekday evenings")&amp;", "&amp;IF(AD311&lt;&gt;"","£"&amp;IF(AD311=INT(AD311),TEXT(AD311,"0"),TEXT(AD311,"0.00")),"[PRICE PER PLAYER]")&amp;" pp. We handle booking and payments. Up for a team game? "&amp;IF(AL311&lt;&gt;"",AL311,IF(Offer!$C$5&lt;&gt;"",Offer!$C$5,"[NAME]")),300))</f>
        <v/>
      </c>
      <c r="AI311" s="14">
        <f>LEN(AH311)</f>
        <v/>
      </c>
      <c r="AJ311" s="14">
        <f>"Thanks for connecting"&amp;IF(O311&lt;&gt;"",", "&amp;O311,"")&amp;". "&amp;IF(ISNUMBER(AB311),"The "&amp;AC311&amp;" slot at "&amp;X311&amp;" is "&amp;IF(ISNUMBER(AB311),TEXT(AB311,"ddd d mmm")&amp;", "&amp;TEXT(AB311,"hh:mm"),"weekday evenings"),"We can book "&amp;AC311&amp;" at "&amp;X311&amp;" on a weekday evening that suits you")&amp;" and it's "&amp;IF(AD311&lt;&gt;"","£"&amp;IF(AD311=INT(AD311),TEXT(AD311,"0"),TEXT(AD311,"0.00")),"[PRICE PER PLAYER]")&amp;" a player, all booked and paid through one link. If football isn't your thing, who at "&amp;F311&amp;" would be the right person to organise a team game?"&amp;IF(Offer!$C$7&lt;&gt;""," Spots are held until "&amp;TEXT(Offer!$C$7,"dddd d mmmm")&amp;".","")&amp;" "&amp;IF(Offer!$C$6&lt;&gt;"",Offer!$C$6,"[JOINING LINK]")</f>
        <v/>
      </c>
      <c r="AK311" s="14">
        <f>IF(OR(ISNUMBER(SEARCH("[",AG311)),ISNUMBER(SEARCH("[",AJ311))),"Fill placeholders",IF(ISNUMBER(AB311),"Ready to send","Ready · no fixed slot"))</f>
        <v/>
      </c>
      <c r="AN311" s="17" t="n"/>
    </row>
    <row r="312">
      <c r="A312" s="11" t="n">
        <v>310</v>
      </c>
      <c r="B312" s="11" t="n">
        <v>3</v>
      </c>
      <c r="C312" s="11" t="inlineStr">
        <is>
          <t>Insurance / broker</t>
        </is>
      </c>
      <c r="D312" s="11" t="inlineStr">
        <is>
          <t>City of London</t>
        </is>
      </c>
      <c r="E312" s="11" t="inlineStr">
        <is>
          <t>TM Claims Service Europe Limited</t>
        </is>
      </c>
      <c r="F312" s="11" t="inlineStr">
        <is>
          <t>TM Claims Service</t>
        </is>
      </c>
      <c r="G312" s="11" t="inlineStr">
        <is>
          <t>01183719</t>
        </is>
      </c>
      <c r="H312" s="12" t="inlineStr">
        <is>
          <t>Open</t>
        </is>
      </c>
      <c r="I312" s="12" t="inlineStr">
        <is>
          <t>Search</t>
        </is>
      </c>
      <c r="J312" s="11" t="inlineStr">
        <is>
          <t>Full</t>
        </is>
      </c>
      <c r="K312" s="13" t="n">
        <v>27283</v>
      </c>
      <c r="L312" s="11" t="inlineStr">
        <is>
          <t>The St Botolph Building, 138 Houndsditch, London</t>
        </is>
      </c>
      <c r="M312" s="11" t="inlineStr">
        <is>
          <t>EC3A 7BT</t>
        </is>
      </c>
      <c r="N312" s="11" t="inlineStr">
        <is>
          <t>No</t>
        </is>
      </c>
      <c r="U312" s="11" t="inlineStr">
        <is>
          <t>Liverpool St - Attlee Centre</t>
        </is>
      </c>
      <c r="V312" s="11" t="n">
        <v>8</v>
      </c>
      <c r="W312" s="11" t="inlineStr">
        <is>
          <t>Shoreditch Powerleague (15.4)</t>
        </is>
      </c>
      <c r="X312" s="11" t="inlineStr">
        <is>
          <t>Shoreditch Powerleague</t>
        </is>
      </c>
      <c r="Y312" s="11" t="n">
        <v>15</v>
      </c>
      <c r="Z312" s="14">
        <f>IFERROR(INDEX(Venues!$E$2:$E$15,MATCH(X312,Venues!$A$2:$A$15,0)),"Not checked")</f>
        <v/>
      </c>
      <c r="AA312" s="14">
        <f>IFERROR(INDEX(Venues!$F$2:$F$15,MATCH(X312,Venues!$A$2:$A$15,0)),0)</f>
        <v/>
      </c>
      <c r="AB312" s="15">
        <f>IFERROR(INDEX(Venues!$M$2:$M$15,MATCH(X312,Venues!$A$2:$A$15,0)),"")</f>
        <v/>
      </c>
      <c r="AC312" s="14">
        <f>IFERROR(INDEX(Venues!$N$2:$N$15,MATCH(X312,Venues!$A$2:$A$15,0)),"5-a-side")</f>
        <v/>
      </c>
      <c r="AD312" s="16">
        <f>IF(Offer!$C$4="","",Offer!$C$4)</f>
        <v/>
      </c>
      <c r="AE312" s="14">
        <f>X312&amp;" ("&amp;Y312&amp;" min walk) · "&amp;IF(ISNUMBER(AB312),TEXT(AB312,"ddd d mmm, hh:mm"),"slot to confirm with venue")&amp;" · "&amp;AC312&amp;" · "&amp;IF(AD312&lt;&gt;"","£"&amp;TEXT(AD312,"0.00")&amp;" pp","price TBC")</f>
        <v/>
      </c>
      <c r="AF312" s="14">
        <f>"After-work football for "&amp;F312&amp;" · "&amp;X312&amp;", "&amp;Y312&amp;" min from your office"</f>
        <v/>
      </c>
      <c r="AG312" s="14">
        <f>"Hi"&amp;IF(O312&lt;&gt;""," "&amp;O312,"")&amp;","&amp;CHAR(10)&amp;CHAR(10)&amp;"I'm "&amp;IF(AL312&lt;&gt;"",AL312,IF(Offer!$C$5&lt;&gt;"",Offer!$C$5,"[NAME]"))&amp;" from FC Urban. We organise after-work football for teams in the City and Canary Wharf."&amp;CHAR(10)&amp;CHAR(10)&amp;"We have a "&amp;AC312&amp;" pitch at "&amp;X312&amp;", "&amp;IF(OR(Y312=8,Y312=11,Y312=18),"an ","a ")&amp;Y312&amp;"-minute walk from your "&amp;M312&amp;" office, "&amp;IF(ISNUMBER(AB312),"on "&amp;TEXT(AB312,"dddd d mmmm")&amp;" at "&amp;TEXT(AB312,"hh:mm"),"on a weekday evening that suits your team")&amp;". It's "&amp;IF(AD312&lt;&gt;"","£"&amp;IF(AD312=INT(AD312),TEXT(AD312,"0"),TEXT(AD312,"0.00")),"[PRICE PER PLAYER]")&amp;" a player and we handle the pitch booking, sign-ups and payments, so all it takes is one person sharing a link with the team."&amp;CHAR(10)&amp;CHAR(10)&amp;"It works well as a team social or "&amp;IF(ISNUMBER(SEARCH(LEFT(F312,1),"AEIOU")),"an ","a ")&amp;F312&amp;"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LINK]")&amp;CHAR(10)&amp;CHAR(10)&amp;"Best,"&amp;CHAR(10)&amp;IF(AL312&lt;&gt;"",AL312,IF(Offer!$C$5&lt;&gt;"",Offer!$C$5,"[NAME]"))&amp;CHAR(10)&amp;"FC Urban"</f>
        <v/>
      </c>
      <c r="AH312" s="14">
        <f>IF(LEN("Hi"&amp;IF(O312&lt;&gt;""," "&amp;O312,"")&amp;","&amp;" FC Urban runs after-work football for "&amp;IF(D312="Canary Wharf","Canary Wharf","City")&amp;" teams. We have a "&amp;AC312&amp;" pitch at "&amp;X312&amp;", "&amp;Y312&amp;" min from your office, "&amp;IF(ISNUMBER(AB312),TEXT(AB312,"ddd d mmm")&amp;", "&amp;TEXT(AB312,"hh:mm"),"weekday evenings")&amp;", "&amp;IF(AD312&lt;&gt;"","£"&amp;IF(AD312=INT(AD312),TEXT(AD312,"0"),TEXT(AD312,"0.00")),"[PRICE PER PLAYER]")&amp;" a player. We handle booking, sign-ups and payments. Fancy "&amp;IF(ISNUMBER(SEARCH(LEFT(F312,1),"AEIOU")),"an ","a ")&amp;F312&amp;" team game? "&amp;IF(AL312&lt;&gt;"",AL312,IF(Offer!$C$5&lt;&gt;"",Offer!$C$5,"[NAME]")))&lt;=300,"Hi"&amp;IF(O312&lt;&gt;""," "&amp;O312,"")&amp;","&amp;" FC Urban runs after-work football for "&amp;IF(D312="Canary Wharf","Canary Wharf","City")&amp;" teams. We have a "&amp;AC312&amp;" pitch at "&amp;X312&amp;", "&amp;Y312&amp;" min from your office, "&amp;IF(ISNUMBER(AB312),TEXT(AB312,"ddd d mmm")&amp;", "&amp;TEXT(AB312,"hh:mm"),"weekday evenings")&amp;", "&amp;IF(AD312&lt;&gt;"","£"&amp;IF(AD312=INT(AD312),TEXT(AD312,"0"),TEXT(AD312,"0.00")),"[PRICE PER PLAYER]")&amp;" a player. We handle booking, sign-ups and payments. Fancy "&amp;IF(ISNUMBER(SEARCH(LEFT(F312,1),"AEIOU")),"an ","a ")&amp;F312&amp;" team game? "&amp;IF(AL312&lt;&gt;"",AL312,IF(Offer!$C$5&lt;&gt;"",Offer!$C$5,"[NAME]")),LEFT("Hi"&amp;IF(O312&lt;&gt;""," "&amp;O312,"")&amp;","&amp;" FC Urban runs after-work football for "&amp;IF(D312="Canary Wharf","Canary Wharf","City")&amp;" teams: "&amp;AC312&amp;" at "&amp;X312&amp;", "&amp;Y312&amp;" min from your office, "&amp;IF(ISNUMBER(AB312),TEXT(AB312,"ddd d mmm")&amp;", "&amp;TEXT(AB312,"hh:mm"),"weekday evenings")&amp;", "&amp;IF(AD312&lt;&gt;"","£"&amp;IF(AD312=INT(AD312),TEXT(AD312,"0"),TEXT(AD312,"0.00")),"[PRICE PER PLAYER]")&amp;" pp. We handle booking and payments. Up for a team game? "&amp;IF(AL312&lt;&gt;"",AL312,IF(Offer!$C$5&lt;&gt;"",Offer!$C$5,"[NAME]")),300))</f>
        <v/>
      </c>
      <c r="AI312" s="14">
        <f>LEN(AH312)</f>
        <v/>
      </c>
      <c r="AJ312" s="14">
        <f>"Thanks for connecting"&amp;IF(O312&lt;&gt;"",", "&amp;O312,"")&amp;". "&amp;IF(ISNUMBER(AB312),"The "&amp;AC312&amp;" slot at "&amp;X312&amp;" is "&amp;IF(ISNUMBER(AB312),TEXT(AB312,"ddd d mmm")&amp;", "&amp;TEXT(AB312,"hh:mm"),"weekday evenings"),"We can book "&amp;AC312&amp;" at "&amp;X312&amp;" on a weekday evening that suits you")&amp;" and it's "&amp;IF(AD312&lt;&gt;"","£"&amp;IF(AD312=INT(AD312),TEXT(AD312,"0"),TEXT(AD312,"0.00")),"[PRICE PER PLAYER]")&amp;" a player, all booked and paid through one link. If football isn't your thing, who at "&amp;F312&amp;" would be the right person to organise a team game?"&amp;IF(Offer!$C$7&lt;&gt;""," Spots are held until "&amp;TEXT(Offer!$C$7,"dddd d mmmm")&amp;".","")&amp;" "&amp;IF(Offer!$C$6&lt;&gt;"",Offer!$C$6,"[JOINING LINK]")</f>
        <v/>
      </c>
      <c r="AK312" s="14">
        <f>IF(OR(ISNUMBER(SEARCH("[",AG312)),ISNUMBER(SEARCH("[",AJ312))),"Fill placeholders",IF(ISNUMBER(AB312),"Ready to send","Ready · no fixed slot"))</f>
        <v/>
      </c>
      <c r="AN312" s="17" t="n"/>
    </row>
    <row r="313">
      <c r="A313" s="11" t="n">
        <v>311</v>
      </c>
      <c r="B313" s="11" t="n">
        <v>3</v>
      </c>
      <c r="C313" s="11" t="inlineStr">
        <is>
          <t>Insurance / broker</t>
        </is>
      </c>
      <c r="D313" s="11" t="inlineStr">
        <is>
          <t>City of London</t>
        </is>
      </c>
      <c r="E313" s="11" t="inlineStr">
        <is>
          <t>Alan Blunden &amp; Co. Ltd</t>
        </is>
      </c>
      <c r="F313" s="11" t="inlineStr">
        <is>
          <t>Alan Blunden &amp; Co</t>
        </is>
      </c>
      <c r="G313" s="11" t="inlineStr">
        <is>
          <t>03476249</t>
        </is>
      </c>
      <c r="H313" s="12" t="inlineStr">
        <is>
          <t>Open</t>
        </is>
      </c>
      <c r="I313" s="12" t="inlineStr">
        <is>
          <t>Search</t>
        </is>
      </c>
      <c r="J313" s="11" t="inlineStr">
        <is>
          <t>Full</t>
        </is>
      </c>
      <c r="K313" s="13" t="n">
        <v>35768</v>
      </c>
      <c r="L313" s="11" t="inlineStr">
        <is>
          <t>Exchequer Court, 33 St. Mary Axe, London</t>
        </is>
      </c>
      <c r="M313" s="11" t="inlineStr">
        <is>
          <t>EC3A 8AA</t>
        </is>
      </c>
      <c r="N313" s="11" t="inlineStr">
        <is>
          <t>No</t>
        </is>
      </c>
      <c r="U313" s="11" t="inlineStr">
        <is>
          <t>Liverpool St - Attlee Centre</t>
        </is>
      </c>
      <c r="V313" s="11" t="n">
        <v>10</v>
      </c>
      <c r="W313" s="11" t="inlineStr">
        <is>
          <t>Shoreditch Powerleague (15.5)</t>
        </is>
      </c>
      <c r="X313" s="11" t="inlineStr">
        <is>
          <t>Shoreditch Powerleague</t>
        </is>
      </c>
      <c r="Y313" s="11" t="n">
        <v>16</v>
      </c>
      <c r="Z313" s="14">
        <f>IFERROR(INDEX(Venues!$E$2:$E$15,MATCH(X313,Venues!$A$2:$A$15,0)),"Not checked")</f>
        <v/>
      </c>
      <c r="AA313" s="14">
        <f>IFERROR(INDEX(Venues!$F$2:$F$15,MATCH(X313,Venues!$A$2:$A$15,0)),0)</f>
        <v/>
      </c>
      <c r="AB313" s="15">
        <f>IFERROR(INDEX(Venues!$M$2:$M$15,MATCH(X313,Venues!$A$2:$A$15,0)),"")</f>
        <v/>
      </c>
      <c r="AC313" s="14">
        <f>IFERROR(INDEX(Venues!$N$2:$N$15,MATCH(X313,Venues!$A$2:$A$15,0)),"5-a-side")</f>
        <v/>
      </c>
      <c r="AD313" s="16">
        <f>IF(Offer!$C$4="","",Offer!$C$4)</f>
        <v/>
      </c>
      <c r="AE313" s="14">
        <f>X313&amp;" ("&amp;Y313&amp;" min walk) · "&amp;IF(ISNUMBER(AB313),TEXT(AB313,"ddd d mmm, hh:mm"),"slot to confirm with venue")&amp;" · "&amp;AC313&amp;" · "&amp;IF(AD313&lt;&gt;"","£"&amp;TEXT(AD313,"0.00")&amp;" pp","price TBC")</f>
        <v/>
      </c>
      <c r="AF313" s="14">
        <f>"After-work football for "&amp;F313&amp;" · "&amp;X313&amp;", "&amp;Y313&amp;" min from your office"</f>
        <v/>
      </c>
      <c r="AG313" s="14">
        <f>"Hi"&amp;IF(O313&lt;&gt;""," "&amp;O313,"")&amp;","&amp;CHAR(10)&amp;CHAR(10)&amp;"I'm "&amp;IF(AL313&lt;&gt;"",AL313,IF(Offer!$C$5&lt;&gt;"",Offer!$C$5,"[NAME]"))&amp;" from FC Urban. We organise after-work football for teams in the City and Canary Wharf."&amp;CHAR(10)&amp;CHAR(10)&amp;"We have a "&amp;AC313&amp;" pitch at "&amp;X313&amp;", "&amp;IF(OR(Y313=8,Y313=11,Y313=18),"an ","a ")&amp;Y313&amp;"-minute walk from your "&amp;M313&amp;" office, "&amp;IF(ISNUMBER(AB313),"on "&amp;TEXT(AB313,"dddd d mmmm")&amp;" at "&amp;TEXT(AB313,"hh:mm"),"on a weekday evening that suits your team")&amp;". It's "&amp;IF(AD313&lt;&gt;"","£"&amp;IF(AD313=INT(AD313),TEXT(AD313,"0"),TEXT(AD313,"0.00")),"[PRICE PER PLAYER]")&amp;" a player and we handle the pitch booking, sign-ups and payments, so all it takes is one person sharing a link with the team."&amp;CHAR(10)&amp;CHAR(10)&amp;"It works well as a team social or "&amp;IF(ISNUMBER(SEARCH(LEFT(F313,1),"AEIOU")),"an ","a ")&amp;F313&amp;"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LINK]")&amp;CHAR(10)&amp;CHAR(10)&amp;"Best,"&amp;CHAR(10)&amp;IF(AL313&lt;&gt;"",AL313,IF(Offer!$C$5&lt;&gt;"",Offer!$C$5,"[NAME]"))&amp;CHAR(10)&amp;"FC Urban"</f>
        <v/>
      </c>
      <c r="AH313" s="14">
        <f>IF(LEN("Hi"&amp;IF(O313&lt;&gt;""," "&amp;O313,"")&amp;","&amp;" FC Urban runs after-work football for "&amp;IF(D313="Canary Wharf","Canary Wharf","City")&amp;" teams. We have a "&amp;AC313&amp;" pitch at "&amp;X313&amp;", "&amp;Y313&amp;" min from your office, "&amp;IF(ISNUMBER(AB313),TEXT(AB313,"ddd d mmm")&amp;", "&amp;TEXT(AB313,"hh:mm"),"weekday evenings")&amp;", "&amp;IF(AD313&lt;&gt;"","£"&amp;IF(AD313=INT(AD313),TEXT(AD313,"0"),TEXT(AD313,"0.00")),"[PRICE PER PLAYER]")&amp;" a player. We handle booking, sign-ups and payments. Fancy "&amp;IF(ISNUMBER(SEARCH(LEFT(F313,1),"AEIOU")),"an ","a ")&amp;F313&amp;" team game? "&amp;IF(AL313&lt;&gt;"",AL313,IF(Offer!$C$5&lt;&gt;"",Offer!$C$5,"[NAME]")))&lt;=300,"Hi"&amp;IF(O313&lt;&gt;""," "&amp;O313,"")&amp;","&amp;" FC Urban runs after-work football for "&amp;IF(D313="Canary Wharf","Canary Wharf","City")&amp;" teams. We have a "&amp;AC313&amp;" pitch at "&amp;X313&amp;", "&amp;Y313&amp;" min from your office, "&amp;IF(ISNUMBER(AB313),TEXT(AB313,"ddd d mmm")&amp;", "&amp;TEXT(AB313,"hh:mm"),"weekday evenings")&amp;", "&amp;IF(AD313&lt;&gt;"","£"&amp;IF(AD313=INT(AD313),TEXT(AD313,"0"),TEXT(AD313,"0.00")),"[PRICE PER PLAYER]")&amp;" a player. We handle booking, sign-ups and payments. Fancy "&amp;IF(ISNUMBER(SEARCH(LEFT(F313,1),"AEIOU")),"an ","a ")&amp;F313&amp;" team game? "&amp;IF(AL313&lt;&gt;"",AL313,IF(Offer!$C$5&lt;&gt;"",Offer!$C$5,"[NAME]")),LEFT("Hi"&amp;IF(O313&lt;&gt;""," "&amp;O313,"")&amp;","&amp;" FC Urban runs after-work football for "&amp;IF(D313="Canary Wharf","Canary Wharf","City")&amp;" teams: "&amp;AC313&amp;" at "&amp;X313&amp;", "&amp;Y313&amp;" min from your office, "&amp;IF(ISNUMBER(AB313),TEXT(AB313,"ddd d mmm")&amp;", "&amp;TEXT(AB313,"hh:mm"),"weekday evenings")&amp;", "&amp;IF(AD313&lt;&gt;"","£"&amp;IF(AD313=INT(AD313),TEXT(AD313,"0"),TEXT(AD313,"0.00")),"[PRICE PER PLAYER]")&amp;" pp. We handle booking and payments. Up for a team game? "&amp;IF(AL313&lt;&gt;"",AL313,IF(Offer!$C$5&lt;&gt;"",Offer!$C$5,"[NAME]")),300))</f>
        <v/>
      </c>
      <c r="AI313" s="14">
        <f>LEN(AH313)</f>
        <v/>
      </c>
      <c r="AJ313" s="14">
        <f>"Thanks for connecting"&amp;IF(O313&lt;&gt;"",", "&amp;O313,"")&amp;". "&amp;IF(ISNUMBER(AB313),"The "&amp;AC313&amp;" slot at "&amp;X313&amp;" is "&amp;IF(ISNUMBER(AB313),TEXT(AB313,"ddd d mmm")&amp;", "&amp;TEXT(AB313,"hh:mm"),"weekday evenings"),"We can book "&amp;AC313&amp;" at "&amp;X313&amp;" on a weekday evening that suits you")&amp;" and it's "&amp;IF(AD313&lt;&gt;"","£"&amp;IF(AD313=INT(AD313),TEXT(AD313,"0"),TEXT(AD313,"0.00")),"[PRICE PER PLAYER]")&amp;" a player, all booked and paid through one link. If football isn't your thing, who at "&amp;F313&amp;" would be the right person to organise a team game?"&amp;IF(Offer!$C$7&lt;&gt;""," Spots are held until "&amp;TEXT(Offer!$C$7,"dddd d mmmm")&amp;".","")&amp;" "&amp;IF(Offer!$C$6&lt;&gt;"",Offer!$C$6,"[JOINING LINK]")</f>
        <v/>
      </c>
      <c r="AK313" s="14">
        <f>IF(OR(ISNUMBER(SEARCH("[",AG313)),ISNUMBER(SEARCH("[",AJ313))),"Fill placeholders",IF(ISNUMBER(AB313),"Ready to send","Ready · no fixed slot"))</f>
        <v/>
      </c>
      <c r="AN313" s="17" t="n"/>
    </row>
    <row r="314">
      <c r="A314" s="11" t="n">
        <v>312</v>
      </c>
      <c r="B314" s="11" t="n">
        <v>3</v>
      </c>
      <c r="C314" s="11" t="inlineStr">
        <is>
          <t>Insurance / broker</t>
        </is>
      </c>
      <c r="D314" s="11" t="inlineStr">
        <is>
          <t>City of London</t>
        </is>
      </c>
      <c r="E314" s="11" t="inlineStr">
        <is>
          <t>Amtrust Specialty Limited</t>
        </is>
      </c>
      <c r="F314" s="11" t="inlineStr">
        <is>
          <t>Amtrust Specialty</t>
        </is>
      </c>
      <c r="G314" s="11" t="inlineStr">
        <is>
          <t>01229676</t>
        </is>
      </c>
      <c r="H314" s="12" t="inlineStr">
        <is>
          <t>Open</t>
        </is>
      </c>
      <c r="I314" s="12" t="inlineStr">
        <is>
          <t>Search</t>
        </is>
      </c>
      <c r="J314" s="11" t="inlineStr">
        <is>
          <t>Full</t>
        </is>
      </c>
      <c r="K314" s="13" t="n">
        <v>27681</v>
      </c>
      <c r="L314" s="11" t="inlineStr">
        <is>
          <t>Exchequer Court, 33 St. Mary Axe, London</t>
        </is>
      </c>
      <c r="M314" s="11" t="inlineStr">
        <is>
          <t>EC3A 8AA</t>
        </is>
      </c>
      <c r="N314" s="11" t="inlineStr">
        <is>
          <t>No</t>
        </is>
      </c>
      <c r="U314" s="11" t="inlineStr">
        <is>
          <t>Liverpool St - Attlee Centre</t>
        </is>
      </c>
      <c r="V314" s="11" t="n">
        <v>10</v>
      </c>
      <c r="W314" s="11" t="inlineStr">
        <is>
          <t>Shoreditch Powerleague (15.5)</t>
        </is>
      </c>
      <c r="X314" s="11" t="inlineStr">
        <is>
          <t>Shoreditch Powerleague</t>
        </is>
      </c>
      <c r="Y314" s="11" t="n">
        <v>16</v>
      </c>
      <c r="Z314" s="14">
        <f>IFERROR(INDEX(Venues!$E$2:$E$15,MATCH(X314,Venues!$A$2:$A$15,0)),"Not checked")</f>
        <v/>
      </c>
      <c r="AA314" s="14">
        <f>IFERROR(INDEX(Venues!$F$2:$F$15,MATCH(X314,Venues!$A$2:$A$15,0)),0)</f>
        <v/>
      </c>
      <c r="AB314" s="15">
        <f>IFERROR(INDEX(Venues!$M$2:$M$15,MATCH(X314,Venues!$A$2:$A$15,0)),"")</f>
        <v/>
      </c>
      <c r="AC314" s="14">
        <f>IFERROR(INDEX(Venues!$N$2:$N$15,MATCH(X314,Venues!$A$2:$A$15,0)),"5-a-side")</f>
        <v/>
      </c>
      <c r="AD314" s="16">
        <f>IF(Offer!$C$4="","",Offer!$C$4)</f>
        <v/>
      </c>
      <c r="AE314" s="14">
        <f>X314&amp;" ("&amp;Y314&amp;" min walk) · "&amp;IF(ISNUMBER(AB314),TEXT(AB314,"ddd d mmm, hh:mm"),"slot to confirm with venue")&amp;" · "&amp;AC314&amp;" · "&amp;IF(AD314&lt;&gt;"","£"&amp;TEXT(AD314,"0.00")&amp;" pp","price TBC")</f>
        <v/>
      </c>
      <c r="AF314" s="14">
        <f>"After-work football for "&amp;F314&amp;" · "&amp;X314&amp;", "&amp;Y314&amp;" min from your office"</f>
        <v/>
      </c>
      <c r="AG314" s="14">
        <f>"Hi"&amp;IF(O314&lt;&gt;""," "&amp;O314,"")&amp;","&amp;CHAR(10)&amp;CHAR(10)&amp;"I'm "&amp;IF(AL314&lt;&gt;"",AL314,IF(Offer!$C$5&lt;&gt;"",Offer!$C$5,"[NAME]"))&amp;" from FC Urban. We organise after-work football for teams in the City and Canary Wharf."&amp;CHAR(10)&amp;CHAR(10)&amp;"We have a "&amp;AC314&amp;" pitch at "&amp;X314&amp;", "&amp;IF(OR(Y314=8,Y314=11,Y314=18),"an ","a ")&amp;Y314&amp;"-minute walk from your "&amp;M314&amp;" office, "&amp;IF(ISNUMBER(AB314),"on "&amp;TEXT(AB314,"dddd d mmmm")&amp;" at "&amp;TEXT(AB314,"hh:mm"),"on a weekday evening that suits your team")&amp;". It's "&amp;IF(AD314&lt;&gt;"","£"&amp;IF(AD314=INT(AD314),TEXT(AD314,"0"),TEXT(AD314,"0.00")),"[PRICE PER PLAYER]")&amp;" a player and we handle the pitch booking, sign-ups and payments, so all it takes is one person sharing a link with the team."&amp;CHAR(10)&amp;CHAR(10)&amp;"It works well as a team social or "&amp;IF(ISNUMBER(SEARCH(LEFT(F314,1),"AEIOU")),"an ","a ")&amp;F314&amp;"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LINK]")&amp;CHAR(10)&amp;CHAR(10)&amp;"Best,"&amp;CHAR(10)&amp;IF(AL314&lt;&gt;"",AL314,IF(Offer!$C$5&lt;&gt;"",Offer!$C$5,"[NAME]"))&amp;CHAR(10)&amp;"FC Urban"</f>
        <v/>
      </c>
      <c r="AH314" s="14">
        <f>IF(LEN("Hi"&amp;IF(O314&lt;&gt;""," "&amp;O314,"")&amp;","&amp;" FC Urban runs after-work football for "&amp;IF(D314="Canary Wharf","Canary Wharf","City")&amp;" teams. We have a "&amp;AC314&amp;" pitch at "&amp;X314&amp;", "&amp;Y314&amp;" min from your office, "&amp;IF(ISNUMBER(AB314),TEXT(AB314,"ddd d mmm")&amp;", "&amp;TEXT(AB314,"hh:mm"),"weekday evenings")&amp;", "&amp;IF(AD314&lt;&gt;"","£"&amp;IF(AD314=INT(AD314),TEXT(AD314,"0"),TEXT(AD314,"0.00")),"[PRICE PER PLAYER]")&amp;" a player. We handle booking, sign-ups and payments. Fancy "&amp;IF(ISNUMBER(SEARCH(LEFT(F314,1),"AEIOU")),"an ","a ")&amp;F314&amp;" team game? "&amp;IF(AL314&lt;&gt;"",AL314,IF(Offer!$C$5&lt;&gt;"",Offer!$C$5,"[NAME]")))&lt;=300,"Hi"&amp;IF(O314&lt;&gt;""," "&amp;O314,"")&amp;","&amp;" FC Urban runs after-work football for "&amp;IF(D314="Canary Wharf","Canary Wharf","City")&amp;" teams. We have a "&amp;AC314&amp;" pitch at "&amp;X314&amp;", "&amp;Y314&amp;" min from your office, "&amp;IF(ISNUMBER(AB314),TEXT(AB314,"ddd d mmm")&amp;", "&amp;TEXT(AB314,"hh:mm"),"weekday evenings")&amp;", "&amp;IF(AD314&lt;&gt;"","£"&amp;IF(AD314=INT(AD314),TEXT(AD314,"0"),TEXT(AD314,"0.00")),"[PRICE PER PLAYER]")&amp;" a player. We handle booking, sign-ups and payments. Fancy "&amp;IF(ISNUMBER(SEARCH(LEFT(F314,1),"AEIOU")),"an ","a ")&amp;F314&amp;" team game? "&amp;IF(AL314&lt;&gt;"",AL314,IF(Offer!$C$5&lt;&gt;"",Offer!$C$5,"[NAME]")),LEFT("Hi"&amp;IF(O314&lt;&gt;""," "&amp;O314,"")&amp;","&amp;" FC Urban runs after-work football for "&amp;IF(D314="Canary Wharf","Canary Wharf","City")&amp;" teams: "&amp;AC314&amp;" at "&amp;X314&amp;", "&amp;Y314&amp;" min from your office, "&amp;IF(ISNUMBER(AB314),TEXT(AB314,"ddd d mmm")&amp;", "&amp;TEXT(AB314,"hh:mm"),"weekday evenings")&amp;", "&amp;IF(AD314&lt;&gt;"","£"&amp;IF(AD314=INT(AD314),TEXT(AD314,"0"),TEXT(AD314,"0.00")),"[PRICE PER PLAYER]")&amp;" pp. We handle booking and payments. Up for a team game? "&amp;IF(AL314&lt;&gt;"",AL314,IF(Offer!$C$5&lt;&gt;"",Offer!$C$5,"[NAME]")),300))</f>
        <v/>
      </c>
      <c r="AI314" s="14">
        <f>LEN(AH314)</f>
        <v/>
      </c>
      <c r="AJ314" s="14">
        <f>"Thanks for connecting"&amp;IF(O314&lt;&gt;"",", "&amp;O314,"")&amp;". "&amp;IF(ISNUMBER(AB314),"The "&amp;AC314&amp;" slot at "&amp;X314&amp;" is "&amp;IF(ISNUMBER(AB314),TEXT(AB314,"ddd d mmm")&amp;", "&amp;TEXT(AB314,"hh:mm"),"weekday evenings"),"We can book "&amp;AC314&amp;" at "&amp;X314&amp;" on a weekday evening that suits you")&amp;" and it's "&amp;IF(AD314&lt;&gt;"","£"&amp;IF(AD314=INT(AD314),TEXT(AD314,"0"),TEXT(AD314,"0.00")),"[PRICE PER PLAYER]")&amp;" a player, all booked and paid through one link. If football isn't your thing, who at "&amp;F314&amp;" would be the right person to organise a team game?"&amp;IF(Offer!$C$7&lt;&gt;""," Spots are held until "&amp;TEXT(Offer!$C$7,"dddd d mmmm")&amp;".","")&amp;" "&amp;IF(Offer!$C$6&lt;&gt;"",Offer!$C$6,"[JOINING LINK]")</f>
        <v/>
      </c>
      <c r="AK314" s="14">
        <f>IF(OR(ISNUMBER(SEARCH("[",AG314)),ISNUMBER(SEARCH("[",AJ314))),"Fill placeholders",IF(ISNUMBER(AB314),"Ready to send","Ready · no fixed slot"))</f>
        <v/>
      </c>
      <c r="AN314" s="17" t="n"/>
    </row>
    <row r="315">
      <c r="A315" s="11" t="n">
        <v>313</v>
      </c>
      <c r="B315" s="11" t="n">
        <v>3</v>
      </c>
      <c r="C315" s="11" t="inlineStr">
        <is>
          <t>Insurance / broker</t>
        </is>
      </c>
      <c r="D315" s="11" t="inlineStr">
        <is>
          <t>City of London</t>
        </is>
      </c>
      <c r="E315" s="11" t="inlineStr">
        <is>
          <t>BA (GI) Limited</t>
        </is>
      </c>
      <c r="F315" s="11" t="inlineStr">
        <is>
          <t>BA</t>
        </is>
      </c>
      <c r="G315" s="11" t="inlineStr">
        <is>
          <t>00003002</t>
        </is>
      </c>
      <c r="H315" s="12" t="inlineStr">
        <is>
          <t>Open</t>
        </is>
      </c>
      <c r="I315" s="12" t="inlineStr">
        <is>
          <t>Search</t>
        </is>
      </c>
      <c r="J315" s="11" t="inlineStr">
        <is>
          <t>Full</t>
        </is>
      </c>
      <c r="K315" s="13" t="n">
        <v>-12315</v>
      </c>
      <c r="L315" s="11" t="inlineStr">
        <is>
          <t>4Th Floor, The St Botolph Building, 138 Houndsditch, London</t>
        </is>
      </c>
      <c r="M315" s="11" t="inlineStr">
        <is>
          <t>EC3A 7AW</t>
        </is>
      </c>
      <c r="N315" s="11" t="inlineStr">
        <is>
          <t>No</t>
        </is>
      </c>
      <c r="U315" s="11" t="inlineStr">
        <is>
          <t>Liverpool St - Attlee Centre</t>
        </is>
      </c>
      <c r="V315" s="11" t="n">
        <v>7</v>
      </c>
      <c r="W315" s="11" t="inlineStr">
        <is>
          <t>Shoreditch Powerleague (15.5); Whitechapel (18.6)</t>
        </is>
      </c>
      <c r="X315" s="11" t="inlineStr">
        <is>
          <t>Shoreditch Powerleague</t>
        </is>
      </c>
      <c r="Y315" s="11" t="n">
        <v>16</v>
      </c>
      <c r="Z315" s="14">
        <f>IFERROR(INDEX(Venues!$E$2:$E$15,MATCH(X315,Venues!$A$2:$A$15,0)),"Not checked")</f>
        <v/>
      </c>
      <c r="AA315" s="14">
        <f>IFERROR(INDEX(Venues!$F$2:$F$15,MATCH(X315,Venues!$A$2:$A$15,0)),0)</f>
        <v/>
      </c>
      <c r="AB315" s="15">
        <f>IFERROR(INDEX(Venues!$M$2:$M$15,MATCH(X315,Venues!$A$2:$A$15,0)),"")</f>
        <v/>
      </c>
      <c r="AC315" s="14">
        <f>IFERROR(INDEX(Venues!$N$2:$N$15,MATCH(X315,Venues!$A$2:$A$15,0)),"5-a-side")</f>
        <v/>
      </c>
      <c r="AD315" s="16">
        <f>IF(Offer!$C$4="","",Offer!$C$4)</f>
        <v/>
      </c>
      <c r="AE315" s="14">
        <f>X315&amp;" ("&amp;Y315&amp;" min walk) · "&amp;IF(ISNUMBER(AB315),TEXT(AB315,"ddd d mmm, hh:mm"),"slot to confirm with venue")&amp;" · "&amp;AC315&amp;" · "&amp;IF(AD315&lt;&gt;"","£"&amp;TEXT(AD315,"0.00")&amp;" pp","price TBC")</f>
        <v/>
      </c>
      <c r="AF315" s="14">
        <f>"After-work football for "&amp;F315&amp;" · "&amp;X315&amp;", "&amp;Y315&amp;" min from your office"</f>
        <v/>
      </c>
      <c r="AG315" s="14">
        <f>"Hi"&amp;IF(O315&lt;&gt;""," "&amp;O315,"")&amp;","&amp;CHAR(10)&amp;CHAR(10)&amp;"I'm "&amp;IF(AL315&lt;&gt;"",AL315,IF(Offer!$C$5&lt;&gt;"",Offer!$C$5,"[NAME]"))&amp;" from FC Urban. We organise after-work football for teams in the City and Canary Wharf."&amp;CHAR(10)&amp;CHAR(10)&amp;"We have a "&amp;AC315&amp;" pitch at "&amp;X315&amp;", "&amp;IF(OR(Y315=8,Y315=11,Y315=18),"an ","a ")&amp;Y315&amp;"-minute walk from your "&amp;M315&amp;" office, "&amp;IF(ISNUMBER(AB315),"on "&amp;TEXT(AB315,"dddd d mmmm")&amp;" at "&amp;TEXT(AB315,"hh:mm"),"on a weekday evening that suits your team")&amp;". It's "&amp;IF(AD315&lt;&gt;"","£"&amp;IF(AD315=INT(AD315),TEXT(AD315,"0"),TEXT(AD315,"0.00")),"[PRICE PER PLAYER]")&amp;" a player and we handle the pitch booking, sign-ups and payments, so all it takes is one person sharing a link with the team."&amp;CHAR(10)&amp;CHAR(10)&amp;"It works well as a team social or "&amp;IF(ISNUMBER(SEARCH(LEFT(F315,1),"AEIOU")),"an ","a ")&amp;F315&amp;"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LINK]")&amp;CHAR(10)&amp;CHAR(10)&amp;"Best,"&amp;CHAR(10)&amp;IF(AL315&lt;&gt;"",AL315,IF(Offer!$C$5&lt;&gt;"",Offer!$C$5,"[NAME]"))&amp;CHAR(10)&amp;"FC Urban"</f>
        <v/>
      </c>
      <c r="AH315" s="14">
        <f>IF(LEN("Hi"&amp;IF(O315&lt;&gt;""," "&amp;O315,"")&amp;","&amp;" FC Urban runs after-work football for "&amp;IF(D315="Canary Wharf","Canary Wharf","City")&amp;" teams. We have a "&amp;AC315&amp;" pitch at "&amp;X315&amp;", "&amp;Y315&amp;" min from your office, "&amp;IF(ISNUMBER(AB315),TEXT(AB315,"ddd d mmm")&amp;", "&amp;TEXT(AB315,"hh:mm"),"weekday evenings")&amp;", "&amp;IF(AD315&lt;&gt;"","£"&amp;IF(AD315=INT(AD315),TEXT(AD315,"0"),TEXT(AD315,"0.00")),"[PRICE PER PLAYER]")&amp;" a player. We handle booking, sign-ups and payments. Fancy "&amp;IF(ISNUMBER(SEARCH(LEFT(F315,1),"AEIOU")),"an ","a ")&amp;F315&amp;" team game? "&amp;IF(AL315&lt;&gt;"",AL315,IF(Offer!$C$5&lt;&gt;"",Offer!$C$5,"[NAME]")))&lt;=300,"Hi"&amp;IF(O315&lt;&gt;""," "&amp;O315,"")&amp;","&amp;" FC Urban runs after-work football for "&amp;IF(D315="Canary Wharf","Canary Wharf","City")&amp;" teams. We have a "&amp;AC315&amp;" pitch at "&amp;X315&amp;", "&amp;Y315&amp;" min from your office, "&amp;IF(ISNUMBER(AB315),TEXT(AB315,"ddd d mmm")&amp;", "&amp;TEXT(AB315,"hh:mm"),"weekday evenings")&amp;", "&amp;IF(AD315&lt;&gt;"","£"&amp;IF(AD315=INT(AD315),TEXT(AD315,"0"),TEXT(AD315,"0.00")),"[PRICE PER PLAYER]")&amp;" a player. We handle booking, sign-ups and payments. Fancy "&amp;IF(ISNUMBER(SEARCH(LEFT(F315,1),"AEIOU")),"an ","a ")&amp;F315&amp;" team game? "&amp;IF(AL315&lt;&gt;"",AL315,IF(Offer!$C$5&lt;&gt;"",Offer!$C$5,"[NAME]")),LEFT("Hi"&amp;IF(O315&lt;&gt;""," "&amp;O315,"")&amp;","&amp;" FC Urban runs after-work football for "&amp;IF(D315="Canary Wharf","Canary Wharf","City")&amp;" teams: "&amp;AC315&amp;" at "&amp;X315&amp;", "&amp;Y315&amp;" min from your office, "&amp;IF(ISNUMBER(AB315),TEXT(AB315,"ddd d mmm")&amp;", "&amp;TEXT(AB315,"hh:mm"),"weekday evenings")&amp;", "&amp;IF(AD315&lt;&gt;"","£"&amp;IF(AD315=INT(AD315),TEXT(AD315,"0"),TEXT(AD315,"0.00")),"[PRICE PER PLAYER]")&amp;" pp. We handle booking and payments. Up for a team game? "&amp;IF(AL315&lt;&gt;"",AL315,IF(Offer!$C$5&lt;&gt;"",Offer!$C$5,"[NAME]")),300))</f>
        <v/>
      </c>
      <c r="AI315" s="14">
        <f>LEN(AH315)</f>
        <v/>
      </c>
      <c r="AJ315" s="14">
        <f>"Thanks for connecting"&amp;IF(O315&lt;&gt;"",", "&amp;O315,"")&amp;". "&amp;IF(ISNUMBER(AB315),"The "&amp;AC315&amp;" slot at "&amp;X315&amp;" is "&amp;IF(ISNUMBER(AB315),TEXT(AB315,"ddd d mmm")&amp;", "&amp;TEXT(AB315,"hh:mm"),"weekday evenings"),"We can book "&amp;AC315&amp;" at "&amp;X315&amp;" on a weekday evening that suits you")&amp;" and it's "&amp;IF(AD315&lt;&gt;"","£"&amp;IF(AD315=INT(AD315),TEXT(AD315,"0"),TEXT(AD315,"0.00")),"[PRICE PER PLAYER]")&amp;" a player, all booked and paid through one link. If football isn't your thing, who at "&amp;F315&amp;" would be the right person to organise a team game?"&amp;IF(Offer!$C$7&lt;&gt;""," Spots are held until "&amp;TEXT(Offer!$C$7,"dddd d mmmm")&amp;".","")&amp;" "&amp;IF(Offer!$C$6&lt;&gt;"",Offer!$C$6,"[JOINING LINK]")</f>
        <v/>
      </c>
      <c r="AK315" s="14">
        <f>IF(OR(ISNUMBER(SEARCH("[",AG315)),ISNUMBER(SEARCH("[",AJ315))),"Fill placeholders",IF(ISNUMBER(AB315),"Ready to send","Ready · no fixed slot"))</f>
        <v/>
      </c>
      <c r="AN315" s="17" t="n"/>
    </row>
    <row r="316">
      <c r="A316" s="11" t="n">
        <v>314</v>
      </c>
      <c r="B316" s="11" t="n">
        <v>3</v>
      </c>
      <c r="C316" s="11" t="inlineStr">
        <is>
          <t>Insurance / broker</t>
        </is>
      </c>
      <c r="D316" s="11" t="inlineStr">
        <is>
          <t>City of London</t>
        </is>
      </c>
      <c r="E316" s="11" t="inlineStr">
        <is>
          <t>British Aviation Insurance Company Limited</t>
        </is>
      </c>
      <c r="F316" s="11" t="inlineStr">
        <is>
          <t>British Aviation Insurance Company</t>
        </is>
      </c>
      <c r="G316" s="11" t="inlineStr">
        <is>
          <t>00246018</t>
        </is>
      </c>
      <c r="H316" s="12" t="inlineStr">
        <is>
          <t>Open</t>
        </is>
      </c>
      <c r="I316" s="12" t="inlineStr">
        <is>
          <t>Search</t>
        </is>
      </c>
      <c r="J316" s="11" t="inlineStr">
        <is>
          <t>Full</t>
        </is>
      </c>
      <c r="K316" s="13" t="n">
        <v>11013</v>
      </c>
      <c r="L316" s="11" t="inlineStr">
        <is>
          <t>4Th Floor, The St Botolph Building, 138 Houndsditch, London</t>
        </is>
      </c>
      <c r="M316" s="11" t="inlineStr">
        <is>
          <t>EC3A 7AW</t>
        </is>
      </c>
      <c r="N316" s="11" t="inlineStr">
        <is>
          <t>No</t>
        </is>
      </c>
      <c r="U316" s="11" t="inlineStr">
        <is>
          <t>Liverpool St - Attlee Centre</t>
        </is>
      </c>
      <c r="V316" s="11" t="n">
        <v>7</v>
      </c>
      <c r="W316" s="11" t="inlineStr">
        <is>
          <t>Shoreditch Powerleague (15.5); Whitechapel (18.6)</t>
        </is>
      </c>
      <c r="X316" s="11" t="inlineStr">
        <is>
          <t>Shoreditch Powerleague</t>
        </is>
      </c>
      <c r="Y316" s="11" t="n">
        <v>16</v>
      </c>
      <c r="Z316" s="14">
        <f>IFERROR(INDEX(Venues!$E$2:$E$15,MATCH(X316,Venues!$A$2:$A$15,0)),"Not checked")</f>
        <v/>
      </c>
      <c r="AA316" s="14">
        <f>IFERROR(INDEX(Venues!$F$2:$F$15,MATCH(X316,Venues!$A$2:$A$15,0)),0)</f>
        <v/>
      </c>
      <c r="AB316" s="15">
        <f>IFERROR(INDEX(Venues!$M$2:$M$15,MATCH(X316,Venues!$A$2:$A$15,0)),"")</f>
        <v/>
      </c>
      <c r="AC316" s="14">
        <f>IFERROR(INDEX(Venues!$N$2:$N$15,MATCH(X316,Venues!$A$2:$A$15,0)),"5-a-side")</f>
        <v/>
      </c>
      <c r="AD316" s="16">
        <f>IF(Offer!$C$4="","",Offer!$C$4)</f>
        <v/>
      </c>
      <c r="AE316" s="14">
        <f>X316&amp;" ("&amp;Y316&amp;" min walk) · "&amp;IF(ISNUMBER(AB316),TEXT(AB316,"ddd d mmm, hh:mm"),"slot to confirm with venue")&amp;" · "&amp;AC316&amp;" · "&amp;IF(AD316&lt;&gt;"","£"&amp;TEXT(AD316,"0.00")&amp;" pp","price TBC")</f>
        <v/>
      </c>
      <c r="AF316" s="14">
        <f>"After-work football for "&amp;F316&amp;" · "&amp;X316&amp;", "&amp;Y316&amp;" min from your office"</f>
        <v/>
      </c>
      <c r="AG316" s="14">
        <f>"Hi"&amp;IF(O316&lt;&gt;""," "&amp;O316,"")&amp;","&amp;CHAR(10)&amp;CHAR(10)&amp;"I'm "&amp;IF(AL316&lt;&gt;"",AL316,IF(Offer!$C$5&lt;&gt;"",Offer!$C$5,"[NAME]"))&amp;" from FC Urban. We organise after-work football for teams in the City and Canary Wharf."&amp;CHAR(10)&amp;CHAR(10)&amp;"We have a "&amp;AC316&amp;" pitch at "&amp;X316&amp;", "&amp;IF(OR(Y316=8,Y316=11,Y316=18),"an ","a ")&amp;Y316&amp;"-minute walk from your "&amp;M316&amp;" office, "&amp;IF(ISNUMBER(AB316),"on "&amp;TEXT(AB316,"dddd d mmmm")&amp;" at "&amp;TEXT(AB316,"hh:mm"),"on a weekday evening that suits your team")&amp;". It's "&amp;IF(AD316&lt;&gt;"","£"&amp;IF(AD316=INT(AD316),TEXT(AD316,"0"),TEXT(AD316,"0.00")),"[PRICE PER PLAYER]")&amp;" a player and we handle the pitch booking, sign-ups and payments, so all it takes is one person sharing a link with the team."&amp;CHAR(10)&amp;CHAR(10)&amp;"It works well as a team social or "&amp;IF(ISNUMBER(SEARCH(LEFT(F316,1),"AEIOU")),"an ","a ")&amp;F316&amp;"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LINK]")&amp;CHAR(10)&amp;CHAR(10)&amp;"Best,"&amp;CHAR(10)&amp;IF(AL316&lt;&gt;"",AL316,IF(Offer!$C$5&lt;&gt;"",Offer!$C$5,"[NAME]"))&amp;CHAR(10)&amp;"FC Urban"</f>
        <v/>
      </c>
      <c r="AH316" s="14">
        <f>IF(LEN("Hi"&amp;IF(O316&lt;&gt;""," "&amp;O316,"")&amp;","&amp;" FC Urban runs after-work football for "&amp;IF(D316="Canary Wharf","Canary Wharf","City")&amp;" teams. We have a "&amp;AC316&amp;" pitch at "&amp;X316&amp;", "&amp;Y316&amp;" min from your office, "&amp;IF(ISNUMBER(AB316),TEXT(AB316,"ddd d mmm")&amp;", "&amp;TEXT(AB316,"hh:mm"),"weekday evenings")&amp;", "&amp;IF(AD316&lt;&gt;"","£"&amp;IF(AD316=INT(AD316),TEXT(AD316,"0"),TEXT(AD316,"0.00")),"[PRICE PER PLAYER]")&amp;" a player. We handle booking, sign-ups and payments. Fancy "&amp;IF(ISNUMBER(SEARCH(LEFT(F316,1),"AEIOU")),"an ","a ")&amp;F316&amp;" team game? "&amp;IF(AL316&lt;&gt;"",AL316,IF(Offer!$C$5&lt;&gt;"",Offer!$C$5,"[NAME]")))&lt;=300,"Hi"&amp;IF(O316&lt;&gt;""," "&amp;O316,"")&amp;","&amp;" FC Urban runs after-work football for "&amp;IF(D316="Canary Wharf","Canary Wharf","City")&amp;" teams. We have a "&amp;AC316&amp;" pitch at "&amp;X316&amp;", "&amp;Y316&amp;" min from your office, "&amp;IF(ISNUMBER(AB316),TEXT(AB316,"ddd d mmm")&amp;", "&amp;TEXT(AB316,"hh:mm"),"weekday evenings")&amp;", "&amp;IF(AD316&lt;&gt;"","£"&amp;IF(AD316=INT(AD316),TEXT(AD316,"0"),TEXT(AD316,"0.00")),"[PRICE PER PLAYER]")&amp;" a player. We handle booking, sign-ups and payments. Fancy "&amp;IF(ISNUMBER(SEARCH(LEFT(F316,1),"AEIOU")),"an ","a ")&amp;F316&amp;" team game? "&amp;IF(AL316&lt;&gt;"",AL316,IF(Offer!$C$5&lt;&gt;"",Offer!$C$5,"[NAME]")),LEFT("Hi"&amp;IF(O316&lt;&gt;""," "&amp;O316,"")&amp;","&amp;" FC Urban runs after-work football for "&amp;IF(D316="Canary Wharf","Canary Wharf","City")&amp;" teams: "&amp;AC316&amp;" at "&amp;X316&amp;", "&amp;Y316&amp;" min from your office, "&amp;IF(ISNUMBER(AB316),TEXT(AB316,"ddd d mmm")&amp;", "&amp;TEXT(AB316,"hh:mm"),"weekday evenings")&amp;", "&amp;IF(AD316&lt;&gt;"","£"&amp;IF(AD316=INT(AD316),TEXT(AD316,"0"),TEXT(AD316,"0.00")),"[PRICE PER PLAYER]")&amp;" pp. We handle booking and payments. Up for a team game? "&amp;IF(AL316&lt;&gt;"",AL316,IF(Offer!$C$5&lt;&gt;"",Offer!$C$5,"[NAME]")),300))</f>
        <v/>
      </c>
      <c r="AI316" s="14">
        <f>LEN(AH316)</f>
        <v/>
      </c>
      <c r="AJ316" s="14">
        <f>"Thanks for connecting"&amp;IF(O316&lt;&gt;"",", "&amp;O316,"")&amp;". "&amp;IF(ISNUMBER(AB316),"The "&amp;AC316&amp;" slot at "&amp;X316&amp;" is "&amp;IF(ISNUMBER(AB316),TEXT(AB316,"ddd d mmm")&amp;", "&amp;TEXT(AB316,"hh:mm"),"weekday evenings"),"We can book "&amp;AC316&amp;" at "&amp;X316&amp;" on a weekday evening that suits you")&amp;" and it's "&amp;IF(AD316&lt;&gt;"","£"&amp;IF(AD316=INT(AD316),TEXT(AD316,"0"),TEXT(AD316,"0.00")),"[PRICE PER PLAYER]")&amp;" a player, all booked and paid through one link. If football isn't your thing, who at "&amp;F316&amp;" would be the right person to organise a team game?"&amp;IF(Offer!$C$7&lt;&gt;""," Spots are held until "&amp;TEXT(Offer!$C$7,"dddd d mmmm")&amp;".","")&amp;" "&amp;IF(Offer!$C$6&lt;&gt;"",Offer!$C$6,"[JOINING LINK]")</f>
        <v/>
      </c>
      <c r="AK316" s="14">
        <f>IF(OR(ISNUMBER(SEARCH("[",AG316)),ISNUMBER(SEARCH("[",AJ316))),"Fill placeholders",IF(ISNUMBER(AB316),"Ready to send","Ready · no fixed slot"))</f>
        <v/>
      </c>
      <c r="AN316" s="17" t="n"/>
    </row>
    <row r="317">
      <c r="A317" s="11" t="n">
        <v>315</v>
      </c>
      <c r="B317" s="11" t="n">
        <v>3</v>
      </c>
      <c r="C317" s="11" t="inlineStr">
        <is>
          <t>Insurance / broker</t>
        </is>
      </c>
      <c r="D317" s="11" t="inlineStr">
        <is>
          <t>City of London</t>
        </is>
      </c>
      <c r="E317" s="11" t="inlineStr">
        <is>
          <t>CBC UK Limited</t>
        </is>
      </c>
      <c r="F317" s="11" t="inlineStr">
        <is>
          <t>CBC</t>
        </is>
      </c>
      <c r="G317" s="11" t="inlineStr">
        <is>
          <t>01973536</t>
        </is>
      </c>
      <c r="H317" s="12" t="inlineStr">
        <is>
          <t>Open</t>
        </is>
      </c>
      <c r="I317" s="12" t="inlineStr">
        <is>
          <t>Search</t>
        </is>
      </c>
      <c r="J317" s="11" t="inlineStr">
        <is>
          <t>Full</t>
        </is>
      </c>
      <c r="K317" s="13" t="n">
        <v>31404</v>
      </c>
      <c r="L317" s="11" t="inlineStr">
        <is>
          <t>7Th Floor, The St Botolph Building, 138 Houndsditch, London</t>
        </is>
      </c>
      <c r="M317" s="11" t="inlineStr">
        <is>
          <t>EC3A 7AW</t>
        </is>
      </c>
      <c r="N317" s="11" t="inlineStr">
        <is>
          <t>No</t>
        </is>
      </c>
      <c r="U317" s="11" t="inlineStr">
        <is>
          <t>Liverpool St - Attlee Centre</t>
        </is>
      </c>
      <c r="V317" s="11" t="n">
        <v>7</v>
      </c>
      <c r="W317" s="11" t="inlineStr">
        <is>
          <t>Shoreditch Powerleague (15.5); Whitechapel (18.6)</t>
        </is>
      </c>
      <c r="X317" s="11" t="inlineStr">
        <is>
          <t>Shoreditch Powerleague</t>
        </is>
      </c>
      <c r="Y317" s="11" t="n">
        <v>16</v>
      </c>
      <c r="Z317" s="14">
        <f>IFERROR(INDEX(Venues!$E$2:$E$15,MATCH(X317,Venues!$A$2:$A$15,0)),"Not checked")</f>
        <v/>
      </c>
      <c r="AA317" s="14">
        <f>IFERROR(INDEX(Venues!$F$2:$F$15,MATCH(X317,Venues!$A$2:$A$15,0)),0)</f>
        <v/>
      </c>
      <c r="AB317" s="15">
        <f>IFERROR(INDEX(Venues!$M$2:$M$15,MATCH(X317,Venues!$A$2:$A$15,0)),"")</f>
        <v/>
      </c>
      <c r="AC317" s="14">
        <f>IFERROR(INDEX(Venues!$N$2:$N$15,MATCH(X317,Venues!$A$2:$A$15,0)),"5-a-side")</f>
        <v/>
      </c>
      <c r="AD317" s="16">
        <f>IF(Offer!$C$4="","",Offer!$C$4)</f>
        <v/>
      </c>
      <c r="AE317" s="14">
        <f>X317&amp;" ("&amp;Y317&amp;" min walk) · "&amp;IF(ISNUMBER(AB317),TEXT(AB317,"ddd d mmm, hh:mm"),"slot to confirm with venue")&amp;" · "&amp;AC317&amp;" · "&amp;IF(AD317&lt;&gt;"","£"&amp;TEXT(AD317,"0.00")&amp;" pp","price TBC")</f>
        <v/>
      </c>
      <c r="AF317" s="14">
        <f>"After-work football for "&amp;F317&amp;" · "&amp;X317&amp;", "&amp;Y317&amp;" min from your office"</f>
        <v/>
      </c>
      <c r="AG317" s="14">
        <f>"Hi"&amp;IF(O317&lt;&gt;""," "&amp;O317,"")&amp;","&amp;CHAR(10)&amp;CHAR(10)&amp;"I'm "&amp;IF(AL317&lt;&gt;"",AL317,IF(Offer!$C$5&lt;&gt;"",Offer!$C$5,"[NAME]"))&amp;" from FC Urban. We organise after-work football for teams in the City and Canary Wharf."&amp;CHAR(10)&amp;CHAR(10)&amp;"We have a "&amp;AC317&amp;" pitch at "&amp;X317&amp;", "&amp;IF(OR(Y317=8,Y317=11,Y317=18),"an ","a ")&amp;Y317&amp;"-minute walk from your "&amp;M317&amp;" office, "&amp;IF(ISNUMBER(AB317),"on "&amp;TEXT(AB317,"dddd d mmmm")&amp;" at "&amp;TEXT(AB317,"hh:mm"),"on a weekday evening that suits your team")&amp;". It's "&amp;IF(AD317&lt;&gt;"","£"&amp;IF(AD317=INT(AD317),TEXT(AD317,"0"),TEXT(AD317,"0.00")),"[PRICE PER PLAYER]")&amp;" a player and we handle the pitch booking, sign-ups and payments, so all it takes is one person sharing a link with the team."&amp;CHAR(10)&amp;CHAR(10)&amp;"It works well as a team social or "&amp;IF(ISNUMBER(SEARCH(LEFT(F317,1),"AEIOU")),"an ","a ")&amp;F317&amp;"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LINK]")&amp;CHAR(10)&amp;CHAR(10)&amp;"Best,"&amp;CHAR(10)&amp;IF(AL317&lt;&gt;"",AL317,IF(Offer!$C$5&lt;&gt;"",Offer!$C$5,"[NAME]"))&amp;CHAR(10)&amp;"FC Urban"</f>
        <v/>
      </c>
      <c r="AH317" s="14">
        <f>IF(LEN("Hi"&amp;IF(O317&lt;&gt;""," "&amp;O317,"")&amp;","&amp;" FC Urban runs after-work football for "&amp;IF(D317="Canary Wharf","Canary Wharf","City")&amp;" teams. We have a "&amp;AC317&amp;" pitch at "&amp;X317&amp;", "&amp;Y317&amp;" min from your office, "&amp;IF(ISNUMBER(AB317),TEXT(AB317,"ddd d mmm")&amp;", "&amp;TEXT(AB317,"hh:mm"),"weekday evenings")&amp;", "&amp;IF(AD317&lt;&gt;"","£"&amp;IF(AD317=INT(AD317),TEXT(AD317,"0"),TEXT(AD317,"0.00")),"[PRICE PER PLAYER]")&amp;" a player. We handle booking, sign-ups and payments. Fancy "&amp;IF(ISNUMBER(SEARCH(LEFT(F317,1),"AEIOU")),"an ","a ")&amp;F317&amp;" team game? "&amp;IF(AL317&lt;&gt;"",AL317,IF(Offer!$C$5&lt;&gt;"",Offer!$C$5,"[NAME]")))&lt;=300,"Hi"&amp;IF(O317&lt;&gt;""," "&amp;O317,"")&amp;","&amp;" FC Urban runs after-work football for "&amp;IF(D317="Canary Wharf","Canary Wharf","City")&amp;" teams. We have a "&amp;AC317&amp;" pitch at "&amp;X317&amp;", "&amp;Y317&amp;" min from your office, "&amp;IF(ISNUMBER(AB317),TEXT(AB317,"ddd d mmm")&amp;", "&amp;TEXT(AB317,"hh:mm"),"weekday evenings")&amp;", "&amp;IF(AD317&lt;&gt;"","£"&amp;IF(AD317=INT(AD317),TEXT(AD317,"0"),TEXT(AD317,"0.00")),"[PRICE PER PLAYER]")&amp;" a player. We handle booking, sign-ups and payments. Fancy "&amp;IF(ISNUMBER(SEARCH(LEFT(F317,1),"AEIOU")),"an ","a ")&amp;F317&amp;" team game? "&amp;IF(AL317&lt;&gt;"",AL317,IF(Offer!$C$5&lt;&gt;"",Offer!$C$5,"[NAME]")),LEFT("Hi"&amp;IF(O317&lt;&gt;""," "&amp;O317,"")&amp;","&amp;" FC Urban runs after-work football for "&amp;IF(D317="Canary Wharf","Canary Wharf","City")&amp;" teams: "&amp;AC317&amp;" at "&amp;X317&amp;", "&amp;Y317&amp;" min from your office, "&amp;IF(ISNUMBER(AB317),TEXT(AB317,"ddd d mmm")&amp;", "&amp;TEXT(AB317,"hh:mm"),"weekday evenings")&amp;", "&amp;IF(AD317&lt;&gt;"","£"&amp;IF(AD317=INT(AD317),TEXT(AD317,"0"),TEXT(AD317,"0.00")),"[PRICE PER PLAYER]")&amp;" pp. We handle booking and payments. Up for a team game? "&amp;IF(AL317&lt;&gt;"",AL317,IF(Offer!$C$5&lt;&gt;"",Offer!$C$5,"[NAME]")),300))</f>
        <v/>
      </c>
      <c r="AI317" s="14">
        <f>LEN(AH317)</f>
        <v/>
      </c>
      <c r="AJ317" s="14">
        <f>"Thanks for connecting"&amp;IF(O317&lt;&gt;"",", "&amp;O317,"")&amp;". "&amp;IF(ISNUMBER(AB317),"The "&amp;AC317&amp;" slot at "&amp;X317&amp;" is "&amp;IF(ISNUMBER(AB317),TEXT(AB317,"ddd d mmm")&amp;", "&amp;TEXT(AB317,"hh:mm"),"weekday evenings"),"We can book "&amp;AC317&amp;" at "&amp;X317&amp;" on a weekday evening that suits you")&amp;" and it's "&amp;IF(AD317&lt;&gt;"","£"&amp;IF(AD317=INT(AD317),TEXT(AD317,"0"),TEXT(AD317,"0.00")),"[PRICE PER PLAYER]")&amp;" a player, all booked and paid through one link. If football isn't your thing, who at "&amp;F317&amp;" would be the right person to organise a team game?"&amp;IF(Offer!$C$7&lt;&gt;""," Spots are held until "&amp;TEXT(Offer!$C$7,"dddd d mmmm")&amp;".","")&amp;" "&amp;IF(Offer!$C$6&lt;&gt;"",Offer!$C$6,"[JOINING LINK]")</f>
        <v/>
      </c>
      <c r="AK317" s="14">
        <f>IF(OR(ISNUMBER(SEARCH("[",AG317)),ISNUMBER(SEARCH("[",AJ317))),"Fill placeholders",IF(ISNUMBER(AB317),"Ready to send","Ready · no fixed slot"))</f>
        <v/>
      </c>
      <c r="AN317" s="17" t="n"/>
    </row>
    <row r="318">
      <c r="A318" s="11" t="n">
        <v>316</v>
      </c>
      <c r="B318" s="11" t="n">
        <v>3</v>
      </c>
      <c r="C318" s="11" t="inlineStr">
        <is>
          <t>Insurance / broker</t>
        </is>
      </c>
      <c r="D318" s="11" t="inlineStr">
        <is>
          <t>City of London</t>
        </is>
      </c>
      <c r="E318" s="11" t="inlineStr">
        <is>
          <t>Edge Brokers (London) Limited</t>
        </is>
      </c>
      <c r="F318" s="11" t="inlineStr">
        <is>
          <t>Edge Brokers</t>
        </is>
      </c>
      <c r="G318" s="11" t="inlineStr">
        <is>
          <t>03721499</t>
        </is>
      </c>
      <c r="H318" s="12" t="inlineStr">
        <is>
          <t>Open</t>
        </is>
      </c>
      <c r="I318" s="12" t="inlineStr">
        <is>
          <t>Search</t>
        </is>
      </c>
      <c r="J318" s="11" t="inlineStr">
        <is>
          <t>Full</t>
        </is>
      </c>
      <c r="K318" s="13" t="n">
        <v>36217</v>
      </c>
      <c r="L318" s="11" t="inlineStr">
        <is>
          <t>The St Botolph Building, 138 Houndsditch, London</t>
        </is>
      </c>
      <c r="M318" s="11" t="inlineStr">
        <is>
          <t>EC3A 7AG</t>
        </is>
      </c>
      <c r="N318" s="11" t="inlineStr">
        <is>
          <t>Yes</t>
        </is>
      </c>
      <c r="U318" s="11" t="inlineStr">
        <is>
          <t>Liverpool St - Attlee Centre</t>
        </is>
      </c>
      <c r="V318" s="11" t="n">
        <v>7</v>
      </c>
      <c r="W318" s="11" t="inlineStr">
        <is>
          <t>Shoreditch Powerleague (15.5); Whitechapel (18.6)</t>
        </is>
      </c>
      <c r="X318" s="11" t="inlineStr">
        <is>
          <t>Shoreditch Powerleague</t>
        </is>
      </c>
      <c r="Y318" s="11" t="n">
        <v>16</v>
      </c>
      <c r="Z318" s="14">
        <f>IFERROR(INDEX(Venues!$E$2:$E$15,MATCH(X318,Venues!$A$2:$A$15,0)),"Not checked")</f>
        <v/>
      </c>
      <c r="AA318" s="14">
        <f>IFERROR(INDEX(Venues!$F$2:$F$15,MATCH(X318,Venues!$A$2:$A$15,0)),0)</f>
        <v/>
      </c>
      <c r="AB318" s="15">
        <f>IFERROR(INDEX(Venues!$M$2:$M$15,MATCH(X318,Venues!$A$2:$A$15,0)),"")</f>
        <v/>
      </c>
      <c r="AC318" s="14">
        <f>IFERROR(INDEX(Venues!$N$2:$N$15,MATCH(X318,Venues!$A$2:$A$15,0)),"5-a-side")</f>
        <v/>
      </c>
      <c r="AD318" s="16">
        <f>IF(Offer!$C$4="","",Offer!$C$4)</f>
        <v/>
      </c>
      <c r="AE318" s="14">
        <f>X318&amp;" ("&amp;Y318&amp;" min walk) · "&amp;IF(ISNUMBER(AB318),TEXT(AB318,"ddd d mmm, hh:mm"),"slot to confirm with venue")&amp;" · "&amp;AC318&amp;" · "&amp;IF(AD318&lt;&gt;"","£"&amp;TEXT(AD318,"0.00")&amp;" pp","price TBC")</f>
        <v/>
      </c>
      <c r="AF318" s="14">
        <f>"After-work football for "&amp;F318&amp;" · "&amp;X318&amp;", "&amp;Y318&amp;" min from your office"</f>
        <v/>
      </c>
      <c r="AG318" s="14">
        <f>"Hi"&amp;IF(O318&lt;&gt;""," "&amp;O318,"")&amp;","&amp;CHAR(10)&amp;CHAR(10)&amp;"I'm "&amp;IF(AL318&lt;&gt;"",AL318,IF(Offer!$C$5&lt;&gt;"",Offer!$C$5,"[NAME]"))&amp;" from FC Urban. We organise after-work football for teams in the City and Canary Wharf."&amp;CHAR(10)&amp;CHAR(10)&amp;"We have a "&amp;AC318&amp;" pitch at "&amp;X318&amp;", "&amp;IF(OR(Y318=8,Y318=11,Y318=18),"an ","a ")&amp;Y318&amp;"-minute walk from your "&amp;M318&amp;" office, "&amp;IF(ISNUMBER(AB318),"on "&amp;TEXT(AB318,"dddd d mmmm")&amp;" at "&amp;TEXT(AB318,"hh:mm"),"on a weekday evening that suits your team")&amp;". It's "&amp;IF(AD318&lt;&gt;"","£"&amp;IF(AD318=INT(AD318),TEXT(AD318,"0"),TEXT(AD318,"0.00")),"[PRICE PER PLAYER]")&amp;" a player and we handle the pitch booking, sign-ups and payments, so all it takes is one person sharing a link with the team."&amp;CHAR(10)&amp;CHAR(10)&amp;"It works well as a team social or "&amp;IF(ISNUMBER(SEARCH(LEFT(F318,1),"AEIOU")),"an ","a ")&amp;F318&amp;"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LINK]")&amp;CHAR(10)&amp;CHAR(10)&amp;"Best,"&amp;CHAR(10)&amp;IF(AL318&lt;&gt;"",AL318,IF(Offer!$C$5&lt;&gt;"",Offer!$C$5,"[NAME]"))&amp;CHAR(10)&amp;"FC Urban"</f>
        <v/>
      </c>
      <c r="AH318" s="14">
        <f>IF(LEN("Hi"&amp;IF(O318&lt;&gt;""," "&amp;O318,"")&amp;","&amp;" FC Urban runs after-work football for "&amp;IF(D318="Canary Wharf","Canary Wharf","City")&amp;" teams. We have a "&amp;AC318&amp;" pitch at "&amp;X318&amp;", "&amp;Y318&amp;" min from your office, "&amp;IF(ISNUMBER(AB318),TEXT(AB318,"ddd d mmm")&amp;", "&amp;TEXT(AB318,"hh:mm"),"weekday evenings")&amp;", "&amp;IF(AD318&lt;&gt;"","£"&amp;IF(AD318=INT(AD318),TEXT(AD318,"0"),TEXT(AD318,"0.00")),"[PRICE PER PLAYER]")&amp;" a player. We handle booking, sign-ups and payments. Fancy "&amp;IF(ISNUMBER(SEARCH(LEFT(F318,1),"AEIOU")),"an ","a ")&amp;F318&amp;" team game? "&amp;IF(AL318&lt;&gt;"",AL318,IF(Offer!$C$5&lt;&gt;"",Offer!$C$5,"[NAME]")))&lt;=300,"Hi"&amp;IF(O318&lt;&gt;""," "&amp;O318,"")&amp;","&amp;" FC Urban runs after-work football for "&amp;IF(D318="Canary Wharf","Canary Wharf","City")&amp;" teams. We have a "&amp;AC318&amp;" pitch at "&amp;X318&amp;", "&amp;Y318&amp;" min from your office, "&amp;IF(ISNUMBER(AB318),TEXT(AB318,"ddd d mmm")&amp;", "&amp;TEXT(AB318,"hh:mm"),"weekday evenings")&amp;", "&amp;IF(AD318&lt;&gt;"","£"&amp;IF(AD318=INT(AD318),TEXT(AD318,"0"),TEXT(AD318,"0.00")),"[PRICE PER PLAYER]")&amp;" a player. We handle booking, sign-ups and payments. Fancy "&amp;IF(ISNUMBER(SEARCH(LEFT(F318,1),"AEIOU")),"an ","a ")&amp;F318&amp;" team game? "&amp;IF(AL318&lt;&gt;"",AL318,IF(Offer!$C$5&lt;&gt;"",Offer!$C$5,"[NAME]")),LEFT("Hi"&amp;IF(O318&lt;&gt;""," "&amp;O318,"")&amp;","&amp;" FC Urban runs after-work football for "&amp;IF(D318="Canary Wharf","Canary Wharf","City")&amp;" teams: "&amp;AC318&amp;" at "&amp;X318&amp;", "&amp;Y318&amp;" min from your office, "&amp;IF(ISNUMBER(AB318),TEXT(AB318,"ddd d mmm")&amp;", "&amp;TEXT(AB318,"hh:mm"),"weekday evenings")&amp;", "&amp;IF(AD318&lt;&gt;"","£"&amp;IF(AD318=INT(AD318),TEXT(AD318,"0"),TEXT(AD318,"0.00")),"[PRICE PER PLAYER]")&amp;" pp. We handle booking and payments. Up for a team game? "&amp;IF(AL318&lt;&gt;"",AL318,IF(Offer!$C$5&lt;&gt;"",Offer!$C$5,"[NAME]")),300))</f>
        <v/>
      </c>
      <c r="AI318" s="14">
        <f>LEN(AH318)</f>
        <v/>
      </c>
      <c r="AJ318" s="14">
        <f>"Thanks for connecting"&amp;IF(O318&lt;&gt;"",", "&amp;O318,"")&amp;". "&amp;IF(ISNUMBER(AB318),"The "&amp;AC318&amp;" slot at "&amp;X318&amp;" is "&amp;IF(ISNUMBER(AB318),TEXT(AB318,"ddd d mmm")&amp;", "&amp;TEXT(AB318,"hh:mm"),"weekday evenings"),"We can book "&amp;AC318&amp;" at "&amp;X318&amp;" on a weekday evening that suits you")&amp;" and it's "&amp;IF(AD318&lt;&gt;"","£"&amp;IF(AD318=INT(AD318),TEXT(AD318,"0"),TEXT(AD318,"0.00")),"[PRICE PER PLAYER]")&amp;" a player, all booked and paid through one link. If football isn't your thing, who at "&amp;F318&amp;" would be the right person to organise a team game?"&amp;IF(Offer!$C$7&lt;&gt;""," Spots are held until "&amp;TEXT(Offer!$C$7,"dddd d mmmm")&amp;".","")&amp;" "&amp;IF(Offer!$C$6&lt;&gt;"",Offer!$C$6,"[JOINING LINK]")</f>
        <v/>
      </c>
      <c r="AK318" s="14">
        <f>IF(OR(ISNUMBER(SEARCH("[",AG318)),ISNUMBER(SEARCH("[",AJ318))),"Fill placeholders",IF(ISNUMBER(AB318),"Ready to send","Ready · no fixed slot"))</f>
        <v/>
      </c>
      <c r="AN318" s="17" t="n"/>
    </row>
    <row r="319">
      <c r="A319" s="11" t="n">
        <v>317</v>
      </c>
      <c r="B319" s="11" t="n">
        <v>3</v>
      </c>
      <c r="C319" s="11" t="inlineStr">
        <is>
          <t>Insurance / broker</t>
        </is>
      </c>
      <c r="D319" s="11" t="inlineStr">
        <is>
          <t>City of London</t>
        </is>
      </c>
      <c r="E319" s="11" t="inlineStr">
        <is>
          <t>Equitas Reinsurance Limited</t>
        </is>
      </c>
      <c r="F319" s="11" t="inlineStr">
        <is>
          <t>Equitas Reinsurance</t>
        </is>
      </c>
      <c r="G319" s="11" t="inlineStr">
        <is>
          <t>03136300</t>
        </is>
      </c>
      <c r="H319" s="12" t="inlineStr">
        <is>
          <t>Open</t>
        </is>
      </c>
      <c r="I319" s="12" t="inlineStr">
        <is>
          <t>Search</t>
        </is>
      </c>
      <c r="J319" s="11" t="inlineStr">
        <is>
          <t>Full</t>
        </is>
      </c>
      <c r="K319" s="13" t="n">
        <v>35038</v>
      </c>
      <c r="L319" s="11" t="inlineStr">
        <is>
          <t>4Th Floor, The St Botolph Building, 138 Houndsditch, London</t>
        </is>
      </c>
      <c r="M319" s="11" t="inlineStr">
        <is>
          <t>EC3A 7AW</t>
        </is>
      </c>
      <c r="N319" s="11" t="inlineStr">
        <is>
          <t>No</t>
        </is>
      </c>
      <c r="U319" s="11" t="inlineStr">
        <is>
          <t>Liverpool St - Attlee Centre</t>
        </is>
      </c>
      <c r="V319" s="11" t="n">
        <v>7</v>
      </c>
      <c r="W319" s="11" t="inlineStr">
        <is>
          <t>Shoreditch Powerleague (15.5); Whitechapel (18.6)</t>
        </is>
      </c>
      <c r="X319" s="11" t="inlineStr">
        <is>
          <t>Shoreditch Powerleague</t>
        </is>
      </c>
      <c r="Y319" s="11" t="n">
        <v>16</v>
      </c>
      <c r="Z319" s="14">
        <f>IFERROR(INDEX(Venues!$E$2:$E$15,MATCH(X319,Venues!$A$2:$A$15,0)),"Not checked")</f>
        <v/>
      </c>
      <c r="AA319" s="14">
        <f>IFERROR(INDEX(Venues!$F$2:$F$15,MATCH(X319,Venues!$A$2:$A$15,0)),0)</f>
        <v/>
      </c>
      <c r="AB319" s="15">
        <f>IFERROR(INDEX(Venues!$M$2:$M$15,MATCH(X319,Venues!$A$2:$A$15,0)),"")</f>
        <v/>
      </c>
      <c r="AC319" s="14">
        <f>IFERROR(INDEX(Venues!$N$2:$N$15,MATCH(X319,Venues!$A$2:$A$15,0)),"5-a-side")</f>
        <v/>
      </c>
      <c r="AD319" s="16">
        <f>IF(Offer!$C$4="","",Offer!$C$4)</f>
        <v/>
      </c>
      <c r="AE319" s="14">
        <f>X319&amp;" ("&amp;Y319&amp;" min walk) · "&amp;IF(ISNUMBER(AB319),TEXT(AB319,"ddd d mmm, hh:mm"),"slot to confirm with venue")&amp;" · "&amp;AC319&amp;" · "&amp;IF(AD319&lt;&gt;"","£"&amp;TEXT(AD319,"0.00")&amp;" pp","price TBC")</f>
        <v/>
      </c>
      <c r="AF319" s="14">
        <f>"After-work football for "&amp;F319&amp;" · "&amp;X319&amp;", "&amp;Y319&amp;" min from your office"</f>
        <v/>
      </c>
      <c r="AG319" s="14">
        <f>"Hi"&amp;IF(O319&lt;&gt;""," "&amp;O319,"")&amp;","&amp;CHAR(10)&amp;CHAR(10)&amp;"I'm "&amp;IF(AL319&lt;&gt;"",AL319,IF(Offer!$C$5&lt;&gt;"",Offer!$C$5,"[NAME]"))&amp;" from FC Urban. We organise after-work football for teams in the City and Canary Wharf."&amp;CHAR(10)&amp;CHAR(10)&amp;"We have a "&amp;AC319&amp;" pitch at "&amp;X319&amp;", "&amp;IF(OR(Y319=8,Y319=11,Y319=18),"an ","a ")&amp;Y319&amp;"-minute walk from your "&amp;M319&amp;" office, "&amp;IF(ISNUMBER(AB319),"on "&amp;TEXT(AB319,"dddd d mmmm")&amp;" at "&amp;TEXT(AB319,"hh:mm"),"on a weekday evening that suits your team")&amp;". It's "&amp;IF(AD319&lt;&gt;"","£"&amp;IF(AD319=INT(AD319),TEXT(AD319,"0"),TEXT(AD319,"0.00")),"[PRICE PER PLAYER]")&amp;" a player and we handle the pitch booking, sign-ups and payments, so all it takes is one person sharing a link with the team."&amp;CHAR(10)&amp;CHAR(10)&amp;"It works well as a team social or "&amp;IF(ISNUMBER(SEARCH(LEFT(F319,1),"AEIOU")),"an ","a ")&amp;F319&amp;"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LINK]")&amp;CHAR(10)&amp;CHAR(10)&amp;"Best,"&amp;CHAR(10)&amp;IF(AL319&lt;&gt;"",AL319,IF(Offer!$C$5&lt;&gt;"",Offer!$C$5,"[NAME]"))&amp;CHAR(10)&amp;"FC Urban"</f>
        <v/>
      </c>
      <c r="AH319" s="14">
        <f>IF(LEN("Hi"&amp;IF(O319&lt;&gt;""," "&amp;O319,"")&amp;","&amp;" FC Urban runs after-work football for "&amp;IF(D319="Canary Wharf","Canary Wharf","City")&amp;" teams. We have a "&amp;AC319&amp;" pitch at "&amp;X319&amp;", "&amp;Y319&amp;" min from your office, "&amp;IF(ISNUMBER(AB319),TEXT(AB319,"ddd d mmm")&amp;", "&amp;TEXT(AB319,"hh:mm"),"weekday evenings")&amp;", "&amp;IF(AD319&lt;&gt;"","£"&amp;IF(AD319=INT(AD319),TEXT(AD319,"0"),TEXT(AD319,"0.00")),"[PRICE PER PLAYER]")&amp;" a player. We handle booking, sign-ups and payments. Fancy "&amp;IF(ISNUMBER(SEARCH(LEFT(F319,1),"AEIOU")),"an ","a ")&amp;F319&amp;" team game? "&amp;IF(AL319&lt;&gt;"",AL319,IF(Offer!$C$5&lt;&gt;"",Offer!$C$5,"[NAME]")))&lt;=300,"Hi"&amp;IF(O319&lt;&gt;""," "&amp;O319,"")&amp;","&amp;" FC Urban runs after-work football for "&amp;IF(D319="Canary Wharf","Canary Wharf","City")&amp;" teams. We have a "&amp;AC319&amp;" pitch at "&amp;X319&amp;", "&amp;Y319&amp;" min from your office, "&amp;IF(ISNUMBER(AB319),TEXT(AB319,"ddd d mmm")&amp;", "&amp;TEXT(AB319,"hh:mm"),"weekday evenings")&amp;", "&amp;IF(AD319&lt;&gt;"","£"&amp;IF(AD319=INT(AD319),TEXT(AD319,"0"),TEXT(AD319,"0.00")),"[PRICE PER PLAYER]")&amp;" a player. We handle booking, sign-ups and payments. Fancy "&amp;IF(ISNUMBER(SEARCH(LEFT(F319,1),"AEIOU")),"an ","a ")&amp;F319&amp;" team game? "&amp;IF(AL319&lt;&gt;"",AL319,IF(Offer!$C$5&lt;&gt;"",Offer!$C$5,"[NAME]")),LEFT("Hi"&amp;IF(O319&lt;&gt;""," "&amp;O319,"")&amp;","&amp;" FC Urban runs after-work football for "&amp;IF(D319="Canary Wharf","Canary Wharf","City")&amp;" teams: "&amp;AC319&amp;" at "&amp;X319&amp;", "&amp;Y319&amp;" min from your office, "&amp;IF(ISNUMBER(AB319),TEXT(AB319,"ddd d mmm")&amp;", "&amp;TEXT(AB319,"hh:mm"),"weekday evenings")&amp;", "&amp;IF(AD319&lt;&gt;"","£"&amp;IF(AD319=INT(AD319),TEXT(AD319,"0"),TEXT(AD319,"0.00")),"[PRICE PER PLAYER]")&amp;" pp. We handle booking and payments. Up for a team game? "&amp;IF(AL319&lt;&gt;"",AL319,IF(Offer!$C$5&lt;&gt;"",Offer!$C$5,"[NAME]")),300))</f>
        <v/>
      </c>
      <c r="AI319" s="14">
        <f>LEN(AH319)</f>
        <v/>
      </c>
      <c r="AJ319" s="14">
        <f>"Thanks for connecting"&amp;IF(O319&lt;&gt;"",", "&amp;O319,"")&amp;". "&amp;IF(ISNUMBER(AB319),"The "&amp;AC319&amp;" slot at "&amp;X319&amp;" is "&amp;IF(ISNUMBER(AB319),TEXT(AB319,"ddd d mmm")&amp;", "&amp;TEXT(AB319,"hh:mm"),"weekday evenings"),"We can book "&amp;AC319&amp;" at "&amp;X319&amp;" on a weekday evening that suits you")&amp;" and it's "&amp;IF(AD319&lt;&gt;"","£"&amp;IF(AD319=INT(AD319),TEXT(AD319,"0"),TEXT(AD319,"0.00")),"[PRICE PER PLAYER]")&amp;" a player, all booked and paid through one link. If football isn't your thing, who at "&amp;F319&amp;" would be the right person to organise a team game?"&amp;IF(Offer!$C$7&lt;&gt;""," Spots are held until "&amp;TEXT(Offer!$C$7,"dddd d mmmm")&amp;".","")&amp;" "&amp;IF(Offer!$C$6&lt;&gt;"",Offer!$C$6,"[JOINING LINK]")</f>
        <v/>
      </c>
      <c r="AK319" s="14">
        <f>IF(OR(ISNUMBER(SEARCH("[",AG319)),ISNUMBER(SEARCH("[",AJ319))),"Fill placeholders",IF(ISNUMBER(AB319),"Ready to send","Ready · no fixed slot"))</f>
        <v/>
      </c>
      <c r="AN319" s="17" t="n"/>
    </row>
    <row r="320">
      <c r="A320" s="11" t="n">
        <v>318</v>
      </c>
      <c r="B320" s="11" t="n">
        <v>3</v>
      </c>
      <c r="C320" s="11" t="inlineStr">
        <is>
          <t>Insurance / broker</t>
        </is>
      </c>
      <c r="D320" s="11" t="inlineStr">
        <is>
          <t>City of London</t>
        </is>
      </c>
      <c r="E320" s="11" t="inlineStr">
        <is>
          <t>GB Underwriting Ltd</t>
        </is>
      </c>
      <c r="F320" s="11" t="inlineStr">
        <is>
          <t>GB Underwriting</t>
        </is>
      </c>
      <c r="G320" s="11" t="inlineStr">
        <is>
          <t>04692971</t>
        </is>
      </c>
      <c r="H320" s="12" t="inlineStr">
        <is>
          <t>Open</t>
        </is>
      </c>
      <c r="I320" s="12" t="inlineStr">
        <is>
          <t>Search</t>
        </is>
      </c>
      <c r="J320" s="11" t="inlineStr">
        <is>
          <t>Full</t>
        </is>
      </c>
      <c r="K320" s="13" t="n">
        <v>37691</v>
      </c>
      <c r="L320" s="11" t="inlineStr">
        <is>
          <t>7Th Floor, The St Botolph Building, 138 Houndsditch, London</t>
        </is>
      </c>
      <c r="M320" s="11" t="inlineStr">
        <is>
          <t>EC3A 7AW</t>
        </is>
      </c>
      <c r="N320" s="11" t="inlineStr">
        <is>
          <t>No</t>
        </is>
      </c>
      <c r="U320" s="11" t="inlineStr">
        <is>
          <t>Liverpool St - Attlee Centre</t>
        </is>
      </c>
      <c r="V320" s="11" t="n">
        <v>7</v>
      </c>
      <c r="W320" s="11" t="inlineStr">
        <is>
          <t>Shoreditch Powerleague (15.5); Whitechapel (18.6)</t>
        </is>
      </c>
      <c r="X320" s="11" t="inlineStr">
        <is>
          <t>Shoreditch Powerleague</t>
        </is>
      </c>
      <c r="Y320" s="11" t="n">
        <v>16</v>
      </c>
      <c r="Z320" s="14">
        <f>IFERROR(INDEX(Venues!$E$2:$E$15,MATCH(X320,Venues!$A$2:$A$15,0)),"Not checked")</f>
        <v/>
      </c>
      <c r="AA320" s="14">
        <f>IFERROR(INDEX(Venues!$F$2:$F$15,MATCH(X320,Venues!$A$2:$A$15,0)),0)</f>
        <v/>
      </c>
      <c r="AB320" s="15">
        <f>IFERROR(INDEX(Venues!$M$2:$M$15,MATCH(X320,Venues!$A$2:$A$15,0)),"")</f>
        <v/>
      </c>
      <c r="AC320" s="14">
        <f>IFERROR(INDEX(Venues!$N$2:$N$15,MATCH(X320,Venues!$A$2:$A$15,0)),"5-a-side")</f>
        <v/>
      </c>
      <c r="AD320" s="16">
        <f>IF(Offer!$C$4="","",Offer!$C$4)</f>
        <v/>
      </c>
      <c r="AE320" s="14">
        <f>X320&amp;" ("&amp;Y320&amp;" min walk) · "&amp;IF(ISNUMBER(AB320),TEXT(AB320,"ddd d mmm, hh:mm"),"slot to confirm with venue")&amp;" · "&amp;AC320&amp;" · "&amp;IF(AD320&lt;&gt;"","£"&amp;TEXT(AD320,"0.00")&amp;" pp","price TBC")</f>
        <v/>
      </c>
      <c r="AF320" s="14">
        <f>"After-work football for "&amp;F320&amp;" · "&amp;X320&amp;", "&amp;Y320&amp;" min from your office"</f>
        <v/>
      </c>
      <c r="AG320" s="14">
        <f>"Hi"&amp;IF(O320&lt;&gt;""," "&amp;O320,"")&amp;","&amp;CHAR(10)&amp;CHAR(10)&amp;"I'm "&amp;IF(AL320&lt;&gt;"",AL320,IF(Offer!$C$5&lt;&gt;"",Offer!$C$5,"[NAME]"))&amp;" from FC Urban. We organise after-work football for teams in the City and Canary Wharf."&amp;CHAR(10)&amp;CHAR(10)&amp;"We have a "&amp;AC320&amp;" pitch at "&amp;X320&amp;", "&amp;IF(OR(Y320=8,Y320=11,Y320=18),"an ","a ")&amp;Y320&amp;"-minute walk from your "&amp;M320&amp;" office, "&amp;IF(ISNUMBER(AB320),"on "&amp;TEXT(AB320,"dddd d mmmm")&amp;" at "&amp;TEXT(AB320,"hh:mm"),"on a weekday evening that suits your team")&amp;". It's "&amp;IF(AD320&lt;&gt;"","£"&amp;IF(AD320=INT(AD320),TEXT(AD320,"0"),TEXT(AD320,"0.00")),"[PRICE PER PLAYER]")&amp;" a player and we handle the pitch booking, sign-ups and payments, so all it takes is one person sharing a link with the team."&amp;CHAR(10)&amp;CHAR(10)&amp;"It works well as a team social or "&amp;IF(ISNUMBER(SEARCH(LEFT(F320,1),"AEIOU")),"an ","a ")&amp;F320&amp;"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LINK]")&amp;CHAR(10)&amp;CHAR(10)&amp;"Best,"&amp;CHAR(10)&amp;IF(AL320&lt;&gt;"",AL320,IF(Offer!$C$5&lt;&gt;"",Offer!$C$5,"[NAME]"))&amp;CHAR(10)&amp;"FC Urban"</f>
        <v/>
      </c>
      <c r="AH320" s="14">
        <f>IF(LEN("Hi"&amp;IF(O320&lt;&gt;""," "&amp;O320,"")&amp;","&amp;" FC Urban runs after-work football for "&amp;IF(D320="Canary Wharf","Canary Wharf","City")&amp;" teams. We have a "&amp;AC320&amp;" pitch at "&amp;X320&amp;", "&amp;Y320&amp;" min from your office, "&amp;IF(ISNUMBER(AB320),TEXT(AB320,"ddd d mmm")&amp;", "&amp;TEXT(AB320,"hh:mm"),"weekday evenings")&amp;", "&amp;IF(AD320&lt;&gt;"","£"&amp;IF(AD320=INT(AD320),TEXT(AD320,"0"),TEXT(AD320,"0.00")),"[PRICE PER PLAYER]")&amp;" a player. We handle booking, sign-ups and payments. Fancy "&amp;IF(ISNUMBER(SEARCH(LEFT(F320,1),"AEIOU")),"an ","a ")&amp;F320&amp;" team game? "&amp;IF(AL320&lt;&gt;"",AL320,IF(Offer!$C$5&lt;&gt;"",Offer!$C$5,"[NAME]")))&lt;=300,"Hi"&amp;IF(O320&lt;&gt;""," "&amp;O320,"")&amp;","&amp;" FC Urban runs after-work football for "&amp;IF(D320="Canary Wharf","Canary Wharf","City")&amp;" teams. We have a "&amp;AC320&amp;" pitch at "&amp;X320&amp;", "&amp;Y320&amp;" min from your office, "&amp;IF(ISNUMBER(AB320),TEXT(AB320,"ddd d mmm")&amp;", "&amp;TEXT(AB320,"hh:mm"),"weekday evenings")&amp;", "&amp;IF(AD320&lt;&gt;"","£"&amp;IF(AD320=INT(AD320),TEXT(AD320,"0"),TEXT(AD320,"0.00")),"[PRICE PER PLAYER]")&amp;" a player. We handle booking, sign-ups and payments. Fancy "&amp;IF(ISNUMBER(SEARCH(LEFT(F320,1),"AEIOU")),"an ","a ")&amp;F320&amp;" team game? "&amp;IF(AL320&lt;&gt;"",AL320,IF(Offer!$C$5&lt;&gt;"",Offer!$C$5,"[NAME]")),LEFT("Hi"&amp;IF(O320&lt;&gt;""," "&amp;O320,"")&amp;","&amp;" FC Urban runs after-work football for "&amp;IF(D320="Canary Wharf","Canary Wharf","City")&amp;" teams: "&amp;AC320&amp;" at "&amp;X320&amp;", "&amp;Y320&amp;" min from your office, "&amp;IF(ISNUMBER(AB320),TEXT(AB320,"ddd d mmm")&amp;", "&amp;TEXT(AB320,"hh:mm"),"weekday evenings")&amp;", "&amp;IF(AD320&lt;&gt;"","£"&amp;IF(AD320=INT(AD320),TEXT(AD320,"0"),TEXT(AD320,"0.00")),"[PRICE PER PLAYER]")&amp;" pp. We handle booking and payments. Up for a team game? "&amp;IF(AL320&lt;&gt;"",AL320,IF(Offer!$C$5&lt;&gt;"",Offer!$C$5,"[NAME]")),300))</f>
        <v/>
      </c>
      <c r="AI320" s="14">
        <f>LEN(AH320)</f>
        <v/>
      </c>
      <c r="AJ320" s="14">
        <f>"Thanks for connecting"&amp;IF(O320&lt;&gt;"",", "&amp;O320,"")&amp;". "&amp;IF(ISNUMBER(AB320),"The "&amp;AC320&amp;" slot at "&amp;X320&amp;" is "&amp;IF(ISNUMBER(AB320),TEXT(AB320,"ddd d mmm")&amp;", "&amp;TEXT(AB320,"hh:mm"),"weekday evenings"),"We can book "&amp;AC320&amp;" at "&amp;X320&amp;" on a weekday evening that suits you")&amp;" and it's "&amp;IF(AD320&lt;&gt;"","£"&amp;IF(AD320=INT(AD320),TEXT(AD320,"0"),TEXT(AD320,"0.00")),"[PRICE PER PLAYER]")&amp;" a player, all booked and paid through one link. If football isn't your thing, who at "&amp;F320&amp;" would be the right person to organise a team game?"&amp;IF(Offer!$C$7&lt;&gt;""," Spots are held until "&amp;TEXT(Offer!$C$7,"dddd d mmmm")&amp;".","")&amp;" "&amp;IF(Offer!$C$6&lt;&gt;"",Offer!$C$6,"[JOINING LINK]")</f>
        <v/>
      </c>
      <c r="AK320" s="14">
        <f>IF(OR(ISNUMBER(SEARCH("[",AG320)),ISNUMBER(SEARCH("[",AJ320))),"Fill placeholders",IF(ISNUMBER(AB320),"Ready to send","Ready · no fixed slot"))</f>
        <v/>
      </c>
      <c r="AN320" s="17" t="n"/>
    </row>
    <row r="321">
      <c r="A321" s="11" t="n">
        <v>319</v>
      </c>
      <c r="B321" s="11" t="n">
        <v>3</v>
      </c>
      <c r="C321" s="11" t="inlineStr">
        <is>
          <t>Insurance / broker</t>
        </is>
      </c>
      <c r="D321" s="11" t="inlineStr">
        <is>
          <t>City of London</t>
        </is>
      </c>
      <c r="E321" s="11" t="inlineStr">
        <is>
          <t>KBIS Limited</t>
        </is>
      </c>
      <c r="F321" s="11" t="inlineStr">
        <is>
          <t>KBIS</t>
        </is>
      </c>
      <c r="G321" s="11" t="inlineStr">
        <is>
          <t>02208091</t>
        </is>
      </c>
      <c r="H321" s="12" t="inlineStr">
        <is>
          <t>Open</t>
        </is>
      </c>
      <c r="I321" s="12" t="inlineStr">
        <is>
          <t>Search</t>
        </is>
      </c>
      <c r="J321" s="11" t="inlineStr">
        <is>
          <t>Full</t>
        </is>
      </c>
      <c r="K321" s="13" t="n">
        <v>32135</v>
      </c>
      <c r="L321" s="11" t="inlineStr">
        <is>
          <t>7Th Floor, The St Botolph Building, 138 Houndsditch, London</t>
        </is>
      </c>
      <c r="M321" s="11" t="inlineStr">
        <is>
          <t>EC3A 7AW</t>
        </is>
      </c>
      <c r="N321" s="11" t="inlineStr">
        <is>
          <t>No</t>
        </is>
      </c>
      <c r="U321" s="11" t="inlineStr">
        <is>
          <t>Liverpool St - Attlee Centre</t>
        </is>
      </c>
      <c r="V321" s="11" t="n">
        <v>7</v>
      </c>
      <c r="W321" s="11" t="inlineStr">
        <is>
          <t>Shoreditch Powerleague (15.5); Whitechapel (18.6)</t>
        </is>
      </c>
      <c r="X321" s="11" t="inlineStr">
        <is>
          <t>Shoreditch Powerleague</t>
        </is>
      </c>
      <c r="Y321" s="11" t="n">
        <v>16</v>
      </c>
      <c r="Z321" s="14">
        <f>IFERROR(INDEX(Venues!$E$2:$E$15,MATCH(X321,Venues!$A$2:$A$15,0)),"Not checked")</f>
        <v/>
      </c>
      <c r="AA321" s="14">
        <f>IFERROR(INDEX(Venues!$F$2:$F$15,MATCH(X321,Venues!$A$2:$A$15,0)),0)</f>
        <v/>
      </c>
      <c r="AB321" s="15">
        <f>IFERROR(INDEX(Venues!$M$2:$M$15,MATCH(X321,Venues!$A$2:$A$15,0)),"")</f>
        <v/>
      </c>
      <c r="AC321" s="14">
        <f>IFERROR(INDEX(Venues!$N$2:$N$15,MATCH(X321,Venues!$A$2:$A$15,0)),"5-a-side")</f>
        <v/>
      </c>
      <c r="AD321" s="16">
        <f>IF(Offer!$C$4="","",Offer!$C$4)</f>
        <v/>
      </c>
      <c r="AE321" s="14">
        <f>X321&amp;" ("&amp;Y321&amp;" min walk) · "&amp;IF(ISNUMBER(AB321),TEXT(AB321,"ddd d mmm, hh:mm"),"slot to confirm with venue")&amp;" · "&amp;AC321&amp;" · "&amp;IF(AD321&lt;&gt;"","£"&amp;TEXT(AD321,"0.00")&amp;" pp","price TBC")</f>
        <v/>
      </c>
      <c r="AF321" s="14">
        <f>"After-work football for "&amp;F321&amp;" · "&amp;X321&amp;", "&amp;Y321&amp;" min from your office"</f>
        <v/>
      </c>
      <c r="AG321" s="14">
        <f>"Hi"&amp;IF(O321&lt;&gt;""," "&amp;O321,"")&amp;","&amp;CHAR(10)&amp;CHAR(10)&amp;"I'm "&amp;IF(AL321&lt;&gt;"",AL321,IF(Offer!$C$5&lt;&gt;"",Offer!$C$5,"[NAME]"))&amp;" from FC Urban. We organise after-work football for teams in the City and Canary Wharf."&amp;CHAR(10)&amp;CHAR(10)&amp;"We have a "&amp;AC321&amp;" pitch at "&amp;X321&amp;", "&amp;IF(OR(Y321=8,Y321=11,Y321=18),"an ","a ")&amp;Y321&amp;"-minute walk from your "&amp;M321&amp;" office, "&amp;IF(ISNUMBER(AB321),"on "&amp;TEXT(AB321,"dddd d mmmm")&amp;" at "&amp;TEXT(AB321,"hh:mm"),"on a weekday evening that suits your team")&amp;". It's "&amp;IF(AD321&lt;&gt;"","£"&amp;IF(AD321=INT(AD321),TEXT(AD321,"0"),TEXT(AD321,"0.00")),"[PRICE PER PLAYER]")&amp;" a player and we handle the pitch booking, sign-ups and payments, so all it takes is one person sharing a link with the team."&amp;CHAR(10)&amp;CHAR(10)&amp;"It works well as a team social or "&amp;IF(ISNUMBER(SEARCH(LEFT(F321,1),"AEIOU")),"an ","a ")&amp;F321&amp;"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LINK]")&amp;CHAR(10)&amp;CHAR(10)&amp;"Best,"&amp;CHAR(10)&amp;IF(AL321&lt;&gt;"",AL321,IF(Offer!$C$5&lt;&gt;"",Offer!$C$5,"[NAME]"))&amp;CHAR(10)&amp;"FC Urban"</f>
        <v/>
      </c>
      <c r="AH321" s="14">
        <f>IF(LEN("Hi"&amp;IF(O321&lt;&gt;""," "&amp;O321,"")&amp;","&amp;" FC Urban runs after-work football for "&amp;IF(D321="Canary Wharf","Canary Wharf","City")&amp;" teams. We have a "&amp;AC321&amp;" pitch at "&amp;X321&amp;", "&amp;Y321&amp;" min from your office, "&amp;IF(ISNUMBER(AB321),TEXT(AB321,"ddd d mmm")&amp;", "&amp;TEXT(AB321,"hh:mm"),"weekday evenings")&amp;", "&amp;IF(AD321&lt;&gt;"","£"&amp;IF(AD321=INT(AD321),TEXT(AD321,"0"),TEXT(AD321,"0.00")),"[PRICE PER PLAYER]")&amp;" a player. We handle booking, sign-ups and payments. Fancy "&amp;IF(ISNUMBER(SEARCH(LEFT(F321,1),"AEIOU")),"an ","a ")&amp;F321&amp;" team game? "&amp;IF(AL321&lt;&gt;"",AL321,IF(Offer!$C$5&lt;&gt;"",Offer!$C$5,"[NAME]")))&lt;=300,"Hi"&amp;IF(O321&lt;&gt;""," "&amp;O321,"")&amp;","&amp;" FC Urban runs after-work football for "&amp;IF(D321="Canary Wharf","Canary Wharf","City")&amp;" teams. We have a "&amp;AC321&amp;" pitch at "&amp;X321&amp;", "&amp;Y321&amp;" min from your office, "&amp;IF(ISNUMBER(AB321),TEXT(AB321,"ddd d mmm")&amp;", "&amp;TEXT(AB321,"hh:mm"),"weekday evenings")&amp;", "&amp;IF(AD321&lt;&gt;"","£"&amp;IF(AD321=INT(AD321),TEXT(AD321,"0"),TEXT(AD321,"0.00")),"[PRICE PER PLAYER]")&amp;" a player. We handle booking, sign-ups and payments. Fancy "&amp;IF(ISNUMBER(SEARCH(LEFT(F321,1),"AEIOU")),"an ","a ")&amp;F321&amp;" team game? "&amp;IF(AL321&lt;&gt;"",AL321,IF(Offer!$C$5&lt;&gt;"",Offer!$C$5,"[NAME]")),LEFT("Hi"&amp;IF(O321&lt;&gt;""," "&amp;O321,"")&amp;","&amp;" FC Urban runs after-work football for "&amp;IF(D321="Canary Wharf","Canary Wharf","City")&amp;" teams: "&amp;AC321&amp;" at "&amp;X321&amp;", "&amp;Y321&amp;" min from your office, "&amp;IF(ISNUMBER(AB321),TEXT(AB321,"ddd d mmm")&amp;", "&amp;TEXT(AB321,"hh:mm"),"weekday evenings")&amp;", "&amp;IF(AD321&lt;&gt;"","£"&amp;IF(AD321=INT(AD321),TEXT(AD321,"0"),TEXT(AD321,"0.00")),"[PRICE PER PLAYER]")&amp;" pp. We handle booking and payments. Up for a team game? "&amp;IF(AL321&lt;&gt;"",AL321,IF(Offer!$C$5&lt;&gt;"",Offer!$C$5,"[NAME]")),300))</f>
        <v/>
      </c>
      <c r="AI321" s="14">
        <f>LEN(AH321)</f>
        <v/>
      </c>
      <c r="AJ321" s="14">
        <f>"Thanks for connecting"&amp;IF(O321&lt;&gt;"",", "&amp;O321,"")&amp;". "&amp;IF(ISNUMBER(AB321),"The "&amp;AC321&amp;" slot at "&amp;X321&amp;" is "&amp;IF(ISNUMBER(AB321),TEXT(AB321,"ddd d mmm")&amp;", "&amp;TEXT(AB321,"hh:mm"),"weekday evenings"),"We can book "&amp;AC321&amp;" at "&amp;X321&amp;" on a weekday evening that suits you")&amp;" and it's "&amp;IF(AD321&lt;&gt;"","£"&amp;IF(AD321=INT(AD321),TEXT(AD321,"0"),TEXT(AD321,"0.00")),"[PRICE PER PLAYER]")&amp;" a player, all booked and paid through one link. If football isn't your thing, who at "&amp;F321&amp;" would be the right person to organise a team game?"&amp;IF(Offer!$C$7&lt;&gt;""," Spots are held until "&amp;TEXT(Offer!$C$7,"dddd d mmmm")&amp;".","")&amp;" "&amp;IF(Offer!$C$6&lt;&gt;"",Offer!$C$6,"[JOINING LINK]")</f>
        <v/>
      </c>
      <c r="AK321" s="14">
        <f>IF(OR(ISNUMBER(SEARCH("[",AG321)),ISNUMBER(SEARCH("[",AJ321))),"Fill placeholders",IF(ISNUMBER(AB321),"Ready to send","Ready · no fixed slot"))</f>
        <v/>
      </c>
      <c r="AN321" s="17" t="n"/>
    </row>
    <row r="322">
      <c r="A322" s="11" t="n">
        <v>320</v>
      </c>
      <c r="B322" s="11" t="n">
        <v>3</v>
      </c>
      <c r="C322" s="11" t="inlineStr">
        <is>
          <t>Insurance / broker</t>
        </is>
      </c>
      <c r="D322" s="11" t="inlineStr">
        <is>
          <t>City of London</t>
        </is>
      </c>
      <c r="E322" s="11" t="inlineStr">
        <is>
          <t>Kyoei Fire &amp; Marine Insurance Co. (U.K.) Limited</t>
        </is>
      </c>
      <c r="F322" s="11" t="inlineStr">
        <is>
          <t>Kyoei Fire &amp; Marine Insurance Co</t>
        </is>
      </c>
      <c r="G322" s="11" t="inlineStr">
        <is>
          <t>01235521</t>
        </is>
      </c>
      <c r="H322" s="12" t="inlineStr">
        <is>
          <t>Open</t>
        </is>
      </c>
      <c r="I322" s="12" t="inlineStr">
        <is>
          <t>Search</t>
        </is>
      </c>
      <c r="J322" s="11" t="inlineStr">
        <is>
          <t>Full</t>
        </is>
      </c>
      <c r="K322" s="13" t="n">
        <v>27725</v>
      </c>
      <c r="L322" s="11" t="inlineStr">
        <is>
          <t>4Th Floor, The St Botolph Building, 138 Houndsditch, London</t>
        </is>
      </c>
      <c r="M322" s="11" t="inlineStr">
        <is>
          <t>EC3A 7AW</t>
        </is>
      </c>
      <c r="N322" s="11" t="inlineStr">
        <is>
          <t>No</t>
        </is>
      </c>
      <c r="U322" s="11" t="inlineStr">
        <is>
          <t>Liverpool St - Attlee Centre</t>
        </is>
      </c>
      <c r="V322" s="11" t="n">
        <v>7</v>
      </c>
      <c r="W322" s="11" t="inlineStr">
        <is>
          <t>Shoreditch Powerleague (15.5); Whitechapel (18.6)</t>
        </is>
      </c>
      <c r="X322" s="11" t="inlineStr">
        <is>
          <t>Shoreditch Powerleague</t>
        </is>
      </c>
      <c r="Y322" s="11" t="n">
        <v>16</v>
      </c>
      <c r="Z322" s="14">
        <f>IFERROR(INDEX(Venues!$E$2:$E$15,MATCH(X322,Venues!$A$2:$A$15,0)),"Not checked")</f>
        <v/>
      </c>
      <c r="AA322" s="14">
        <f>IFERROR(INDEX(Venues!$F$2:$F$15,MATCH(X322,Venues!$A$2:$A$15,0)),0)</f>
        <v/>
      </c>
      <c r="AB322" s="15">
        <f>IFERROR(INDEX(Venues!$M$2:$M$15,MATCH(X322,Venues!$A$2:$A$15,0)),"")</f>
        <v/>
      </c>
      <c r="AC322" s="14">
        <f>IFERROR(INDEX(Venues!$N$2:$N$15,MATCH(X322,Venues!$A$2:$A$15,0)),"5-a-side")</f>
        <v/>
      </c>
      <c r="AD322" s="16">
        <f>IF(Offer!$C$4="","",Offer!$C$4)</f>
        <v/>
      </c>
      <c r="AE322" s="14">
        <f>X322&amp;" ("&amp;Y322&amp;" min walk) · "&amp;IF(ISNUMBER(AB322),TEXT(AB322,"ddd d mmm, hh:mm"),"slot to confirm with venue")&amp;" · "&amp;AC322&amp;" · "&amp;IF(AD322&lt;&gt;"","£"&amp;TEXT(AD322,"0.00")&amp;" pp","price TBC")</f>
        <v/>
      </c>
      <c r="AF322" s="14">
        <f>"After-work football for "&amp;F322&amp;" · "&amp;X322&amp;", "&amp;Y322&amp;" min from your office"</f>
        <v/>
      </c>
      <c r="AG322" s="14">
        <f>"Hi"&amp;IF(O322&lt;&gt;""," "&amp;O322,"")&amp;","&amp;CHAR(10)&amp;CHAR(10)&amp;"I'm "&amp;IF(AL322&lt;&gt;"",AL322,IF(Offer!$C$5&lt;&gt;"",Offer!$C$5,"[NAME]"))&amp;" from FC Urban. We organise after-work football for teams in the City and Canary Wharf."&amp;CHAR(10)&amp;CHAR(10)&amp;"We have a "&amp;AC322&amp;" pitch at "&amp;X322&amp;", "&amp;IF(OR(Y322=8,Y322=11,Y322=18),"an ","a ")&amp;Y322&amp;"-minute walk from your "&amp;M322&amp;" office, "&amp;IF(ISNUMBER(AB322),"on "&amp;TEXT(AB322,"dddd d mmmm")&amp;" at "&amp;TEXT(AB322,"hh:mm"),"on a weekday evening that suits your team")&amp;". It's "&amp;IF(AD322&lt;&gt;"","£"&amp;IF(AD322=INT(AD322),TEXT(AD322,"0"),TEXT(AD322,"0.00")),"[PRICE PER PLAYER]")&amp;" a player and we handle the pitch booking, sign-ups and payments, so all it takes is one person sharing a link with the team."&amp;CHAR(10)&amp;CHAR(10)&amp;"It works well as a team social or "&amp;IF(ISNUMBER(SEARCH(LEFT(F322,1),"AEIOU")),"an ","a ")&amp;F322&amp;"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LINK]")&amp;CHAR(10)&amp;CHAR(10)&amp;"Best,"&amp;CHAR(10)&amp;IF(AL322&lt;&gt;"",AL322,IF(Offer!$C$5&lt;&gt;"",Offer!$C$5,"[NAME]"))&amp;CHAR(10)&amp;"FC Urban"</f>
        <v/>
      </c>
      <c r="AH322" s="14">
        <f>IF(LEN("Hi"&amp;IF(O322&lt;&gt;""," "&amp;O322,"")&amp;","&amp;" FC Urban runs after-work football for "&amp;IF(D322="Canary Wharf","Canary Wharf","City")&amp;" teams. We have a "&amp;AC322&amp;" pitch at "&amp;X322&amp;", "&amp;Y322&amp;" min from your office, "&amp;IF(ISNUMBER(AB322),TEXT(AB322,"ddd d mmm")&amp;", "&amp;TEXT(AB322,"hh:mm"),"weekday evenings")&amp;", "&amp;IF(AD322&lt;&gt;"","£"&amp;IF(AD322=INT(AD322),TEXT(AD322,"0"),TEXT(AD322,"0.00")),"[PRICE PER PLAYER]")&amp;" a player. We handle booking, sign-ups and payments. Fancy "&amp;IF(ISNUMBER(SEARCH(LEFT(F322,1),"AEIOU")),"an ","a ")&amp;F322&amp;" team game? "&amp;IF(AL322&lt;&gt;"",AL322,IF(Offer!$C$5&lt;&gt;"",Offer!$C$5,"[NAME]")))&lt;=300,"Hi"&amp;IF(O322&lt;&gt;""," "&amp;O322,"")&amp;","&amp;" FC Urban runs after-work football for "&amp;IF(D322="Canary Wharf","Canary Wharf","City")&amp;" teams. We have a "&amp;AC322&amp;" pitch at "&amp;X322&amp;", "&amp;Y322&amp;" min from your office, "&amp;IF(ISNUMBER(AB322),TEXT(AB322,"ddd d mmm")&amp;", "&amp;TEXT(AB322,"hh:mm"),"weekday evenings")&amp;", "&amp;IF(AD322&lt;&gt;"","£"&amp;IF(AD322=INT(AD322),TEXT(AD322,"0"),TEXT(AD322,"0.00")),"[PRICE PER PLAYER]")&amp;" a player. We handle booking, sign-ups and payments. Fancy "&amp;IF(ISNUMBER(SEARCH(LEFT(F322,1),"AEIOU")),"an ","a ")&amp;F322&amp;" team game? "&amp;IF(AL322&lt;&gt;"",AL322,IF(Offer!$C$5&lt;&gt;"",Offer!$C$5,"[NAME]")),LEFT("Hi"&amp;IF(O322&lt;&gt;""," "&amp;O322,"")&amp;","&amp;" FC Urban runs after-work football for "&amp;IF(D322="Canary Wharf","Canary Wharf","City")&amp;" teams: "&amp;AC322&amp;" at "&amp;X322&amp;", "&amp;Y322&amp;" min from your office, "&amp;IF(ISNUMBER(AB322),TEXT(AB322,"ddd d mmm")&amp;", "&amp;TEXT(AB322,"hh:mm"),"weekday evenings")&amp;", "&amp;IF(AD322&lt;&gt;"","£"&amp;IF(AD322=INT(AD322),TEXT(AD322,"0"),TEXT(AD322,"0.00")),"[PRICE PER PLAYER]")&amp;" pp. We handle booking and payments. Up for a team game? "&amp;IF(AL322&lt;&gt;"",AL322,IF(Offer!$C$5&lt;&gt;"",Offer!$C$5,"[NAME]")),300))</f>
        <v/>
      </c>
      <c r="AI322" s="14">
        <f>LEN(AH322)</f>
        <v/>
      </c>
      <c r="AJ322" s="14">
        <f>"Thanks for connecting"&amp;IF(O322&lt;&gt;"",", "&amp;O322,"")&amp;". "&amp;IF(ISNUMBER(AB322),"The "&amp;AC322&amp;" slot at "&amp;X322&amp;" is "&amp;IF(ISNUMBER(AB322),TEXT(AB322,"ddd d mmm")&amp;", "&amp;TEXT(AB322,"hh:mm"),"weekday evenings"),"We can book "&amp;AC322&amp;" at "&amp;X322&amp;" on a weekday evening that suits you")&amp;" and it's "&amp;IF(AD322&lt;&gt;"","£"&amp;IF(AD322=INT(AD322),TEXT(AD322,"0"),TEXT(AD322,"0.00")),"[PRICE PER PLAYER]")&amp;" a player, all booked and paid through one link. If football isn't your thing, who at "&amp;F322&amp;" would be the right person to organise a team game?"&amp;IF(Offer!$C$7&lt;&gt;""," Spots are held until "&amp;TEXT(Offer!$C$7,"dddd d mmmm")&amp;".","")&amp;" "&amp;IF(Offer!$C$6&lt;&gt;"",Offer!$C$6,"[JOINING LINK]")</f>
        <v/>
      </c>
      <c r="AK322" s="14">
        <f>IF(OR(ISNUMBER(SEARCH("[",AG322)),ISNUMBER(SEARCH("[",AJ322))),"Fill placeholders",IF(ISNUMBER(AB322),"Ready to send","Ready · no fixed slot"))</f>
        <v/>
      </c>
      <c r="AN322" s="17" t="n"/>
    </row>
    <row r="323">
      <c r="A323" s="11" t="n">
        <v>321</v>
      </c>
      <c r="B323" s="11" t="n">
        <v>3</v>
      </c>
      <c r="C323" s="11" t="inlineStr">
        <is>
          <t>Insurance / broker</t>
        </is>
      </c>
      <c r="D323" s="11" t="inlineStr">
        <is>
          <t>City of London</t>
        </is>
      </c>
      <c r="E323" s="11" t="inlineStr">
        <is>
          <t>Marine, Aviation &amp; General (London) Limited</t>
        </is>
      </c>
      <c r="F323" s="11" t="inlineStr">
        <is>
          <t>Marine, Aviation &amp; General</t>
        </is>
      </c>
      <c r="G323" s="11" t="inlineStr">
        <is>
          <t>02856880</t>
        </is>
      </c>
      <c r="H323" s="12" t="inlineStr">
        <is>
          <t>Open</t>
        </is>
      </c>
      <c r="I323" s="12" t="inlineStr">
        <is>
          <t>Search</t>
        </is>
      </c>
      <c r="J323" s="11" t="inlineStr">
        <is>
          <t>Full</t>
        </is>
      </c>
      <c r="K323" s="13" t="n">
        <v>34236</v>
      </c>
      <c r="L323" s="11" t="inlineStr">
        <is>
          <t>1 Minster Court, Mincing Lane, London</t>
        </is>
      </c>
      <c r="M323" s="11" t="inlineStr">
        <is>
          <t>EC3R 7AA</t>
        </is>
      </c>
      <c r="N323" s="11" t="inlineStr">
        <is>
          <t>Yes</t>
        </is>
      </c>
      <c r="U323" s="11" t="inlineStr">
        <is>
          <t>Liverpool St - Attlee Centre</t>
        </is>
      </c>
      <c r="V323" s="11" t="n">
        <v>16</v>
      </c>
      <c r="W323" s="11" t="n"/>
      <c r="X323" s="11" t="inlineStr">
        <is>
          <t>Liverpool St - Attlee Centre</t>
        </is>
      </c>
      <c r="Y323" s="11" t="n">
        <v>16</v>
      </c>
      <c r="Z323" s="14">
        <f>IFERROR(INDEX(Venues!$E$2:$E$15,MATCH(X323,Venues!$A$2:$A$15,0)),"Not checked")</f>
        <v/>
      </c>
      <c r="AA323" s="14">
        <f>IFERROR(INDEX(Venues!$F$2:$F$15,MATCH(X323,Venues!$A$2:$A$15,0)),0)</f>
        <v/>
      </c>
      <c r="AB323" s="15">
        <f>IFERROR(INDEX(Venues!$M$2:$M$15,MATCH(X323,Venues!$A$2:$A$15,0)),"")</f>
        <v/>
      </c>
      <c r="AC323" s="14">
        <f>IFERROR(INDEX(Venues!$N$2:$N$15,MATCH(X323,Venues!$A$2:$A$15,0)),"5-a-side")</f>
        <v/>
      </c>
      <c r="AD323" s="16">
        <f>IF(Offer!$C$4="","",Offer!$C$4)</f>
        <v/>
      </c>
      <c r="AE323" s="14">
        <f>X323&amp;" ("&amp;Y323&amp;" min walk) · "&amp;IF(ISNUMBER(AB323),TEXT(AB323,"ddd d mmm, hh:mm"),"slot to confirm with venue")&amp;" · "&amp;AC323&amp;" · "&amp;IF(AD323&lt;&gt;"","£"&amp;TEXT(AD323,"0.00")&amp;" pp","price TBC")</f>
        <v/>
      </c>
      <c r="AF323" s="14">
        <f>"After-work football for "&amp;F323&amp;" · "&amp;X323&amp;", "&amp;Y323&amp;" min from your office"</f>
        <v/>
      </c>
      <c r="AG323" s="14">
        <f>"Hi"&amp;IF(O323&lt;&gt;""," "&amp;O323,"")&amp;","&amp;CHAR(10)&amp;CHAR(10)&amp;"I'm "&amp;IF(AL323&lt;&gt;"",AL323,IF(Offer!$C$5&lt;&gt;"",Offer!$C$5,"[NAME]"))&amp;" from FC Urban. We organise after-work football for teams in the City and Canary Wharf."&amp;CHAR(10)&amp;CHAR(10)&amp;"We have a "&amp;AC323&amp;" pitch at "&amp;X323&amp;", "&amp;IF(OR(Y323=8,Y323=11,Y323=18),"an ","a ")&amp;Y323&amp;"-minute walk from your "&amp;M323&amp;" office, "&amp;IF(ISNUMBER(AB323),"on "&amp;TEXT(AB323,"dddd d mmmm")&amp;" at "&amp;TEXT(AB323,"hh:mm"),"on a weekday evening that suits your team")&amp;". It's "&amp;IF(AD323&lt;&gt;"","£"&amp;IF(AD323=INT(AD323),TEXT(AD323,"0"),TEXT(AD323,"0.00")),"[PRICE PER PLAYER]")&amp;" a player and we handle the pitch booking, sign-ups and payments, so all it takes is one person sharing a link with the team."&amp;CHAR(10)&amp;CHAR(10)&amp;"It works well as a team social or "&amp;IF(ISNUMBER(SEARCH(LEFT(F323,1),"AEIOU")),"an ","a ")&amp;F323&amp;"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LINK]")&amp;CHAR(10)&amp;CHAR(10)&amp;"Best,"&amp;CHAR(10)&amp;IF(AL323&lt;&gt;"",AL323,IF(Offer!$C$5&lt;&gt;"",Offer!$C$5,"[NAME]"))&amp;CHAR(10)&amp;"FC Urban"</f>
        <v/>
      </c>
      <c r="AH323" s="14">
        <f>IF(LEN("Hi"&amp;IF(O323&lt;&gt;""," "&amp;O323,"")&amp;","&amp;" FC Urban runs after-work football for "&amp;IF(D323="Canary Wharf","Canary Wharf","City")&amp;" teams. We have a "&amp;AC323&amp;" pitch at "&amp;X323&amp;", "&amp;Y323&amp;" min from your office, "&amp;IF(ISNUMBER(AB323),TEXT(AB323,"ddd d mmm")&amp;", "&amp;TEXT(AB323,"hh:mm"),"weekday evenings")&amp;", "&amp;IF(AD323&lt;&gt;"","£"&amp;IF(AD323=INT(AD323),TEXT(AD323,"0"),TEXT(AD323,"0.00")),"[PRICE PER PLAYER]")&amp;" a player. We handle booking, sign-ups and payments. Fancy "&amp;IF(ISNUMBER(SEARCH(LEFT(F323,1),"AEIOU")),"an ","a ")&amp;F323&amp;" team game? "&amp;IF(AL323&lt;&gt;"",AL323,IF(Offer!$C$5&lt;&gt;"",Offer!$C$5,"[NAME]")))&lt;=300,"Hi"&amp;IF(O323&lt;&gt;""," "&amp;O323,"")&amp;","&amp;" FC Urban runs after-work football for "&amp;IF(D323="Canary Wharf","Canary Wharf","City")&amp;" teams. We have a "&amp;AC323&amp;" pitch at "&amp;X323&amp;", "&amp;Y323&amp;" min from your office, "&amp;IF(ISNUMBER(AB323),TEXT(AB323,"ddd d mmm")&amp;", "&amp;TEXT(AB323,"hh:mm"),"weekday evenings")&amp;", "&amp;IF(AD323&lt;&gt;"","£"&amp;IF(AD323=INT(AD323),TEXT(AD323,"0"),TEXT(AD323,"0.00")),"[PRICE PER PLAYER]")&amp;" a player. We handle booking, sign-ups and payments. Fancy "&amp;IF(ISNUMBER(SEARCH(LEFT(F323,1),"AEIOU")),"an ","a ")&amp;F323&amp;" team game? "&amp;IF(AL323&lt;&gt;"",AL323,IF(Offer!$C$5&lt;&gt;"",Offer!$C$5,"[NAME]")),LEFT("Hi"&amp;IF(O323&lt;&gt;""," "&amp;O323,"")&amp;","&amp;" FC Urban runs after-work football for "&amp;IF(D323="Canary Wharf","Canary Wharf","City")&amp;" teams: "&amp;AC323&amp;" at "&amp;X323&amp;", "&amp;Y323&amp;" min from your office, "&amp;IF(ISNUMBER(AB323),TEXT(AB323,"ddd d mmm")&amp;", "&amp;TEXT(AB323,"hh:mm"),"weekday evenings")&amp;", "&amp;IF(AD323&lt;&gt;"","£"&amp;IF(AD323=INT(AD323),TEXT(AD323,"0"),TEXT(AD323,"0.00")),"[PRICE PER PLAYER]")&amp;" pp. We handle booking and payments. Up for a team game? "&amp;IF(AL323&lt;&gt;"",AL323,IF(Offer!$C$5&lt;&gt;"",Offer!$C$5,"[NAME]")),300))</f>
        <v/>
      </c>
      <c r="AI323" s="14">
        <f>LEN(AH323)</f>
        <v/>
      </c>
      <c r="AJ323" s="14">
        <f>"Thanks for connecting"&amp;IF(O323&lt;&gt;"",", "&amp;O323,"")&amp;". "&amp;IF(ISNUMBER(AB323),"The "&amp;AC323&amp;" slot at "&amp;X323&amp;" is "&amp;IF(ISNUMBER(AB323),TEXT(AB323,"ddd d mmm")&amp;", "&amp;TEXT(AB323,"hh:mm"),"weekday evenings"),"We can book "&amp;AC323&amp;" at "&amp;X323&amp;" on a weekday evening that suits you")&amp;" and it's "&amp;IF(AD323&lt;&gt;"","£"&amp;IF(AD323=INT(AD323),TEXT(AD323,"0"),TEXT(AD323,"0.00")),"[PRICE PER PLAYER]")&amp;" a player, all booked and paid through one link. If football isn't your thing, who at "&amp;F323&amp;" would be the right person to organise a team game?"&amp;IF(Offer!$C$7&lt;&gt;""," Spots are held until "&amp;TEXT(Offer!$C$7,"dddd d mmmm")&amp;".","")&amp;" "&amp;IF(Offer!$C$6&lt;&gt;"",Offer!$C$6,"[JOINING LINK]")</f>
        <v/>
      </c>
      <c r="AK323" s="14">
        <f>IF(OR(ISNUMBER(SEARCH("[",AG323)),ISNUMBER(SEARCH("[",AJ323))),"Fill placeholders",IF(ISNUMBER(AB323),"Ready to send","Ready · no fixed slot"))</f>
        <v/>
      </c>
      <c r="AN323" s="17" t="n"/>
    </row>
    <row r="324">
      <c r="A324" s="11" t="n">
        <v>322</v>
      </c>
      <c r="B324" s="11" t="n">
        <v>3</v>
      </c>
      <c r="C324" s="11" t="inlineStr">
        <is>
          <t>Insurance / broker</t>
        </is>
      </c>
      <c r="D324" s="11" t="inlineStr">
        <is>
          <t>City of London</t>
        </is>
      </c>
      <c r="E324" s="11" t="inlineStr">
        <is>
          <t>MX Underwriting Limited</t>
        </is>
      </c>
      <c r="F324" s="11" t="inlineStr">
        <is>
          <t>MX Underwriting</t>
        </is>
      </c>
      <c r="G324" s="11" t="inlineStr">
        <is>
          <t>05545292</t>
        </is>
      </c>
      <c r="H324" s="12" t="inlineStr">
        <is>
          <t>Open</t>
        </is>
      </c>
      <c r="I324" s="12" t="inlineStr">
        <is>
          <t>Search</t>
        </is>
      </c>
      <c r="J324" s="11" t="inlineStr">
        <is>
          <t>Full</t>
        </is>
      </c>
      <c r="K324" s="13" t="n">
        <v>38588</v>
      </c>
      <c r="L324" s="11" t="inlineStr">
        <is>
          <t>7Th Floor, The St Botolph Building, 138 Houndsditch, London</t>
        </is>
      </c>
      <c r="M324" s="11" t="inlineStr">
        <is>
          <t>EC3A 7AW</t>
        </is>
      </c>
      <c r="N324" s="11" t="inlineStr">
        <is>
          <t>No</t>
        </is>
      </c>
      <c r="U324" s="11" t="inlineStr">
        <is>
          <t>Liverpool St - Attlee Centre</t>
        </is>
      </c>
      <c r="V324" s="11" t="n">
        <v>7</v>
      </c>
      <c r="W324" s="11" t="inlineStr">
        <is>
          <t>Shoreditch Powerleague (15.5); Whitechapel (18.6)</t>
        </is>
      </c>
      <c r="X324" s="11" t="inlineStr">
        <is>
          <t>Shoreditch Powerleague</t>
        </is>
      </c>
      <c r="Y324" s="11" t="n">
        <v>16</v>
      </c>
      <c r="Z324" s="14">
        <f>IFERROR(INDEX(Venues!$E$2:$E$15,MATCH(X324,Venues!$A$2:$A$15,0)),"Not checked")</f>
        <v/>
      </c>
      <c r="AA324" s="14">
        <f>IFERROR(INDEX(Venues!$F$2:$F$15,MATCH(X324,Venues!$A$2:$A$15,0)),0)</f>
        <v/>
      </c>
      <c r="AB324" s="15">
        <f>IFERROR(INDEX(Venues!$M$2:$M$15,MATCH(X324,Venues!$A$2:$A$15,0)),"")</f>
        <v/>
      </c>
      <c r="AC324" s="14">
        <f>IFERROR(INDEX(Venues!$N$2:$N$15,MATCH(X324,Venues!$A$2:$A$15,0)),"5-a-side")</f>
        <v/>
      </c>
      <c r="AD324" s="16">
        <f>IF(Offer!$C$4="","",Offer!$C$4)</f>
        <v/>
      </c>
      <c r="AE324" s="14">
        <f>X324&amp;" ("&amp;Y324&amp;" min walk) · "&amp;IF(ISNUMBER(AB324),TEXT(AB324,"ddd d mmm, hh:mm"),"slot to confirm with venue")&amp;" · "&amp;AC324&amp;" · "&amp;IF(AD324&lt;&gt;"","£"&amp;TEXT(AD324,"0.00")&amp;" pp","price TBC")</f>
        <v/>
      </c>
      <c r="AF324" s="14">
        <f>"After-work football for "&amp;F324&amp;" · "&amp;X324&amp;", "&amp;Y324&amp;" min from your office"</f>
        <v/>
      </c>
      <c r="AG324" s="14">
        <f>"Hi"&amp;IF(O324&lt;&gt;""," "&amp;O324,"")&amp;","&amp;CHAR(10)&amp;CHAR(10)&amp;"I'm "&amp;IF(AL324&lt;&gt;"",AL324,IF(Offer!$C$5&lt;&gt;"",Offer!$C$5,"[NAME]"))&amp;" from FC Urban. We organise after-work football for teams in the City and Canary Wharf."&amp;CHAR(10)&amp;CHAR(10)&amp;"We have a "&amp;AC324&amp;" pitch at "&amp;X324&amp;", "&amp;IF(OR(Y324=8,Y324=11,Y324=18),"an ","a ")&amp;Y324&amp;"-minute walk from your "&amp;M324&amp;" office, "&amp;IF(ISNUMBER(AB324),"on "&amp;TEXT(AB324,"dddd d mmmm")&amp;" at "&amp;TEXT(AB324,"hh:mm"),"on a weekday evening that suits your team")&amp;". It's "&amp;IF(AD324&lt;&gt;"","£"&amp;IF(AD324=INT(AD324),TEXT(AD324,"0"),TEXT(AD324,"0.00")),"[PRICE PER PLAYER]")&amp;" a player and we handle the pitch booking, sign-ups and payments, so all it takes is one person sharing a link with the team."&amp;CHAR(10)&amp;CHAR(10)&amp;"It works well as a team social or "&amp;IF(ISNUMBER(SEARCH(LEFT(F324,1),"AEIOU")),"an ","a ")&amp;F324&amp;"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LINK]")&amp;CHAR(10)&amp;CHAR(10)&amp;"Best,"&amp;CHAR(10)&amp;IF(AL324&lt;&gt;"",AL324,IF(Offer!$C$5&lt;&gt;"",Offer!$C$5,"[NAME]"))&amp;CHAR(10)&amp;"FC Urban"</f>
        <v/>
      </c>
      <c r="AH324" s="14">
        <f>IF(LEN("Hi"&amp;IF(O324&lt;&gt;""," "&amp;O324,"")&amp;","&amp;" FC Urban runs after-work football for "&amp;IF(D324="Canary Wharf","Canary Wharf","City")&amp;" teams. We have a "&amp;AC324&amp;" pitch at "&amp;X324&amp;", "&amp;Y324&amp;" min from your office, "&amp;IF(ISNUMBER(AB324),TEXT(AB324,"ddd d mmm")&amp;", "&amp;TEXT(AB324,"hh:mm"),"weekday evenings")&amp;", "&amp;IF(AD324&lt;&gt;"","£"&amp;IF(AD324=INT(AD324),TEXT(AD324,"0"),TEXT(AD324,"0.00")),"[PRICE PER PLAYER]")&amp;" a player. We handle booking, sign-ups and payments. Fancy "&amp;IF(ISNUMBER(SEARCH(LEFT(F324,1),"AEIOU")),"an ","a ")&amp;F324&amp;" team game? "&amp;IF(AL324&lt;&gt;"",AL324,IF(Offer!$C$5&lt;&gt;"",Offer!$C$5,"[NAME]")))&lt;=300,"Hi"&amp;IF(O324&lt;&gt;""," "&amp;O324,"")&amp;","&amp;" FC Urban runs after-work football for "&amp;IF(D324="Canary Wharf","Canary Wharf","City")&amp;" teams. We have a "&amp;AC324&amp;" pitch at "&amp;X324&amp;", "&amp;Y324&amp;" min from your office, "&amp;IF(ISNUMBER(AB324),TEXT(AB324,"ddd d mmm")&amp;", "&amp;TEXT(AB324,"hh:mm"),"weekday evenings")&amp;", "&amp;IF(AD324&lt;&gt;"","£"&amp;IF(AD324=INT(AD324),TEXT(AD324,"0"),TEXT(AD324,"0.00")),"[PRICE PER PLAYER]")&amp;" a player. We handle booking, sign-ups and payments. Fancy "&amp;IF(ISNUMBER(SEARCH(LEFT(F324,1),"AEIOU")),"an ","a ")&amp;F324&amp;" team game? "&amp;IF(AL324&lt;&gt;"",AL324,IF(Offer!$C$5&lt;&gt;"",Offer!$C$5,"[NAME]")),LEFT("Hi"&amp;IF(O324&lt;&gt;""," "&amp;O324,"")&amp;","&amp;" FC Urban runs after-work football for "&amp;IF(D324="Canary Wharf","Canary Wharf","City")&amp;" teams: "&amp;AC324&amp;" at "&amp;X324&amp;", "&amp;Y324&amp;" min from your office, "&amp;IF(ISNUMBER(AB324),TEXT(AB324,"ddd d mmm")&amp;", "&amp;TEXT(AB324,"hh:mm"),"weekday evenings")&amp;", "&amp;IF(AD324&lt;&gt;"","£"&amp;IF(AD324=INT(AD324),TEXT(AD324,"0"),TEXT(AD324,"0.00")),"[PRICE PER PLAYER]")&amp;" pp. We handle booking and payments. Up for a team game? "&amp;IF(AL324&lt;&gt;"",AL324,IF(Offer!$C$5&lt;&gt;"",Offer!$C$5,"[NAME]")),300))</f>
        <v/>
      </c>
      <c r="AI324" s="14">
        <f>LEN(AH324)</f>
        <v/>
      </c>
      <c r="AJ324" s="14">
        <f>"Thanks for connecting"&amp;IF(O324&lt;&gt;"",", "&amp;O324,"")&amp;". "&amp;IF(ISNUMBER(AB324),"The "&amp;AC324&amp;" slot at "&amp;X324&amp;" is "&amp;IF(ISNUMBER(AB324),TEXT(AB324,"ddd d mmm")&amp;", "&amp;TEXT(AB324,"hh:mm"),"weekday evenings"),"We can book "&amp;AC324&amp;" at "&amp;X324&amp;" on a weekday evening that suits you")&amp;" and it's "&amp;IF(AD324&lt;&gt;"","£"&amp;IF(AD324=INT(AD324),TEXT(AD324,"0"),TEXT(AD324,"0.00")),"[PRICE PER PLAYER]")&amp;" a player, all booked and paid through one link. If football isn't your thing, who at "&amp;F324&amp;" would be the right person to organise a team game?"&amp;IF(Offer!$C$7&lt;&gt;""," Spots are held until "&amp;TEXT(Offer!$C$7,"dddd d mmmm")&amp;".","")&amp;" "&amp;IF(Offer!$C$6&lt;&gt;"",Offer!$C$6,"[JOINING LINK]")</f>
        <v/>
      </c>
      <c r="AK324" s="14">
        <f>IF(OR(ISNUMBER(SEARCH("[",AG324)),ISNUMBER(SEARCH("[",AJ324))),"Fill placeholders",IF(ISNUMBER(AB324),"Ready to send","Ready · no fixed slot"))</f>
        <v/>
      </c>
      <c r="AN324" s="17" t="n"/>
    </row>
    <row r="325">
      <c r="A325" s="11" t="n">
        <v>323</v>
      </c>
      <c r="B325" s="11" t="n">
        <v>3</v>
      </c>
      <c r="C325" s="11" t="inlineStr">
        <is>
          <t>Insurance / broker</t>
        </is>
      </c>
      <c r="D325" s="11" t="inlineStr">
        <is>
          <t>City of London</t>
        </is>
      </c>
      <c r="E325" s="11" t="inlineStr">
        <is>
          <t>NRG Victory Reinsurance Limited</t>
        </is>
      </c>
      <c r="F325" s="11" t="inlineStr">
        <is>
          <t>NRG Victory Reinsurance</t>
        </is>
      </c>
      <c r="G325" s="11" t="inlineStr">
        <is>
          <t>00157508</t>
        </is>
      </c>
      <c r="H325" s="12" t="inlineStr">
        <is>
          <t>Open</t>
        </is>
      </c>
      <c r="I325" s="12" t="inlineStr">
        <is>
          <t>Search</t>
        </is>
      </c>
      <c r="J325" s="11" t="inlineStr">
        <is>
          <t>Full</t>
        </is>
      </c>
      <c r="K325" s="13" t="n">
        <v>7150</v>
      </c>
      <c r="L325" s="11" t="inlineStr">
        <is>
          <t>4Th Floor, The St Botolph Building, 138 Houndsditch, London</t>
        </is>
      </c>
      <c r="M325" s="11" t="inlineStr">
        <is>
          <t>EC3A 7AW</t>
        </is>
      </c>
      <c r="N325" s="11" t="inlineStr">
        <is>
          <t>No</t>
        </is>
      </c>
      <c r="U325" s="11" t="inlineStr">
        <is>
          <t>Liverpool St - Attlee Centre</t>
        </is>
      </c>
      <c r="V325" s="11" t="n">
        <v>7</v>
      </c>
      <c r="W325" s="11" t="inlineStr">
        <is>
          <t>Shoreditch Powerleague (15.5); Whitechapel (18.6)</t>
        </is>
      </c>
      <c r="X325" s="11" t="inlineStr">
        <is>
          <t>Shoreditch Powerleague</t>
        </is>
      </c>
      <c r="Y325" s="11" t="n">
        <v>16</v>
      </c>
      <c r="Z325" s="14">
        <f>IFERROR(INDEX(Venues!$E$2:$E$15,MATCH(X325,Venues!$A$2:$A$15,0)),"Not checked")</f>
        <v/>
      </c>
      <c r="AA325" s="14">
        <f>IFERROR(INDEX(Venues!$F$2:$F$15,MATCH(X325,Venues!$A$2:$A$15,0)),0)</f>
        <v/>
      </c>
      <c r="AB325" s="15">
        <f>IFERROR(INDEX(Venues!$M$2:$M$15,MATCH(X325,Venues!$A$2:$A$15,0)),"")</f>
        <v/>
      </c>
      <c r="AC325" s="14">
        <f>IFERROR(INDEX(Venues!$N$2:$N$15,MATCH(X325,Venues!$A$2:$A$15,0)),"5-a-side")</f>
        <v/>
      </c>
      <c r="AD325" s="16">
        <f>IF(Offer!$C$4="","",Offer!$C$4)</f>
        <v/>
      </c>
      <c r="AE325" s="14">
        <f>X325&amp;" ("&amp;Y325&amp;" min walk) · "&amp;IF(ISNUMBER(AB325),TEXT(AB325,"ddd d mmm, hh:mm"),"slot to confirm with venue")&amp;" · "&amp;AC325&amp;" · "&amp;IF(AD325&lt;&gt;"","£"&amp;TEXT(AD325,"0.00")&amp;" pp","price TBC")</f>
        <v/>
      </c>
      <c r="AF325" s="14">
        <f>"After-work football for "&amp;F325&amp;" · "&amp;X325&amp;", "&amp;Y325&amp;" min from your office"</f>
        <v/>
      </c>
      <c r="AG325" s="14">
        <f>"Hi"&amp;IF(O325&lt;&gt;""," "&amp;O325,"")&amp;","&amp;CHAR(10)&amp;CHAR(10)&amp;"I'm "&amp;IF(AL325&lt;&gt;"",AL325,IF(Offer!$C$5&lt;&gt;"",Offer!$C$5,"[NAME]"))&amp;" from FC Urban. We organise after-work football for teams in the City and Canary Wharf."&amp;CHAR(10)&amp;CHAR(10)&amp;"We have a "&amp;AC325&amp;" pitch at "&amp;X325&amp;", "&amp;IF(OR(Y325=8,Y325=11,Y325=18),"an ","a ")&amp;Y325&amp;"-minute walk from your "&amp;M325&amp;" office, "&amp;IF(ISNUMBER(AB325),"on "&amp;TEXT(AB325,"dddd d mmmm")&amp;" at "&amp;TEXT(AB325,"hh:mm"),"on a weekday evening that suits your team")&amp;". It's "&amp;IF(AD325&lt;&gt;"","£"&amp;IF(AD325=INT(AD325),TEXT(AD325,"0"),TEXT(AD325,"0.00")),"[PRICE PER PLAYER]")&amp;" a player and we handle the pitch booking, sign-ups and payments, so all it takes is one person sharing a link with the team."&amp;CHAR(10)&amp;CHAR(10)&amp;"It works well as a team social or "&amp;IF(ISNUMBER(SEARCH(LEFT(F325,1),"AEIOU")),"an ","a ")&amp;F325&amp;"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LINK]")&amp;CHAR(10)&amp;CHAR(10)&amp;"Best,"&amp;CHAR(10)&amp;IF(AL325&lt;&gt;"",AL325,IF(Offer!$C$5&lt;&gt;"",Offer!$C$5,"[NAME]"))&amp;CHAR(10)&amp;"FC Urban"</f>
        <v/>
      </c>
      <c r="AH325" s="14">
        <f>IF(LEN("Hi"&amp;IF(O325&lt;&gt;""," "&amp;O325,"")&amp;","&amp;" FC Urban runs after-work football for "&amp;IF(D325="Canary Wharf","Canary Wharf","City")&amp;" teams. We have a "&amp;AC325&amp;" pitch at "&amp;X325&amp;", "&amp;Y325&amp;" min from your office, "&amp;IF(ISNUMBER(AB325),TEXT(AB325,"ddd d mmm")&amp;", "&amp;TEXT(AB325,"hh:mm"),"weekday evenings")&amp;", "&amp;IF(AD325&lt;&gt;"","£"&amp;IF(AD325=INT(AD325),TEXT(AD325,"0"),TEXT(AD325,"0.00")),"[PRICE PER PLAYER]")&amp;" a player. We handle booking, sign-ups and payments. Fancy "&amp;IF(ISNUMBER(SEARCH(LEFT(F325,1),"AEIOU")),"an ","a ")&amp;F325&amp;" team game? "&amp;IF(AL325&lt;&gt;"",AL325,IF(Offer!$C$5&lt;&gt;"",Offer!$C$5,"[NAME]")))&lt;=300,"Hi"&amp;IF(O325&lt;&gt;""," "&amp;O325,"")&amp;","&amp;" FC Urban runs after-work football for "&amp;IF(D325="Canary Wharf","Canary Wharf","City")&amp;" teams. We have a "&amp;AC325&amp;" pitch at "&amp;X325&amp;", "&amp;Y325&amp;" min from your office, "&amp;IF(ISNUMBER(AB325),TEXT(AB325,"ddd d mmm")&amp;", "&amp;TEXT(AB325,"hh:mm"),"weekday evenings")&amp;", "&amp;IF(AD325&lt;&gt;"","£"&amp;IF(AD325=INT(AD325),TEXT(AD325,"0"),TEXT(AD325,"0.00")),"[PRICE PER PLAYER]")&amp;" a player. We handle booking, sign-ups and payments. Fancy "&amp;IF(ISNUMBER(SEARCH(LEFT(F325,1),"AEIOU")),"an ","a ")&amp;F325&amp;" team game? "&amp;IF(AL325&lt;&gt;"",AL325,IF(Offer!$C$5&lt;&gt;"",Offer!$C$5,"[NAME]")),LEFT("Hi"&amp;IF(O325&lt;&gt;""," "&amp;O325,"")&amp;","&amp;" FC Urban runs after-work football for "&amp;IF(D325="Canary Wharf","Canary Wharf","City")&amp;" teams: "&amp;AC325&amp;" at "&amp;X325&amp;", "&amp;Y325&amp;" min from your office, "&amp;IF(ISNUMBER(AB325),TEXT(AB325,"ddd d mmm")&amp;", "&amp;TEXT(AB325,"hh:mm"),"weekday evenings")&amp;", "&amp;IF(AD325&lt;&gt;"","£"&amp;IF(AD325=INT(AD325),TEXT(AD325,"0"),TEXT(AD325,"0.00")),"[PRICE PER PLAYER]")&amp;" pp. We handle booking and payments. Up for a team game? "&amp;IF(AL325&lt;&gt;"",AL325,IF(Offer!$C$5&lt;&gt;"",Offer!$C$5,"[NAME]")),300))</f>
        <v/>
      </c>
      <c r="AI325" s="14">
        <f>LEN(AH325)</f>
        <v/>
      </c>
      <c r="AJ325" s="14">
        <f>"Thanks for connecting"&amp;IF(O325&lt;&gt;"",", "&amp;O325,"")&amp;". "&amp;IF(ISNUMBER(AB325),"The "&amp;AC325&amp;" slot at "&amp;X325&amp;" is "&amp;IF(ISNUMBER(AB325),TEXT(AB325,"ddd d mmm")&amp;", "&amp;TEXT(AB325,"hh:mm"),"weekday evenings"),"We can book "&amp;AC325&amp;" at "&amp;X325&amp;" on a weekday evening that suits you")&amp;" and it's "&amp;IF(AD325&lt;&gt;"","£"&amp;IF(AD325=INT(AD325),TEXT(AD325,"0"),TEXT(AD325,"0.00")),"[PRICE PER PLAYER]")&amp;" a player, all booked and paid through one link. If football isn't your thing, who at "&amp;F325&amp;" would be the right person to organise a team game?"&amp;IF(Offer!$C$7&lt;&gt;""," Spots are held until "&amp;TEXT(Offer!$C$7,"dddd d mmmm")&amp;".","")&amp;" "&amp;IF(Offer!$C$6&lt;&gt;"",Offer!$C$6,"[JOINING LINK]")</f>
        <v/>
      </c>
      <c r="AK325" s="14">
        <f>IF(OR(ISNUMBER(SEARCH("[",AG325)),ISNUMBER(SEARCH("[",AJ325))),"Fill placeholders",IF(ISNUMBER(AB325),"Ready to send","Ready · no fixed slot"))</f>
        <v/>
      </c>
      <c r="AN325" s="17" t="n"/>
    </row>
    <row r="326">
      <c r="A326" s="11" t="n">
        <v>324</v>
      </c>
      <c r="B326" s="11" t="n">
        <v>3</v>
      </c>
      <c r="C326" s="11" t="inlineStr">
        <is>
          <t>Insurance / broker</t>
        </is>
      </c>
      <c r="D326" s="11" t="inlineStr">
        <is>
          <t>City of London</t>
        </is>
      </c>
      <c r="E326" s="11" t="inlineStr">
        <is>
          <t>Qualis U.K. Limited</t>
        </is>
      </c>
      <c r="F326" s="11" t="inlineStr">
        <is>
          <t>Qualis U.K</t>
        </is>
      </c>
      <c r="G326" s="11" t="inlineStr">
        <is>
          <t>12099030</t>
        </is>
      </c>
      <c r="H326" s="12" t="inlineStr">
        <is>
          <t>Open</t>
        </is>
      </c>
      <c r="I326" s="12" t="inlineStr">
        <is>
          <t>Search</t>
        </is>
      </c>
      <c r="J326" s="11" t="inlineStr">
        <is>
          <t>Full</t>
        </is>
      </c>
      <c r="K326" s="13" t="n">
        <v>43658</v>
      </c>
      <c r="L326" s="11" t="inlineStr">
        <is>
          <t>Exchequer Court, 33 St. Mary Axe, London</t>
        </is>
      </c>
      <c r="M326" s="11" t="inlineStr">
        <is>
          <t>EC3A 8AA</t>
        </is>
      </c>
      <c r="N326" s="11" t="inlineStr">
        <is>
          <t>No</t>
        </is>
      </c>
      <c r="U326" s="11" t="inlineStr">
        <is>
          <t>Liverpool St - Attlee Centre</t>
        </is>
      </c>
      <c r="V326" s="11" t="n">
        <v>10</v>
      </c>
      <c r="W326" s="11" t="inlineStr">
        <is>
          <t>Shoreditch Powerleague (15.5)</t>
        </is>
      </c>
      <c r="X326" s="11" t="inlineStr">
        <is>
          <t>Shoreditch Powerleague</t>
        </is>
      </c>
      <c r="Y326" s="11" t="n">
        <v>16</v>
      </c>
      <c r="Z326" s="14">
        <f>IFERROR(INDEX(Venues!$E$2:$E$15,MATCH(X326,Venues!$A$2:$A$15,0)),"Not checked")</f>
        <v/>
      </c>
      <c r="AA326" s="14">
        <f>IFERROR(INDEX(Venues!$F$2:$F$15,MATCH(X326,Venues!$A$2:$A$15,0)),0)</f>
        <v/>
      </c>
      <c r="AB326" s="15">
        <f>IFERROR(INDEX(Venues!$M$2:$M$15,MATCH(X326,Venues!$A$2:$A$15,0)),"")</f>
        <v/>
      </c>
      <c r="AC326" s="14">
        <f>IFERROR(INDEX(Venues!$N$2:$N$15,MATCH(X326,Venues!$A$2:$A$15,0)),"5-a-side")</f>
        <v/>
      </c>
      <c r="AD326" s="16">
        <f>IF(Offer!$C$4="","",Offer!$C$4)</f>
        <v/>
      </c>
      <c r="AE326" s="14">
        <f>X326&amp;" ("&amp;Y326&amp;" min walk) · "&amp;IF(ISNUMBER(AB326),TEXT(AB326,"ddd d mmm, hh:mm"),"slot to confirm with venue")&amp;" · "&amp;AC326&amp;" · "&amp;IF(AD326&lt;&gt;"","£"&amp;TEXT(AD326,"0.00")&amp;" pp","price TBC")</f>
        <v/>
      </c>
      <c r="AF326" s="14">
        <f>"After-work football for "&amp;F326&amp;" · "&amp;X326&amp;", "&amp;Y326&amp;" min from your office"</f>
        <v/>
      </c>
      <c r="AG326" s="14">
        <f>"Hi"&amp;IF(O326&lt;&gt;""," "&amp;O326,"")&amp;","&amp;CHAR(10)&amp;CHAR(10)&amp;"I'm "&amp;IF(AL326&lt;&gt;"",AL326,IF(Offer!$C$5&lt;&gt;"",Offer!$C$5,"[NAME]"))&amp;" from FC Urban. We organise after-work football for teams in the City and Canary Wharf."&amp;CHAR(10)&amp;CHAR(10)&amp;"We have a "&amp;AC326&amp;" pitch at "&amp;X326&amp;", "&amp;IF(OR(Y326=8,Y326=11,Y326=18),"an ","a ")&amp;Y326&amp;"-minute walk from your "&amp;M326&amp;" office, "&amp;IF(ISNUMBER(AB326),"on "&amp;TEXT(AB326,"dddd d mmmm")&amp;" at "&amp;TEXT(AB326,"hh:mm"),"on a weekday evening that suits your team")&amp;". It's "&amp;IF(AD326&lt;&gt;"","£"&amp;IF(AD326=INT(AD326),TEXT(AD326,"0"),TEXT(AD326,"0.00")),"[PRICE PER PLAYER]")&amp;" a player and we handle the pitch booking, sign-ups and payments, so all it takes is one person sharing a link with the team."&amp;CHAR(10)&amp;CHAR(10)&amp;"It works well as a team social or "&amp;IF(ISNUMBER(SEARCH(LEFT(F326,1),"AEIOU")),"an ","a ")&amp;F326&amp;"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LINK]")&amp;CHAR(10)&amp;CHAR(10)&amp;"Best,"&amp;CHAR(10)&amp;IF(AL326&lt;&gt;"",AL326,IF(Offer!$C$5&lt;&gt;"",Offer!$C$5,"[NAME]"))&amp;CHAR(10)&amp;"FC Urban"</f>
        <v/>
      </c>
      <c r="AH326" s="14">
        <f>IF(LEN("Hi"&amp;IF(O326&lt;&gt;""," "&amp;O326,"")&amp;","&amp;" FC Urban runs after-work football for "&amp;IF(D326="Canary Wharf","Canary Wharf","City")&amp;" teams. We have a "&amp;AC326&amp;" pitch at "&amp;X326&amp;", "&amp;Y326&amp;" min from your office, "&amp;IF(ISNUMBER(AB326),TEXT(AB326,"ddd d mmm")&amp;", "&amp;TEXT(AB326,"hh:mm"),"weekday evenings")&amp;", "&amp;IF(AD326&lt;&gt;"","£"&amp;IF(AD326=INT(AD326),TEXT(AD326,"0"),TEXT(AD326,"0.00")),"[PRICE PER PLAYER]")&amp;" a player. We handle booking, sign-ups and payments. Fancy "&amp;IF(ISNUMBER(SEARCH(LEFT(F326,1),"AEIOU")),"an ","a ")&amp;F326&amp;" team game? "&amp;IF(AL326&lt;&gt;"",AL326,IF(Offer!$C$5&lt;&gt;"",Offer!$C$5,"[NAME]")))&lt;=300,"Hi"&amp;IF(O326&lt;&gt;""," "&amp;O326,"")&amp;","&amp;" FC Urban runs after-work football for "&amp;IF(D326="Canary Wharf","Canary Wharf","City")&amp;" teams. We have a "&amp;AC326&amp;" pitch at "&amp;X326&amp;", "&amp;Y326&amp;" min from your office, "&amp;IF(ISNUMBER(AB326),TEXT(AB326,"ddd d mmm")&amp;", "&amp;TEXT(AB326,"hh:mm"),"weekday evenings")&amp;", "&amp;IF(AD326&lt;&gt;"","£"&amp;IF(AD326=INT(AD326),TEXT(AD326,"0"),TEXT(AD326,"0.00")),"[PRICE PER PLAYER]")&amp;" a player. We handle booking, sign-ups and payments. Fancy "&amp;IF(ISNUMBER(SEARCH(LEFT(F326,1),"AEIOU")),"an ","a ")&amp;F326&amp;" team game? "&amp;IF(AL326&lt;&gt;"",AL326,IF(Offer!$C$5&lt;&gt;"",Offer!$C$5,"[NAME]")),LEFT("Hi"&amp;IF(O326&lt;&gt;""," "&amp;O326,"")&amp;","&amp;" FC Urban runs after-work football for "&amp;IF(D326="Canary Wharf","Canary Wharf","City")&amp;" teams: "&amp;AC326&amp;" at "&amp;X326&amp;", "&amp;Y326&amp;" min from your office, "&amp;IF(ISNUMBER(AB326),TEXT(AB326,"ddd d mmm")&amp;", "&amp;TEXT(AB326,"hh:mm"),"weekday evenings")&amp;", "&amp;IF(AD326&lt;&gt;"","£"&amp;IF(AD326=INT(AD326),TEXT(AD326,"0"),TEXT(AD326,"0.00")),"[PRICE PER PLAYER]")&amp;" pp. We handle booking and payments. Up for a team game? "&amp;IF(AL326&lt;&gt;"",AL326,IF(Offer!$C$5&lt;&gt;"",Offer!$C$5,"[NAME]")),300))</f>
        <v/>
      </c>
      <c r="AI326" s="14">
        <f>LEN(AH326)</f>
        <v/>
      </c>
      <c r="AJ326" s="14">
        <f>"Thanks for connecting"&amp;IF(O326&lt;&gt;"",", "&amp;O326,"")&amp;". "&amp;IF(ISNUMBER(AB326),"The "&amp;AC326&amp;" slot at "&amp;X326&amp;" is "&amp;IF(ISNUMBER(AB326),TEXT(AB326,"ddd d mmm")&amp;", "&amp;TEXT(AB326,"hh:mm"),"weekday evenings"),"We can book "&amp;AC326&amp;" at "&amp;X326&amp;" on a weekday evening that suits you")&amp;" and it's "&amp;IF(AD326&lt;&gt;"","£"&amp;IF(AD326=INT(AD326),TEXT(AD326,"0"),TEXT(AD326,"0.00")),"[PRICE PER PLAYER]")&amp;" a player, all booked and paid through one link. If football isn't your thing, who at "&amp;F326&amp;" would be the right person to organise a team game?"&amp;IF(Offer!$C$7&lt;&gt;""," Spots are held until "&amp;TEXT(Offer!$C$7,"dddd d mmmm")&amp;".","")&amp;" "&amp;IF(Offer!$C$6&lt;&gt;"",Offer!$C$6,"[JOINING LINK]")</f>
        <v/>
      </c>
      <c r="AK326" s="14">
        <f>IF(OR(ISNUMBER(SEARCH("[",AG326)),ISNUMBER(SEARCH("[",AJ326))),"Fill placeholders",IF(ISNUMBER(AB326),"Ready to send","Ready · no fixed slot"))</f>
        <v/>
      </c>
      <c r="AN326" s="17" t="n"/>
    </row>
    <row r="327">
      <c r="A327" s="11" t="n">
        <v>325</v>
      </c>
      <c r="B327" s="11" t="n">
        <v>3</v>
      </c>
      <c r="C327" s="11" t="inlineStr">
        <is>
          <t>Insurance / broker</t>
        </is>
      </c>
      <c r="D327" s="11" t="inlineStr">
        <is>
          <t>City of London</t>
        </is>
      </c>
      <c r="E327" s="11" t="inlineStr">
        <is>
          <t>Specialist Risk Insurance Solutions Limited</t>
        </is>
      </c>
      <c r="F327" s="11" t="inlineStr">
        <is>
          <t>Specialist Risk Insurance Solutions</t>
        </is>
      </c>
      <c r="G327" s="11" t="inlineStr">
        <is>
          <t>06368755</t>
        </is>
      </c>
      <c r="H327" s="12" t="inlineStr">
        <is>
          <t>Open</t>
        </is>
      </c>
      <c r="I327" s="12" t="inlineStr">
        <is>
          <t>Search</t>
        </is>
      </c>
      <c r="J327" s="11" t="inlineStr">
        <is>
          <t>Full</t>
        </is>
      </c>
      <c r="K327" s="13" t="n">
        <v>39337</v>
      </c>
      <c r="L327" s="11" t="inlineStr">
        <is>
          <t>7Th Floor, The St Botolph Building, 138 Houndsditch, London</t>
        </is>
      </c>
      <c r="M327" s="11" t="inlineStr">
        <is>
          <t>EC3A 7AW</t>
        </is>
      </c>
      <c r="N327" s="11" t="inlineStr">
        <is>
          <t>No</t>
        </is>
      </c>
      <c r="U327" s="11" t="inlineStr">
        <is>
          <t>Liverpool St - Attlee Centre</t>
        </is>
      </c>
      <c r="V327" s="11" t="n">
        <v>7</v>
      </c>
      <c r="W327" s="11" t="inlineStr">
        <is>
          <t>Shoreditch Powerleague (15.5); Whitechapel (18.6)</t>
        </is>
      </c>
      <c r="X327" s="11" t="inlineStr">
        <is>
          <t>Shoreditch Powerleague</t>
        </is>
      </c>
      <c r="Y327" s="11" t="n">
        <v>16</v>
      </c>
      <c r="Z327" s="14">
        <f>IFERROR(INDEX(Venues!$E$2:$E$15,MATCH(X327,Venues!$A$2:$A$15,0)),"Not checked")</f>
        <v/>
      </c>
      <c r="AA327" s="14">
        <f>IFERROR(INDEX(Venues!$F$2:$F$15,MATCH(X327,Venues!$A$2:$A$15,0)),0)</f>
        <v/>
      </c>
      <c r="AB327" s="15">
        <f>IFERROR(INDEX(Venues!$M$2:$M$15,MATCH(X327,Venues!$A$2:$A$15,0)),"")</f>
        <v/>
      </c>
      <c r="AC327" s="14">
        <f>IFERROR(INDEX(Venues!$N$2:$N$15,MATCH(X327,Venues!$A$2:$A$15,0)),"5-a-side")</f>
        <v/>
      </c>
      <c r="AD327" s="16">
        <f>IF(Offer!$C$4="","",Offer!$C$4)</f>
        <v/>
      </c>
      <c r="AE327" s="14">
        <f>X327&amp;" ("&amp;Y327&amp;" min walk) · "&amp;IF(ISNUMBER(AB327),TEXT(AB327,"ddd d mmm, hh:mm"),"slot to confirm with venue")&amp;" · "&amp;AC327&amp;" · "&amp;IF(AD327&lt;&gt;"","£"&amp;TEXT(AD327,"0.00")&amp;" pp","price TBC")</f>
        <v/>
      </c>
      <c r="AF327" s="14">
        <f>"After-work football for "&amp;F327&amp;" · "&amp;X327&amp;", "&amp;Y327&amp;" min from your office"</f>
        <v/>
      </c>
      <c r="AG327" s="14">
        <f>"Hi"&amp;IF(O327&lt;&gt;""," "&amp;O327,"")&amp;","&amp;CHAR(10)&amp;CHAR(10)&amp;"I'm "&amp;IF(AL327&lt;&gt;"",AL327,IF(Offer!$C$5&lt;&gt;"",Offer!$C$5,"[NAME]"))&amp;" from FC Urban. We organise after-work football for teams in the City and Canary Wharf."&amp;CHAR(10)&amp;CHAR(10)&amp;"We have a "&amp;AC327&amp;" pitch at "&amp;X327&amp;", "&amp;IF(OR(Y327=8,Y327=11,Y327=18),"an ","a ")&amp;Y327&amp;"-minute walk from your "&amp;M327&amp;" office, "&amp;IF(ISNUMBER(AB327),"on "&amp;TEXT(AB327,"dddd d mmmm")&amp;" at "&amp;TEXT(AB327,"hh:mm"),"on a weekday evening that suits your team")&amp;". It's "&amp;IF(AD327&lt;&gt;"","£"&amp;IF(AD327=INT(AD327),TEXT(AD327,"0"),TEXT(AD327,"0.00")),"[PRICE PER PLAYER]")&amp;" a player and we handle the pitch booking, sign-ups and payments, so all it takes is one person sharing a link with the team."&amp;CHAR(10)&amp;CHAR(10)&amp;"It works well as a team social or "&amp;IF(ISNUMBER(SEARCH(LEFT(F327,1),"AEIOU")),"an ","a ")&amp;F327&amp;"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LINK]")&amp;CHAR(10)&amp;CHAR(10)&amp;"Best,"&amp;CHAR(10)&amp;IF(AL327&lt;&gt;"",AL327,IF(Offer!$C$5&lt;&gt;"",Offer!$C$5,"[NAME]"))&amp;CHAR(10)&amp;"FC Urban"</f>
        <v/>
      </c>
      <c r="AH327" s="14">
        <f>IF(LEN("Hi"&amp;IF(O327&lt;&gt;""," "&amp;O327,"")&amp;","&amp;" FC Urban runs after-work football for "&amp;IF(D327="Canary Wharf","Canary Wharf","City")&amp;" teams. We have a "&amp;AC327&amp;" pitch at "&amp;X327&amp;", "&amp;Y327&amp;" min from your office, "&amp;IF(ISNUMBER(AB327),TEXT(AB327,"ddd d mmm")&amp;", "&amp;TEXT(AB327,"hh:mm"),"weekday evenings")&amp;", "&amp;IF(AD327&lt;&gt;"","£"&amp;IF(AD327=INT(AD327),TEXT(AD327,"0"),TEXT(AD327,"0.00")),"[PRICE PER PLAYER]")&amp;" a player. We handle booking, sign-ups and payments. Fancy "&amp;IF(ISNUMBER(SEARCH(LEFT(F327,1),"AEIOU")),"an ","a ")&amp;F327&amp;" team game? "&amp;IF(AL327&lt;&gt;"",AL327,IF(Offer!$C$5&lt;&gt;"",Offer!$C$5,"[NAME]")))&lt;=300,"Hi"&amp;IF(O327&lt;&gt;""," "&amp;O327,"")&amp;","&amp;" FC Urban runs after-work football for "&amp;IF(D327="Canary Wharf","Canary Wharf","City")&amp;" teams. We have a "&amp;AC327&amp;" pitch at "&amp;X327&amp;", "&amp;Y327&amp;" min from your office, "&amp;IF(ISNUMBER(AB327),TEXT(AB327,"ddd d mmm")&amp;", "&amp;TEXT(AB327,"hh:mm"),"weekday evenings")&amp;", "&amp;IF(AD327&lt;&gt;"","£"&amp;IF(AD327=INT(AD327),TEXT(AD327,"0"),TEXT(AD327,"0.00")),"[PRICE PER PLAYER]")&amp;" a player. We handle booking, sign-ups and payments. Fancy "&amp;IF(ISNUMBER(SEARCH(LEFT(F327,1),"AEIOU")),"an ","a ")&amp;F327&amp;" team game? "&amp;IF(AL327&lt;&gt;"",AL327,IF(Offer!$C$5&lt;&gt;"",Offer!$C$5,"[NAME]")),LEFT("Hi"&amp;IF(O327&lt;&gt;""," "&amp;O327,"")&amp;","&amp;" FC Urban runs after-work football for "&amp;IF(D327="Canary Wharf","Canary Wharf","City")&amp;" teams: "&amp;AC327&amp;" at "&amp;X327&amp;", "&amp;Y327&amp;" min from your office, "&amp;IF(ISNUMBER(AB327),TEXT(AB327,"ddd d mmm")&amp;", "&amp;TEXT(AB327,"hh:mm"),"weekday evenings")&amp;", "&amp;IF(AD327&lt;&gt;"","£"&amp;IF(AD327=INT(AD327),TEXT(AD327,"0"),TEXT(AD327,"0.00")),"[PRICE PER PLAYER]")&amp;" pp. We handle booking and payments. Up for a team game? "&amp;IF(AL327&lt;&gt;"",AL327,IF(Offer!$C$5&lt;&gt;"",Offer!$C$5,"[NAME]")),300))</f>
        <v/>
      </c>
      <c r="AI327" s="14">
        <f>LEN(AH327)</f>
        <v/>
      </c>
      <c r="AJ327" s="14">
        <f>"Thanks for connecting"&amp;IF(O327&lt;&gt;"",", "&amp;O327,"")&amp;". "&amp;IF(ISNUMBER(AB327),"The "&amp;AC327&amp;" slot at "&amp;X327&amp;" is "&amp;IF(ISNUMBER(AB327),TEXT(AB327,"ddd d mmm")&amp;", "&amp;TEXT(AB327,"hh:mm"),"weekday evenings"),"We can book "&amp;AC327&amp;" at "&amp;X327&amp;" on a weekday evening that suits you")&amp;" and it's "&amp;IF(AD327&lt;&gt;"","£"&amp;IF(AD327=INT(AD327),TEXT(AD327,"0"),TEXT(AD327,"0.00")),"[PRICE PER PLAYER]")&amp;" a player, all booked and paid through one link. If football isn't your thing, who at "&amp;F327&amp;" would be the right person to organise a team game?"&amp;IF(Offer!$C$7&lt;&gt;""," Spots are held until "&amp;TEXT(Offer!$C$7,"dddd d mmmm")&amp;".","")&amp;" "&amp;IF(Offer!$C$6&lt;&gt;"",Offer!$C$6,"[JOINING LINK]")</f>
        <v/>
      </c>
      <c r="AK327" s="14">
        <f>IF(OR(ISNUMBER(SEARCH("[",AG327)),ISNUMBER(SEARCH("[",AJ327))),"Fill placeholders",IF(ISNUMBER(AB327),"Ready to send","Ready · no fixed slot"))</f>
        <v/>
      </c>
      <c r="AN327" s="17" t="n"/>
    </row>
    <row r="328">
      <c r="A328" s="11" t="n">
        <v>326</v>
      </c>
      <c r="B328" s="11" t="n">
        <v>3</v>
      </c>
      <c r="C328" s="11" t="inlineStr">
        <is>
          <t>Insurance / broker</t>
        </is>
      </c>
      <c r="D328" s="11" t="inlineStr">
        <is>
          <t>City of London</t>
        </is>
      </c>
      <c r="E328" s="11" t="inlineStr">
        <is>
          <t>The Underwriting Exchange Limited</t>
        </is>
      </c>
      <c r="F328" s="11" t="inlineStr">
        <is>
          <t>Underwriting Exchange</t>
        </is>
      </c>
      <c r="G328" s="11" t="inlineStr">
        <is>
          <t>07126381</t>
        </is>
      </c>
      <c r="H328" s="12" t="inlineStr">
        <is>
          <t>Open</t>
        </is>
      </c>
      <c r="I328" s="12" t="inlineStr">
        <is>
          <t>Search</t>
        </is>
      </c>
      <c r="J328" s="11" t="inlineStr">
        <is>
          <t>Full</t>
        </is>
      </c>
      <c r="K328" s="13" t="n">
        <v>40193</v>
      </c>
      <c r="L328" s="11" t="inlineStr">
        <is>
          <t>7Th Floor, The St Botolph Building, 138 Houndsditch, London</t>
        </is>
      </c>
      <c r="M328" s="11" t="inlineStr">
        <is>
          <t>EC3A 7AW</t>
        </is>
      </c>
      <c r="N328" s="11" t="inlineStr">
        <is>
          <t>No</t>
        </is>
      </c>
      <c r="U328" s="11" t="inlineStr">
        <is>
          <t>Liverpool St - Attlee Centre</t>
        </is>
      </c>
      <c r="V328" s="11" t="n">
        <v>7</v>
      </c>
      <c r="W328" s="11" t="inlineStr">
        <is>
          <t>Shoreditch Powerleague (15.5); Whitechapel (18.6)</t>
        </is>
      </c>
      <c r="X328" s="11" t="inlineStr">
        <is>
          <t>Shoreditch Powerleague</t>
        </is>
      </c>
      <c r="Y328" s="11" t="n">
        <v>16</v>
      </c>
      <c r="Z328" s="14">
        <f>IFERROR(INDEX(Venues!$E$2:$E$15,MATCH(X328,Venues!$A$2:$A$15,0)),"Not checked")</f>
        <v/>
      </c>
      <c r="AA328" s="14">
        <f>IFERROR(INDEX(Venues!$F$2:$F$15,MATCH(X328,Venues!$A$2:$A$15,0)),0)</f>
        <v/>
      </c>
      <c r="AB328" s="15">
        <f>IFERROR(INDEX(Venues!$M$2:$M$15,MATCH(X328,Venues!$A$2:$A$15,0)),"")</f>
        <v/>
      </c>
      <c r="AC328" s="14">
        <f>IFERROR(INDEX(Venues!$N$2:$N$15,MATCH(X328,Venues!$A$2:$A$15,0)),"5-a-side")</f>
        <v/>
      </c>
      <c r="AD328" s="16">
        <f>IF(Offer!$C$4="","",Offer!$C$4)</f>
        <v/>
      </c>
      <c r="AE328" s="14">
        <f>X328&amp;" ("&amp;Y328&amp;" min walk) · "&amp;IF(ISNUMBER(AB328),TEXT(AB328,"ddd d mmm, hh:mm"),"slot to confirm with venue")&amp;" · "&amp;AC328&amp;" · "&amp;IF(AD328&lt;&gt;"","£"&amp;TEXT(AD328,"0.00")&amp;" pp","price TBC")</f>
        <v/>
      </c>
      <c r="AF328" s="14">
        <f>"After-work football for "&amp;F328&amp;" · "&amp;X328&amp;", "&amp;Y328&amp;" min from your office"</f>
        <v/>
      </c>
      <c r="AG328" s="14">
        <f>"Hi"&amp;IF(O328&lt;&gt;""," "&amp;O328,"")&amp;","&amp;CHAR(10)&amp;CHAR(10)&amp;"I'm "&amp;IF(AL328&lt;&gt;"",AL328,IF(Offer!$C$5&lt;&gt;"",Offer!$C$5,"[NAME]"))&amp;" from FC Urban. We organise after-work football for teams in the City and Canary Wharf."&amp;CHAR(10)&amp;CHAR(10)&amp;"We have a "&amp;AC328&amp;" pitch at "&amp;X328&amp;", "&amp;IF(OR(Y328=8,Y328=11,Y328=18),"an ","a ")&amp;Y328&amp;"-minute walk from your "&amp;M328&amp;" office, "&amp;IF(ISNUMBER(AB328),"on "&amp;TEXT(AB328,"dddd d mmmm")&amp;" at "&amp;TEXT(AB328,"hh:mm"),"on a weekday evening that suits your team")&amp;". It's "&amp;IF(AD328&lt;&gt;"","£"&amp;IF(AD328=INT(AD328),TEXT(AD328,"0"),TEXT(AD328,"0.00")),"[PRICE PER PLAYER]")&amp;" a player and we handle the pitch booking, sign-ups and payments, so all it takes is one person sharing a link with the team."&amp;CHAR(10)&amp;CHAR(10)&amp;"It works well as a team social or "&amp;IF(ISNUMBER(SEARCH(LEFT(F328,1),"AEIOU")),"an ","a ")&amp;F328&amp;"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LINK]")&amp;CHAR(10)&amp;CHAR(10)&amp;"Best,"&amp;CHAR(10)&amp;IF(AL328&lt;&gt;"",AL328,IF(Offer!$C$5&lt;&gt;"",Offer!$C$5,"[NAME]"))&amp;CHAR(10)&amp;"FC Urban"</f>
        <v/>
      </c>
      <c r="AH328" s="14">
        <f>IF(LEN("Hi"&amp;IF(O328&lt;&gt;""," "&amp;O328,"")&amp;","&amp;" FC Urban runs after-work football for "&amp;IF(D328="Canary Wharf","Canary Wharf","City")&amp;" teams. We have a "&amp;AC328&amp;" pitch at "&amp;X328&amp;", "&amp;Y328&amp;" min from your office, "&amp;IF(ISNUMBER(AB328),TEXT(AB328,"ddd d mmm")&amp;", "&amp;TEXT(AB328,"hh:mm"),"weekday evenings")&amp;", "&amp;IF(AD328&lt;&gt;"","£"&amp;IF(AD328=INT(AD328),TEXT(AD328,"0"),TEXT(AD328,"0.00")),"[PRICE PER PLAYER]")&amp;" a player. We handle booking, sign-ups and payments. Fancy "&amp;IF(ISNUMBER(SEARCH(LEFT(F328,1),"AEIOU")),"an ","a ")&amp;F328&amp;" team game? "&amp;IF(AL328&lt;&gt;"",AL328,IF(Offer!$C$5&lt;&gt;"",Offer!$C$5,"[NAME]")))&lt;=300,"Hi"&amp;IF(O328&lt;&gt;""," "&amp;O328,"")&amp;","&amp;" FC Urban runs after-work football for "&amp;IF(D328="Canary Wharf","Canary Wharf","City")&amp;" teams. We have a "&amp;AC328&amp;" pitch at "&amp;X328&amp;", "&amp;Y328&amp;" min from your office, "&amp;IF(ISNUMBER(AB328),TEXT(AB328,"ddd d mmm")&amp;", "&amp;TEXT(AB328,"hh:mm"),"weekday evenings")&amp;", "&amp;IF(AD328&lt;&gt;"","£"&amp;IF(AD328=INT(AD328),TEXT(AD328,"0"),TEXT(AD328,"0.00")),"[PRICE PER PLAYER]")&amp;" a player. We handle booking, sign-ups and payments. Fancy "&amp;IF(ISNUMBER(SEARCH(LEFT(F328,1),"AEIOU")),"an ","a ")&amp;F328&amp;" team game? "&amp;IF(AL328&lt;&gt;"",AL328,IF(Offer!$C$5&lt;&gt;"",Offer!$C$5,"[NAME]")),LEFT("Hi"&amp;IF(O328&lt;&gt;""," "&amp;O328,"")&amp;","&amp;" FC Urban runs after-work football for "&amp;IF(D328="Canary Wharf","Canary Wharf","City")&amp;" teams: "&amp;AC328&amp;" at "&amp;X328&amp;", "&amp;Y328&amp;" min from your office, "&amp;IF(ISNUMBER(AB328),TEXT(AB328,"ddd d mmm")&amp;", "&amp;TEXT(AB328,"hh:mm"),"weekday evenings")&amp;", "&amp;IF(AD328&lt;&gt;"","£"&amp;IF(AD328=INT(AD328),TEXT(AD328,"0"),TEXT(AD328,"0.00")),"[PRICE PER PLAYER]")&amp;" pp. We handle booking and payments. Up for a team game? "&amp;IF(AL328&lt;&gt;"",AL328,IF(Offer!$C$5&lt;&gt;"",Offer!$C$5,"[NAME]")),300))</f>
        <v/>
      </c>
      <c r="AI328" s="14">
        <f>LEN(AH328)</f>
        <v/>
      </c>
      <c r="AJ328" s="14">
        <f>"Thanks for connecting"&amp;IF(O328&lt;&gt;"",", "&amp;O328,"")&amp;". "&amp;IF(ISNUMBER(AB328),"The "&amp;AC328&amp;" slot at "&amp;X328&amp;" is "&amp;IF(ISNUMBER(AB328),TEXT(AB328,"ddd d mmm")&amp;", "&amp;TEXT(AB328,"hh:mm"),"weekday evenings"),"We can book "&amp;AC328&amp;" at "&amp;X328&amp;" on a weekday evening that suits you")&amp;" and it's "&amp;IF(AD328&lt;&gt;"","£"&amp;IF(AD328=INT(AD328),TEXT(AD328,"0"),TEXT(AD328,"0.00")),"[PRICE PER PLAYER]")&amp;" a player, all booked and paid through one link. If football isn't your thing, who at "&amp;F328&amp;" would be the right person to organise a team game?"&amp;IF(Offer!$C$7&lt;&gt;""," Spots are held until "&amp;TEXT(Offer!$C$7,"dddd d mmmm")&amp;".","")&amp;" "&amp;IF(Offer!$C$6&lt;&gt;"",Offer!$C$6,"[JOINING LINK]")</f>
        <v/>
      </c>
      <c r="AK328" s="14">
        <f>IF(OR(ISNUMBER(SEARCH("[",AG328)),ISNUMBER(SEARCH("[",AJ328))),"Fill placeholders",IF(ISNUMBER(AB328),"Ready to send","Ready · no fixed slot"))</f>
        <v/>
      </c>
      <c r="AN328" s="17" t="n"/>
    </row>
    <row r="329">
      <c r="A329" s="11" t="n">
        <v>327</v>
      </c>
      <c r="B329" s="11" t="n">
        <v>3</v>
      </c>
      <c r="C329" s="11" t="inlineStr">
        <is>
          <t>Insurance / broker</t>
        </is>
      </c>
      <c r="D329" s="11" t="inlineStr">
        <is>
          <t>City of London</t>
        </is>
      </c>
      <c r="E329" s="11" t="inlineStr">
        <is>
          <t>Assured Guaranty UK Limited</t>
        </is>
      </c>
      <c r="F329" s="11" t="inlineStr">
        <is>
          <t>Assured Guaranty</t>
        </is>
      </c>
      <c r="G329" s="11" t="inlineStr">
        <is>
          <t>02510099</t>
        </is>
      </c>
      <c r="H329" s="12" t="inlineStr">
        <is>
          <t>Open</t>
        </is>
      </c>
      <c r="I329" s="12" t="inlineStr">
        <is>
          <t>Search</t>
        </is>
      </c>
      <c r="J329" s="11" t="inlineStr">
        <is>
          <t>Full</t>
        </is>
      </c>
      <c r="K329" s="13" t="n">
        <v>33032</v>
      </c>
      <c r="L329" s="11" t="inlineStr">
        <is>
          <t>11Th Floor, 6 Bevis Marks, London</t>
        </is>
      </c>
      <c r="M329" s="11" t="inlineStr">
        <is>
          <t>EC3A 7BA</t>
        </is>
      </c>
      <c r="N329" s="11" t="inlineStr">
        <is>
          <t>No</t>
        </is>
      </c>
      <c r="U329" s="11" t="inlineStr">
        <is>
          <t>Liverpool St - Attlee Centre</t>
        </is>
      </c>
      <c r="V329" s="11" t="n">
        <v>9</v>
      </c>
      <c r="W329" s="11" t="inlineStr">
        <is>
          <t>Shoreditch Powerleague (15.6)</t>
        </is>
      </c>
      <c r="X329" s="11" t="inlineStr">
        <is>
          <t>Shoreditch Powerleague</t>
        </is>
      </c>
      <c r="Y329" s="11" t="n">
        <v>16</v>
      </c>
      <c r="Z329" s="14">
        <f>IFERROR(INDEX(Venues!$E$2:$E$15,MATCH(X329,Venues!$A$2:$A$15,0)),"Not checked")</f>
        <v/>
      </c>
      <c r="AA329" s="14">
        <f>IFERROR(INDEX(Venues!$F$2:$F$15,MATCH(X329,Venues!$A$2:$A$15,0)),0)</f>
        <v/>
      </c>
      <c r="AB329" s="15">
        <f>IFERROR(INDEX(Venues!$M$2:$M$15,MATCH(X329,Venues!$A$2:$A$15,0)),"")</f>
        <v/>
      </c>
      <c r="AC329" s="14">
        <f>IFERROR(INDEX(Venues!$N$2:$N$15,MATCH(X329,Venues!$A$2:$A$15,0)),"5-a-side")</f>
        <v/>
      </c>
      <c r="AD329" s="16">
        <f>IF(Offer!$C$4="","",Offer!$C$4)</f>
        <v/>
      </c>
      <c r="AE329" s="14">
        <f>X329&amp;" ("&amp;Y329&amp;" min walk) · "&amp;IF(ISNUMBER(AB329),TEXT(AB329,"ddd d mmm, hh:mm"),"slot to confirm with venue")&amp;" · "&amp;AC329&amp;" · "&amp;IF(AD329&lt;&gt;"","£"&amp;TEXT(AD329,"0.00")&amp;" pp","price TBC")</f>
        <v/>
      </c>
      <c r="AF329" s="14">
        <f>"After-work football for "&amp;F329&amp;" · "&amp;X329&amp;", "&amp;Y329&amp;" min from your office"</f>
        <v/>
      </c>
      <c r="AG329" s="14">
        <f>"Hi"&amp;IF(O329&lt;&gt;""," "&amp;O329,"")&amp;","&amp;CHAR(10)&amp;CHAR(10)&amp;"I'm "&amp;IF(AL329&lt;&gt;"",AL329,IF(Offer!$C$5&lt;&gt;"",Offer!$C$5,"[NAME]"))&amp;" from FC Urban. We organise after-work football for teams in the City and Canary Wharf."&amp;CHAR(10)&amp;CHAR(10)&amp;"We have a "&amp;AC329&amp;" pitch at "&amp;X329&amp;", "&amp;IF(OR(Y329=8,Y329=11,Y329=18),"an ","a ")&amp;Y329&amp;"-minute walk from your "&amp;M329&amp;" office, "&amp;IF(ISNUMBER(AB329),"on "&amp;TEXT(AB329,"dddd d mmmm")&amp;" at "&amp;TEXT(AB329,"hh:mm"),"on a weekday evening that suits your team")&amp;". It's "&amp;IF(AD329&lt;&gt;"","£"&amp;IF(AD329=INT(AD329),TEXT(AD329,"0"),TEXT(AD329,"0.00")),"[PRICE PER PLAYER]")&amp;" a player and we handle the pitch booking, sign-ups and payments, so all it takes is one person sharing a link with the team."&amp;CHAR(10)&amp;CHAR(10)&amp;"It works well as a team social or "&amp;IF(ISNUMBER(SEARCH(LEFT(F329,1),"AEIOU")),"an ","a ")&amp;F329&amp;"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LINK]")&amp;CHAR(10)&amp;CHAR(10)&amp;"Best,"&amp;CHAR(10)&amp;IF(AL329&lt;&gt;"",AL329,IF(Offer!$C$5&lt;&gt;"",Offer!$C$5,"[NAME]"))&amp;CHAR(10)&amp;"FC Urban"</f>
        <v/>
      </c>
      <c r="AH329" s="14">
        <f>IF(LEN("Hi"&amp;IF(O329&lt;&gt;""," "&amp;O329,"")&amp;","&amp;" FC Urban runs after-work football for "&amp;IF(D329="Canary Wharf","Canary Wharf","City")&amp;" teams. We have a "&amp;AC329&amp;" pitch at "&amp;X329&amp;", "&amp;Y329&amp;" min from your office, "&amp;IF(ISNUMBER(AB329),TEXT(AB329,"ddd d mmm")&amp;", "&amp;TEXT(AB329,"hh:mm"),"weekday evenings")&amp;", "&amp;IF(AD329&lt;&gt;"","£"&amp;IF(AD329=INT(AD329),TEXT(AD329,"0"),TEXT(AD329,"0.00")),"[PRICE PER PLAYER]")&amp;" a player. We handle booking, sign-ups and payments. Fancy "&amp;IF(ISNUMBER(SEARCH(LEFT(F329,1),"AEIOU")),"an ","a ")&amp;F329&amp;" team game? "&amp;IF(AL329&lt;&gt;"",AL329,IF(Offer!$C$5&lt;&gt;"",Offer!$C$5,"[NAME]")))&lt;=300,"Hi"&amp;IF(O329&lt;&gt;""," "&amp;O329,"")&amp;","&amp;" FC Urban runs after-work football for "&amp;IF(D329="Canary Wharf","Canary Wharf","City")&amp;" teams. We have a "&amp;AC329&amp;" pitch at "&amp;X329&amp;", "&amp;Y329&amp;" min from your office, "&amp;IF(ISNUMBER(AB329),TEXT(AB329,"ddd d mmm")&amp;", "&amp;TEXT(AB329,"hh:mm"),"weekday evenings")&amp;", "&amp;IF(AD329&lt;&gt;"","£"&amp;IF(AD329=INT(AD329),TEXT(AD329,"0"),TEXT(AD329,"0.00")),"[PRICE PER PLAYER]")&amp;" a player. We handle booking, sign-ups and payments. Fancy "&amp;IF(ISNUMBER(SEARCH(LEFT(F329,1),"AEIOU")),"an ","a ")&amp;F329&amp;" team game? "&amp;IF(AL329&lt;&gt;"",AL329,IF(Offer!$C$5&lt;&gt;"",Offer!$C$5,"[NAME]")),LEFT("Hi"&amp;IF(O329&lt;&gt;""," "&amp;O329,"")&amp;","&amp;" FC Urban runs after-work football for "&amp;IF(D329="Canary Wharf","Canary Wharf","City")&amp;" teams: "&amp;AC329&amp;" at "&amp;X329&amp;", "&amp;Y329&amp;" min from your office, "&amp;IF(ISNUMBER(AB329),TEXT(AB329,"ddd d mmm")&amp;", "&amp;TEXT(AB329,"hh:mm"),"weekday evenings")&amp;", "&amp;IF(AD329&lt;&gt;"","£"&amp;IF(AD329=INT(AD329),TEXT(AD329,"0"),TEXT(AD329,"0.00")),"[PRICE PER PLAYER]")&amp;" pp. We handle booking and payments. Up for a team game? "&amp;IF(AL329&lt;&gt;"",AL329,IF(Offer!$C$5&lt;&gt;"",Offer!$C$5,"[NAME]")),300))</f>
        <v/>
      </c>
      <c r="AI329" s="14">
        <f>LEN(AH329)</f>
        <v/>
      </c>
      <c r="AJ329" s="14">
        <f>"Thanks for connecting"&amp;IF(O329&lt;&gt;"",", "&amp;O329,"")&amp;". "&amp;IF(ISNUMBER(AB329),"The "&amp;AC329&amp;" slot at "&amp;X329&amp;" is "&amp;IF(ISNUMBER(AB329),TEXT(AB329,"ddd d mmm")&amp;", "&amp;TEXT(AB329,"hh:mm"),"weekday evenings"),"We can book "&amp;AC329&amp;" at "&amp;X329&amp;" on a weekday evening that suits you")&amp;" and it's "&amp;IF(AD329&lt;&gt;"","£"&amp;IF(AD329=INT(AD329),TEXT(AD329,"0"),TEXT(AD329,"0.00")),"[PRICE PER PLAYER]")&amp;" a player, all booked and paid through one link. If football isn't your thing, who at "&amp;F329&amp;" would be the right person to organise a team game?"&amp;IF(Offer!$C$7&lt;&gt;""," Spots are held until "&amp;TEXT(Offer!$C$7,"dddd d mmmm")&amp;".","")&amp;" "&amp;IF(Offer!$C$6&lt;&gt;"",Offer!$C$6,"[JOINING LINK]")</f>
        <v/>
      </c>
      <c r="AK329" s="14">
        <f>IF(OR(ISNUMBER(SEARCH("[",AG329)),ISNUMBER(SEARCH("[",AJ329))),"Fill placeholders",IF(ISNUMBER(AB329),"Ready to send","Ready · no fixed slot"))</f>
        <v/>
      </c>
      <c r="AN329" s="17" t="n"/>
    </row>
    <row r="330">
      <c r="A330" s="11" t="n">
        <v>328</v>
      </c>
      <c r="B330" s="11" t="n">
        <v>3</v>
      </c>
      <c r="C330" s="11" t="inlineStr">
        <is>
          <t>Insurance / broker</t>
        </is>
      </c>
      <c r="D330" s="11" t="inlineStr">
        <is>
          <t>City of London</t>
        </is>
      </c>
      <c r="E330" s="11" t="inlineStr">
        <is>
          <t>Hartford Underwriting Agency Limited</t>
        </is>
      </c>
      <c r="F330" s="11" t="inlineStr">
        <is>
          <t>Hartford Underwriting Agency</t>
        </is>
      </c>
      <c r="G330" s="11" t="inlineStr">
        <is>
          <t>01380715</t>
        </is>
      </c>
      <c r="H330" s="12" t="inlineStr">
        <is>
          <t>Open</t>
        </is>
      </c>
      <c r="I330" s="12" t="inlineStr">
        <is>
          <t>Search</t>
        </is>
      </c>
      <c r="J330" s="11" t="inlineStr">
        <is>
          <t>Full</t>
        </is>
      </c>
      <c r="K330" s="13" t="n">
        <v>28698</v>
      </c>
      <c r="L330" s="11" t="inlineStr">
        <is>
          <t>6 Bevis Marks, 8Th Floor, London</t>
        </is>
      </c>
      <c r="M330" s="11" t="inlineStr">
        <is>
          <t>EC3A 7BA</t>
        </is>
      </c>
      <c r="N330" s="11" t="inlineStr">
        <is>
          <t>No</t>
        </is>
      </c>
      <c r="U330" s="11" t="inlineStr">
        <is>
          <t>Liverpool St - Attlee Centre</t>
        </is>
      </c>
      <c r="V330" s="11" t="n">
        <v>9</v>
      </c>
      <c r="W330" s="11" t="inlineStr">
        <is>
          <t>Shoreditch Powerleague (15.6)</t>
        </is>
      </c>
      <c r="X330" s="11" t="inlineStr">
        <is>
          <t>Shoreditch Powerleague</t>
        </is>
      </c>
      <c r="Y330" s="11" t="n">
        <v>16</v>
      </c>
      <c r="Z330" s="14">
        <f>IFERROR(INDEX(Venues!$E$2:$E$15,MATCH(X330,Venues!$A$2:$A$15,0)),"Not checked")</f>
        <v/>
      </c>
      <c r="AA330" s="14">
        <f>IFERROR(INDEX(Venues!$F$2:$F$15,MATCH(X330,Venues!$A$2:$A$15,0)),0)</f>
        <v/>
      </c>
      <c r="AB330" s="15">
        <f>IFERROR(INDEX(Venues!$M$2:$M$15,MATCH(X330,Venues!$A$2:$A$15,0)),"")</f>
        <v/>
      </c>
      <c r="AC330" s="14">
        <f>IFERROR(INDEX(Venues!$N$2:$N$15,MATCH(X330,Venues!$A$2:$A$15,0)),"5-a-side")</f>
        <v/>
      </c>
      <c r="AD330" s="16">
        <f>IF(Offer!$C$4="","",Offer!$C$4)</f>
        <v/>
      </c>
      <c r="AE330" s="14">
        <f>X330&amp;" ("&amp;Y330&amp;" min walk) · "&amp;IF(ISNUMBER(AB330),TEXT(AB330,"ddd d mmm, hh:mm"),"slot to confirm with venue")&amp;" · "&amp;AC330&amp;" · "&amp;IF(AD330&lt;&gt;"","£"&amp;TEXT(AD330,"0.00")&amp;" pp","price TBC")</f>
        <v/>
      </c>
      <c r="AF330" s="14">
        <f>"After-work football for "&amp;F330&amp;" · "&amp;X330&amp;", "&amp;Y330&amp;" min from your office"</f>
        <v/>
      </c>
      <c r="AG330" s="14">
        <f>"Hi"&amp;IF(O330&lt;&gt;""," "&amp;O330,"")&amp;","&amp;CHAR(10)&amp;CHAR(10)&amp;"I'm "&amp;IF(AL330&lt;&gt;"",AL330,IF(Offer!$C$5&lt;&gt;"",Offer!$C$5,"[NAME]"))&amp;" from FC Urban. We organise after-work football for teams in the City and Canary Wharf."&amp;CHAR(10)&amp;CHAR(10)&amp;"We have a "&amp;AC330&amp;" pitch at "&amp;X330&amp;", "&amp;IF(OR(Y330=8,Y330=11,Y330=18),"an ","a ")&amp;Y330&amp;"-minute walk from your "&amp;M330&amp;" office, "&amp;IF(ISNUMBER(AB330),"on "&amp;TEXT(AB330,"dddd d mmmm")&amp;" at "&amp;TEXT(AB330,"hh:mm"),"on a weekday evening that suits your team")&amp;". It's "&amp;IF(AD330&lt;&gt;"","£"&amp;IF(AD330=INT(AD330),TEXT(AD330,"0"),TEXT(AD330,"0.00")),"[PRICE PER PLAYER]")&amp;" a player and we handle the pitch booking, sign-ups and payments, so all it takes is one person sharing a link with the team."&amp;CHAR(10)&amp;CHAR(10)&amp;"It works well as a team social or "&amp;IF(ISNUMBER(SEARCH(LEFT(F330,1),"AEIOU")),"an ","a ")&amp;F330&amp;"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LINK]")&amp;CHAR(10)&amp;CHAR(10)&amp;"Best,"&amp;CHAR(10)&amp;IF(AL330&lt;&gt;"",AL330,IF(Offer!$C$5&lt;&gt;"",Offer!$C$5,"[NAME]"))&amp;CHAR(10)&amp;"FC Urban"</f>
        <v/>
      </c>
      <c r="AH330" s="14">
        <f>IF(LEN("Hi"&amp;IF(O330&lt;&gt;""," "&amp;O330,"")&amp;","&amp;" FC Urban runs after-work football for "&amp;IF(D330="Canary Wharf","Canary Wharf","City")&amp;" teams. We have a "&amp;AC330&amp;" pitch at "&amp;X330&amp;", "&amp;Y330&amp;" min from your office, "&amp;IF(ISNUMBER(AB330),TEXT(AB330,"ddd d mmm")&amp;", "&amp;TEXT(AB330,"hh:mm"),"weekday evenings")&amp;", "&amp;IF(AD330&lt;&gt;"","£"&amp;IF(AD330=INT(AD330),TEXT(AD330,"0"),TEXT(AD330,"0.00")),"[PRICE PER PLAYER]")&amp;" a player. We handle booking, sign-ups and payments. Fancy "&amp;IF(ISNUMBER(SEARCH(LEFT(F330,1),"AEIOU")),"an ","a ")&amp;F330&amp;" team game? "&amp;IF(AL330&lt;&gt;"",AL330,IF(Offer!$C$5&lt;&gt;"",Offer!$C$5,"[NAME]")))&lt;=300,"Hi"&amp;IF(O330&lt;&gt;""," "&amp;O330,"")&amp;","&amp;" FC Urban runs after-work football for "&amp;IF(D330="Canary Wharf","Canary Wharf","City")&amp;" teams. We have a "&amp;AC330&amp;" pitch at "&amp;X330&amp;", "&amp;Y330&amp;" min from your office, "&amp;IF(ISNUMBER(AB330),TEXT(AB330,"ddd d mmm")&amp;", "&amp;TEXT(AB330,"hh:mm"),"weekday evenings")&amp;", "&amp;IF(AD330&lt;&gt;"","£"&amp;IF(AD330=INT(AD330),TEXT(AD330,"0"),TEXT(AD330,"0.00")),"[PRICE PER PLAYER]")&amp;" a player. We handle booking, sign-ups and payments. Fancy "&amp;IF(ISNUMBER(SEARCH(LEFT(F330,1),"AEIOU")),"an ","a ")&amp;F330&amp;" team game? "&amp;IF(AL330&lt;&gt;"",AL330,IF(Offer!$C$5&lt;&gt;"",Offer!$C$5,"[NAME]")),LEFT("Hi"&amp;IF(O330&lt;&gt;""," "&amp;O330,"")&amp;","&amp;" FC Urban runs after-work football for "&amp;IF(D330="Canary Wharf","Canary Wharf","City")&amp;" teams: "&amp;AC330&amp;" at "&amp;X330&amp;", "&amp;Y330&amp;" min from your office, "&amp;IF(ISNUMBER(AB330),TEXT(AB330,"ddd d mmm")&amp;", "&amp;TEXT(AB330,"hh:mm"),"weekday evenings")&amp;", "&amp;IF(AD330&lt;&gt;"","£"&amp;IF(AD330=INT(AD330),TEXT(AD330,"0"),TEXT(AD330,"0.00")),"[PRICE PER PLAYER]")&amp;" pp. We handle booking and payments. Up for a team game? "&amp;IF(AL330&lt;&gt;"",AL330,IF(Offer!$C$5&lt;&gt;"",Offer!$C$5,"[NAME]")),300))</f>
        <v/>
      </c>
      <c r="AI330" s="14">
        <f>LEN(AH330)</f>
        <v/>
      </c>
      <c r="AJ330" s="14">
        <f>"Thanks for connecting"&amp;IF(O330&lt;&gt;"",", "&amp;O330,"")&amp;". "&amp;IF(ISNUMBER(AB330),"The "&amp;AC330&amp;" slot at "&amp;X330&amp;" is "&amp;IF(ISNUMBER(AB330),TEXT(AB330,"ddd d mmm")&amp;", "&amp;TEXT(AB330,"hh:mm"),"weekday evenings"),"We can book "&amp;AC330&amp;" at "&amp;X330&amp;" on a weekday evening that suits you")&amp;" and it's "&amp;IF(AD330&lt;&gt;"","£"&amp;IF(AD330=INT(AD330),TEXT(AD330,"0"),TEXT(AD330,"0.00")),"[PRICE PER PLAYER]")&amp;" a player, all booked and paid through one link. If football isn't your thing, who at "&amp;F330&amp;" would be the right person to organise a team game?"&amp;IF(Offer!$C$7&lt;&gt;""," Spots are held until "&amp;TEXT(Offer!$C$7,"dddd d mmmm")&amp;".","")&amp;" "&amp;IF(Offer!$C$6&lt;&gt;"",Offer!$C$6,"[JOINING LINK]")</f>
        <v/>
      </c>
      <c r="AK330" s="14">
        <f>IF(OR(ISNUMBER(SEARCH("[",AG330)),ISNUMBER(SEARCH("[",AJ330))),"Fill placeholders",IF(ISNUMBER(AB330),"Ready to send","Ready · no fixed slot"))</f>
        <v/>
      </c>
      <c r="AN330" s="17" t="n"/>
    </row>
    <row r="331">
      <c r="A331" s="11" t="n">
        <v>329</v>
      </c>
      <c r="B331" s="11" t="n">
        <v>3</v>
      </c>
      <c r="C331" s="11" t="inlineStr">
        <is>
          <t>Insurance / broker</t>
        </is>
      </c>
      <c r="D331" s="11" t="inlineStr">
        <is>
          <t>City of London</t>
        </is>
      </c>
      <c r="E331" s="11" t="inlineStr">
        <is>
          <t>Navigators Underwriting Limited</t>
        </is>
      </c>
      <c r="F331" s="11" t="inlineStr">
        <is>
          <t>Navigators Underwriting</t>
        </is>
      </c>
      <c r="G331" s="11" t="inlineStr">
        <is>
          <t>03821007</t>
        </is>
      </c>
      <c r="H331" s="12" t="inlineStr">
        <is>
          <t>Open</t>
        </is>
      </c>
      <c r="I331" s="12" t="inlineStr">
        <is>
          <t>Search</t>
        </is>
      </c>
      <c r="J331" s="11" t="inlineStr">
        <is>
          <t>Full</t>
        </is>
      </c>
      <c r="K331" s="13" t="n">
        <v>36378</v>
      </c>
      <c r="L331" s="11" t="inlineStr">
        <is>
          <t>6 Bevis Marks, 8Th Floor, London</t>
        </is>
      </c>
      <c r="M331" s="11" t="inlineStr">
        <is>
          <t>EC3A 7BA</t>
        </is>
      </c>
      <c r="N331" s="11" t="inlineStr">
        <is>
          <t>No</t>
        </is>
      </c>
      <c r="U331" s="11" t="inlineStr">
        <is>
          <t>Liverpool St - Attlee Centre</t>
        </is>
      </c>
      <c r="V331" s="11" t="n">
        <v>9</v>
      </c>
      <c r="W331" s="11" t="inlineStr">
        <is>
          <t>Shoreditch Powerleague (15.6)</t>
        </is>
      </c>
      <c r="X331" s="11" t="inlineStr">
        <is>
          <t>Shoreditch Powerleague</t>
        </is>
      </c>
      <c r="Y331" s="11" t="n">
        <v>16</v>
      </c>
      <c r="Z331" s="14">
        <f>IFERROR(INDEX(Venues!$E$2:$E$15,MATCH(X331,Venues!$A$2:$A$15,0)),"Not checked")</f>
        <v/>
      </c>
      <c r="AA331" s="14">
        <f>IFERROR(INDEX(Venues!$F$2:$F$15,MATCH(X331,Venues!$A$2:$A$15,0)),0)</f>
        <v/>
      </c>
      <c r="AB331" s="15">
        <f>IFERROR(INDEX(Venues!$M$2:$M$15,MATCH(X331,Venues!$A$2:$A$15,0)),"")</f>
        <v/>
      </c>
      <c r="AC331" s="14">
        <f>IFERROR(INDEX(Venues!$N$2:$N$15,MATCH(X331,Venues!$A$2:$A$15,0)),"5-a-side")</f>
        <v/>
      </c>
      <c r="AD331" s="16">
        <f>IF(Offer!$C$4="","",Offer!$C$4)</f>
        <v/>
      </c>
      <c r="AE331" s="14">
        <f>X331&amp;" ("&amp;Y331&amp;" min walk) · "&amp;IF(ISNUMBER(AB331),TEXT(AB331,"ddd d mmm, hh:mm"),"slot to confirm with venue")&amp;" · "&amp;AC331&amp;" · "&amp;IF(AD331&lt;&gt;"","£"&amp;TEXT(AD331,"0.00")&amp;" pp","price TBC")</f>
        <v/>
      </c>
      <c r="AF331" s="14">
        <f>"After-work football for "&amp;F331&amp;" · "&amp;X331&amp;", "&amp;Y331&amp;" min from your office"</f>
        <v/>
      </c>
      <c r="AG331" s="14">
        <f>"Hi"&amp;IF(O331&lt;&gt;""," "&amp;O331,"")&amp;","&amp;CHAR(10)&amp;CHAR(10)&amp;"I'm "&amp;IF(AL331&lt;&gt;"",AL331,IF(Offer!$C$5&lt;&gt;"",Offer!$C$5,"[NAME]"))&amp;" from FC Urban. We organise after-work football for teams in the City and Canary Wharf."&amp;CHAR(10)&amp;CHAR(10)&amp;"We have a "&amp;AC331&amp;" pitch at "&amp;X331&amp;", "&amp;IF(OR(Y331=8,Y331=11,Y331=18),"an ","a ")&amp;Y331&amp;"-minute walk from your "&amp;M331&amp;" office, "&amp;IF(ISNUMBER(AB331),"on "&amp;TEXT(AB331,"dddd d mmmm")&amp;" at "&amp;TEXT(AB331,"hh:mm"),"on a weekday evening that suits your team")&amp;". It's "&amp;IF(AD331&lt;&gt;"","£"&amp;IF(AD331=INT(AD331),TEXT(AD331,"0"),TEXT(AD331,"0.00")),"[PRICE PER PLAYER]")&amp;" a player and we handle the pitch booking, sign-ups and payments, so all it takes is one person sharing a link with the team."&amp;CHAR(10)&amp;CHAR(10)&amp;"It works well as a team social or "&amp;IF(ISNUMBER(SEARCH(LEFT(F331,1),"AEIOU")),"an ","a ")&amp;F331&amp;"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LINK]")&amp;CHAR(10)&amp;CHAR(10)&amp;"Best,"&amp;CHAR(10)&amp;IF(AL331&lt;&gt;"",AL331,IF(Offer!$C$5&lt;&gt;"",Offer!$C$5,"[NAME]"))&amp;CHAR(10)&amp;"FC Urban"</f>
        <v/>
      </c>
      <c r="AH331" s="14">
        <f>IF(LEN("Hi"&amp;IF(O331&lt;&gt;""," "&amp;O331,"")&amp;","&amp;" FC Urban runs after-work football for "&amp;IF(D331="Canary Wharf","Canary Wharf","City")&amp;" teams. We have a "&amp;AC331&amp;" pitch at "&amp;X331&amp;", "&amp;Y331&amp;" min from your office, "&amp;IF(ISNUMBER(AB331),TEXT(AB331,"ddd d mmm")&amp;", "&amp;TEXT(AB331,"hh:mm"),"weekday evenings")&amp;", "&amp;IF(AD331&lt;&gt;"","£"&amp;IF(AD331=INT(AD331),TEXT(AD331,"0"),TEXT(AD331,"0.00")),"[PRICE PER PLAYER]")&amp;" a player. We handle booking, sign-ups and payments. Fancy "&amp;IF(ISNUMBER(SEARCH(LEFT(F331,1),"AEIOU")),"an ","a ")&amp;F331&amp;" team game? "&amp;IF(AL331&lt;&gt;"",AL331,IF(Offer!$C$5&lt;&gt;"",Offer!$C$5,"[NAME]")))&lt;=300,"Hi"&amp;IF(O331&lt;&gt;""," "&amp;O331,"")&amp;","&amp;" FC Urban runs after-work football for "&amp;IF(D331="Canary Wharf","Canary Wharf","City")&amp;" teams. We have a "&amp;AC331&amp;" pitch at "&amp;X331&amp;", "&amp;Y331&amp;" min from your office, "&amp;IF(ISNUMBER(AB331),TEXT(AB331,"ddd d mmm")&amp;", "&amp;TEXT(AB331,"hh:mm"),"weekday evenings")&amp;", "&amp;IF(AD331&lt;&gt;"","£"&amp;IF(AD331=INT(AD331),TEXT(AD331,"0"),TEXT(AD331,"0.00")),"[PRICE PER PLAYER]")&amp;" a player. We handle booking, sign-ups and payments. Fancy "&amp;IF(ISNUMBER(SEARCH(LEFT(F331,1),"AEIOU")),"an ","a ")&amp;F331&amp;" team game? "&amp;IF(AL331&lt;&gt;"",AL331,IF(Offer!$C$5&lt;&gt;"",Offer!$C$5,"[NAME]")),LEFT("Hi"&amp;IF(O331&lt;&gt;""," "&amp;O331,"")&amp;","&amp;" FC Urban runs after-work football for "&amp;IF(D331="Canary Wharf","Canary Wharf","City")&amp;" teams: "&amp;AC331&amp;" at "&amp;X331&amp;", "&amp;Y331&amp;" min from your office, "&amp;IF(ISNUMBER(AB331),TEXT(AB331,"ddd d mmm")&amp;", "&amp;TEXT(AB331,"hh:mm"),"weekday evenings")&amp;", "&amp;IF(AD331&lt;&gt;"","£"&amp;IF(AD331=INT(AD331),TEXT(AD331,"0"),TEXT(AD331,"0.00")),"[PRICE PER PLAYER]")&amp;" pp. We handle booking and payments. Up for a team game? "&amp;IF(AL331&lt;&gt;"",AL331,IF(Offer!$C$5&lt;&gt;"",Offer!$C$5,"[NAME]")),300))</f>
        <v/>
      </c>
      <c r="AI331" s="14">
        <f>LEN(AH331)</f>
        <v/>
      </c>
      <c r="AJ331" s="14">
        <f>"Thanks for connecting"&amp;IF(O331&lt;&gt;"",", "&amp;O331,"")&amp;". "&amp;IF(ISNUMBER(AB331),"The "&amp;AC331&amp;" slot at "&amp;X331&amp;" is "&amp;IF(ISNUMBER(AB331),TEXT(AB331,"ddd d mmm")&amp;", "&amp;TEXT(AB331,"hh:mm"),"weekday evenings"),"We can book "&amp;AC331&amp;" at "&amp;X331&amp;" on a weekday evening that suits you")&amp;" and it's "&amp;IF(AD331&lt;&gt;"","£"&amp;IF(AD331=INT(AD331),TEXT(AD331,"0"),TEXT(AD331,"0.00")),"[PRICE PER PLAYER]")&amp;" a player, all booked and paid through one link. If football isn't your thing, who at "&amp;F331&amp;" would be the right person to organise a team game?"&amp;IF(Offer!$C$7&lt;&gt;""," Spots are held until "&amp;TEXT(Offer!$C$7,"dddd d mmmm")&amp;".","")&amp;" "&amp;IF(Offer!$C$6&lt;&gt;"",Offer!$C$6,"[JOINING LINK]")</f>
        <v/>
      </c>
      <c r="AK331" s="14">
        <f>IF(OR(ISNUMBER(SEARCH("[",AG331)),ISNUMBER(SEARCH("[",AJ331))),"Fill placeholders",IF(ISNUMBER(AB331),"Ready to send","Ready · no fixed slot"))</f>
        <v/>
      </c>
      <c r="AN331" s="17" t="n"/>
    </row>
    <row r="332">
      <c r="A332" s="11" t="n">
        <v>330</v>
      </c>
      <c r="B332" s="11" t="n">
        <v>3</v>
      </c>
      <c r="C332" s="11" t="inlineStr">
        <is>
          <t>Insurance / broker</t>
        </is>
      </c>
      <c r="D332" s="11" t="inlineStr">
        <is>
          <t>City of London</t>
        </is>
      </c>
      <c r="E332" s="11" t="inlineStr">
        <is>
          <t>Alwen Hough Johnson Limited</t>
        </is>
      </c>
      <c r="F332" s="11" t="inlineStr">
        <is>
          <t>Alwen Hough Johnson</t>
        </is>
      </c>
      <c r="G332" s="11" t="inlineStr">
        <is>
          <t>01195076</t>
        </is>
      </c>
      <c r="H332" s="12" t="inlineStr">
        <is>
          <t>Open</t>
        </is>
      </c>
      <c r="I332" s="12" t="inlineStr">
        <is>
          <t>Search</t>
        </is>
      </c>
      <c r="J332" s="11" t="inlineStr">
        <is>
          <t>Full</t>
        </is>
      </c>
      <c r="K332" s="13" t="n">
        <v>27393</v>
      </c>
      <c r="L332" s="11" t="inlineStr">
        <is>
          <t>2 Minster Court Mincing Lane, London</t>
        </is>
      </c>
      <c r="M332" s="11" t="inlineStr">
        <is>
          <t>EC3R 7BB</t>
        </is>
      </c>
      <c r="N332" s="11" t="inlineStr">
        <is>
          <t>Yes</t>
        </is>
      </c>
      <c r="U332" s="11" t="inlineStr">
        <is>
          <t>Liverpool St - Attlee Centre</t>
        </is>
      </c>
      <c r="V332" s="11" t="n">
        <v>16</v>
      </c>
      <c r="W332" s="11" t="n"/>
      <c r="X332" s="11" t="inlineStr">
        <is>
          <t>Liverpool St - Attlee Centre</t>
        </is>
      </c>
      <c r="Y332" s="11" t="n">
        <v>16</v>
      </c>
      <c r="Z332" s="14">
        <f>IFERROR(INDEX(Venues!$E$2:$E$15,MATCH(X332,Venues!$A$2:$A$15,0)),"Not checked")</f>
        <v/>
      </c>
      <c r="AA332" s="14">
        <f>IFERROR(INDEX(Venues!$F$2:$F$15,MATCH(X332,Venues!$A$2:$A$15,0)),0)</f>
        <v/>
      </c>
      <c r="AB332" s="15">
        <f>IFERROR(INDEX(Venues!$M$2:$M$15,MATCH(X332,Venues!$A$2:$A$15,0)),"")</f>
        <v/>
      </c>
      <c r="AC332" s="14">
        <f>IFERROR(INDEX(Venues!$N$2:$N$15,MATCH(X332,Venues!$A$2:$A$15,0)),"5-a-side")</f>
        <v/>
      </c>
      <c r="AD332" s="16">
        <f>IF(Offer!$C$4="","",Offer!$C$4)</f>
        <v/>
      </c>
      <c r="AE332" s="14">
        <f>X332&amp;" ("&amp;Y332&amp;" min walk) · "&amp;IF(ISNUMBER(AB332),TEXT(AB332,"ddd d mmm, hh:mm"),"slot to confirm with venue")&amp;" · "&amp;AC332&amp;" · "&amp;IF(AD332&lt;&gt;"","£"&amp;TEXT(AD332,"0.00")&amp;" pp","price TBC")</f>
        <v/>
      </c>
      <c r="AF332" s="14">
        <f>"After-work football for "&amp;F332&amp;" · "&amp;X332&amp;", "&amp;Y332&amp;" min from your office"</f>
        <v/>
      </c>
      <c r="AG332" s="14">
        <f>"Hi"&amp;IF(O332&lt;&gt;""," "&amp;O332,"")&amp;","&amp;CHAR(10)&amp;CHAR(10)&amp;"I'm "&amp;IF(AL332&lt;&gt;"",AL332,IF(Offer!$C$5&lt;&gt;"",Offer!$C$5,"[NAME]"))&amp;" from FC Urban. We organise after-work football for teams in the City and Canary Wharf."&amp;CHAR(10)&amp;CHAR(10)&amp;"We have a "&amp;AC332&amp;" pitch at "&amp;X332&amp;", "&amp;IF(OR(Y332=8,Y332=11,Y332=18),"an ","a ")&amp;Y332&amp;"-minute walk from your "&amp;M332&amp;" office, "&amp;IF(ISNUMBER(AB332),"on "&amp;TEXT(AB332,"dddd d mmmm")&amp;" at "&amp;TEXT(AB332,"hh:mm"),"on a weekday evening that suits your team")&amp;". It's "&amp;IF(AD332&lt;&gt;"","£"&amp;IF(AD332=INT(AD332),TEXT(AD332,"0"),TEXT(AD332,"0.00")),"[PRICE PER PLAYER]")&amp;" a player and we handle the pitch booking, sign-ups and payments, so all it takes is one person sharing a link with the team."&amp;CHAR(10)&amp;CHAR(10)&amp;"It works well as a team social or "&amp;IF(ISNUMBER(SEARCH(LEFT(F332,1),"AEIOU")),"an ","a ")&amp;F332&amp;"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LINK]")&amp;CHAR(10)&amp;CHAR(10)&amp;"Best,"&amp;CHAR(10)&amp;IF(AL332&lt;&gt;"",AL332,IF(Offer!$C$5&lt;&gt;"",Offer!$C$5,"[NAME]"))&amp;CHAR(10)&amp;"FC Urban"</f>
        <v/>
      </c>
      <c r="AH332" s="14">
        <f>IF(LEN("Hi"&amp;IF(O332&lt;&gt;""," "&amp;O332,"")&amp;","&amp;" FC Urban runs after-work football for "&amp;IF(D332="Canary Wharf","Canary Wharf","City")&amp;" teams. We have a "&amp;AC332&amp;" pitch at "&amp;X332&amp;", "&amp;Y332&amp;" min from your office, "&amp;IF(ISNUMBER(AB332),TEXT(AB332,"ddd d mmm")&amp;", "&amp;TEXT(AB332,"hh:mm"),"weekday evenings")&amp;", "&amp;IF(AD332&lt;&gt;"","£"&amp;IF(AD332=INT(AD332),TEXT(AD332,"0"),TEXT(AD332,"0.00")),"[PRICE PER PLAYER]")&amp;" a player. We handle booking, sign-ups and payments. Fancy "&amp;IF(ISNUMBER(SEARCH(LEFT(F332,1),"AEIOU")),"an ","a ")&amp;F332&amp;" team game? "&amp;IF(AL332&lt;&gt;"",AL332,IF(Offer!$C$5&lt;&gt;"",Offer!$C$5,"[NAME]")))&lt;=300,"Hi"&amp;IF(O332&lt;&gt;""," "&amp;O332,"")&amp;","&amp;" FC Urban runs after-work football for "&amp;IF(D332="Canary Wharf","Canary Wharf","City")&amp;" teams. We have a "&amp;AC332&amp;" pitch at "&amp;X332&amp;", "&amp;Y332&amp;" min from your office, "&amp;IF(ISNUMBER(AB332),TEXT(AB332,"ddd d mmm")&amp;", "&amp;TEXT(AB332,"hh:mm"),"weekday evenings")&amp;", "&amp;IF(AD332&lt;&gt;"","£"&amp;IF(AD332=INT(AD332),TEXT(AD332,"0"),TEXT(AD332,"0.00")),"[PRICE PER PLAYER]")&amp;" a player. We handle booking, sign-ups and payments. Fancy "&amp;IF(ISNUMBER(SEARCH(LEFT(F332,1),"AEIOU")),"an ","a ")&amp;F332&amp;" team game? "&amp;IF(AL332&lt;&gt;"",AL332,IF(Offer!$C$5&lt;&gt;"",Offer!$C$5,"[NAME]")),LEFT("Hi"&amp;IF(O332&lt;&gt;""," "&amp;O332,"")&amp;","&amp;" FC Urban runs after-work football for "&amp;IF(D332="Canary Wharf","Canary Wharf","City")&amp;" teams: "&amp;AC332&amp;" at "&amp;X332&amp;", "&amp;Y332&amp;" min from your office, "&amp;IF(ISNUMBER(AB332),TEXT(AB332,"ddd d mmm")&amp;", "&amp;TEXT(AB332,"hh:mm"),"weekday evenings")&amp;", "&amp;IF(AD332&lt;&gt;"","£"&amp;IF(AD332=INT(AD332),TEXT(AD332,"0"),TEXT(AD332,"0.00")),"[PRICE PER PLAYER]")&amp;" pp. We handle booking and payments. Up for a team game? "&amp;IF(AL332&lt;&gt;"",AL332,IF(Offer!$C$5&lt;&gt;"",Offer!$C$5,"[NAME]")),300))</f>
        <v/>
      </c>
      <c r="AI332" s="14">
        <f>LEN(AH332)</f>
        <v/>
      </c>
      <c r="AJ332" s="14">
        <f>"Thanks for connecting"&amp;IF(O332&lt;&gt;"",", "&amp;O332,"")&amp;". "&amp;IF(ISNUMBER(AB332),"The "&amp;AC332&amp;" slot at "&amp;X332&amp;" is "&amp;IF(ISNUMBER(AB332),TEXT(AB332,"ddd d mmm")&amp;", "&amp;TEXT(AB332,"hh:mm"),"weekday evenings"),"We can book "&amp;AC332&amp;" at "&amp;X332&amp;" on a weekday evening that suits you")&amp;" and it's "&amp;IF(AD332&lt;&gt;"","£"&amp;IF(AD332=INT(AD332),TEXT(AD332,"0"),TEXT(AD332,"0.00")),"[PRICE PER PLAYER]")&amp;" a player, all booked and paid through one link. If football isn't your thing, who at "&amp;F332&amp;" would be the right person to organise a team game?"&amp;IF(Offer!$C$7&lt;&gt;""," Spots are held until "&amp;TEXT(Offer!$C$7,"dddd d mmmm")&amp;".","")&amp;" "&amp;IF(Offer!$C$6&lt;&gt;"",Offer!$C$6,"[JOINING LINK]")</f>
        <v/>
      </c>
      <c r="AK332" s="14">
        <f>IF(OR(ISNUMBER(SEARCH("[",AG332)),ISNUMBER(SEARCH("[",AJ332))),"Fill placeholders",IF(ISNUMBER(AB332),"Ready to send","Ready · no fixed slot"))</f>
        <v/>
      </c>
      <c r="AN332" s="17" t="n"/>
    </row>
    <row r="333">
      <c r="A333" s="11" t="n">
        <v>331</v>
      </c>
      <c r="B333" s="11" t="n">
        <v>3</v>
      </c>
      <c r="C333" s="11" t="inlineStr">
        <is>
          <t>Insurance / broker</t>
        </is>
      </c>
      <c r="D333" s="11" t="inlineStr">
        <is>
          <t>City of London</t>
        </is>
      </c>
      <c r="E333" s="11" t="inlineStr">
        <is>
          <t>Arcadian Risk Capital (UK) Ltd</t>
        </is>
      </c>
      <c r="F333" s="11" t="inlineStr">
        <is>
          <t>Arcadian Risk Capital</t>
        </is>
      </c>
      <c r="G333" s="11" t="inlineStr">
        <is>
          <t>12765929</t>
        </is>
      </c>
      <c r="H333" s="12" t="inlineStr">
        <is>
          <t>Open</t>
        </is>
      </c>
      <c r="I333" s="12" t="inlineStr">
        <is>
          <t>Search</t>
        </is>
      </c>
      <c r="J333" s="11" t="inlineStr">
        <is>
          <t>Full</t>
        </is>
      </c>
      <c r="K333" s="13" t="n">
        <v>44036</v>
      </c>
      <c r="L333" s="11" t="inlineStr">
        <is>
          <t>52 Cornhill, London</t>
        </is>
      </c>
      <c r="M333" s="11" t="inlineStr">
        <is>
          <t>EC3V 3PD</t>
        </is>
      </c>
      <c r="N333" s="11" t="inlineStr">
        <is>
          <t>Yes</t>
        </is>
      </c>
      <c r="U333" s="11" t="inlineStr">
        <is>
          <t>Liverpool St - Attlee Centre</t>
        </is>
      </c>
      <c r="V333" s="11" t="n">
        <v>16</v>
      </c>
      <c r="W333" s="11" t="n"/>
      <c r="X333" s="11" t="inlineStr">
        <is>
          <t>Liverpool St - Attlee Centre</t>
        </is>
      </c>
      <c r="Y333" s="11" t="n">
        <v>16</v>
      </c>
      <c r="Z333" s="14">
        <f>IFERROR(INDEX(Venues!$E$2:$E$15,MATCH(X333,Venues!$A$2:$A$15,0)),"Not checked")</f>
        <v/>
      </c>
      <c r="AA333" s="14">
        <f>IFERROR(INDEX(Venues!$F$2:$F$15,MATCH(X333,Venues!$A$2:$A$15,0)),0)</f>
        <v/>
      </c>
      <c r="AB333" s="15">
        <f>IFERROR(INDEX(Venues!$M$2:$M$15,MATCH(X333,Venues!$A$2:$A$15,0)),"")</f>
        <v/>
      </c>
      <c r="AC333" s="14">
        <f>IFERROR(INDEX(Venues!$N$2:$N$15,MATCH(X333,Venues!$A$2:$A$15,0)),"5-a-side")</f>
        <v/>
      </c>
      <c r="AD333" s="16">
        <f>IF(Offer!$C$4="","",Offer!$C$4)</f>
        <v/>
      </c>
      <c r="AE333" s="14">
        <f>X333&amp;" ("&amp;Y333&amp;" min walk) · "&amp;IF(ISNUMBER(AB333),TEXT(AB333,"ddd d mmm, hh:mm"),"slot to confirm with venue")&amp;" · "&amp;AC333&amp;" · "&amp;IF(AD333&lt;&gt;"","£"&amp;TEXT(AD333,"0.00")&amp;" pp","price TBC")</f>
        <v/>
      </c>
      <c r="AF333" s="14">
        <f>"After-work football for "&amp;F333&amp;" · "&amp;X333&amp;", "&amp;Y333&amp;" min from your office"</f>
        <v/>
      </c>
      <c r="AG333" s="14">
        <f>"Hi"&amp;IF(O333&lt;&gt;""," "&amp;O333,"")&amp;","&amp;CHAR(10)&amp;CHAR(10)&amp;"I'm "&amp;IF(AL333&lt;&gt;"",AL333,IF(Offer!$C$5&lt;&gt;"",Offer!$C$5,"[NAME]"))&amp;" from FC Urban. We organise after-work football for teams in the City and Canary Wharf."&amp;CHAR(10)&amp;CHAR(10)&amp;"We have a "&amp;AC333&amp;" pitch at "&amp;X333&amp;", "&amp;IF(OR(Y333=8,Y333=11,Y333=18),"an ","a ")&amp;Y333&amp;"-minute walk from your "&amp;M333&amp;" office, "&amp;IF(ISNUMBER(AB333),"on "&amp;TEXT(AB333,"dddd d mmmm")&amp;" at "&amp;TEXT(AB333,"hh:mm"),"on a weekday evening that suits your team")&amp;". It's "&amp;IF(AD333&lt;&gt;"","£"&amp;IF(AD333=INT(AD333),TEXT(AD333,"0"),TEXT(AD333,"0.00")),"[PRICE PER PLAYER]")&amp;" a player and we handle the pitch booking, sign-ups and payments, so all it takes is one person sharing a link with the team."&amp;CHAR(10)&amp;CHAR(10)&amp;"It works well as a team social or "&amp;IF(ISNUMBER(SEARCH(LEFT(F333,1),"AEIOU")),"an ","a ")&amp;F333&amp;"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LINK]")&amp;CHAR(10)&amp;CHAR(10)&amp;"Best,"&amp;CHAR(10)&amp;IF(AL333&lt;&gt;"",AL333,IF(Offer!$C$5&lt;&gt;"",Offer!$C$5,"[NAME]"))&amp;CHAR(10)&amp;"FC Urban"</f>
        <v/>
      </c>
      <c r="AH333" s="14">
        <f>IF(LEN("Hi"&amp;IF(O333&lt;&gt;""," "&amp;O333,"")&amp;","&amp;" FC Urban runs after-work football for "&amp;IF(D333="Canary Wharf","Canary Wharf","City")&amp;" teams. We have a "&amp;AC333&amp;" pitch at "&amp;X333&amp;", "&amp;Y333&amp;" min from your office, "&amp;IF(ISNUMBER(AB333),TEXT(AB333,"ddd d mmm")&amp;", "&amp;TEXT(AB333,"hh:mm"),"weekday evenings")&amp;", "&amp;IF(AD333&lt;&gt;"","£"&amp;IF(AD333=INT(AD333),TEXT(AD333,"0"),TEXT(AD333,"0.00")),"[PRICE PER PLAYER]")&amp;" a player. We handle booking, sign-ups and payments. Fancy "&amp;IF(ISNUMBER(SEARCH(LEFT(F333,1),"AEIOU")),"an ","a ")&amp;F333&amp;" team game? "&amp;IF(AL333&lt;&gt;"",AL333,IF(Offer!$C$5&lt;&gt;"",Offer!$C$5,"[NAME]")))&lt;=300,"Hi"&amp;IF(O333&lt;&gt;""," "&amp;O333,"")&amp;","&amp;" FC Urban runs after-work football for "&amp;IF(D333="Canary Wharf","Canary Wharf","City")&amp;" teams. We have a "&amp;AC333&amp;" pitch at "&amp;X333&amp;", "&amp;Y333&amp;" min from your office, "&amp;IF(ISNUMBER(AB333),TEXT(AB333,"ddd d mmm")&amp;", "&amp;TEXT(AB333,"hh:mm"),"weekday evenings")&amp;", "&amp;IF(AD333&lt;&gt;"","£"&amp;IF(AD333=INT(AD333),TEXT(AD333,"0"),TEXT(AD333,"0.00")),"[PRICE PER PLAYER]")&amp;" a player. We handle booking, sign-ups and payments. Fancy "&amp;IF(ISNUMBER(SEARCH(LEFT(F333,1),"AEIOU")),"an ","a ")&amp;F333&amp;" team game? "&amp;IF(AL333&lt;&gt;"",AL333,IF(Offer!$C$5&lt;&gt;"",Offer!$C$5,"[NAME]")),LEFT("Hi"&amp;IF(O333&lt;&gt;""," "&amp;O333,"")&amp;","&amp;" FC Urban runs after-work football for "&amp;IF(D333="Canary Wharf","Canary Wharf","City")&amp;" teams: "&amp;AC333&amp;" at "&amp;X333&amp;", "&amp;Y333&amp;" min from your office, "&amp;IF(ISNUMBER(AB333),TEXT(AB333,"ddd d mmm")&amp;", "&amp;TEXT(AB333,"hh:mm"),"weekday evenings")&amp;", "&amp;IF(AD333&lt;&gt;"","£"&amp;IF(AD333=INT(AD333),TEXT(AD333,"0"),TEXT(AD333,"0.00")),"[PRICE PER PLAYER]")&amp;" pp. We handle booking and payments. Up for a team game? "&amp;IF(AL333&lt;&gt;"",AL333,IF(Offer!$C$5&lt;&gt;"",Offer!$C$5,"[NAME]")),300))</f>
        <v/>
      </c>
      <c r="AI333" s="14">
        <f>LEN(AH333)</f>
        <v/>
      </c>
      <c r="AJ333" s="14">
        <f>"Thanks for connecting"&amp;IF(O333&lt;&gt;"",", "&amp;O333,"")&amp;". "&amp;IF(ISNUMBER(AB333),"The "&amp;AC333&amp;" slot at "&amp;X333&amp;" is "&amp;IF(ISNUMBER(AB333),TEXT(AB333,"ddd d mmm")&amp;", "&amp;TEXT(AB333,"hh:mm"),"weekday evenings"),"We can book "&amp;AC333&amp;" at "&amp;X333&amp;" on a weekday evening that suits you")&amp;" and it's "&amp;IF(AD333&lt;&gt;"","£"&amp;IF(AD333=INT(AD333),TEXT(AD333,"0"),TEXT(AD333,"0.00")),"[PRICE PER PLAYER]")&amp;" a player, all booked and paid through one link. If football isn't your thing, who at "&amp;F333&amp;" would be the right person to organise a team game?"&amp;IF(Offer!$C$7&lt;&gt;""," Spots are held until "&amp;TEXT(Offer!$C$7,"dddd d mmmm")&amp;".","")&amp;" "&amp;IF(Offer!$C$6&lt;&gt;"",Offer!$C$6,"[JOINING LINK]")</f>
        <v/>
      </c>
      <c r="AK333" s="14">
        <f>IF(OR(ISNUMBER(SEARCH("[",AG333)),ISNUMBER(SEARCH("[",AJ333))),"Fill placeholders",IF(ISNUMBER(AB333),"Ready to send","Ready · no fixed slot"))</f>
        <v/>
      </c>
      <c r="AN333" s="17" t="n"/>
    </row>
    <row r="334">
      <c r="A334" s="11" t="n">
        <v>332</v>
      </c>
      <c r="B334" s="11" t="n">
        <v>3</v>
      </c>
      <c r="C334" s="11" t="inlineStr">
        <is>
          <t>Insurance / broker</t>
        </is>
      </c>
      <c r="D334" s="11" t="inlineStr">
        <is>
          <t>City of London</t>
        </is>
      </c>
      <c r="E334" s="11" t="inlineStr">
        <is>
          <t>Criterion Adjusters Limited</t>
        </is>
      </c>
      <c r="F334" s="11" t="inlineStr">
        <is>
          <t>Criterion Adjusters</t>
        </is>
      </c>
      <c r="G334" s="11" t="inlineStr">
        <is>
          <t>05391898</t>
        </is>
      </c>
      <c r="H334" s="12" t="inlineStr">
        <is>
          <t>Open</t>
        </is>
      </c>
      <c r="I334" s="12" t="inlineStr">
        <is>
          <t>Search</t>
        </is>
      </c>
      <c r="J334" s="11" t="inlineStr">
        <is>
          <t>Full</t>
        </is>
      </c>
      <c r="K334" s="13" t="n">
        <v>38425</v>
      </c>
      <c r="L334" s="11" t="inlineStr">
        <is>
          <t>2 Minster Court, Mincing Lane, London</t>
        </is>
      </c>
      <c r="M334" s="11" t="inlineStr">
        <is>
          <t>EC3R 7BB</t>
        </is>
      </c>
      <c r="N334" s="11" t="inlineStr">
        <is>
          <t>No</t>
        </is>
      </c>
      <c r="U334" s="11" t="inlineStr">
        <is>
          <t>Liverpool St - Attlee Centre</t>
        </is>
      </c>
      <c r="V334" s="11" t="n">
        <v>16</v>
      </c>
      <c r="W334" s="11" t="n"/>
      <c r="X334" s="11" t="inlineStr">
        <is>
          <t>Liverpool St - Attlee Centre</t>
        </is>
      </c>
      <c r="Y334" s="11" t="n">
        <v>16</v>
      </c>
      <c r="Z334" s="14">
        <f>IFERROR(INDEX(Venues!$E$2:$E$15,MATCH(X334,Venues!$A$2:$A$15,0)),"Not checked")</f>
        <v/>
      </c>
      <c r="AA334" s="14">
        <f>IFERROR(INDEX(Venues!$F$2:$F$15,MATCH(X334,Venues!$A$2:$A$15,0)),0)</f>
        <v/>
      </c>
      <c r="AB334" s="15">
        <f>IFERROR(INDEX(Venues!$M$2:$M$15,MATCH(X334,Venues!$A$2:$A$15,0)),"")</f>
        <v/>
      </c>
      <c r="AC334" s="14">
        <f>IFERROR(INDEX(Venues!$N$2:$N$15,MATCH(X334,Venues!$A$2:$A$15,0)),"5-a-side")</f>
        <v/>
      </c>
      <c r="AD334" s="16">
        <f>IF(Offer!$C$4="","",Offer!$C$4)</f>
        <v/>
      </c>
      <c r="AE334" s="14">
        <f>X334&amp;" ("&amp;Y334&amp;" min walk) · "&amp;IF(ISNUMBER(AB334),TEXT(AB334,"ddd d mmm, hh:mm"),"slot to confirm with venue")&amp;" · "&amp;AC334&amp;" · "&amp;IF(AD334&lt;&gt;"","£"&amp;TEXT(AD334,"0.00")&amp;" pp","price TBC")</f>
        <v/>
      </c>
      <c r="AF334" s="14">
        <f>"After-work football for "&amp;F334&amp;" · "&amp;X334&amp;", "&amp;Y334&amp;" min from your office"</f>
        <v/>
      </c>
      <c r="AG334" s="14">
        <f>"Hi"&amp;IF(O334&lt;&gt;""," "&amp;O334,"")&amp;","&amp;CHAR(10)&amp;CHAR(10)&amp;"I'm "&amp;IF(AL334&lt;&gt;"",AL334,IF(Offer!$C$5&lt;&gt;"",Offer!$C$5,"[NAME]"))&amp;" from FC Urban. We organise after-work football for teams in the City and Canary Wharf."&amp;CHAR(10)&amp;CHAR(10)&amp;"We have a "&amp;AC334&amp;" pitch at "&amp;X334&amp;", "&amp;IF(OR(Y334=8,Y334=11,Y334=18),"an ","a ")&amp;Y334&amp;"-minute walk from your "&amp;M334&amp;" office, "&amp;IF(ISNUMBER(AB334),"on "&amp;TEXT(AB334,"dddd d mmmm")&amp;" at "&amp;TEXT(AB334,"hh:mm"),"on a weekday evening that suits your team")&amp;". It's "&amp;IF(AD334&lt;&gt;"","£"&amp;IF(AD334=INT(AD334),TEXT(AD334,"0"),TEXT(AD334,"0.00")),"[PRICE PER PLAYER]")&amp;" a player and we handle the pitch booking, sign-ups and payments, so all it takes is one person sharing a link with the team."&amp;CHAR(10)&amp;CHAR(10)&amp;"It works well as a team social or "&amp;IF(ISNUMBER(SEARCH(LEFT(F334,1),"AEIOU")),"an ","a ")&amp;F334&amp;"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LINK]")&amp;CHAR(10)&amp;CHAR(10)&amp;"Best,"&amp;CHAR(10)&amp;IF(AL334&lt;&gt;"",AL334,IF(Offer!$C$5&lt;&gt;"",Offer!$C$5,"[NAME]"))&amp;CHAR(10)&amp;"FC Urban"</f>
        <v/>
      </c>
      <c r="AH334" s="14">
        <f>IF(LEN("Hi"&amp;IF(O334&lt;&gt;""," "&amp;O334,"")&amp;","&amp;" FC Urban runs after-work football for "&amp;IF(D334="Canary Wharf","Canary Wharf","City")&amp;" teams. We have a "&amp;AC334&amp;" pitch at "&amp;X334&amp;", "&amp;Y334&amp;" min from your office, "&amp;IF(ISNUMBER(AB334),TEXT(AB334,"ddd d mmm")&amp;", "&amp;TEXT(AB334,"hh:mm"),"weekday evenings")&amp;", "&amp;IF(AD334&lt;&gt;"","£"&amp;IF(AD334=INT(AD334),TEXT(AD334,"0"),TEXT(AD334,"0.00")),"[PRICE PER PLAYER]")&amp;" a player. We handle booking, sign-ups and payments. Fancy "&amp;IF(ISNUMBER(SEARCH(LEFT(F334,1),"AEIOU")),"an ","a ")&amp;F334&amp;" team game? "&amp;IF(AL334&lt;&gt;"",AL334,IF(Offer!$C$5&lt;&gt;"",Offer!$C$5,"[NAME]")))&lt;=300,"Hi"&amp;IF(O334&lt;&gt;""," "&amp;O334,"")&amp;","&amp;" FC Urban runs after-work football for "&amp;IF(D334="Canary Wharf","Canary Wharf","City")&amp;" teams. We have a "&amp;AC334&amp;" pitch at "&amp;X334&amp;", "&amp;Y334&amp;" min from your office, "&amp;IF(ISNUMBER(AB334),TEXT(AB334,"ddd d mmm")&amp;", "&amp;TEXT(AB334,"hh:mm"),"weekday evenings")&amp;", "&amp;IF(AD334&lt;&gt;"","£"&amp;IF(AD334=INT(AD334),TEXT(AD334,"0"),TEXT(AD334,"0.00")),"[PRICE PER PLAYER]")&amp;" a player. We handle booking, sign-ups and payments. Fancy "&amp;IF(ISNUMBER(SEARCH(LEFT(F334,1),"AEIOU")),"an ","a ")&amp;F334&amp;" team game? "&amp;IF(AL334&lt;&gt;"",AL334,IF(Offer!$C$5&lt;&gt;"",Offer!$C$5,"[NAME]")),LEFT("Hi"&amp;IF(O334&lt;&gt;""," "&amp;O334,"")&amp;","&amp;" FC Urban runs after-work football for "&amp;IF(D334="Canary Wharf","Canary Wharf","City")&amp;" teams: "&amp;AC334&amp;" at "&amp;X334&amp;", "&amp;Y334&amp;" min from your office, "&amp;IF(ISNUMBER(AB334),TEXT(AB334,"ddd d mmm")&amp;", "&amp;TEXT(AB334,"hh:mm"),"weekday evenings")&amp;", "&amp;IF(AD334&lt;&gt;"","£"&amp;IF(AD334=INT(AD334),TEXT(AD334,"0"),TEXT(AD334,"0.00")),"[PRICE PER PLAYER]")&amp;" pp. We handle booking and payments. Up for a team game? "&amp;IF(AL334&lt;&gt;"",AL334,IF(Offer!$C$5&lt;&gt;"",Offer!$C$5,"[NAME]")),300))</f>
        <v/>
      </c>
      <c r="AI334" s="14">
        <f>LEN(AH334)</f>
        <v/>
      </c>
      <c r="AJ334" s="14">
        <f>"Thanks for connecting"&amp;IF(O334&lt;&gt;"",", "&amp;O334,"")&amp;". "&amp;IF(ISNUMBER(AB334),"The "&amp;AC334&amp;" slot at "&amp;X334&amp;" is "&amp;IF(ISNUMBER(AB334),TEXT(AB334,"ddd d mmm")&amp;", "&amp;TEXT(AB334,"hh:mm"),"weekday evenings"),"We can book "&amp;AC334&amp;" at "&amp;X334&amp;" on a weekday evening that suits you")&amp;" and it's "&amp;IF(AD334&lt;&gt;"","£"&amp;IF(AD334=INT(AD334),TEXT(AD334,"0"),TEXT(AD334,"0.00")),"[PRICE PER PLAYER]")&amp;" a player, all booked and paid through one link. If football isn't your thing, who at "&amp;F334&amp;" would be the right person to organise a team game?"&amp;IF(Offer!$C$7&lt;&gt;""," Spots are held until "&amp;TEXT(Offer!$C$7,"dddd d mmmm")&amp;".","")&amp;" "&amp;IF(Offer!$C$6&lt;&gt;"",Offer!$C$6,"[JOINING LINK]")</f>
        <v/>
      </c>
      <c r="AK334" s="14">
        <f>IF(OR(ISNUMBER(SEARCH("[",AG334)),ISNUMBER(SEARCH("[",AJ334))),"Fill placeholders",IF(ISNUMBER(AB334),"Ready to send","Ready · no fixed slot"))</f>
        <v/>
      </c>
      <c r="AN334" s="17" t="n"/>
    </row>
    <row r="335">
      <c r="A335" s="11" t="n">
        <v>333</v>
      </c>
      <c r="B335" s="11" t="n">
        <v>3</v>
      </c>
      <c r="C335" s="11" t="inlineStr">
        <is>
          <t>Insurance / broker</t>
        </is>
      </c>
      <c r="D335" s="11" t="inlineStr">
        <is>
          <t>City of London</t>
        </is>
      </c>
      <c r="E335" s="11" t="inlineStr">
        <is>
          <t>Faraday Mga Limited</t>
        </is>
      </c>
      <c r="F335" s="11" t="inlineStr">
        <is>
          <t>Faraday Mga</t>
        </is>
      </c>
      <c r="G335" s="11" t="inlineStr">
        <is>
          <t>10955079</t>
        </is>
      </c>
      <c r="H335" s="12" t="inlineStr">
        <is>
          <t>Open</t>
        </is>
      </c>
      <c r="I335" s="12" t="inlineStr">
        <is>
          <t>Search</t>
        </is>
      </c>
      <c r="J335" s="11" t="inlineStr">
        <is>
          <t>Full</t>
        </is>
      </c>
      <c r="K335" s="13" t="n">
        <v>42989</v>
      </c>
      <c r="L335" s="11" t="inlineStr">
        <is>
          <t>Corn Exchange, 55 Mark Lane, London</t>
        </is>
      </c>
      <c r="M335" s="11" t="inlineStr">
        <is>
          <t>EC3R 7NE</t>
        </is>
      </c>
      <c r="N335" s="11" t="inlineStr">
        <is>
          <t>No</t>
        </is>
      </c>
      <c r="U335" s="11" t="inlineStr">
        <is>
          <t>Liverpool St - Attlee Centre</t>
        </is>
      </c>
      <c r="V335" s="11" t="n">
        <v>16</v>
      </c>
      <c r="W335" s="11" t="n"/>
      <c r="X335" s="11" t="inlineStr">
        <is>
          <t>Liverpool St - Attlee Centre</t>
        </is>
      </c>
      <c r="Y335" s="11" t="n">
        <v>16</v>
      </c>
      <c r="Z335" s="14">
        <f>IFERROR(INDEX(Venues!$E$2:$E$15,MATCH(X335,Venues!$A$2:$A$15,0)),"Not checked")</f>
        <v/>
      </c>
      <c r="AA335" s="14">
        <f>IFERROR(INDEX(Venues!$F$2:$F$15,MATCH(X335,Venues!$A$2:$A$15,0)),0)</f>
        <v/>
      </c>
      <c r="AB335" s="15">
        <f>IFERROR(INDEX(Venues!$M$2:$M$15,MATCH(X335,Venues!$A$2:$A$15,0)),"")</f>
        <v/>
      </c>
      <c r="AC335" s="14">
        <f>IFERROR(INDEX(Venues!$N$2:$N$15,MATCH(X335,Venues!$A$2:$A$15,0)),"5-a-side")</f>
        <v/>
      </c>
      <c r="AD335" s="16">
        <f>IF(Offer!$C$4="","",Offer!$C$4)</f>
        <v/>
      </c>
      <c r="AE335" s="14">
        <f>X335&amp;" ("&amp;Y335&amp;" min walk) · "&amp;IF(ISNUMBER(AB335),TEXT(AB335,"ddd d mmm, hh:mm"),"slot to confirm with venue")&amp;" · "&amp;AC335&amp;" · "&amp;IF(AD335&lt;&gt;"","£"&amp;TEXT(AD335,"0.00")&amp;" pp","price TBC")</f>
        <v/>
      </c>
      <c r="AF335" s="14">
        <f>"After-work football for "&amp;F335&amp;" · "&amp;X335&amp;", "&amp;Y335&amp;" min from your office"</f>
        <v/>
      </c>
      <c r="AG335" s="14">
        <f>"Hi"&amp;IF(O335&lt;&gt;""," "&amp;O335,"")&amp;","&amp;CHAR(10)&amp;CHAR(10)&amp;"I'm "&amp;IF(AL335&lt;&gt;"",AL335,IF(Offer!$C$5&lt;&gt;"",Offer!$C$5,"[NAME]"))&amp;" from FC Urban. We organise after-work football for teams in the City and Canary Wharf."&amp;CHAR(10)&amp;CHAR(10)&amp;"We have a "&amp;AC335&amp;" pitch at "&amp;X335&amp;", "&amp;IF(OR(Y335=8,Y335=11,Y335=18),"an ","a ")&amp;Y335&amp;"-minute walk from your "&amp;M335&amp;" office, "&amp;IF(ISNUMBER(AB335),"on "&amp;TEXT(AB335,"dddd d mmmm")&amp;" at "&amp;TEXT(AB335,"hh:mm"),"on a weekday evening that suits your team")&amp;". It's "&amp;IF(AD335&lt;&gt;"","£"&amp;IF(AD335=INT(AD335),TEXT(AD335,"0"),TEXT(AD335,"0.00")),"[PRICE PER PLAYER]")&amp;" a player and we handle the pitch booking, sign-ups and payments, so all it takes is one person sharing a link with the team."&amp;CHAR(10)&amp;CHAR(10)&amp;"It works well as a team social or "&amp;IF(ISNUMBER(SEARCH(LEFT(F335,1),"AEIOU")),"an ","a ")&amp;F335&amp;"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LINK]")&amp;CHAR(10)&amp;CHAR(10)&amp;"Best,"&amp;CHAR(10)&amp;IF(AL335&lt;&gt;"",AL335,IF(Offer!$C$5&lt;&gt;"",Offer!$C$5,"[NAME]"))&amp;CHAR(10)&amp;"FC Urban"</f>
        <v/>
      </c>
      <c r="AH335" s="14">
        <f>IF(LEN("Hi"&amp;IF(O335&lt;&gt;""," "&amp;O335,"")&amp;","&amp;" FC Urban runs after-work football for "&amp;IF(D335="Canary Wharf","Canary Wharf","City")&amp;" teams. We have a "&amp;AC335&amp;" pitch at "&amp;X335&amp;", "&amp;Y335&amp;" min from your office, "&amp;IF(ISNUMBER(AB335),TEXT(AB335,"ddd d mmm")&amp;", "&amp;TEXT(AB335,"hh:mm"),"weekday evenings")&amp;", "&amp;IF(AD335&lt;&gt;"","£"&amp;IF(AD335=INT(AD335),TEXT(AD335,"0"),TEXT(AD335,"0.00")),"[PRICE PER PLAYER]")&amp;" a player. We handle booking, sign-ups and payments. Fancy "&amp;IF(ISNUMBER(SEARCH(LEFT(F335,1),"AEIOU")),"an ","a ")&amp;F335&amp;" team game? "&amp;IF(AL335&lt;&gt;"",AL335,IF(Offer!$C$5&lt;&gt;"",Offer!$C$5,"[NAME]")))&lt;=300,"Hi"&amp;IF(O335&lt;&gt;""," "&amp;O335,"")&amp;","&amp;" FC Urban runs after-work football for "&amp;IF(D335="Canary Wharf","Canary Wharf","City")&amp;" teams. We have a "&amp;AC335&amp;" pitch at "&amp;X335&amp;", "&amp;Y335&amp;" min from your office, "&amp;IF(ISNUMBER(AB335),TEXT(AB335,"ddd d mmm")&amp;", "&amp;TEXT(AB335,"hh:mm"),"weekday evenings")&amp;", "&amp;IF(AD335&lt;&gt;"","£"&amp;IF(AD335=INT(AD335),TEXT(AD335,"0"),TEXT(AD335,"0.00")),"[PRICE PER PLAYER]")&amp;" a player. We handle booking, sign-ups and payments. Fancy "&amp;IF(ISNUMBER(SEARCH(LEFT(F335,1),"AEIOU")),"an ","a ")&amp;F335&amp;" team game? "&amp;IF(AL335&lt;&gt;"",AL335,IF(Offer!$C$5&lt;&gt;"",Offer!$C$5,"[NAME]")),LEFT("Hi"&amp;IF(O335&lt;&gt;""," "&amp;O335,"")&amp;","&amp;" FC Urban runs after-work football for "&amp;IF(D335="Canary Wharf","Canary Wharf","City")&amp;" teams: "&amp;AC335&amp;" at "&amp;X335&amp;", "&amp;Y335&amp;" min from your office, "&amp;IF(ISNUMBER(AB335),TEXT(AB335,"ddd d mmm")&amp;", "&amp;TEXT(AB335,"hh:mm"),"weekday evenings")&amp;", "&amp;IF(AD335&lt;&gt;"","£"&amp;IF(AD335=INT(AD335),TEXT(AD335,"0"),TEXT(AD335,"0.00")),"[PRICE PER PLAYER]")&amp;" pp. We handle booking and payments. Up for a team game? "&amp;IF(AL335&lt;&gt;"",AL335,IF(Offer!$C$5&lt;&gt;"",Offer!$C$5,"[NAME]")),300))</f>
        <v/>
      </c>
      <c r="AI335" s="14">
        <f>LEN(AH335)</f>
        <v/>
      </c>
      <c r="AJ335" s="14">
        <f>"Thanks for connecting"&amp;IF(O335&lt;&gt;"",", "&amp;O335,"")&amp;". "&amp;IF(ISNUMBER(AB335),"The "&amp;AC335&amp;" slot at "&amp;X335&amp;" is "&amp;IF(ISNUMBER(AB335),TEXT(AB335,"ddd d mmm")&amp;", "&amp;TEXT(AB335,"hh:mm"),"weekday evenings"),"We can book "&amp;AC335&amp;" at "&amp;X335&amp;" on a weekday evening that suits you")&amp;" and it's "&amp;IF(AD335&lt;&gt;"","£"&amp;IF(AD335=INT(AD335),TEXT(AD335,"0"),TEXT(AD335,"0.00")),"[PRICE PER PLAYER]")&amp;" a player, all booked and paid through one link. If football isn't your thing, who at "&amp;F335&amp;" would be the right person to organise a team game?"&amp;IF(Offer!$C$7&lt;&gt;""," Spots are held until "&amp;TEXT(Offer!$C$7,"dddd d mmmm")&amp;".","")&amp;" "&amp;IF(Offer!$C$6&lt;&gt;"",Offer!$C$6,"[JOINING LINK]")</f>
        <v/>
      </c>
      <c r="AK335" s="14">
        <f>IF(OR(ISNUMBER(SEARCH("[",AG335)),ISNUMBER(SEARCH("[",AJ335))),"Fill placeholders",IF(ISNUMBER(AB335),"Ready to send","Ready · no fixed slot"))</f>
        <v/>
      </c>
      <c r="AN335" s="17" t="n"/>
    </row>
    <row r="336">
      <c r="A336" s="11" t="n">
        <v>334</v>
      </c>
      <c r="B336" s="11" t="n">
        <v>3</v>
      </c>
      <c r="C336" s="11" t="inlineStr">
        <is>
          <t>Insurance / broker</t>
        </is>
      </c>
      <c r="D336" s="11" t="inlineStr">
        <is>
          <t>City of London</t>
        </is>
      </c>
      <c r="E336" s="11" t="inlineStr">
        <is>
          <t>London Market Claims Services Limited</t>
        </is>
      </c>
      <c r="F336" s="11" t="inlineStr">
        <is>
          <t>London Market Claims</t>
        </is>
      </c>
      <c r="G336" s="11" t="inlineStr">
        <is>
          <t>02542839</t>
        </is>
      </c>
      <c r="H336" s="12" t="inlineStr">
        <is>
          <t>Open</t>
        </is>
      </c>
      <c r="I336" s="12" t="inlineStr">
        <is>
          <t>Search</t>
        </is>
      </c>
      <c r="J336" s="11" t="inlineStr">
        <is>
          <t>Full</t>
        </is>
      </c>
      <c r="K336" s="13" t="n">
        <v>33141</v>
      </c>
      <c r="L336" s="11" t="inlineStr">
        <is>
          <t>2 Minster Court, Mincing Lane, London</t>
        </is>
      </c>
      <c r="M336" s="11" t="inlineStr">
        <is>
          <t>EC3R 7BB</t>
        </is>
      </c>
      <c r="N336" s="11" t="inlineStr">
        <is>
          <t>No</t>
        </is>
      </c>
      <c r="U336" s="11" t="inlineStr">
        <is>
          <t>Liverpool St - Attlee Centre</t>
        </is>
      </c>
      <c r="V336" s="11" t="n">
        <v>16</v>
      </c>
      <c r="W336" s="11" t="n"/>
      <c r="X336" s="11" t="inlineStr">
        <is>
          <t>Liverpool St - Attlee Centre</t>
        </is>
      </c>
      <c r="Y336" s="11" t="n">
        <v>16</v>
      </c>
      <c r="Z336" s="14">
        <f>IFERROR(INDEX(Venues!$E$2:$E$15,MATCH(X336,Venues!$A$2:$A$15,0)),"Not checked")</f>
        <v/>
      </c>
      <c r="AA336" s="14">
        <f>IFERROR(INDEX(Venues!$F$2:$F$15,MATCH(X336,Venues!$A$2:$A$15,0)),0)</f>
        <v/>
      </c>
      <c r="AB336" s="15">
        <f>IFERROR(INDEX(Venues!$M$2:$M$15,MATCH(X336,Venues!$A$2:$A$15,0)),"")</f>
        <v/>
      </c>
      <c r="AC336" s="14">
        <f>IFERROR(INDEX(Venues!$N$2:$N$15,MATCH(X336,Venues!$A$2:$A$15,0)),"5-a-side")</f>
        <v/>
      </c>
      <c r="AD336" s="16">
        <f>IF(Offer!$C$4="","",Offer!$C$4)</f>
        <v/>
      </c>
      <c r="AE336" s="14">
        <f>X336&amp;" ("&amp;Y336&amp;" min walk) · "&amp;IF(ISNUMBER(AB336),TEXT(AB336,"ddd d mmm, hh:mm"),"slot to confirm with venue")&amp;" · "&amp;AC336&amp;" · "&amp;IF(AD336&lt;&gt;"","£"&amp;TEXT(AD336,"0.00")&amp;" pp","price TBC")</f>
        <v/>
      </c>
      <c r="AF336" s="14">
        <f>"After-work football for "&amp;F336&amp;" · "&amp;X336&amp;", "&amp;Y336&amp;" min from your office"</f>
        <v/>
      </c>
      <c r="AG336" s="14">
        <f>"Hi"&amp;IF(O336&lt;&gt;""," "&amp;O336,"")&amp;","&amp;CHAR(10)&amp;CHAR(10)&amp;"I'm "&amp;IF(AL336&lt;&gt;"",AL336,IF(Offer!$C$5&lt;&gt;"",Offer!$C$5,"[NAME]"))&amp;" from FC Urban. We organise after-work football for teams in the City and Canary Wharf."&amp;CHAR(10)&amp;CHAR(10)&amp;"We have a "&amp;AC336&amp;" pitch at "&amp;X336&amp;", "&amp;IF(OR(Y336=8,Y336=11,Y336=18),"an ","a ")&amp;Y336&amp;"-minute walk from your "&amp;M336&amp;" office, "&amp;IF(ISNUMBER(AB336),"on "&amp;TEXT(AB336,"dddd d mmmm")&amp;" at "&amp;TEXT(AB336,"hh:mm"),"on a weekday evening that suits your team")&amp;". It's "&amp;IF(AD336&lt;&gt;"","£"&amp;IF(AD336=INT(AD336),TEXT(AD336,"0"),TEXT(AD336,"0.00")),"[PRICE PER PLAYER]")&amp;" a player and we handle the pitch booking, sign-ups and payments, so all it takes is one person sharing a link with the team."&amp;CHAR(10)&amp;CHAR(10)&amp;"It works well as a team social or "&amp;IF(ISNUMBER(SEARCH(LEFT(F336,1),"AEIOU")),"an ","a ")&amp;F336&amp;"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LINK]")&amp;CHAR(10)&amp;CHAR(10)&amp;"Best,"&amp;CHAR(10)&amp;IF(AL336&lt;&gt;"",AL336,IF(Offer!$C$5&lt;&gt;"",Offer!$C$5,"[NAME]"))&amp;CHAR(10)&amp;"FC Urban"</f>
        <v/>
      </c>
      <c r="AH336" s="14">
        <f>IF(LEN("Hi"&amp;IF(O336&lt;&gt;""," "&amp;O336,"")&amp;","&amp;" FC Urban runs after-work football for "&amp;IF(D336="Canary Wharf","Canary Wharf","City")&amp;" teams. We have a "&amp;AC336&amp;" pitch at "&amp;X336&amp;", "&amp;Y336&amp;" min from your office, "&amp;IF(ISNUMBER(AB336),TEXT(AB336,"ddd d mmm")&amp;", "&amp;TEXT(AB336,"hh:mm"),"weekday evenings")&amp;", "&amp;IF(AD336&lt;&gt;"","£"&amp;IF(AD336=INT(AD336),TEXT(AD336,"0"),TEXT(AD336,"0.00")),"[PRICE PER PLAYER]")&amp;" a player. We handle booking, sign-ups and payments. Fancy "&amp;IF(ISNUMBER(SEARCH(LEFT(F336,1),"AEIOU")),"an ","a ")&amp;F336&amp;" team game? "&amp;IF(AL336&lt;&gt;"",AL336,IF(Offer!$C$5&lt;&gt;"",Offer!$C$5,"[NAME]")))&lt;=300,"Hi"&amp;IF(O336&lt;&gt;""," "&amp;O336,"")&amp;","&amp;" FC Urban runs after-work football for "&amp;IF(D336="Canary Wharf","Canary Wharf","City")&amp;" teams. We have a "&amp;AC336&amp;" pitch at "&amp;X336&amp;", "&amp;Y336&amp;" min from your office, "&amp;IF(ISNUMBER(AB336),TEXT(AB336,"ddd d mmm")&amp;", "&amp;TEXT(AB336,"hh:mm"),"weekday evenings")&amp;", "&amp;IF(AD336&lt;&gt;"","£"&amp;IF(AD336=INT(AD336),TEXT(AD336,"0"),TEXT(AD336,"0.00")),"[PRICE PER PLAYER]")&amp;" a player. We handle booking, sign-ups and payments. Fancy "&amp;IF(ISNUMBER(SEARCH(LEFT(F336,1),"AEIOU")),"an ","a ")&amp;F336&amp;" team game? "&amp;IF(AL336&lt;&gt;"",AL336,IF(Offer!$C$5&lt;&gt;"",Offer!$C$5,"[NAME]")),LEFT("Hi"&amp;IF(O336&lt;&gt;""," "&amp;O336,"")&amp;","&amp;" FC Urban runs after-work football for "&amp;IF(D336="Canary Wharf","Canary Wharf","City")&amp;" teams: "&amp;AC336&amp;" at "&amp;X336&amp;", "&amp;Y336&amp;" min from your office, "&amp;IF(ISNUMBER(AB336),TEXT(AB336,"ddd d mmm")&amp;", "&amp;TEXT(AB336,"hh:mm"),"weekday evenings")&amp;", "&amp;IF(AD336&lt;&gt;"","£"&amp;IF(AD336=INT(AD336),TEXT(AD336,"0"),TEXT(AD336,"0.00")),"[PRICE PER PLAYER]")&amp;" pp. We handle booking and payments. Up for a team game? "&amp;IF(AL336&lt;&gt;"",AL336,IF(Offer!$C$5&lt;&gt;"",Offer!$C$5,"[NAME]")),300))</f>
        <v/>
      </c>
      <c r="AI336" s="14">
        <f>LEN(AH336)</f>
        <v/>
      </c>
      <c r="AJ336" s="14">
        <f>"Thanks for connecting"&amp;IF(O336&lt;&gt;"",", "&amp;O336,"")&amp;". "&amp;IF(ISNUMBER(AB336),"The "&amp;AC336&amp;" slot at "&amp;X336&amp;" is "&amp;IF(ISNUMBER(AB336),TEXT(AB336,"ddd d mmm")&amp;", "&amp;TEXT(AB336,"hh:mm"),"weekday evenings"),"We can book "&amp;AC336&amp;" at "&amp;X336&amp;" on a weekday evening that suits you")&amp;" and it's "&amp;IF(AD336&lt;&gt;"","£"&amp;IF(AD336=INT(AD336),TEXT(AD336,"0"),TEXT(AD336,"0.00")),"[PRICE PER PLAYER]")&amp;" a player, all booked and paid through one link. If football isn't your thing, who at "&amp;F336&amp;" would be the right person to organise a team game?"&amp;IF(Offer!$C$7&lt;&gt;""," Spots are held until "&amp;TEXT(Offer!$C$7,"dddd d mmmm")&amp;".","")&amp;" "&amp;IF(Offer!$C$6&lt;&gt;"",Offer!$C$6,"[JOINING LINK]")</f>
        <v/>
      </c>
      <c r="AK336" s="14">
        <f>IF(OR(ISNUMBER(SEARCH("[",AG336)),ISNUMBER(SEARCH("[",AJ336))),"Fill placeholders",IF(ISNUMBER(AB336),"Ready to send","Ready · no fixed slot"))</f>
        <v/>
      </c>
      <c r="AN336" s="17" t="n"/>
    </row>
    <row r="337">
      <c r="A337" s="11" t="n">
        <v>335</v>
      </c>
      <c r="B337" s="11" t="n">
        <v>3</v>
      </c>
      <c r="C337" s="11" t="inlineStr">
        <is>
          <t>Insurance / broker</t>
        </is>
      </c>
      <c r="D337" s="11" t="inlineStr">
        <is>
          <t>City of London</t>
        </is>
      </c>
      <c r="E337" s="11" t="inlineStr">
        <is>
          <t>Renaissance Asset Finance Limited</t>
        </is>
      </c>
      <c r="F337" s="11" t="inlineStr">
        <is>
          <t>Renaissance Asset Finance</t>
        </is>
      </c>
      <c r="G337" s="11" t="inlineStr">
        <is>
          <t>08885289</t>
        </is>
      </c>
      <c r="H337" s="12" t="inlineStr">
        <is>
          <t>Open</t>
        </is>
      </c>
      <c r="I337" s="12" t="inlineStr">
        <is>
          <t>Search</t>
        </is>
      </c>
      <c r="J337" s="11" t="inlineStr">
        <is>
          <t>Full</t>
        </is>
      </c>
      <c r="K337" s="13" t="n">
        <v>41681</v>
      </c>
      <c r="L337" s="11" t="inlineStr">
        <is>
          <t>Arbuthnot House, 20 Finsbury Circus, London</t>
        </is>
      </c>
      <c r="M337" s="11" t="inlineStr">
        <is>
          <t>EC2M 7EA</t>
        </is>
      </c>
      <c r="N337" s="11" t="inlineStr">
        <is>
          <t>No</t>
        </is>
      </c>
      <c r="U337" s="11" t="inlineStr">
        <is>
          <t>Liverpool St - Attlee Centre</t>
        </is>
      </c>
      <c r="V337" s="11" t="n">
        <v>15</v>
      </c>
      <c r="W337" s="11" t="inlineStr">
        <is>
          <t>Shoreditch Powerleague (15.7)</t>
        </is>
      </c>
      <c r="X337" s="11" t="inlineStr">
        <is>
          <t>Shoreditch Powerleague</t>
        </is>
      </c>
      <c r="Y337" s="11" t="n">
        <v>16</v>
      </c>
      <c r="Z337" s="14">
        <f>IFERROR(INDEX(Venues!$E$2:$E$15,MATCH(X337,Venues!$A$2:$A$15,0)),"Not checked")</f>
        <v/>
      </c>
      <c r="AA337" s="14">
        <f>IFERROR(INDEX(Venues!$F$2:$F$15,MATCH(X337,Venues!$A$2:$A$15,0)),0)</f>
        <v/>
      </c>
      <c r="AB337" s="15">
        <f>IFERROR(INDEX(Venues!$M$2:$M$15,MATCH(X337,Venues!$A$2:$A$15,0)),"")</f>
        <v/>
      </c>
      <c r="AC337" s="14">
        <f>IFERROR(INDEX(Venues!$N$2:$N$15,MATCH(X337,Venues!$A$2:$A$15,0)),"5-a-side")</f>
        <v/>
      </c>
      <c r="AD337" s="16">
        <f>IF(Offer!$C$4="","",Offer!$C$4)</f>
        <v/>
      </c>
      <c r="AE337" s="14">
        <f>X337&amp;" ("&amp;Y337&amp;" min walk) · "&amp;IF(ISNUMBER(AB337),TEXT(AB337,"ddd d mmm, hh:mm"),"slot to confirm with venue")&amp;" · "&amp;AC337&amp;" · "&amp;IF(AD337&lt;&gt;"","£"&amp;TEXT(AD337,"0.00")&amp;" pp","price TBC")</f>
        <v/>
      </c>
      <c r="AF337" s="14">
        <f>"After-work football for "&amp;F337&amp;" · "&amp;X337&amp;", "&amp;Y337&amp;" min from your office"</f>
        <v/>
      </c>
      <c r="AG337" s="14">
        <f>"Hi"&amp;IF(O337&lt;&gt;""," "&amp;O337,"")&amp;","&amp;CHAR(10)&amp;CHAR(10)&amp;"I'm "&amp;IF(AL337&lt;&gt;"",AL337,IF(Offer!$C$5&lt;&gt;"",Offer!$C$5,"[NAME]"))&amp;" from FC Urban. We organise after-work football for teams in the City and Canary Wharf."&amp;CHAR(10)&amp;CHAR(10)&amp;"We have a "&amp;AC337&amp;" pitch at "&amp;X337&amp;", "&amp;IF(OR(Y337=8,Y337=11,Y337=18),"an ","a ")&amp;Y337&amp;"-minute walk from your "&amp;M337&amp;" office, "&amp;IF(ISNUMBER(AB337),"on "&amp;TEXT(AB337,"dddd d mmmm")&amp;" at "&amp;TEXT(AB337,"hh:mm"),"on a weekday evening that suits your team")&amp;". It's "&amp;IF(AD337&lt;&gt;"","£"&amp;IF(AD337=INT(AD337),TEXT(AD337,"0"),TEXT(AD337,"0.00")),"[PRICE PER PLAYER]")&amp;" a player and we handle the pitch booking, sign-ups and payments, so all it takes is one person sharing a link with the team."&amp;CHAR(10)&amp;CHAR(10)&amp;"It works well as a team social or "&amp;IF(ISNUMBER(SEARCH(LEFT(F337,1),"AEIOU")),"an ","a ")&amp;F337&amp;"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LINK]")&amp;CHAR(10)&amp;CHAR(10)&amp;"Best,"&amp;CHAR(10)&amp;IF(AL337&lt;&gt;"",AL337,IF(Offer!$C$5&lt;&gt;"",Offer!$C$5,"[NAME]"))&amp;CHAR(10)&amp;"FC Urban"</f>
        <v/>
      </c>
      <c r="AH337" s="14">
        <f>IF(LEN("Hi"&amp;IF(O337&lt;&gt;""," "&amp;O337,"")&amp;","&amp;" FC Urban runs after-work football for "&amp;IF(D337="Canary Wharf","Canary Wharf","City")&amp;" teams. We have a "&amp;AC337&amp;" pitch at "&amp;X337&amp;", "&amp;Y337&amp;" min from your office, "&amp;IF(ISNUMBER(AB337),TEXT(AB337,"ddd d mmm")&amp;", "&amp;TEXT(AB337,"hh:mm"),"weekday evenings")&amp;", "&amp;IF(AD337&lt;&gt;"","£"&amp;IF(AD337=INT(AD337),TEXT(AD337,"0"),TEXT(AD337,"0.00")),"[PRICE PER PLAYER]")&amp;" a player. We handle booking, sign-ups and payments. Fancy "&amp;IF(ISNUMBER(SEARCH(LEFT(F337,1),"AEIOU")),"an ","a ")&amp;F337&amp;" team game? "&amp;IF(AL337&lt;&gt;"",AL337,IF(Offer!$C$5&lt;&gt;"",Offer!$C$5,"[NAME]")))&lt;=300,"Hi"&amp;IF(O337&lt;&gt;""," "&amp;O337,"")&amp;","&amp;" FC Urban runs after-work football for "&amp;IF(D337="Canary Wharf","Canary Wharf","City")&amp;" teams. We have a "&amp;AC337&amp;" pitch at "&amp;X337&amp;", "&amp;Y337&amp;" min from your office, "&amp;IF(ISNUMBER(AB337),TEXT(AB337,"ddd d mmm")&amp;", "&amp;TEXT(AB337,"hh:mm"),"weekday evenings")&amp;", "&amp;IF(AD337&lt;&gt;"","£"&amp;IF(AD337=INT(AD337),TEXT(AD337,"0"),TEXT(AD337,"0.00")),"[PRICE PER PLAYER]")&amp;" a player. We handle booking, sign-ups and payments. Fancy "&amp;IF(ISNUMBER(SEARCH(LEFT(F337,1),"AEIOU")),"an ","a ")&amp;F337&amp;" team game? "&amp;IF(AL337&lt;&gt;"",AL337,IF(Offer!$C$5&lt;&gt;"",Offer!$C$5,"[NAME]")),LEFT("Hi"&amp;IF(O337&lt;&gt;""," "&amp;O337,"")&amp;","&amp;" FC Urban runs after-work football for "&amp;IF(D337="Canary Wharf","Canary Wharf","City")&amp;" teams: "&amp;AC337&amp;" at "&amp;X337&amp;", "&amp;Y337&amp;" min from your office, "&amp;IF(ISNUMBER(AB337),TEXT(AB337,"ddd d mmm")&amp;", "&amp;TEXT(AB337,"hh:mm"),"weekday evenings")&amp;", "&amp;IF(AD337&lt;&gt;"","£"&amp;IF(AD337=INT(AD337),TEXT(AD337,"0"),TEXT(AD337,"0.00")),"[PRICE PER PLAYER]")&amp;" pp. We handle booking and payments. Up for a team game? "&amp;IF(AL337&lt;&gt;"",AL337,IF(Offer!$C$5&lt;&gt;"",Offer!$C$5,"[NAME]")),300))</f>
        <v/>
      </c>
      <c r="AI337" s="14">
        <f>LEN(AH337)</f>
        <v/>
      </c>
      <c r="AJ337" s="14">
        <f>"Thanks for connecting"&amp;IF(O337&lt;&gt;"",", "&amp;O337,"")&amp;". "&amp;IF(ISNUMBER(AB337),"The "&amp;AC337&amp;" slot at "&amp;X337&amp;" is "&amp;IF(ISNUMBER(AB337),TEXT(AB337,"ddd d mmm")&amp;", "&amp;TEXT(AB337,"hh:mm"),"weekday evenings"),"We can book "&amp;AC337&amp;" at "&amp;X337&amp;" on a weekday evening that suits you")&amp;" and it's "&amp;IF(AD337&lt;&gt;"","£"&amp;IF(AD337=INT(AD337),TEXT(AD337,"0"),TEXT(AD337,"0.00")),"[PRICE PER PLAYER]")&amp;" a player, all booked and paid through one link. If football isn't your thing, who at "&amp;F337&amp;" would be the right person to organise a team game?"&amp;IF(Offer!$C$7&lt;&gt;""," Spots are held until "&amp;TEXT(Offer!$C$7,"dddd d mmmm")&amp;".","")&amp;" "&amp;IF(Offer!$C$6&lt;&gt;"",Offer!$C$6,"[JOINING LINK]")</f>
        <v/>
      </c>
      <c r="AK337" s="14">
        <f>IF(OR(ISNUMBER(SEARCH("[",AG337)),ISNUMBER(SEARCH("[",AJ337))),"Fill placeholders",IF(ISNUMBER(AB337),"Ready to send","Ready · no fixed slot"))</f>
        <v/>
      </c>
      <c r="AN337" s="17" t="n"/>
    </row>
    <row r="338">
      <c r="A338" s="11" t="n">
        <v>336</v>
      </c>
      <c r="B338" s="11" t="n">
        <v>3</v>
      </c>
      <c r="C338" s="11" t="inlineStr">
        <is>
          <t>Insurance / broker</t>
        </is>
      </c>
      <c r="D338" s="11" t="inlineStr">
        <is>
          <t>City of London</t>
        </is>
      </c>
      <c r="E338" s="11" t="inlineStr">
        <is>
          <t>Transre London Limited</t>
        </is>
      </c>
      <c r="F338" s="11" t="inlineStr">
        <is>
          <t>Transre London</t>
        </is>
      </c>
      <c r="G338" s="11" t="inlineStr">
        <is>
          <t>08506758</t>
        </is>
      </c>
      <c r="H338" s="12" t="inlineStr">
        <is>
          <t>Open</t>
        </is>
      </c>
      <c r="I338" s="12" t="inlineStr">
        <is>
          <t>Search</t>
        </is>
      </c>
      <c r="J338" s="11" t="inlineStr">
        <is>
          <t>Full</t>
        </is>
      </c>
      <c r="K338" s="13" t="n">
        <v>41390</v>
      </c>
      <c r="L338" s="11" t="inlineStr">
        <is>
          <t>Corn Exchange, 55 Mark Lane, London</t>
        </is>
      </c>
      <c r="M338" s="11" t="inlineStr">
        <is>
          <t>EC3R 7NE</t>
        </is>
      </c>
      <c r="N338" s="11" t="inlineStr">
        <is>
          <t>No</t>
        </is>
      </c>
      <c r="U338" s="11" t="inlineStr">
        <is>
          <t>Liverpool St - Attlee Centre</t>
        </is>
      </c>
      <c r="V338" s="11" t="n">
        <v>16</v>
      </c>
      <c r="W338" s="11" t="n"/>
      <c r="X338" s="11" t="inlineStr">
        <is>
          <t>Liverpool St - Attlee Centre</t>
        </is>
      </c>
      <c r="Y338" s="11" t="n">
        <v>16</v>
      </c>
      <c r="Z338" s="14">
        <f>IFERROR(INDEX(Venues!$E$2:$E$15,MATCH(X338,Venues!$A$2:$A$15,0)),"Not checked")</f>
        <v/>
      </c>
      <c r="AA338" s="14">
        <f>IFERROR(INDEX(Venues!$F$2:$F$15,MATCH(X338,Venues!$A$2:$A$15,0)),0)</f>
        <v/>
      </c>
      <c r="AB338" s="15">
        <f>IFERROR(INDEX(Venues!$M$2:$M$15,MATCH(X338,Venues!$A$2:$A$15,0)),"")</f>
        <v/>
      </c>
      <c r="AC338" s="14">
        <f>IFERROR(INDEX(Venues!$N$2:$N$15,MATCH(X338,Venues!$A$2:$A$15,0)),"5-a-side")</f>
        <v/>
      </c>
      <c r="AD338" s="16">
        <f>IF(Offer!$C$4="","",Offer!$C$4)</f>
        <v/>
      </c>
      <c r="AE338" s="14">
        <f>X338&amp;" ("&amp;Y338&amp;" min walk) · "&amp;IF(ISNUMBER(AB338),TEXT(AB338,"ddd d mmm, hh:mm"),"slot to confirm with venue")&amp;" · "&amp;AC338&amp;" · "&amp;IF(AD338&lt;&gt;"","£"&amp;TEXT(AD338,"0.00")&amp;" pp","price TBC")</f>
        <v/>
      </c>
      <c r="AF338" s="14">
        <f>"After-work football for "&amp;F338&amp;" · "&amp;X338&amp;", "&amp;Y338&amp;" min from your office"</f>
        <v/>
      </c>
      <c r="AG338" s="14">
        <f>"Hi"&amp;IF(O338&lt;&gt;""," "&amp;O338,"")&amp;","&amp;CHAR(10)&amp;CHAR(10)&amp;"I'm "&amp;IF(AL338&lt;&gt;"",AL338,IF(Offer!$C$5&lt;&gt;"",Offer!$C$5,"[NAME]"))&amp;" from FC Urban. We organise after-work football for teams in the City and Canary Wharf."&amp;CHAR(10)&amp;CHAR(10)&amp;"We have a "&amp;AC338&amp;" pitch at "&amp;X338&amp;", "&amp;IF(OR(Y338=8,Y338=11,Y338=18),"an ","a ")&amp;Y338&amp;"-minute walk from your "&amp;M338&amp;" office, "&amp;IF(ISNUMBER(AB338),"on "&amp;TEXT(AB338,"dddd d mmmm")&amp;" at "&amp;TEXT(AB338,"hh:mm"),"on a weekday evening that suits your team")&amp;". It's "&amp;IF(AD338&lt;&gt;"","£"&amp;IF(AD338=INT(AD338),TEXT(AD338,"0"),TEXT(AD338,"0.00")),"[PRICE PER PLAYER]")&amp;" a player and we handle the pitch booking, sign-ups and payments, so all it takes is one person sharing a link with the team."&amp;CHAR(10)&amp;CHAR(10)&amp;"It works well as a team social or "&amp;IF(ISNUMBER(SEARCH(LEFT(F338,1),"AEIOU")),"an ","a ")&amp;F338&amp;"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LINK]")&amp;CHAR(10)&amp;CHAR(10)&amp;"Best,"&amp;CHAR(10)&amp;IF(AL338&lt;&gt;"",AL338,IF(Offer!$C$5&lt;&gt;"",Offer!$C$5,"[NAME]"))&amp;CHAR(10)&amp;"FC Urban"</f>
        <v/>
      </c>
      <c r="AH338" s="14">
        <f>IF(LEN("Hi"&amp;IF(O338&lt;&gt;""," "&amp;O338,"")&amp;","&amp;" FC Urban runs after-work football for "&amp;IF(D338="Canary Wharf","Canary Wharf","City")&amp;" teams. We have a "&amp;AC338&amp;" pitch at "&amp;X338&amp;", "&amp;Y338&amp;" min from your office, "&amp;IF(ISNUMBER(AB338),TEXT(AB338,"ddd d mmm")&amp;", "&amp;TEXT(AB338,"hh:mm"),"weekday evenings")&amp;", "&amp;IF(AD338&lt;&gt;"","£"&amp;IF(AD338=INT(AD338),TEXT(AD338,"0"),TEXT(AD338,"0.00")),"[PRICE PER PLAYER]")&amp;" a player. We handle booking, sign-ups and payments. Fancy "&amp;IF(ISNUMBER(SEARCH(LEFT(F338,1),"AEIOU")),"an ","a ")&amp;F338&amp;" team game? "&amp;IF(AL338&lt;&gt;"",AL338,IF(Offer!$C$5&lt;&gt;"",Offer!$C$5,"[NAME]")))&lt;=300,"Hi"&amp;IF(O338&lt;&gt;""," "&amp;O338,"")&amp;","&amp;" FC Urban runs after-work football for "&amp;IF(D338="Canary Wharf","Canary Wharf","City")&amp;" teams. We have a "&amp;AC338&amp;" pitch at "&amp;X338&amp;", "&amp;Y338&amp;" min from your office, "&amp;IF(ISNUMBER(AB338),TEXT(AB338,"ddd d mmm")&amp;", "&amp;TEXT(AB338,"hh:mm"),"weekday evenings")&amp;", "&amp;IF(AD338&lt;&gt;"","£"&amp;IF(AD338=INT(AD338),TEXT(AD338,"0"),TEXT(AD338,"0.00")),"[PRICE PER PLAYER]")&amp;" a player. We handle booking, sign-ups and payments. Fancy "&amp;IF(ISNUMBER(SEARCH(LEFT(F338,1),"AEIOU")),"an ","a ")&amp;F338&amp;" team game? "&amp;IF(AL338&lt;&gt;"",AL338,IF(Offer!$C$5&lt;&gt;"",Offer!$C$5,"[NAME]")),LEFT("Hi"&amp;IF(O338&lt;&gt;""," "&amp;O338,"")&amp;","&amp;" FC Urban runs after-work football for "&amp;IF(D338="Canary Wharf","Canary Wharf","City")&amp;" teams: "&amp;AC338&amp;" at "&amp;X338&amp;", "&amp;Y338&amp;" min from your office, "&amp;IF(ISNUMBER(AB338),TEXT(AB338,"ddd d mmm")&amp;", "&amp;TEXT(AB338,"hh:mm"),"weekday evenings")&amp;", "&amp;IF(AD338&lt;&gt;"","£"&amp;IF(AD338=INT(AD338),TEXT(AD338,"0"),TEXT(AD338,"0.00")),"[PRICE PER PLAYER]")&amp;" pp. We handle booking and payments. Up for a team game? "&amp;IF(AL338&lt;&gt;"",AL338,IF(Offer!$C$5&lt;&gt;"",Offer!$C$5,"[NAME]")),300))</f>
        <v/>
      </c>
      <c r="AI338" s="14">
        <f>LEN(AH338)</f>
        <v/>
      </c>
      <c r="AJ338" s="14">
        <f>"Thanks for connecting"&amp;IF(O338&lt;&gt;"",", "&amp;O338,"")&amp;". "&amp;IF(ISNUMBER(AB338),"The "&amp;AC338&amp;" slot at "&amp;X338&amp;" is "&amp;IF(ISNUMBER(AB338),TEXT(AB338,"ddd d mmm")&amp;", "&amp;TEXT(AB338,"hh:mm"),"weekday evenings"),"We can book "&amp;AC338&amp;" at "&amp;X338&amp;" on a weekday evening that suits you")&amp;" and it's "&amp;IF(AD338&lt;&gt;"","£"&amp;IF(AD338=INT(AD338),TEXT(AD338,"0"),TEXT(AD338,"0.00")),"[PRICE PER PLAYER]")&amp;" a player, all booked and paid through one link. If football isn't your thing, who at "&amp;F338&amp;" would be the right person to organise a team game?"&amp;IF(Offer!$C$7&lt;&gt;""," Spots are held until "&amp;TEXT(Offer!$C$7,"dddd d mmmm")&amp;".","")&amp;" "&amp;IF(Offer!$C$6&lt;&gt;"",Offer!$C$6,"[JOINING LINK]")</f>
        <v/>
      </c>
      <c r="AK338" s="14">
        <f>IF(OR(ISNUMBER(SEARCH("[",AG338)),ISNUMBER(SEARCH("[",AJ338))),"Fill placeholders",IF(ISNUMBER(AB338),"Ready to send","Ready · no fixed slot"))</f>
        <v/>
      </c>
      <c r="AN338" s="17" t="n"/>
    </row>
    <row r="339">
      <c r="A339" s="11" t="n">
        <v>337</v>
      </c>
      <c r="B339" s="11" t="n">
        <v>3</v>
      </c>
      <c r="C339" s="11" t="inlineStr">
        <is>
          <t>Insurance / broker</t>
        </is>
      </c>
      <c r="D339" s="11" t="inlineStr">
        <is>
          <t>City of London</t>
        </is>
      </c>
      <c r="E339" s="11" t="inlineStr">
        <is>
          <t>Trent Insurance Company Limited</t>
        </is>
      </c>
      <c r="F339" s="11" t="inlineStr">
        <is>
          <t>Trent Insurance Company</t>
        </is>
      </c>
      <c r="G339" s="11" t="inlineStr">
        <is>
          <t>00361687</t>
        </is>
      </c>
      <c r="H339" s="12" t="inlineStr">
        <is>
          <t>Open</t>
        </is>
      </c>
      <c r="I339" s="12" t="inlineStr">
        <is>
          <t>Search</t>
        </is>
      </c>
      <c r="J339" s="11" t="inlineStr">
        <is>
          <t>Full</t>
        </is>
      </c>
      <c r="K339" s="13" t="n">
        <v>14769</v>
      </c>
      <c r="L339" s="11" t="inlineStr">
        <is>
          <t>2 Minster Court, Mincing Lane, London</t>
        </is>
      </c>
      <c r="M339" s="11" t="inlineStr">
        <is>
          <t>EC3R 7BB</t>
        </is>
      </c>
      <c r="N339" s="11" t="inlineStr">
        <is>
          <t>No</t>
        </is>
      </c>
      <c r="U339" s="11" t="inlineStr">
        <is>
          <t>Liverpool St - Attlee Centre</t>
        </is>
      </c>
      <c r="V339" s="11" t="n">
        <v>16</v>
      </c>
      <c r="W339" s="11" t="n"/>
      <c r="X339" s="11" t="inlineStr">
        <is>
          <t>Liverpool St - Attlee Centre</t>
        </is>
      </c>
      <c r="Y339" s="11" t="n">
        <v>16</v>
      </c>
      <c r="Z339" s="14">
        <f>IFERROR(INDEX(Venues!$E$2:$E$15,MATCH(X339,Venues!$A$2:$A$15,0)),"Not checked")</f>
        <v/>
      </c>
      <c r="AA339" s="14">
        <f>IFERROR(INDEX(Venues!$F$2:$F$15,MATCH(X339,Venues!$A$2:$A$15,0)),0)</f>
        <v/>
      </c>
      <c r="AB339" s="15">
        <f>IFERROR(INDEX(Venues!$M$2:$M$15,MATCH(X339,Venues!$A$2:$A$15,0)),"")</f>
        <v/>
      </c>
      <c r="AC339" s="14">
        <f>IFERROR(INDEX(Venues!$N$2:$N$15,MATCH(X339,Venues!$A$2:$A$15,0)),"5-a-side")</f>
        <v/>
      </c>
      <c r="AD339" s="16">
        <f>IF(Offer!$C$4="","",Offer!$C$4)</f>
        <v/>
      </c>
      <c r="AE339" s="14">
        <f>X339&amp;" ("&amp;Y339&amp;" min walk) · "&amp;IF(ISNUMBER(AB339),TEXT(AB339,"ddd d mmm, hh:mm"),"slot to confirm with venue")&amp;" · "&amp;AC339&amp;" · "&amp;IF(AD339&lt;&gt;"","£"&amp;TEXT(AD339,"0.00")&amp;" pp","price TBC")</f>
        <v/>
      </c>
      <c r="AF339" s="14">
        <f>"After-work football for "&amp;F339&amp;" · "&amp;X339&amp;", "&amp;Y339&amp;" min from your office"</f>
        <v/>
      </c>
      <c r="AG339" s="14">
        <f>"Hi"&amp;IF(O339&lt;&gt;""," "&amp;O339,"")&amp;","&amp;CHAR(10)&amp;CHAR(10)&amp;"I'm "&amp;IF(AL339&lt;&gt;"",AL339,IF(Offer!$C$5&lt;&gt;"",Offer!$C$5,"[NAME]"))&amp;" from FC Urban. We organise after-work football for teams in the City and Canary Wharf."&amp;CHAR(10)&amp;CHAR(10)&amp;"We have a "&amp;AC339&amp;" pitch at "&amp;X339&amp;", "&amp;IF(OR(Y339=8,Y339=11,Y339=18),"an ","a ")&amp;Y339&amp;"-minute walk from your "&amp;M339&amp;" office, "&amp;IF(ISNUMBER(AB339),"on "&amp;TEXT(AB339,"dddd d mmmm")&amp;" at "&amp;TEXT(AB339,"hh:mm"),"on a weekday evening that suits your team")&amp;". It's "&amp;IF(AD339&lt;&gt;"","£"&amp;IF(AD339=INT(AD339),TEXT(AD339,"0"),TEXT(AD339,"0.00")),"[PRICE PER PLAYER]")&amp;" a player and we handle the pitch booking, sign-ups and payments, so all it takes is one person sharing a link with the team."&amp;CHAR(10)&amp;CHAR(10)&amp;"It works well as a team social or "&amp;IF(ISNUMBER(SEARCH(LEFT(F339,1),"AEIOU")),"an ","a ")&amp;F339&amp;"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LINK]")&amp;CHAR(10)&amp;CHAR(10)&amp;"Best,"&amp;CHAR(10)&amp;IF(AL339&lt;&gt;"",AL339,IF(Offer!$C$5&lt;&gt;"",Offer!$C$5,"[NAME]"))&amp;CHAR(10)&amp;"FC Urban"</f>
        <v/>
      </c>
      <c r="AH339" s="14">
        <f>IF(LEN("Hi"&amp;IF(O339&lt;&gt;""," "&amp;O339,"")&amp;","&amp;" FC Urban runs after-work football for "&amp;IF(D339="Canary Wharf","Canary Wharf","City")&amp;" teams. We have a "&amp;AC339&amp;" pitch at "&amp;X339&amp;", "&amp;Y339&amp;" min from your office, "&amp;IF(ISNUMBER(AB339),TEXT(AB339,"ddd d mmm")&amp;", "&amp;TEXT(AB339,"hh:mm"),"weekday evenings")&amp;", "&amp;IF(AD339&lt;&gt;"","£"&amp;IF(AD339=INT(AD339),TEXT(AD339,"0"),TEXT(AD339,"0.00")),"[PRICE PER PLAYER]")&amp;" a player. We handle booking, sign-ups and payments. Fancy "&amp;IF(ISNUMBER(SEARCH(LEFT(F339,1),"AEIOU")),"an ","a ")&amp;F339&amp;" team game? "&amp;IF(AL339&lt;&gt;"",AL339,IF(Offer!$C$5&lt;&gt;"",Offer!$C$5,"[NAME]")))&lt;=300,"Hi"&amp;IF(O339&lt;&gt;""," "&amp;O339,"")&amp;","&amp;" FC Urban runs after-work football for "&amp;IF(D339="Canary Wharf","Canary Wharf","City")&amp;" teams. We have a "&amp;AC339&amp;" pitch at "&amp;X339&amp;", "&amp;Y339&amp;" min from your office, "&amp;IF(ISNUMBER(AB339),TEXT(AB339,"ddd d mmm")&amp;", "&amp;TEXT(AB339,"hh:mm"),"weekday evenings")&amp;", "&amp;IF(AD339&lt;&gt;"","£"&amp;IF(AD339=INT(AD339),TEXT(AD339,"0"),TEXT(AD339,"0.00")),"[PRICE PER PLAYER]")&amp;" a player. We handle booking, sign-ups and payments. Fancy "&amp;IF(ISNUMBER(SEARCH(LEFT(F339,1),"AEIOU")),"an ","a ")&amp;F339&amp;" team game? "&amp;IF(AL339&lt;&gt;"",AL339,IF(Offer!$C$5&lt;&gt;"",Offer!$C$5,"[NAME]")),LEFT("Hi"&amp;IF(O339&lt;&gt;""," "&amp;O339,"")&amp;","&amp;" FC Urban runs after-work football for "&amp;IF(D339="Canary Wharf","Canary Wharf","City")&amp;" teams: "&amp;AC339&amp;" at "&amp;X339&amp;", "&amp;Y339&amp;" min from your office, "&amp;IF(ISNUMBER(AB339),TEXT(AB339,"ddd d mmm")&amp;", "&amp;TEXT(AB339,"hh:mm"),"weekday evenings")&amp;", "&amp;IF(AD339&lt;&gt;"","£"&amp;IF(AD339=INT(AD339),TEXT(AD339,"0"),TEXT(AD339,"0.00")),"[PRICE PER PLAYER]")&amp;" pp. We handle booking and payments. Up for a team game? "&amp;IF(AL339&lt;&gt;"",AL339,IF(Offer!$C$5&lt;&gt;"",Offer!$C$5,"[NAME]")),300))</f>
        <v/>
      </c>
      <c r="AI339" s="14">
        <f>LEN(AH339)</f>
        <v/>
      </c>
      <c r="AJ339" s="14">
        <f>"Thanks for connecting"&amp;IF(O339&lt;&gt;"",", "&amp;O339,"")&amp;". "&amp;IF(ISNUMBER(AB339),"The "&amp;AC339&amp;" slot at "&amp;X339&amp;" is "&amp;IF(ISNUMBER(AB339),TEXT(AB339,"ddd d mmm")&amp;", "&amp;TEXT(AB339,"hh:mm"),"weekday evenings"),"We can book "&amp;AC339&amp;" at "&amp;X339&amp;" on a weekday evening that suits you")&amp;" and it's "&amp;IF(AD339&lt;&gt;"","£"&amp;IF(AD339=INT(AD339),TEXT(AD339,"0"),TEXT(AD339,"0.00")),"[PRICE PER PLAYER]")&amp;" a player, all booked and paid through one link. If football isn't your thing, who at "&amp;F339&amp;" would be the right person to organise a team game?"&amp;IF(Offer!$C$7&lt;&gt;""," Spots are held until "&amp;TEXT(Offer!$C$7,"dddd d mmmm")&amp;".","")&amp;" "&amp;IF(Offer!$C$6&lt;&gt;"",Offer!$C$6,"[JOINING LINK]")</f>
        <v/>
      </c>
      <c r="AK339" s="14">
        <f>IF(OR(ISNUMBER(SEARCH("[",AG339)),ISNUMBER(SEARCH("[",AJ339))),"Fill placeholders",IF(ISNUMBER(AB339),"Ready to send","Ready · no fixed slot"))</f>
        <v/>
      </c>
      <c r="AN339" s="17" t="n"/>
    </row>
    <row r="340">
      <c r="A340" s="11" t="n">
        <v>338</v>
      </c>
      <c r="B340" s="11" t="n">
        <v>3</v>
      </c>
      <c r="C340" s="11" t="inlineStr">
        <is>
          <t>Insurance / broker</t>
        </is>
      </c>
      <c r="D340" s="11" t="inlineStr">
        <is>
          <t>City of London</t>
        </is>
      </c>
      <c r="E340" s="11" t="inlineStr">
        <is>
          <t>Wgs (B&amp;B) UK Limited</t>
        </is>
      </c>
      <c r="F340" s="11" t="inlineStr">
        <is>
          <t>Wgs</t>
        </is>
      </c>
      <c r="G340" s="11" t="inlineStr">
        <is>
          <t>08172800</t>
        </is>
      </c>
      <c r="H340" s="12" t="inlineStr">
        <is>
          <t>Open</t>
        </is>
      </c>
      <c r="I340" s="12" t="inlineStr">
        <is>
          <t>Search</t>
        </is>
      </c>
      <c r="J340" s="11" t="inlineStr">
        <is>
          <t>Full</t>
        </is>
      </c>
      <c r="K340" s="13" t="n">
        <v>41129</v>
      </c>
      <c r="L340" s="11" t="inlineStr">
        <is>
          <t>7Th Floor Corn Exchange, 55 Mark Lane, London</t>
        </is>
      </c>
      <c r="M340" s="11" t="inlineStr">
        <is>
          <t>EC3R 7NE</t>
        </is>
      </c>
      <c r="N340" s="11" t="inlineStr">
        <is>
          <t>No</t>
        </is>
      </c>
      <c r="U340" s="11" t="inlineStr">
        <is>
          <t>Liverpool St - Attlee Centre</t>
        </is>
      </c>
      <c r="V340" s="11" t="n">
        <v>16</v>
      </c>
      <c r="W340" s="11" t="n"/>
      <c r="X340" s="11" t="inlineStr">
        <is>
          <t>Liverpool St - Attlee Centre</t>
        </is>
      </c>
      <c r="Y340" s="11" t="n">
        <v>16</v>
      </c>
      <c r="Z340" s="14">
        <f>IFERROR(INDEX(Venues!$E$2:$E$15,MATCH(X340,Venues!$A$2:$A$15,0)),"Not checked")</f>
        <v/>
      </c>
      <c r="AA340" s="14">
        <f>IFERROR(INDEX(Venues!$F$2:$F$15,MATCH(X340,Venues!$A$2:$A$15,0)),0)</f>
        <v/>
      </c>
      <c r="AB340" s="15">
        <f>IFERROR(INDEX(Venues!$M$2:$M$15,MATCH(X340,Venues!$A$2:$A$15,0)),"")</f>
        <v/>
      </c>
      <c r="AC340" s="14">
        <f>IFERROR(INDEX(Venues!$N$2:$N$15,MATCH(X340,Venues!$A$2:$A$15,0)),"5-a-side")</f>
        <v/>
      </c>
      <c r="AD340" s="16">
        <f>IF(Offer!$C$4="","",Offer!$C$4)</f>
        <v/>
      </c>
      <c r="AE340" s="14">
        <f>X340&amp;" ("&amp;Y340&amp;" min walk) · "&amp;IF(ISNUMBER(AB340),TEXT(AB340,"ddd d mmm, hh:mm"),"slot to confirm with venue")&amp;" · "&amp;AC340&amp;" · "&amp;IF(AD340&lt;&gt;"","£"&amp;TEXT(AD340,"0.00")&amp;" pp","price TBC")</f>
        <v/>
      </c>
      <c r="AF340" s="14">
        <f>"After-work football for "&amp;F340&amp;" · "&amp;X340&amp;", "&amp;Y340&amp;" min from your office"</f>
        <v/>
      </c>
      <c r="AG340" s="14">
        <f>"Hi"&amp;IF(O340&lt;&gt;""," "&amp;O340,"")&amp;","&amp;CHAR(10)&amp;CHAR(10)&amp;"I'm "&amp;IF(AL340&lt;&gt;"",AL340,IF(Offer!$C$5&lt;&gt;"",Offer!$C$5,"[NAME]"))&amp;" from FC Urban. We organise after-work football for teams in the City and Canary Wharf."&amp;CHAR(10)&amp;CHAR(10)&amp;"We have a "&amp;AC340&amp;" pitch at "&amp;X340&amp;", "&amp;IF(OR(Y340=8,Y340=11,Y340=18),"an ","a ")&amp;Y340&amp;"-minute walk from your "&amp;M340&amp;" office, "&amp;IF(ISNUMBER(AB340),"on "&amp;TEXT(AB340,"dddd d mmmm")&amp;" at "&amp;TEXT(AB340,"hh:mm"),"on a weekday evening that suits your team")&amp;". It's "&amp;IF(AD340&lt;&gt;"","£"&amp;IF(AD340=INT(AD340),TEXT(AD340,"0"),TEXT(AD340,"0.00")),"[PRICE PER PLAYER]")&amp;" a player and we handle the pitch booking, sign-ups and payments, so all it takes is one person sharing a link with the team."&amp;CHAR(10)&amp;CHAR(10)&amp;"It works well as a team social or "&amp;IF(ISNUMBER(SEARCH(LEFT(F340,1),"AEIOU")),"an ","a ")&amp;F340&amp;"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LINK]")&amp;CHAR(10)&amp;CHAR(10)&amp;"Best,"&amp;CHAR(10)&amp;IF(AL340&lt;&gt;"",AL340,IF(Offer!$C$5&lt;&gt;"",Offer!$C$5,"[NAME]"))&amp;CHAR(10)&amp;"FC Urban"</f>
        <v/>
      </c>
      <c r="AH340" s="14">
        <f>IF(LEN("Hi"&amp;IF(O340&lt;&gt;""," "&amp;O340,"")&amp;","&amp;" FC Urban runs after-work football for "&amp;IF(D340="Canary Wharf","Canary Wharf","City")&amp;" teams. We have a "&amp;AC340&amp;" pitch at "&amp;X340&amp;", "&amp;Y340&amp;" min from your office, "&amp;IF(ISNUMBER(AB340),TEXT(AB340,"ddd d mmm")&amp;", "&amp;TEXT(AB340,"hh:mm"),"weekday evenings")&amp;", "&amp;IF(AD340&lt;&gt;"","£"&amp;IF(AD340=INT(AD340),TEXT(AD340,"0"),TEXT(AD340,"0.00")),"[PRICE PER PLAYER]")&amp;" a player. We handle booking, sign-ups and payments. Fancy "&amp;IF(ISNUMBER(SEARCH(LEFT(F340,1),"AEIOU")),"an ","a ")&amp;F340&amp;" team game? "&amp;IF(AL340&lt;&gt;"",AL340,IF(Offer!$C$5&lt;&gt;"",Offer!$C$5,"[NAME]")))&lt;=300,"Hi"&amp;IF(O340&lt;&gt;""," "&amp;O340,"")&amp;","&amp;" FC Urban runs after-work football for "&amp;IF(D340="Canary Wharf","Canary Wharf","City")&amp;" teams. We have a "&amp;AC340&amp;" pitch at "&amp;X340&amp;", "&amp;Y340&amp;" min from your office, "&amp;IF(ISNUMBER(AB340),TEXT(AB340,"ddd d mmm")&amp;", "&amp;TEXT(AB340,"hh:mm"),"weekday evenings")&amp;", "&amp;IF(AD340&lt;&gt;"","£"&amp;IF(AD340=INT(AD340),TEXT(AD340,"0"),TEXT(AD340,"0.00")),"[PRICE PER PLAYER]")&amp;" a player. We handle booking, sign-ups and payments. Fancy "&amp;IF(ISNUMBER(SEARCH(LEFT(F340,1),"AEIOU")),"an ","a ")&amp;F340&amp;" team game? "&amp;IF(AL340&lt;&gt;"",AL340,IF(Offer!$C$5&lt;&gt;"",Offer!$C$5,"[NAME]")),LEFT("Hi"&amp;IF(O340&lt;&gt;""," "&amp;O340,"")&amp;","&amp;" FC Urban runs after-work football for "&amp;IF(D340="Canary Wharf","Canary Wharf","City")&amp;" teams: "&amp;AC340&amp;" at "&amp;X340&amp;", "&amp;Y340&amp;" min from your office, "&amp;IF(ISNUMBER(AB340),TEXT(AB340,"ddd d mmm")&amp;", "&amp;TEXT(AB340,"hh:mm"),"weekday evenings")&amp;", "&amp;IF(AD340&lt;&gt;"","£"&amp;IF(AD340=INT(AD340),TEXT(AD340,"0"),TEXT(AD340,"0.00")),"[PRICE PER PLAYER]")&amp;" pp. We handle booking and payments. Up for a team game? "&amp;IF(AL340&lt;&gt;"",AL340,IF(Offer!$C$5&lt;&gt;"",Offer!$C$5,"[NAME]")),300))</f>
        <v/>
      </c>
      <c r="AI340" s="14">
        <f>LEN(AH340)</f>
        <v/>
      </c>
      <c r="AJ340" s="14">
        <f>"Thanks for connecting"&amp;IF(O340&lt;&gt;"",", "&amp;O340,"")&amp;". "&amp;IF(ISNUMBER(AB340),"The "&amp;AC340&amp;" slot at "&amp;X340&amp;" is "&amp;IF(ISNUMBER(AB340),TEXT(AB340,"ddd d mmm")&amp;", "&amp;TEXT(AB340,"hh:mm"),"weekday evenings"),"We can book "&amp;AC340&amp;" at "&amp;X340&amp;" on a weekday evening that suits you")&amp;" and it's "&amp;IF(AD340&lt;&gt;"","£"&amp;IF(AD340=INT(AD340),TEXT(AD340,"0"),TEXT(AD340,"0.00")),"[PRICE PER PLAYER]")&amp;" a player, all booked and paid through one link. If football isn't your thing, who at "&amp;F340&amp;" would be the right person to organise a team game?"&amp;IF(Offer!$C$7&lt;&gt;""," Spots are held until "&amp;TEXT(Offer!$C$7,"dddd d mmmm")&amp;".","")&amp;" "&amp;IF(Offer!$C$6&lt;&gt;"",Offer!$C$6,"[JOINING LINK]")</f>
        <v/>
      </c>
      <c r="AK340" s="14">
        <f>IF(OR(ISNUMBER(SEARCH("[",AG340)),ISNUMBER(SEARCH("[",AJ340))),"Fill placeholders",IF(ISNUMBER(AB340),"Ready to send","Ready · no fixed slot"))</f>
        <v/>
      </c>
      <c r="AN340" s="17" t="n"/>
    </row>
    <row r="341">
      <c r="A341" s="11" t="n">
        <v>339</v>
      </c>
      <c r="B341" s="11" t="n">
        <v>3</v>
      </c>
      <c r="C341" s="11" t="inlineStr">
        <is>
          <t>Insurance / broker</t>
        </is>
      </c>
      <c r="D341" s="11" t="inlineStr">
        <is>
          <t>City of London</t>
        </is>
      </c>
      <c r="E341" s="11" t="inlineStr">
        <is>
          <t>Ashbrooke Underwriting Services Limited</t>
        </is>
      </c>
      <c r="F341" s="11" t="inlineStr">
        <is>
          <t>Ashbrooke Underwriting</t>
        </is>
      </c>
      <c r="G341" s="11" t="inlineStr">
        <is>
          <t>01674675</t>
        </is>
      </c>
      <c r="H341" s="12" t="inlineStr">
        <is>
          <t>Open</t>
        </is>
      </c>
      <c r="I341" s="12" t="inlineStr">
        <is>
          <t>Search</t>
        </is>
      </c>
      <c r="J341" s="11" t="inlineStr">
        <is>
          <t>Full</t>
        </is>
      </c>
      <c r="K341" s="13" t="n">
        <v>30253</v>
      </c>
      <c r="L341" s="11" t="inlineStr">
        <is>
          <t>8 Eagle Court, London</t>
        </is>
      </c>
      <c r="M341" s="11" t="inlineStr">
        <is>
          <t>EC1M 5QD</t>
        </is>
      </c>
      <c r="N341" s="11" t="inlineStr">
        <is>
          <t>No</t>
        </is>
      </c>
      <c r="U341" s="11" t="inlineStr">
        <is>
          <t>Old St - Moreland Primary School</t>
        </is>
      </c>
      <c r="V341" s="11" t="n">
        <v>16</v>
      </c>
      <c r="W341" s="11" t="n"/>
      <c r="X341" s="11" t="inlineStr">
        <is>
          <t>Old St - Moreland Primary School</t>
        </is>
      </c>
      <c r="Y341" s="11" t="n">
        <v>16</v>
      </c>
      <c r="Z341" s="14">
        <f>IFERROR(INDEX(Venues!$E$2:$E$15,MATCH(X341,Venues!$A$2:$A$15,0)),"Not checked")</f>
        <v/>
      </c>
      <c r="AA341" s="14">
        <f>IFERROR(INDEX(Venues!$F$2:$F$15,MATCH(X341,Venues!$A$2:$A$15,0)),0)</f>
        <v/>
      </c>
      <c r="AB341" s="15">
        <f>IFERROR(INDEX(Venues!$M$2:$M$15,MATCH(X341,Venues!$A$2:$A$15,0)),"")</f>
        <v/>
      </c>
      <c r="AC341" s="14">
        <f>IFERROR(INDEX(Venues!$N$2:$N$15,MATCH(X341,Venues!$A$2:$A$15,0)),"5-a-side")</f>
        <v/>
      </c>
      <c r="AD341" s="16">
        <f>IF(Offer!$C$4="","",Offer!$C$4)</f>
        <v/>
      </c>
      <c r="AE341" s="14">
        <f>X341&amp;" ("&amp;Y341&amp;" min walk) · "&amp;IF(ISNUMBER(AB341),TEXT(AB341,"ddd d mmm, hh:mm"),"slot to confirm with venue")&amp;" · "&amp;AC341&amp;" · "&amp;IF(AD341&lt;&gt;"","£"&amp;TEXT(AD341,"0.00")&amp;" pp","price TBC")</f>
        <v/>
      </c>
      <c r="AF341" s="14">
        <f>"After-work football for "&amp;F341&amp;" · "&amp;X341&amp;", "&amp;Y341&amp;" min from your office"</f>
        <v/>
      </c>
      <c r="AG341" s="14">
        <f>"Hi"&amp;IF(O341&lt;&gt;""," "&amp;O341,"")&amp;","&amp;CHAR(10)&amp;CHAR(10)&amp;"I'm "&amp;IF(AL341&lt;&gt;"",AL341,IF(Offer!$C$5&lt;&gt;"",Offer!$C$5,"[NAME]"))&amp;" from FC Urban. We organise after-work football for teams in the City and Canary Wharf."&amp;CHAR(10)&amp;CHAR(10)&amp;"We have a "&amp;AC341&amp;" pitch at "&amp;X341&amp;", "&amp;IF(OR(Y341=8,Y341=11,Y341=18),"an ","a ")&amp;Y341&amp;"-minute walk from your "&amp;M341&amp;" office, "&amp;IF(ISNUMBER(AB341),"on "&amp;TEXT(AB341,"dddd d mmmm")&amp;" at "&amp;TEXT(AB341,"hh:mm"),"on a weekday evening that suits your team")&amp;". It's "&amp;IF(AD341&lt;&gt;"","£"&amp;IF(AD341=INT(AD341),TEXT(AD341,"0"),TEXT(AD341,"0.00")),"[PRICE PER PLAYER]")&amp;" a player and we handle the pitch booking, sign-ups and payments, so all it takes is one person sharing a link with the team."&amp;CHAR(10)&amp;CHAR(10)&amp;"It works well as a team social or "&amp;IF(ISNUMBER(SEARCH(LEFT(F341,1),"AEIOU")),"an ","a ")&amp;F341&amp;"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LINK]")&amp;CHAR(10)&amp;CHAR(10)&amp;"Best,"&amp;CHAR(10)&amp;IF(AL341&lt;&gt;"",AL341,IF(Offer!$C$5&lt;&gt;"",Offer!$C$5,"[NAME]"))&amp;CHAR(10)&amp;"FC Urban"</f>
        <v/>
      </c>
      <c r="AH341" s="14">
        <f>IF(LEN("Hi"&amp;IF(O341&lt;&gt;""," "&amp;O341,"")&amp;","&amp;" FC Urban runs after-work football for "&amp;IF(D341="Canary Wharf","Canary Wharf","City")&amp;" teams. We have a "&amp;AC341&amp;" pitch at "&amp;X341&amp;", "&amp;Y341&amp;" min from your office, "&amp;IF(ISNUMBER(AB341),TEXT(AB341,"ddd d mmm")&amp;", "&amp;TEXT(AB341,"hh:mm"),"weekday evenings")&amp;", "&amp;IF(AD341&lt;&gt;"","£"&amp;IF(AD341=INT(AD341),TEXT(AD341,"0"),TEXT(AD341,"0.00")),"[PRICE PER PLAYER]")&amp;" a player. We handle booking, sign-ups and payments. Fancy "&amp;IF(ISNUMBER(SEARCH(LEFT(F341,1),"AEIOU")),"an ","a ")&amp;F341&amp;" team game? "&amp;IF(AL341&lt;&gt;"",AL341,IF(Offer!$C$5&lt;&gt;"",Offer!$C$5,"[NAME]")))&lt;=300,"Hi"&amp;IF(O341&lt;&gt;""," "&amp;O341,"")&amp;","&amp;" FC Urban runs after-work football for "&amp;IF(D341="Canary Wharf","Canary Wharf","City")&amp;" teams. We have a "&amp;AC341&amp;" pitch at "&amp;X341&amp;", "&amp;Y341&amp;" min from your office, "&amp;IF(ISNUMBER(AB341),TEXT(AB341,"ddd d mmm")&amp;", "&amp;TEXT(AB341,"hh:mm"),"weekday evenings")&amp;", "&amp;IF(AD341&lt;&gt;"","£"&amp;IF(AD341=INT(AD341),TEXT(AD341,"0"),TEXT(AD341,"0.00")),"[PRICE PER PLAYER]")&amp;" a player. We handle booking, sign-ups and payments. Fancy "&amp;IF(ISNUMBER(SEARCH(LEFT(F341,1),"AEIOU")),"an ","a ")&amp;F341&amp;" team game? "&amp;IF(AL341&lt;&gt;"",AL341,IF(Offer!$C$5&lt;&gt;"",Offer!$C$5,"[NAME]")),LEFT("Hi"&amp;IF(O341&lt;&gt;""," "&amp;O341,"")&amp;","&amp;" FC Urban runs after-work football for "&amp;IF(D341="Canary Wharf","Canary Wharf","City")&amp;" teams: "&amp;AC341&amp;" at "&amp;X341&amp;", "&amp;Y341&amp;" min from your office, "&amp;IF(ISNUMBER(AB341),TEXT(AB341,"ddd d mmm")&amp;", "&amp;TEXT(AB341,"hh:mm"),"weekday evenings")&amp;", "&amp;IF(AD341&lt;&gt;"","£"&amp;IF(AD341=INT(AD341),TEXT(AD341,"0"),TEXT(AD341,"0.00")),"[PRICE PER PLAYER]")&amp;" pp. We handle booking and payments. Up for a team game? "&amp;IF(AL341&lt;&gt;"",AL341,IF(Offer!$C$5&lt;&gt;"",Offer!$C$5,"[NAME]")),300))</f>
        <v/>
      </c>
      <c r="AI341" s="14">
        <f>LEN(AH341)</f>
        <v/>
      </c>
      <c r="AJ341" s="14">
        <f>"Thanks for connecting"&amp;IF(O341&lt;&gt;"",", "&amp;O341,"")&amp;". "&amp;IF(ISNUMBER(AB341),"The "&amp;AC341&amp;" slot at "&amp;X341&amp;" is "&amp;IF(ISNUMBER(AB341),TEXT(AB341,"ddd d mmm")&amp;", "&amp;TEXT(AB341,"hh:mm"),"weekday evenings"),"We can book "&amp;AC341&amp;" at "&amp;X341&amp;" on a weekday evening that suits you")&amp;" and it's "&amp;IF(AD341&lt;&gt;"","£"&amp;IF(AD341=INT(AD341),TEXT(AD341,"0"),TEXT(AD341,"0.00")),"[PRICE PER PLAYER]")&amp;" a player, all booked and paid through one link. If football isn't your thing, who at "&amp;F341&amp;" would be the right person to organise a team game?"&amp;IF(Offer!$C$7&lt;&gt;""," Spots are held until "&amp;TEXT(Offer!$C$7,"dddd d mmmm")&amp;".","")&amp;" "&amp;IF(Offer!$C$6&lt;&gt;"",Offer!$C$6,"[JOINING LINK]")</f>
        <v/>
      </c>
      <c r="AK341" s="14">
        <f>IF(OR(ISNUMBER(SEARCH("[",AG341)),ISNUMBER(SEARCH("[",AJ341))),"Fill placeholders",IF(ISNUMBER(AB341),"Ready to send","Ready · no fixed slot"))</f>
        <v/>
      </c>
      <c r="AN341" s="17" t="n"/>
    </row>
    <row r="342">
      <c r="A342" s="11" t="n">
        <v>340</v>
      </c>
      <c r="B342" s="11" t="n">
        <v>3</v>
      </c>
      <c r="C342" s="11" t="inlineStr">
        <is>
          <t>Insurance / broker</t>
        </is>
      </c>
      <c r="D342" s="11" t="inlineStr">
        <is>
          <t>City of London</t>
        </is>
      </c>
      <c r="E342" s="11" t="inlineStr">
        <is>
          <t>Aspen Insurance UK Limited</t>
        </is>
      </c>
      <c r="F342" s="11" t="inlineStr">
        <is>
          <t>Aspen Insurance</t>
        </is>
      </c>
      <c r="G342" s="11" t="inlineStr">
        <is>
          <t>01184193</t>
        </is>
      </c>
      <c r="H342" s="12" t="inlineStr">
        <is>
          <t>Open</t>
        </is>
      </c>
      <c r="I342" s="12" t="inlineStr">
        <is>
          <t>Search</t>
        </is>
      </c>
      <c r="J342" s="11" t="inlineStr">
        <is>
          <t>Full</t>
        </is>
      </c>
      <c r="K342" s="13" t="n">
        <v>27288</v>
      </c>
      <c r="L342" s="11" t="inlineStr">
        <is>
          <t>30 Fenchurch Street, London</t>
        </is>
      </c>
      <c r="M342" s="11" t="inlineStr">
        <is>
          <t>EC3M 3BD</t>
        </is>
      </c>
      <c r="N342" s="11" t="inlineStr">
        <is>
          <t>Yes</t>
        </is>
      </c>
      <c r="U342" s="11" t="inlineStr">
        <is>
          <t>Liverpool St - Attlee Centre</t>
        </is>
      </c>
      <c r="V342" s="11" t="n">
        <v>16</v>
      </c>
      <c r="W342" s="11" t="n"/>
      <c r="X342" s="11" t="inlineStr">
        <is>
          <t>Liverpool St - Attlee Centre</t>
        </is>
      </c>
      <c r="Y342" s="11" t="n">
        <v>16</v>
      </c>
      <c r="Z342" s="14">
        <f>IFERROR(INDEX(Venues!$E$2:$E$15,MATCH(X342,Venues!$A$2:$A$15,0)),"Not checked")</f>
        <v/>
      </c>
      <c r="AA342" s="14">
        <f>IFERROR(INDEX(Venues!$F$2:$F$15,MATCH(X342,Venues!$A$2:$A$15,0)),0)</f>
        <v/>
      </c>
      <c r="AB342" s="15">
        <f>IFERROR(INDEX(Venues!$M$2:$M$15,MATCH(X342,Venues!$A$2:$A$15,0)),"")</f>
        <v/>
      </c>
      <c r="AC342" s="14">
        <f>IFERROR(INDEX(Venues!$N$2:$N$15,MATCH(X342,Venues!$A$2:$A$15,0)),"5-a-side")</f>
        <v/>
      </c>
      <c r="AD342" s="16">
        <f>IF(Offer!$C$4="","",Offer!$C$4)</f>
        <v/>
      </c>
      <c r="AE342" s="14">
        <f>X342&amp;" ("&amp;Y342&amp;" min walk) · "&amp;IF(ISNUMBER(AB342),TEXT(AB342,"ddd d mmm, hh:mm"),"slot to confirm with venue")&amp;" · "&amp;AC342&amp;" · "&amp;IF(AD342&lt;&gt;"","£"&amp;TEXT(AD342,"0.00")&amp;" pp","price TBC")</f>
        <v/>
      </c>
      <c r="AF342" s="14">
        <f>"After-work football for "&amp;F342&amp;" · "&amp;X342&amp;", "&amp;Y342&amp;" min from your office"</f>
        <v/>
      </c>
      <c r="AG342" s="14">
        <f>"Hi"&amp;IF(O342&lt;&gt;""," "&amp;O342,"")&amp;","&amp;CHAR(10)&amp;CHAR(10)&amp;"I'm "&amp;IF(AL342&lt;&gt;"",AL342,IF(Offer!$C$5&lt;&gt;"",Offer!$C$5,"[NAME]"))&amp;" from FC Urban. We organise after-work football for teams in the City and Canary Wharf."&amp;CHAR(10)&amp;CHAR(10)&amp;"We have a "&amp;AC342&amp;" pitch at "&amp;X342&amp;", "&amp;IF(OR(Y342=8,Y342=11,Y342=18),"an ","a ")&amp;Y342&amp;"-minute walk from your "&amp;M342&amp;" office, "&amp;IF(ISNUMBER(AB342),"on "&amp;TEXT(AB342,"dddd d mmmm")&amp;" at "&amp;TEXT(AB342,"hh:mm"),"on a weekday evening that suits your team")&amp;". It's "&amp;IF(AD342&lt;&gt;"","£"&amp;IF(AD342=INT(AD342),TEXT(AD342,"0"),TEXT(AD342,"0.00")),"[PRICE PER PLAYER]")&amp;" a player and we handle the pitch booking, sign-ups and payments, so all it takes is one person sharing a link with the team."&amp;CHAR(10)&amp;CHAR(10)&amp;"It works well as a team social or "&amp;IF(ISNUMBER(SEARCH(LEFT(F342,1),"AEIOU")),"an ","a ")&amp;F342&amp;"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LINK]")&amp;CHAR(10)&amp;CHAR(10)&amp;"Best,"&amp;CHAR(10)&amp;IF(AL342&lt;&gt;"",AL342,IF(Offer!$C$5&lt;&gt;"",Offer!$C$5,"[NAME]"))&amp;CHAR(10)&amp;"FC Urban"</f>
        <v/>
      </c>
      <c r="AH342" s="14">
        <f>IF(LEN("Hi"&amp;IF(O342&lt;&gt;""," "&amp;O342,"")&amp;","&amp;" FC Urban runs after-work football for "&amp;IF(D342="Canary Wharf","Canary Wharf","City")&amp;" teams. We have a "&amp;AC342&amp;" pitch at "&amp;X342&amp;", "&amp;Y342&amp;" min from your office, "&amp;IF(ISNUMBER(AB342),TEXT(AB342,"ddd d mmm")&amp;", "&amp;TEXT(AB342,"hh:mm"),"weekday evenings")&amp;", "&amp;IF(AD342&lt;&gt;"","£"&amp;IF(AD342=INT(AD342),TEXT(AD342,"0"),TEXT(AD342,"0.00")),"[PRICE PER PLAYER]")&amp;" a player. We handle booking, sign-ups and payments. Fancy "&amp;IF(ISNUMBER(SEARCH(LEFT(F342,1),"AEIOU")),"an ","a ")&amp;F342&amp;" team game? "&amp;IF(AL342&lt;&gt;"",AL342,IF(Offer!$C$5&lt;&gt;"",Offer!$C$5,"[NAME]")))&lt;=300,"Hi"&amp;IF(O342&lt;&gt;""," "&amp;O342,"")&amp;","&amp;" FC Urban runs after-work football for "&amp;IF(D342="Canary Wharf","Canary Wharf","City")&amp;" teams. We have a "&amp;AC342&amp;" pitch at "&amp;X342&amp;", "&amp;Y342&amp;" min from your office, "&amp;IF(ISNUMBER(AB342),TEXT(AB342,"ddd d mmm")&amp;", "&amp;TEXT(AB342,"hh:mm"),"weekday evenings")&amp;", "&amp;IF(AD342&lt;&gt;"","£"&amp;IF(AD342=INT(AD342),TEXT(AD342,"0"),TEXT(AD342,"0.00")),"[PRICE PER PLAYER]")&amp;" a player. We handle booking, sign-ups and payments. Fancy "&amp;IF(ISNUMBER(SEARCH(LEFT(F342,1),"AEIOU")),"an ","a ")&amp;F342&amp;" team game? "&amp;IF(AL342&lt;&gt;"",AL342,IF(Offer!$C$5&lt;&gt;"",Offer!$C$5,"[NAME]")),LEFT("Hi"&amp;IF(O342&lt;&gt;""," "&amp;O342,"")&amp;","&amp;" FC Urban runs after-work football for "&amp;IF(D342="Canary Wharf","Canary Wharf","City")&amp;" teams: "&amp;AC342&amp;" at "&amp;X342&amp;", "&amp;Y342&amp;" min from your office, "&amp;IF(ISNUMBER(AB342),TEXT(AB342,"ddd d mmm")&amp;", "&amp;TEXT(AB342,"hh:mm"),"weekday evenings")&amp;", "&amp;IF(AD342&lt;&gt;"","£"&amp;IF(AD342=INT(AD342),TEXT(AD342,"0"),TEXT(AD342,"0.00")),"[PRICE PER PLAYER]")&amp;" pp. We handle booking and payments. Up for a team game? "&amp;IF(AL342&lt;&gt;"",AL342,IF(Offer!$C$5&lt;&gt;"",Offer!$C$5,"[NAME]")),300))</f>
        <v/>
      </c>
      <c r="AI342" s="14">
        <f>LEN(AH342)</f>
        <v/>
      </c>
      <c r="AJ342" s="14">
        <f>"Thanks for connecting"&amp;IF(O342&lt;&gt;"",", "&amp;O342,"")&amp;". "&amp;IF(ISNUMBER(AB342),"The "&amp;AC342&amp;" slot at "&amp;X342&amp;" is "&amp;IF(ISNUMBER(AB342),TEXT(AB342,"ddd d mmm")&amp;", "&amp;TEXT(AB342,"hh:mm"),"weekday evenings"),"We can book "&amp;AC342&amp;" at "&amp;X342&amp;" on a weekday evening that suits you")&amp;" and it's "&amp;IF(AD342&lt;&gt;"","£"&amp;IF(AD342=INT(AD342),TEXT(AD342,"0"),TEXT(AD342,"0.00")),"[PRICE PER PLAYER]")&amp;" a player, all booked and paid through one link. If football isn't your thing, who at "&amp;F342&amp;" would be the right person to organise a team game?"&amp;IF(Offer!$C$7&lt;&gt;""," Spots are held until "&amp;TEXT(Offer!$C$7,"dddd d mmmm")&amp;".","")&amp;" "&amp;IF(Offer!$C$6&lt;&gt;"",Offer!$C$6,"[JOINING LINK]")</f>
        <v/>
      </c>
      <c r="AK342" s="14">
        <f>IF(OR(ISNUMBER(SEARCH("[",AG342)),ISNUMBER(SEARCH("[",AJ342))),"Fill placeholders",IF(ISNUMBER(AB342),"Ready to send","Ready · no fixed slot"))</f>
        <v/>
      </c>
      <c r="AN342" s="17" t="n"/>
    </row>
    <row r="343">
      <c r="A343" s="11" t="n">
        <v>341</v>
      </c>
      <c r="B343" s="11" t="n">
        <v>3</v>
      </c>
      <c r="C343" s="11" t="inlineStr">
        <is>
          <t>Insurance / broker</t>
        </is>
      </c>
      <c r="D343" s="11" t="inlineStr">
        <is>
          <t>City of London</t>
        </is>
      </c>
      <c r="E343" s="11" t="inlineStr">
        <is>
          <t>Corvus Agency Limited</t>
        </is>
      </c>
      <c r="F343" s="11" t="inlineStr">
        <is>
          <t>Corvus Agency</t>
        </is>
      </c>
      <c r="G343" s="11" t="inlineStr">
        <is>
          <t>10336579</t>
        </is>
      </c>
      <c r="H343" s="12" t="inlineStr">
        <is>
          <t>Open</t>
        </is>
      </c>
      <c r="I343" s="12" t="inlineStr">
        <is>
          <t>Search</t>
        </is>
      </c>
      <c r="J343" s="11" t="inlineStr">
        <is>
          <t>Full</t>
        </is>
      </c>
      <c r="K343" s="13" t="n">
        <v>42600</v>
      </c>
      <c r="L343" s="11" t="inlineStr">
        <is>
          <t>30 Fenchurch Street, London</t>
        </is>
      </c>
      <c r="M343" s="11" t="inlineStr">
        <is>
          <t>EC3M 3BD</t>
        </is>
      </c>
      <c r="N343" s="11" t="inlineStr">
        <is>
          <t>No</t>
        </is>
      </c>
      <c r="U343" s="11" t="inlineStr">
        <is>
          <t>Liverpool St - Attlee Centre</t>
        </is>
      </c>
      <c r="V343" s="11" t="n">
        <v>16</v>
      </c>
      <c r="W343" s="11" t="n"/>
      <c r="X343" s="11" t="inlineStr">
        <is>
          <t>Liverpool St - Attlee Centre</t>
        </is>
      </c>
      <c r="Y343" s="11" t="n">
        <v>16</v>
      </c>
      <c r="Z343" s="14">
        <f>IFERROR(INDEX(Venues!$E$2:$E$15,MATCH(X343,Venues!$A$2:$A$15,0)),"Not checked")</f>
        <v/>
      </c>
      <c r="AA343" s="14">
        <f>IFERROR(INDEX(Venues!$F$2:$F$15,MATCH(X343,Venues!$A$2:$A$15,0)),0)</f>
        <v/>
      </c>
      <c r="AB343" s="15">
        <f>IFERROR(INDEX(Venues!$M$2:$M$15,MATCH(X343,Venues!$A$2:$A$15,0)),"")</f>
        <v/>
      </c>
      <c r="AC343" s="14">
        <f>IFERROR(INDEX(Venues!$N$2:$N$15,MATCH(X343,Venues!$A$2:$A$15,0)),"5-a-side")</f>
        <v/>
      </c>
      <c r="AD343" s="16">
        <f>IF(Offer!$C$4="","",Offer!$C$4)</f>
        <v/>
      </c>
      <c r="AE343" s="14">
        <f>X343&amp;" ("&amp;Y343&amp;" min walk) · "&amp;IF(ISNUMBER(AB343),TEXT(AB343,"ddd d mmm, hh:mm"),"slot to confirm with venue")&amp;" · "&amp;AC343&amp;" · "&amp;IF(AD343&lt;&gt;"","£"&amp;TEXT(AD343,"0.00")&amp;" pp","price TBC")</f>
        <v/>
      </c>
      <c r="AF343" s="14">
        <f>"After-work football for "&amp;F343&amp;" · "&amp;X343&amp;", "&amp;Y343&amp;" min from your office"</f>
        <v/>
      </c>
      <c r="AG343" s="14">
        <f>"Hi"&amp;IF(O343&lt;&gt;""," "&amp;O343,"")&amp;","&amp;CHAR(10)&amp;CHAR(10)&amp;"I'm "&amp;IF(AL343&lt;&gt;"",AL343,IF(Offer!$C$5&lt;&gt;"",Offer!$C$5,"[NAME]"))&amp;" from FC Urban. We organise after-work football for teams in the City and Canary Wharf."&amp;CHAR(10)&amp;CHAR(10)&amp;"We have a "&amp;AC343&amp;" pitch at "&amp;X343&amp;", "&amp;IF(OR(Y343=8,Y343=11,Y343=18),"an ","a ")&amp;Y343&amp;"-minute walk from your "&amp;M343&amp;" office, "&amp;IF(ISNUMBER(AB343),"on "&amp;TEXT(AB343,"dddd d mmmm")&amp;" at "&amp;TEXT(AB343,"hh:mm"),"on a weekday evening that suits your team")&amp;". It's "&amp;IF(AD343&lt;&gt;"","£"&amp;IF(AD343=INT(AD343),TEXT(AD343,"0"),TEXT(AD343,"0.00")),"[PRICE PER PLAYER]")&amp;" a player and we handle the pitch booking, sign-ups and payments, so all it takes is one person sharing a link with the team."&amp;CHAR(10)&amp;CHAR(10)&amp;"It works well as a team social or "&amp;IF(ISNUMBER(SEARCH(LEFT(F343,1),"AEIOU")),"an ","a ")&amp;F343&amp;"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LINK]")&amp;CHAR(10)&amp;CHAR(10)&amp;"Best,"&amp;CHAR(10)&amp;IF(AL343&lt;&gt;"",AL343,IF(Offer!$C$5&lt;&gt;"",Offer!$C$5,"[NAME]"))&amp;CHAR(10)&amp;"FC Urban"</f>
        <v/>
      </c>
      <c r="AH343" s="14">
        <f>IF(LEN("Hi"&amp;IF(O343&lt;&gt;""," "&amp;O343,"")&amp;","&amp;" FC Urban runs after-work football for "&amp;IF(D343="Canary Wharf","Canary Wharf","City")&amp;" teams. We have a "&amp;AC343&amp;" pitch at "&amp;X343&amp;", "&amp;Y343&amp;" min from your office, "&amp;IF(ISNUMBER(AB343),TEXT(AB343,"ddd d mmm")&amp;", "&amp;TEXT(AB343,"hh:mm"),"weekday evenings")&amp;", "&amp;IF(AD343&lt;&gt;"","£"&amp;IF(AD343=INT(AD343),TEXT(AD343,"0"),TEXT(AD343,"0.00")),"[PRICE PER PLAYER]")&amp;" a player. We handle booking, sign-ups and payments. Fancy "&amp;IF(ISNUMBER(SEARCH(LEFT(F343,1),"AEIOU")),"an ","a ")&amp;F343&amp;" team game? "&amp;IF(AL343&lt;&gt;"",AL343,IF(Offer!$C$5&lt;&gt;"",Offer!$C$5,"[NAME]")))&lt;=300,"Hi"&amp;IF(O343&lt;&gt;""," "&amp;O343,"")&amp;","&amp;" FC Urban runs after-work football for "&amp;IF(D343="Canary Wharf","Canary Wharf","City")&amp;" teams. We have a "&amp;AC343&amp;" pitch at "&amp;X343&amp;", "&amp;Y343&amp;" min from your office, "&amp;IF(ISNUMBER(AB343),TEXT(AB343,"ddd d mmm")&amp;", "&amp;TEXT(AB343,"hh:mm"),"weekday evenings")&amp;", "&amp;IF(AD343&lt;&gt;"","£"&amp;IF(AD343=INT(AD343),TEXT(AD343,"0"),TEXT(AD343,"0.00")),"[PRICE PER PLAYER]")&amp;" a player. We handle booking, sign-ups and payments. Fancy "&amp;IF(ISNUMBER(SEARCH(LEFT(F343,1),"AEIOU")),"an ","a ")&amp;F343&amp;" team game? "&amp;IF(AL343&lt;&gt;"",AL343,IF(Offer!$C$5&lt;&gt;"",Offer!$C$5,"[NAME]")),LEFT("Hi"&amp;IF(O343&lt;&gt;""," "&amp;O343,"")&amp;","&amp;" FC Urban runs after-work football for "&amp;IF(D343="Canary Wharf","Canary Wharf","City")&amp;" teams: "&amp;AC343&amp;" at "&amp;X343&amp;", "&amp;Y343&amp;" min from your office, "&amp;IF(ISNUMBER(AB343),TEXT(AB343,"ddd d mmm")&amp;", "&amp;TEXT(AB343,"hh:mm"),"weekday evenings")&amp;", "&amp;IF(AD343&lt;&gt;"","£"&amp;IF(AD343=INT(AD343),TEXT(AD343,"0"),TEXT(AD343,"0.00")),"[PRICE PER PLAYER]")&amp;" pp. We handle booking and payments. Up for a team game? "&amp;IF(AL343&lt;&gt;"",AL343,IF(Offer!$C$5&lt;&gt;"",Offer!$C$5,"[NAME]")),300))</f>
        <v/>
      </c>
      <c r="AI343" s="14">
        <f>LEN(AH343)</f>
        <v/>
      </c>
      <c r="AJ343" s="14">
        <f>"Thanks for connecting"&amp;IF(O343&lt;&gt;"",", "&amp;O343,"")&amp;". "&amp;IF(ISNUMBER(AB343),"The "&amp;AC343&amp;" slot at "&amp;X343&amp;" is "&amp;IF(ISNUMBER(AB343),TEXT(AB343,"ddd d mmm")&amp;", "&amp;TEXT(AB343,"hh:mm"),"weekday evenings"),"We can book "&amp;AC343&amp;" at "&amp;X343&amp;" on a weekday evening that suits you")&amp;" and it's "&amp;IF(AD343&lt;&gt;"","£"&amp;IF(AD343=INT(AD343),TEXT(AD343,"0"),TEXT(AD343,"0.00")),"[PRICE PER PLAYER]")&amp;" a player, all booked and paid through one link. If football isn't your thing, who at "&amp;F343&amp;" would be the right person to organise a team game?"&amp;IF(Offer!$C$7&lt;&gt;""," Spots are held until "&amp;TEXT(Offer!$C$7,"dddd d mmmm")&amp;".","")&amp;" "&amp;IF(Offer!$C$6&lt;&gt;"",Offer!$C$6,"[JOINING LINK]")</f>
        <v/>
      </c>
      <c r="AK343" s="14">
        <f>IF(OR(ISNUMBER(SEARCH("[",AG343)),ISNUMBER(SEARCH("[",AJ343))),"Fill placeholders",IF(ISNUMBER(AB343),"Ready to send","Ready · no fixed slot"))</f>
        <v/>
      </c>
      <c r="AN343" s="17" t="n"/>
    </row>
    <row r="344">
      <c r="A344" s="11" t="n">
        <v>342</v>
      </c>
      <c r="B344" s="11" t="n">
        <v>3</v>
      </c>
      <c r="C344" s="11" t="inlineStr">
        <is>
          <t>Insurance / broker</t>
        </is>
      </c>
      <c r="D344" s="11" t="inlineStr">
        <is>
          <t>City of London</t>
        </is>
      </c>
      <c r="E344" s="11" t="inlineStr">
        <is>
          <t>IQUW Administration Services Limited</t>
        </is>
      </c>
      <c r="F344" s="11" t="inlineStr">
        <is>
          <t>IQUW Administration</t>
        </is>
      </c>
      <c r="G344" s="11" t="inlineStr">
        <is>
          <t>00170558</t>
        </is>
      </c>
      <c r="H344" s="12" t="inlineStr">
        <is>
          <t>Open</t>
        </is>
      </c>
      <c r="I344" s="12" t="inlineStr">
        <is>
          <t>Search</t>
        </is>
      </c>
      <c r="J344" s="11" t="inlineStr">
        <is>
          <t>Full</t>
        </is>
      </c>
      <c r="K344" s="13" t="n">
        <v>7579</v>
      </c>
      <c r="L344" s="11" t="inlineStr">
        <is>
          <t>30 Fenchurch Street, London</t>
        </is>
      </c>
      <c r="M344" s="11" t="inlineStr">
        <is>
          <t>EC3M 3BD</t>
        </is>
      </c>
      <c r="N344" s="11" t="inlineStr">
        <is>
          <t>No</t>
        </is>
      </c>
      <c r="U344" s="11" t="inlineStr">
        <is>
          <t>Liverpool St - Attlee Centre</t>
        </is>
      </c>
      <c r="V344" s="11" t="n">
        <v>16</v>
      </c>
      <c r="W344" s="11" t="n"/>
      <c r="X344" s="11" t="inlineStr">
        <is>
          <t>Liverpool St - Attlee Centre</t>
        </is>
      </c>
      <c r="Y344" s="11" t="n">
        <v>16</v>
      </c>
      <c r="Z344" s="14">
        <f>IFERROR(INDEX(Venues!$E$2:$E$15,MATCH(X344,Venues!$A$2:$A$15,0)),"Not checked")</f>
        <v/>
      </c>
      <c r="AA344" s="14">
        <f>IFERROR(INDEX(Venues!$F$2:$F$15,MATCH(X344,Venues!$A$2:$A$15,0)),0)</f>
        <v/>
      </c>
      <c r="AB344" s="15">
        <f>IFERROR(INDEX(Venues!$M$2:$M$15,MATCH(X344,Venues!$A$2:$A$15,0)),"")</f>
        <v/>
      </c>
      <c r="AC344" s="14">
        <f>IFERROR(INDEX(Venues!$N$2:$N$15,MATCH(X344,Venues!$A$2:$A$15,0)),"5-a-side")</f>
        <v/>
      </c>
      <c r="AD344" s="16">
        <f>IF(Offer!$C$4="","",Offer!$C$4)</f>
        <v/>
      </c>
      <c r="AE344" s="14">
        <f>X344&amp;" ("&amp;Y344&amp;" min walk) · "&amp;IF(ISNUMBER(AB344),TEXT(AB344,"ddd d mmm, hh:mm"),"slot to confirm with venue")&amp;" · "&amp;AC344&amp;" · "&amp;IF(AD344&lt;&gt;"","£"&amp;TEXT(AD344,"0.00")&amp;" pp","price TBC")</f>
        <v/>
      </c>
      <c r="AF344" s="14">
        <f>"After-work football for "&amp;F344&amp;" · "&amp;X344&amp;", "&amp;Y344&amp;" min from your office"</f>
        <v/>
      </c>
      <c r="AG344" s="14">
        <f>"Hi"&amp;IF(O344&lt;&gt;""," "&amp;O344,"")&amp;","&amp;CHAR(10)&amp;CHAR(10)&amp;"I'm "&amp;IF(AL344&lt;&gt;"",AL344,IF(Offer!$C$5&lt;&gt;"",Offer!$C$5,"[NAME]"))&amp;" from FC Urban. We organise after-work football for teams in the City and Canary Wharf."&amp;CHAR(10)&amp;CHAR(10)&amp;"We have a "&amp;AC344&amp;" pitch at "&amp;X344&amp;", "&amp;IF(OR(Y344=8,Y344=11,Y344=18),"an ","a ")&amp;Y344&amp;"-minute walk from your "&amp;M344&amp;" office, "&amp;IF(ISNUMBER(AB344),"on "&amp;TEXT(AB344,"dddd d mmmm")&amp;" at "&amp;TEXT(AB344,"hh:mm"),"on a weekday evening that suits your team")&amp;". It's "&amp;IF(AD344&lt;&gt;"","£"&amp;IF(AD344=INT(AD344),TEXT(AD344,"0"),TEXT(AD344,"0.00")),"[PRICE PER PLAYER]")&amp;" a player and we handle the pitch booking, sign-ups and payments, so all it takes is one person sharing a link with the team."&amp;CHAR(10)&amp;CHAR(10)&amp;"It works well as a team social or "&amp;IF(ISNUMBER(SEARCH(LEFT(F344,1),"AEIOU")),"an ","a ")&amp;F344&amp;"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LINK]")&amp;CHAR(10)&amp;CHAR(10)&amp;"Best,"&amp;CHAR(10)&amp;IF(AL344&lt;&gt;"",AL344,IF(Offer!$C$5&lt;&gt;"",Offer!$C$5,"[NAME]"))&amp;CHAR(10)&amp;"FC Urban"</f>
        <v/>
      </c>
      <c r="AH344" s="14">
        <f>IF(LEN("Hi"&amp;IF(O344&lt;&gt;""," "&amp;O344,"")&amp;","&amp;" FC Urban runs after-work football for "&amp;IF(D344="Canary Wharf","Canary Wharf","City")&amp;" teams. We have a "&amp;AC344&amp;" pitch at "&amp;X344&amp;", "&amp;Y344&amp;" min from your office, "&amp;IF(ISNUMBER(AB344),TEXT(AB344,"ddd d mmm")&amp;", "&amp;TEXT(AB344,"hh:mm"),"weekday evenings")&amp;", "&amp;IF(AD344&lt;&gt;"","£"&amp;IF(AD344=INT(AD344),TEXT(AD344,"0"),TEXT(AD344,"0.00")),"[PRICE PER PLAYER]")&amp;" a player. We handle booking, sign-ups and payments. Fancy "&amp;IF(ISNUMBER(SEARCH(LEFT(F344,1),"AEIOU")),"an ","a ")&amp;F344&amp;" team game? "&amp;IF(AL344&lt;&gt;"",AL344,IF(Offer!$C$5&lt;&gt;"",Offer!$C$5,"[NAME]")))&lt;=300,"Hi"&amp;IF(O344&lt;&gt;""," "&amp;O344,"")&amp;","&amp;" FC Urban runs after-work football for "&amp;IF(D344="Canary Wharf","Canary Wharf","City")&amp;" teams. We have a "&amp;AC344&amp;" pitch at "&amp;X344&amp;", "&amp;Y344&amp;" min from your office, "&amp;IF(ISNUMBER(AB344),TEXT(AB344,"ddd d mmm")&amp;", "&amp;TEXT(AB344,"hh:mm"),"weekday evenings")&amp;", "&amp;IF(AD344&lt;&gt;"","£"&amp;IF(AD344=INT(AD344),TEXT(AD344,"0"),TEXT(AD344,"0.00")),"[PRICE PER PLAYER]")&amp;" a player. We handle booking, sign-ups and payments. Fancy "&amp;IF(ISNUMBER(SEARCH(LEFT(F344,1),"AEIOU")),"an ","a ")&amp;F344&amp;" team game? "&amp;IF(AL344&lt;&gt;"",AL344,IF(Offer!$C$5&lt;&gt;"",Offer!$C$5,"[NAME]")),LEFT("Hi"&amp;IF(O344&lt;&gt;""," "&amp;O344,"")&amp;","&amp;" FC Urban runs after-work football for "&amp;IF(D344="Canary Wharf","Canary Wharf","City")&amp;" teams: "&amp;AC344&amp;" at "&amp;X344&amp;", "&amp;Y344&amp;" min from your office, "&amp;IF(ISNUMBER(AB344),TEXT(AB344,"ddd d mmm")&amp;", "&amp;TEXT(AB344,"hh:mm"),"weekday evenings")&amp;", "&amp;IF(AD344&lt;&gt;"","£"&amp;IF(AD344=INT(AD344),TEXT(AD344,"0"),TEXT(AD344,"0.00")),"[PRICE PER PLAYER]")&amp;" pp. We handle booking and payments. Up for a team game? "&amp;IF(AL344&lt;&gt;"",AL344,IF(Offer!$C$5&lt;&gt;"",Offer!$C$5,"[NAME]")),300))</f>
        <v/>
      </c>
      <c r="AI344" s="14">
        <f>LEN(AH344)</f>
        <v/>
      </c>
      <c r="AJ344" s="14">
        <f>"Thanks for connecting"&amp;IF(O344&lt;&gt;"",", "&amp;O344,"")&amp;". "&amp;IF(ISNUMBER(AB344),"The "&amp;AC344&amp;" slot at "&amp;X344&amp;" is "&amp;IF(ISNUMBER(AB344),TEXT(AB344,"ddd d mmm")&amp;", "&amp;TEXT(AB344,"hh:mm"),"weekday evenings"),"We can book "&amp;AC344&amp;" at "&amp;X344&amp;" on a weekday evening that suits you")&amp;" and it's "&amp;IF(AD344&lt;&gt;"","£"&amp;IF(AD344=INT(AD344),TEXT(AD344,"0"),TEXT(AD344,"0.00")),"[PRICE PER PLAYER]")&amp;" a player, all booked and paid through one link. If football isn't your thing, who at "&amp;F344&amp;" would be the right person to organise a team game?"&amp;IF(Offer!$C$7&lt;&gt;""," Spots are held until "&amp;TEXT(Offer!$C$7,"dddd d mmmm")&amp;".","")&amp;" "&amp;IF(Offer!$C$6&lt;&gt;"",Offer!$C$6,"[JOINING LINK]")</f>
        <v/>
      </c>
      <c r="AK344" s="14">
        <f>IF(OR(ISNUMBER(SEARCH("[",AG344)),ISNUMBER(SEARCH("[",AJ344))),"Fill placeholders",IF(ISNUMBER(AB344),"Ready to send","Ready · no fixed slot"))</f>
        <v/>
      </c>
      <c r="AN344" s="17" t="n"/>
    </row>
    <row r="345">
      <c r="A345" s="11" t="n">
        <v>343</v>
      </c>
      <c r="B345" s="11" t="n">
        <v>3</v>
      </c>
      <c r="C345" s="11" t="inlineStr">
        <is>
          <t>Insurance / broker</t>
        </is>
      </c>
      <c r="D345" s="11" t="inlineStr">
        <is>
          <t>City of London</t>
        </is>
      </c>
      <c r="E345" s="11" t="inlineStr">
        <is>
          <t>QBE Underwriting Limited</t>
        </is>
      </c>
      <c r="F345" s="11" t="inlineStr">
        <is>
          <t>QBE Underwriting</t>
        </is>
      </c>
      <c r="G345" s="11" t="inlineStr">
        <is>
          <t>01035198</t>
        </is>
      </c>
      <c r="H345" s="12" t="inlineStr">
        <is>
          <t>Open</t>
        </is>
      </c>
      <c r="I345" s="12" t="inlineStr">
        <is>
          <t>Search</t>
        </is>
      </c>
      <c r="J345" s="11" t="inlineStr">
        <is>
          <t>Full</t>
        </is>
      </c>
      <c r="K345" s="13" t="n">
        <v>26284</v>
      </c>
      <c r="L345" s="11" t="inlineStr">
        <is>
          <t>30 Fenchurch Street, London</t>
        </is>
      </c>
      <c r="M345" s="11" t="inlineStr">
        <is>
          <t>EC3M 3BD</t>
        </is>
      </c>
      <c r="N345" s="11" t="inlineStr">
        <is>
          <t>No</t>
        </is>
      </c>
      <c r="U345" s="11" t="inlineStr">
        <is>
          <t>Liverpool St - Attlee Centre</t>
        </is>
      </c>
      <c r="V345" s="11" t="n">
        <v>16</v>
      </c>
      <c r="W345" s="11" t="n"/>
      <c r="X345" s="11" t="inlineStr">
        <is>
          <t>Liverpool St - Attlee Centre</t>
        </is>
      </c>
      <c r="Y345" s="11" t="n">
        <v>16</v>
      </c>
      <c r="Z345" s="14">
        <f>IFERROR(INDEX(Venues!$E$2:$E$15,MATCH(X345,Venues!$A$2:$A$15,0)),"Not checked")</f>
        <v/>
      </c>
      <c r="AA345" s="14">
        <f>IFERROR(INDEX(Venues!$F$2:$F$15,MATCH(X345,Venues!$A$2:$A$15,0)),0)</f>
        <v/>
      </c>
      <c r="AB345" s="15">
        <f>IFERROR(INDEX(Venues!$M$2:$M$15,MATCH(X345,Venues!$A$2:$A$15,0)),"")</f>
        <v/>
      </c>
      <c r="AC345" s="14">
        <f>IFERROR(INDEX(Venues!$N$2:$N$15,MATCH(X345,Venues!$A$2:$A$15,0)),"5-a-side")</f>
        <v/>
      </c>
      <c r="AD345" s="16">
        <f>IF(Offer!$C$4="","",Offer!$C$4)</f>
        <v/>
      </c>
      <c r="AE345" s="14">
        <f>X345&amp;" ("&amp;Y345&amp;" min walk) · "&amp;IF(ISNUMBER(AB345),TEXT(AB345,"ddd d mmm, hh:mm"),"slot to confirm with venue")&amp;" · "&amp;AC345&amp;" · "&amp;IF(AD345&lt;&gt;"","£"&amp;TEXT(AD345,"0.00")&amp;" pp","price TBC")</f>
        <v/>
      </c>
      <c r="AF345" s="14">
        <f>"After-work football for "&amp;F345&amp;" · "&amp;X345&amp;", "&amp;Y345&amp;" min from your office"</f>
        <v/>
      </c>
      <c r="AG345" s="14">
        <f>"Hi"&amp;IF(O345&lt;&gt;""," "&amp;O345,"")&amp;","&amp;CHAR(10)&amp;CHAR(10)&amp;"I'm "&amp;IF(AL345&lt;&gt;"",AL345,IF(Offer!$C$5&lt;&gt;"",Offer!$C$5,"[NAME]"))&amp;" from FC Urban. We organise after-work football for teams in the City and Canary Wharf."&amp;CHAR(10)&amp;CHAR(10)&amp;"We have a "&amp;AC345&amp;" pitch at "&amp;X345&amp;", "&amp;IF(OR(Y345=8,Y345=11,Y345=18),"an ","a ")&amp;Y345&amp;"-minute walk from your "&amp;M345&amp;" office, "&amp;IF(ISNUMBER(AB345),"on "&amp;TEXT(AB345,"dddd d mmmm")&amp;" at "&amp;TEXT(AB345,"hh:mm"),"on a weekday evening that suits your team")&amp;". It's "&amp;IF(AD345&lt;&gt;"","£"&amp;IF(AD345=INT(AD345),TEXT(AD345,"0"),TEXT(AD345,"0.00")),"[PRICE PER PLAYER]")&amp;" a player and we handle the pitch booking, sign-ups and payments, so all it takes is one person sharing a link with the team."&amp;CHAR(10)&amp;CHAR(10)&amp;"It works well as a team social or "&amp;IF(ISNUMBER(SEARCH(LEFT(F345,1),"AEIOU")),"an ","a ")&amp;F345&amp;"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LINK]")&amp;CHAR(10)&amp;CHAR(10)&amp;"Best,"&amp;CHAR(10)&amp;IF(AL345&lt;&gt;"",AL345,IF(Offer!$C$5&lt;&gt;"",Offer!$C$5,"[NAME]"))&amp;CHAR(10)&amp;"FC Urban"</f>
        <v/>
      </c>
      <c r="AH345" s="14">
        <f>IF(LEN("Hi"&amp;IF(O345&lt;&gt;""," "&amp;O345,"")&amp;","&amp;" FC Urban runs after-work football for "&amp;IF(D345="Canary Wharf","Canary Wharf","City")&amp;" teams. We have a "&amp;AC345&amp;" pitch at "&amp;X345&amp;", "&amp;Y345&amp;" min from your office, "&amp;IF(ISNUMBER(AB345),TEXT(AB345,"ddd d mmm")&amp;", "&amp;TEXT(AB345,"hh:mm"),"weekday evenings")&amp;", "&amp;IF(AD345&lt;&gt;"","£"&amp;IF(AD345=INT(AD345),TEXT(AD345,"0"),TEXT(AD345,"0.00")),"[PRICE PER PLAYER]")&amp;" a player. We handle booking, sign-ups and payments. Fancy "&amp;IF(ISNUMBER(SEARCH(LEFT(F345,1),"AEIOU")),"an ","a ")&amp;F345&amp;" team game? "&amp;IF(AL345&lt;&gt;"",AL345,IF(Offer!$C$5&lt;&gt;"",Offer!$C$5,"[NAME]")))&lt;=300,"Hi"&amp;IF(O345&lt;&gt;""," "&amp;O345,"")&amp;","&amp;" FC Urban runs after-work football for "&amp;IF(D345="Canary Wharf","Canary Wharf","City")&amp;" teams. We have a "&amp;AC345&amp;" pitch at "&amp;X345&amp;", "&amp;Y345&amp;" min from your office, "&amp;IF(ISNUMBER(AB345),TEXT(AB345,"ddd d mmm")&amp;", "&amp;TEXT(AB345,"hh:mm"),"weekday evenings")&amp;", "&amp;IF(AD345&lt;&gt;"","£"&amp;IF(AD345=INT(AD345),TEXT(AD345,"0"),TEXT(AD345,"0.00")),"[PRICE PER PLAYER]")&amp;" a player. We handle booking, sign-ups and payments. Fancy "&amp;IF(ISNUMBER(SEARCH(LEFT(F345,1),"AEIOU")),"an ","a ")&amp;F345&amp;" team game? "&amp;IF(AL345&lt;&gt;"",AL345,IF(Offer!$C$5&lt;&gt;"",Offer!$C$5,"[NAME]")),LEFT("Hi"&amp;IF(O345&lt;&gt;""," "&amp;O345,"")&amp;","&amp;" FC Urban runs after-work football for "&amp;IF(D345="Canary Wharf","Canary Wharf","City")&amp;" teams: "&amp;AC345&amp;" at "&amp;X345&amp;", "&amp;Y345&amp;" min from your office, "&amp;IF(ISNUMBER(AB345),TEXT(AB345,"ddd d mmm")&amp;", "&amp;TEXT(AB345,"hh:mm"),"weekday evenings")&amp;", "&amp;IF(AD345&lt;&gt;"","£"&amp;IF(AD345=INT(AD345),TEXT(AD345,"0"),TEXT(AD345,"0.00")),"[PRICE PER PLAYER]")&amp;" pp. We handle booking and payments. Up for a team game? "&amp;IF(AL345&lt;&gt;"",AL345,IF(Offer!$C$5&lt;&gt;"",Offer!$C$5,"[NAME]")),300))</f>
        <v/>
      </c>
      <c r="AI345" s="14">
        <f>LEN(AH345)</f>
        <v/>
      </c>
      <c r="AJ345" s="14">
        <f>"Thanks for connecting"&amp;IF(O345&lt;&gt;"",", "&amp;O345,"")&amp;". "&amp;IF(ISNUMBER(AB345),"The "&amp;AC345&amp;" slot at "&amp;X345&amp;" is "&amp;IF(ISNUMBER(AB345),TEXT(AB345,"ddd d mmm")&amp;", "&amp;TEXT(AB345,"hh:mm"),"weekday evenings"),"We can book "&amp;AC345&amp;" at "&amp;X345&amp;" on a weekday evening that suits you")&amp;" and it's "&amp;IF(AD345&lt;&gt;"","£"&amp;IF(AD345=INT(AD345),TEXT(AD345,"0"),TEXT(AD345,"0.00")),"[PRICE PER PLAYER]")&amp;" a player, all booked and paid through one link. If football isn't your thing, who at "&amp;F345&amp;" would be the right person to organise a team game?"&amp;IF(Offer!$C$7&lt;&gt;""," Spots are held until "&amp;TEXT(Offer!$C$7,"dddd d mmmm")&amp;".","")&amp;" "&amp;IF(Offer!$C$6&lt;&gt;"",Offer!$C$6,"[JOINING LINK]")</f>
        <v/>
      </c>
      <c r="AK345" s="14">
        <f>IF(OR(ISNUMBER(SEARCH("[",AG345)),ISNUMBER(SEARCH("[",AJ345))),"Fill placeholders",IF(ISNUMBER(AB345),"Ready to send","Ready · no fixed slot"))</f>
        <v/>
      </c>
      <c r="AN345" s="17" t="n"/>
    </row>
    <row r="346">
      <c r="A346" s="11" t="n">
        <v>344</v>
      </c>
      <c r="B346" s="11" t="n">
        <v>3</v>
      </c>
      <c r="C346" s="11" t="inlineStr">
        <is>
          <t>Insurance / broker</t>
        </is>
      </c>
      <c r="D346" s="11" t="inlineStr">
        <is>
          <t>City of London</t>
        </is>
      </c>
      <c r="E346" s="11" t="inlineStr">
        <is>
          <t>Travelers Management Limited</t>
        </is>
      </c>
      <c r="F346" s="11" t="inlineStr">
        <is>
          <t>Travelers Management</t>
        </is>
      </c>
      <c r="G346" s="11" t="inlineStr">
        <is>
          <t>00972175</t>
        </is>
      </c>
      <c r="H346" s="12" t="inlineStr">
        <is>
          <t>Open</t>
        </is>
      </c>
      <c r="I346" s="12" t="inlineStr">
        <is>
          <t>Search</t>
        </is>
      </c>
      <c r="J346" s="11" t="inlineStr">
        <is>
          <t>Full</t>
        </is>
      </c>
      <c r="K346" s="13" t="n">
        <v>25611</v>
      </c>
      <c r="L346" s="11" t="inlineStr">
        <is>
          <t>30 Fenchurch Street, London</t>
        </is>
      </c>
      <c r="M346" s="11" t="inlineStr">
        <is>
          <t>EC3M 3BD</t>
        </is>
      </c>
      <c r="N346" s="11" t="inlineStr">
        <is>
          <t>No</t>
        </is>
      </c>
      <c r="U346" s="11" t="inlineStr">
        <is>
          <t>Liverpool St - Attlee Centre</t>
        </is>
      </c>
      <c r="V346" s="11" t="n">
        <v>16</v>
      </c>
      <c r="W346" s="11" t="n"/>
      <c r="X346" s="11" t="inlineStr">
        <is>
          <t>Liverpool St - Attlee Centre</t>
        </is>
      </c>
      <c r="Y346" s="11" t="n">
        <v>16</v>
      </c>
      <c r="Z346" s="14">
        <f>IFERROR(INDEX(Venues!$E$2:$E$15,MATCH(X346,Venues!$A$2:$A$15,0)),"Not checked")</f>
        <v/>
      </c>
      <c r="AA346" s="14">
        <f>IFERROR(INDEX(Venues!$F$2:$F$15,MATCH(X346,Venues!$A$2:$A$15,0)),0)</f>
        <v/>
      </c>
      <c r="AB346" s="15">
        <f>IFERROR(INDEX(Venues!$M$2:$M$15,MATCH(X346,Venues!$A$2:$A$15,0)),"")</f>
        <v/>
      </c>
      <c r="AC346" s="14">
        <f>IFERROR(INDEX(Venues!$N$2:$N$15,MATCH(X346,Venues!$A$2:$A$15,0)),"5-a-side")</f>
        <v/>
      </c>
      <c r="AD346" s="16">
        <f>IF(Offer!$C$4="","",Offer!$C$4)</f>
        <v/>
      </c>
      <c r="AE346" s="14">
        <f>X346&amp;" ("&amp;Y346&amp;" min walk) · "&amp;IF(ISNUMBER(AB346),TEXT(AB346,"ddd d mmm, hh:mm"),"slot to confirm with venue")&amp;" · "&amp;AC346&amp;" · "&amp;IF(AD346&lt;&gt;"","£"&amp;TEXT(AD346,"0.00")&amp;" pp","price TBC")</f>
        <v/>
      </c>
      <c r="AF346" s="14">
        <f>"After-work football for "&amp;F346&amp;" · "&amp;X346&amp;", "&amp;Y346&amp;" min from your office"</f>
        <v/>
      </c>
      <c r="AG346" s="14">
        <f>"Hi"&amp;IF(O346&lt;&gt;""," "&amp;O346,"")&amp;","&amp;CHAR(10)&amp;CHAR(10)&amp;"I'm "&amp;IF(AL346&lt;&gt;"",AL346,IF(Offer!$C$5&lt;&gt;"",Offer!$C$5,"[NAME]"))&amp;" from FC Urban. We organise after-work football for teams in the City and Canary Wharf."&amp;CHAR(10)&amp;CHAR(10)&amp;"We have a "&amp;AC346&amp;" pitch at "&amp;X346&amp;", "&amp;IF(OR(Y346=8,Y346=11,Y346=18),"an ","a ")&amp;Y346&amp;"-minute walk from your "&amp;M346&amp;" office, "&amp;IF(ISNUMBER(AB346),"on "&amp;TEXT(AB346,"dddd d mmmm")&amp;" at "&amp;TEXT(AB346,"hh:mm"),"on a weekday evening that suits your team")&amp;". It's "&amp;IF(AD346&lt;&gt;"","£"&amp;IF(AD346=INT(AD346),TEXT(AD346,"0"),TEXT(AD346,"0.00")),"[PRICE PER PLAYER]")&amp;" a player and we handle the pitch booking, sign-ups and payments, so all it takes is one person sharing a link with the team."&amp;CHAR(10)&amp;CHAR(10)&amp;"It works well as a team social or "&amp;IF(ISNUMBER(SEARCH(LEFT(F346,1),"AEIOU")),"an ","a ")&amp;F346&amp;"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LINK]")&amp;CHAR(10)&amp;CHAR(10)&amp;"Best,"&amp;CHAR(10)&amp;IF(AL346&lt;&gt;"",AL346,IF(Offer!$C$5&lt;&gt;"",Offer!$C$5,"[NAME]"))&amp;CHAR(10)&amp;"FC Urban"</f>
        <v/>
      </c>
      <c r="AH346" s="14">
        <f>IF(LEN("Hi"&amp;IF(O346&lt;&gt;""," "&amp;O346,"")&amp;","&amp;" FC Urban runs after-work football for "&amp;IF(D346="Canary Wharf","Canary Wharf","City")&amp;" teams. We have a "&amp;AC346&amp;" pitch at "&amp;X346&amp;", "&amp;Y346&amp;" min from your office, "&amp;IF(ISNUMBER(AB346),TEXT(AB346,"ddd d mmm")&amp;", "&amp;TEXT(AB346,"hh:mm"),"weekday evenings")&amp;", "&amp;IF(AD346&lt;&gt;"","£"&amp;IF(AD346=INT(AD346),TEXT(AD346,"0"),TEXT(AD346,"0.00")),"[PRICE PER PLAYER]")&amp;" a player. We handle booking, sign-ups and payments. Fancy "&amp;IF(ISNUMBER(SEARCH(LEFT(F346,1),"AEIOU")),"an ","a ")&amp;F346&amp;" team game? "&amp;IF(AL346&lt;&gt;"",AL346,IF(Offer!$C$5&lt;&gt;"",Offer!$C$5,"[NAME]")))&lt;=300,"Hi"&amp;IF(O346&lt;&gt;""," "&amp;O346,"")&amp;","&amp;" FC Urban runs after-work football for "&amp;IF(D346="Canary Wharf","Canary Wharf","City")&amp;" teams. We have a "&amp;AC346&amp;" pitch at "&amp;X346&amp;", "&amp;Y346&amp;" min from your office, "&amp;IF(ISNUMBER(AB346),TEXT(AB346,"ddd d mmm")&amp;", "&amp;TEXT(AB346,"hh:mm"),"weekday evenings")&amp;", "&amp;IF(AD346&lt;&gt;"","£"&amp;IF(AD346=INT(AD346),TEXT(AD346,"0"),TEXT(AD346,"0.00")),"[PRICE PER PLAYER]")&amp;" a player. We handle booking, sign-ups and payments. Fancy "&amp;IF(ISNUMBER(SEARCH(LEFT(F346,1),"AEIOU")),"an ","a ")&amp;F346&amp;" team game? "&amp;IF(AL346&lt;&gt;"",AL346,IF(Offer!$C$5&lt;&gt;"",Offer!$C$5,"[NAME]")),LEFT("Hi"&amp;IF(O346&lt;&gt;""," "&amp;O346,"")&amp;","&amp;" FC Urban runs after-work football for "&amp;IF(D346="Canary Wharf","Canary Wharf","City")&amp;" teams: "&amp;AC346&amp;" at "&amp;X346&amp;", "&amp;Y346&amp;" min from your office, "&amp;IF(ISNUMBER(AB346),TEXT(AB346,"ddd d mmm")&amp;", "&amp;TEXT(AB346,"hh:mm"),"weekday evenings")&amp;", "&amp;IF(AD346&lt;&gt;"","£"&amp;IF(AD346=INT(AD346),TEXT(AD346,"0"),TEXT(AD346,"0.00")),"[PRICE PER PLAYER]")&amp;" pp. We handle booking and payments. Up for a team game? "&amp;IF(AL346&lt;&gt;"",AL346,IF(Offer!$C$5&lt;&gt;"",Offer!$C$5,"[NAME]")),300))</f>
        <v/>
      </c>
      <c r="AI346" s="14">
        <f>LEN(AH346)</f>
        <v/>
      </c>
      <c r="AJ346" s="14">
        <f>"Thanks for connecting"&amp;IF(O346&lt;&gt;"",", "&amp;O346,"")&amp;". "&amp;IF(ISNUMBER(AB346),"The "&amp;AC346&amp;" slot at "&amp;X346&amp;" is "&amp;IF(ISNUMBER(AB346),TEXT(AB346,"ddd d mmm")&amp;", "&amp;TEXT(AB346,"hh:mm"),"weekday evenings"),"We can book "&amp;AC346&amp;" at "&amp;X346&amp;" on a weekday evening that suits you")&amp;" and it's "&amp;IF(AD346&lt;&gt;"","£"&amp;IF(AD346=INT(AD346),TEXT(AD346,"0"),TEXT(AD346,"0.00")),"[PRICE PER PLAYER]")&amp;" a player, all booked and paid through one link. If football isn't your thing, who at "&amp;F346&amp;" would be the right person to organise a team game?"&amp;IF(Offer!$C$7&lt;&gt;""," Spots are held until "&amp;TEXT(Offer!$C$7,"dddd d mmmm")&amp;".","")&amp;" "&amp;IF(Offer!$C$6&lt;&gt;"",Offer!$C$6,"[JOINING LINK]")</f>
        <v/>
      </c>
      <c r="AK346" s="14">
        <f>IF(OR(ISNUMBER(SEARCH("[",AG346)),ISNUMBER(SEARCH("[",AJ346))),"Fill placeholders",IF(ISNUMBER(AB346),"Ready to send","Ready · no fixed slot"))</f>
        <v/>
      </c>
      <c r="AN346" s="17" t="n"/>
    </row>
    <row r="347">
      <c r="A347" s="11" t="n">
        <v>345</v>
      </c>
      <c r="B347" s="11" t="n">
        <v>3</v>
      </c>
      <c r="C347" s="11" t="inlineStr">
        <is>
          <t>Fund / asset manager</t>
        </is>
      </c>
      <c r="D347" s="11" t="inlineStr">
        <is>
          <t>City of London</t>
        </is>
      </c>
      <c r="E347" s="11" t="inlineStr">
        <is>
          <t>Alphidence Capital Limited</t>
        </is>
      </c>
      <c r="F347" s="11" t="inlineStr">
        <is>
          <t>Alphidence Capital</t>
        </is>
      </c>
      <c r="G347" s="11" t="inlineStr">
        <is>
          <t>12590895</t>
        </is>
      </c>
      <c r="H347" s="12" t="inlineStr">
        <is>
          <t>Open</t>
        </is>
      </c>
      <c r="I347" s="12" t="inlineStr">
        <is>
          <t>Search</t>
        </is>
      </c>
      <c r="J347" s="11" t="inlineStr">
        <is>
          <t>Full</t>
        </is>
      </c>
      <c r="K347" s="13" t="n">
        <v>43958</v>
      </c>
      <c r="L347" s="11" t="inlineStr">
        <is>
          <t>14 Gray'S Inn Road, London</t>
        </is>
      </c>
      <c r="M347" s="11" t="inlineStr">
        <is>
          <t>WC1X 8HN</t>
        </is>
      </c>
      <c r="N347" s="11" t="inlineStr">
        <is>
          <t>No</t>
        </is>
      </c>
      <c r="U347" s="11" t="inlineStr">
        <is>
          <t>St Pancras - Coram's Fields 3G</t>
        </is>
      </c>
      <c r="V347" s="11" t="n">
        <v>16</v>
      </c>
      <c r="W347" s="11" t="n"/>
      <c r="X347" s="11" t="inlineStr">
        <is>
          <t>St Pancras - Coram's Fields 3G</t>
        </is>
      </c>
      <c r="Y347" s="11" t="n">
        <v>16</v>
      </c>
      <c r="Z347" s="14">
        <f>IFERROR(INDEX(Venues!$E$2:$E$15,MATCH(X347,Venues!$A$2:$A$15,0)),"Not checked")</f>
        <v/>
      </c>
      <c r="AA347" s="14">
        <f>IFERROR(INDEX(Venues!$F$2:$F$15,MATCH(X347,Venues!$A$2:$A$15,0)),0)</f>
        <v/>
      </c>
      <c r="AB347" s="15">
        <f>IFERROR(INDEX(Venues!$M$2:$M$15,MATCH(X347,Venues!$A$2:$A$15,0)),"")</f>
        <v/>
      </c>
      <c r="AC347" s="14">
        <f>IFERROR(INDEX(Venues!$N$2:$N$15,MATCH(X347,Venues!$A$2:$A$15,0)),"5-a-side")</f>
        <v/>
      </c>
      <c r="AD347" s="16">
        <f>IF(Offer!$C$4="","",Offer!$C$4)</f>
        <v/>
      </c>
      <c r="AE347" s="14">
        <f>X347&amp;" ("&amp;Y347&amp;" min walk) · "&amp;IF(ISNUMBER(AB347),TEXT(AB347,"ddd d mmm, hh:mm"),"slot to confirm with venue")&amp;" · "&amp;AC347&amp;" · "&amp;IF(AD347&lt;&gt;"","£"&amp;TEXT(AD347,"0.00")&amp;" pp","price TBC")</f>
        <v/>
      </c>
      <c r="AF347" s="14">
        <f>"After-work football for "&amp;F347&amp;" · "&amp;X347&amp;", "&amp;Y347&amp;" min from your office"</f>
        <v/>
      </c>
      <c r="AG347" s="14">
        <f>"Hi"&amp;IF(O347&lt;&gt;""," "&amp;O347,"")&amp;","&amp;CHAR(10)&amp;CHAR(10)&amp;"I'm "&amp;IF(AL347&lt;&gt;"",AL347,IF(Offer!$C$5&lt;&gt;"",Offer!$C$5,"[NAME]"))&amp;" from FC Urban. We organise after-work football for teams in the City and Canary Wharf."&amp;CHAR(10)&amp;CHAR(10)&amp;"We have a "&amp;AC347&amp;" pitch at "&amp;X347&amp;", "&amp;IF(OR(Y347=8,Y347=11,Y347=18),"an ","a ")&amp;Y347&amp;"-minute walk from your "&amp;M347&amp;" office, "&amp;IF(ISNUMBER(AB347),"on "&amp;TEXT(AB347,"dddd d mmmm")&amp;" at "&amp;TEXT(AB347,"hh:mm"),"on a weekday evening that suits your team")&amp;". It's "&amp;IF(AD347&lt;&gt;"","£"&amp;IF(AD347=INT(AD347),TEXT(AD347,"0"),TEXT(AD347,"0.00")),"[PRICE PER PLAYER]")&amp;" a player and we handle the pitch booking, sign-ups and payments, so all it takes is one person sharing a link with the team."&amp;CHAR(10)&amp;CHAR(10)&amp;"It works well as a team social or "&amp;IF(ISNUMBER(SEARCH(LEFT(F347,1),"AEIOU")),"an ","a ")&amp;F347&amp;"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LINK]")&amp;CHAR(10)&amp;CHAR(10)&amp;"Best,"&amp;CHAR(10)&amp;IF(AL347&lt;&gt;"",AL347,IF(Offer!$C$5&lt;&gt;"",Offer!$C$5,"[NAME]"))&amp;CHAR(10)&amp;"FC Urban"</f>
        <v/>
      </c>
      <c r="AH347" s="14">
        <f>IF(LEN("Hi"&amp;IF(O347&lt;&gt;""," "&amp;O347,"")&amp;","&amp;" FC Urban runs after-work football for "&amp;IF(D347="Canary Wharf","Canary Wharf","City")&amp;" teams. We have a "&amp;AC347&amp;" pitch at "&amp;X347&amp;", "&amp;Y347&amp;" min from your office, "&amp;IF(ISNUMBER(AB347),TEXT(AB347,"ddd d mmm")&amp;", "&amp;TEXT(AB347,"hh:mm"),"weekday evenings")&amp;", "&amp;IF(AD347&lt;&gt;"","£"&amp;IF(AD347=INT(AD347),TEXT(AD347,"0"),TEXT(AD347,"0.00")),"[PRICE PER PLAYER]")&amp;" a player. We handle booking, sign-ups and payments. Fancy "&amp;IF(ISNUMBER(SEARCH(LEFT(F347,1),"AEIOU")),"an ","a ")&amp;F347&amp;" team game? "&amp;IF(AL347&lt;&gt;"",AL347,IF(Offer!$C$5&lt;&gt;"",Offer!$C$5,"[NAME]")))&lt;=300,"Hi"&amp;IF(O347&lt;&gt;""," "&amp;O347,"")&amp;","&amp;" FC Urban runs after-work football for "&amp;IF(D347="Canary Wharf","Canary Wharf","City")&amp;" teams. We have a "&amp;AC347&amp;" pitch at "&amp;X347&amp;", "&amp;Y347&amp;" min from your office, "&amp;IF(ISNUMBER(AB347),TEXT(AB347,"ddd d mmm")&amp;", "&amp;TEXT(AB347,"hh:mm"),"weekday evenings")&amp;", "&amp;IF(AD347&lt;&gt;"","£"&amp;IF(AD347=INT(AD347),TEXT(AD347,"0"),TEXT(AD347,"0.00")),"[PRICE PER PLAYER]")&amp;" a player. We handle booking, sign-ups and payments. Fancy "&amp;IF(ISNUMBER(SEARCH(LEFT(F347,1),"AEIOU")),"an ","a ")&amp;F347&amp;" team game? "&amp;IF(AL347&lt;&gt;"",AL347,IF(Offer!$C$5&lt;&gt;"",Offer!$C$5,"[NAME]")),LEFT("Hi"&amp;IF(O347&lt;&gt;""," "&amp;O347,"")&amp;","&amp;" FC Urban runs after-work football for "&amp;IF(D347="Canary Wharf","Canary Wharf","City")&amp;" teams: "&amp;AC347&amp;" at "&amp;X347&amp;", "&amp;Y347&amp;" min from your office, "&amp;IF(ISNUMBER(AB347),TEXT(AB347,"ddd d mmm")&amp;", "&amp;TEXT(AB347,"hh:mm"),"weekday evenings")&amp;", "&amp;IF(AD347&lt;&gt;"","£"&amp;IF(AD347=INT(AD347),TEXT(AD347,"0"),TEXT(AD347,"0.00")),"[PRICE PER PLAYER]")&amp;" pp. We handle booking and payments. Up for a team game? "&amp;IF(AL347&lt;&gt;"",AL347,IF(Offer!$C$5&lt;&gt;"",Offer!$C$5,"[NAME]")),300))</f>
        <v/>
      </c>
      <c r="AI347" s="14">
        <f>LEN(AH347)</f>
        <v/>
      </c>
      <c r="AJ347" s="14">
        <f>"Thanks for connecting"&amp;IF(O347&lt;&gt;"",", "&amp;O347,"")&amp;". "&amp;IF(ISNUMBER(AB347),"The "&amp;AC347&amp;" slot at "&amp;X347&amp;" is "&amp;IF(ISNUMBER(AB347),TEXT(AB347,"ddd d mmm")&amp;", "&amp;TEXT(AB347,"hh:mm"),"weekday evenings"),"We can book "&amp;AC347&amp;" at "&amp;X347&amp;" on a weekday evening that suits you")&amp;" and it's "&amp;IF(AD347&lt;&gt;"","£"&amp;IF(AD347=INT(AD347),TEXT(AD347,"0"),TEXT(AD347,"0.00")),"[PRICE PER PLAYER]")&amp;" a player, all booked and paid through one link. If football isn't your thing, who at "&amp;F347&amp;" would be the right person to organise a team game?"&amp;IF(Offer!$C$7&lt;&gt;""," Spots are held until "&amp;TEXT(Offer!$C$7,"dddd d mmmm")&amp;".","")&amp;" "&amp;IF(Offer!$C$6&lt;&gt;"",Offer!$C$6,"[JOINING LINK]")</f>
        <v/>
      </c>
      <c r="AK347" s="14">
        <f>IF(OR(ISNUMBER(SEARCH("[",AG347)),ISNUMBER(SEARCH("[",AJ347))),"Fill placeholders",IF(ISNUMBER(AB347),"Ready to send","Ready · no fixed slot"))</f>
        <v/>
      </c>
      <c r="AN347" s="17" t="n"/>
    </row>
    <row r="348">
      <c r="A348" s="11" t="n">
        <v>346</v>
      </c>
      <c r="B348" s="11" t="n">
        <v>3</v>
      </c>
      <c r="C348" s="11" t="inlineStr">
        <is>
          <t>Fund / asset manager</t>
        </is>
      </c>
      <c r="D348" s="11" t="inlineStr">
        <is>
          <t>City of London</t>
        </is>
      </c>
      <c r="E348" s="11" t="inlineStr">
        <is>
          <t>Daiichi Life Europe Limited</t>
        </is>
      </c>
      <c r="F348" s="11" t="inlineStr">
        <is>
          <t>Daiichi Life</t>
        </is>
      </c>
      <c r="G348" s="11" t="inlineStr">
        <is>
          <t>01944653</t>
        </is>
      </c>
      <c r="H348" s="12" t="inlineStr">
        <is>
          <t>Open</t>
        </is>
      </c>
      <c r="I348" s="12" t="inlineStr">
        <is>
          <t>Search</t>
        </is>
      </c>
      <c r="J348" s="11" t="inlineStr">
        <is>
          <t>Full</t>
        </is>
      </c>
      <c r="K348" s="13" t="n">
        <v>31294</v>
      </c>
      <c r="L348" s="11" t="inlineStr">
        <is>
          <t>6Th Floor, 6 Gracechurch Street, London</t>
        </is>
      </c>
      <c r="M348" s="11" t="inlineStr">
        <is>
          <t>EC3V 0AT</t>
        </is>
      </c>
      <c r="N348" s="11" t="inlineStr">
        <is>
          <t>No</t>
        </is>
      </c>
      <c r="U348" s="11" t="inlineStr">
        <is>
          <t>Liverpool St - Attlee Centre</t>
        </is>
      </c>
      <c r="V348" s="11" t="n">
        <v>16</v>
      </c>
      <c r="W348" s="11" t="n"/>
      <c r="X348" s="11" t="inlineStr">
        <is>
          <t>Liverpool St - Attlee Centre</t>
        </is>
      </c>
      <c r="Y348" s="11" t="n">
        <v>16</v>
      </c>
      <c r="Z348" s="14">
        <f>IFERROR(INDEX(Venues!$E$2:$E$15,MATCH(X348,Venues!$A$2:$A$15,0)),"Not checked")</f>
        <v/>
      </c>
      <c r="AA348" s="14">
        <f>IFERROR(INDEX(Venues!$F$2:$F$15,MATCH(X348,Venues!$A$2:$A$15,0)),0)</f>
        <v/>
      </c>
      <c r="AB348" s="15">
        <f>IFERROR(INDEX(Venues!$M$2:$M$15,MATCH(X348,Venues!$A$2:$A$15,0)),"")</f>
        <v/>
      </c>
      <c r="AC348" s="14">
        <f>IFERROR(INDEX(Venues!$N$2:$N$15,MATCH(X348,Venues!$A$2:$A$15,0)),"5-a-side")</f>
        <v/>
      </c>
      <c r="AD348" s="16">
        <f>IF(Offer!$C$4="","",Offer!$C$4)</f>
        <v/>
      </c>
      <c r="AE348" s="14">
        <f>X348&amp;" ("&amp;Y348&amp;" min walk) · "&amp;IF(ISNUMBER(AB348),TEXT(AB348,"ddd d mmm, hh:mm"),"slot to confirm with venue")&amp;" · "&amp;AC348&amp;" · "&amp;IF(AD348&lt;&gt;"","£"&amp;TEXT(AD348,"0.00")&amp;" pp","price TBC")</f>
        <v/>
      </c>
      <c r="AF348" s="14">
        <f>"After-work football for "&amp;F348&amp;" · "&amp;X348&amp;", "&amp;Y348&amp;" min from your office"</f>
        <v/>
      </c>
      <c r="AG348" s="14">
        <f>"Hi"&amp;IF(O348&lt;&gt;""," "&amp;O348,"")&amp;","&amp;CHAR(10)&amp;CHAR(10)&amp;"I'm "&amp;IF(AL348&lt;&gt;"",AL348,IF(Offer!$C$5&lt;&gt;"",Offer!$C$5,"[NAME]"))&amp;" from FC Urban. We organise after-work football for teams in the City and Canary Wharf."&amp;CHAR(10)&amp;CHAR(10)&amp;"We have a "&amp;AC348&amp;" pitch at "&amp;X348&amp;", "&amp;IF(OR(Y348=8,Y348=11,Y348=18),"an ","a ")&amp;Y348&amp;"-minute walk from your "&amp;M348&amp;" office, "&amp;IF(ISNUMBER(AB348),"on "&amp;TEXT(AB348,"dddd d mmmm")&amp;" at "&amp;TEXT(AB348,"hh:mm"),"on a weekday evening that suits your team")&amp;". It's "&amp;IF(AD348&lt;&gt;"","£"&amp;IF(AD348=INT(AD348),TEXT(AD348,"0"),TEXT(AD348,"0.00")),"[PRICE PER PLAYER]")&amp;" a player and we handle the pitch booking, sign-ups and payments, so all it takes is one person sharing a link with the team."&amp;CHAR(10)&amp;CHAR(10)&amp;"It works well as a team social or "&amp;IF(ISNUMBER(SEARCH(LEFT(F348,1),"AEIOU")),"an ","a ")&amp;F348&amp;"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LINK]")&amp;CHAR(10)&amp;CHAR(10)&amp;"Best,"&amp;CHAR(10)&amp;IF(AL348&lt;&gt;"",AL348,IF(Offer!$C$5&lt;&gt;"",Offer!$C$5,"[NAME]"))&amp;CHAR(10)&amp;"FC Urban"</f>
        <v/>
      </c>
      <c r="AH348" s="14">
        <f>IF(LEN("Hi"&amp;IF(O348&lt;&gt;""," "&amp;O348,"")&amp;","&amp;" FC Urban runs after-work football for "&amp;IF(D348="Canary Wharf","Canary Wharf","City")&amp;" teams. We have a "&amp;AC348&amp;" pitch at "&amp;X348&amp;", "&amp;Y348&amp;" min from your office, "&amp;IF(ISNUMBER(AB348),TEXT(AB348,"ddd d mmm")&amp;", "&amp;TEXT(AB348,"hh:mm"),"weekday evenings")&amp;", "&amp;IF(AD348&lt;&gt;"","£"&amp;IF(AD348=INT(AD348),TEXT(AD348,"0"),TEXT(AD348,"0.00")),"[PRICE PER PLAYER]")&amp;" a player. We handle booking, sign-ups and payments. Fancy "&amp;IF(ISNUMBER(SEARCH(LEFT(F348,1),"AEIOU")),"an ","a ")&amp;F348&amp;" team game? "&amp;IF(AL348&lt;&gt;"",AL348,IF(Offer!$C$5&lt;&gt;"",Offer!$C$5,"[NAME]")))&lt;=300,"Hi"&amp;IF(O348&lt;&gt;""," "&amp;O348,"")&amp;","&amp;" FC Urban runs after-work football for "&amp;IF(D348="Canary Wharf","Canary Wharf","City")&amp;" teams. We have a "&amp;AC348&amp;" pitch at "&amp;X348&amp;", "&amp;Y348&amp;" min from your office, "&amp;IF(ISNUMBER(AB348),TEXT(AB348,"ddd d mmm")&amp;", "&amp;TEXT(AB348,"hh:mm"),"weekday evenings")&amp;", "&amp;IF(AD348&lt;&gt;"","£"&amp;IF(AD348=INT(AD348),TEXT(AD348,"0"),TEXT(AD348,"0.00")),"[PRICE PER PLAYER]")&amp;" a player. We handle booking, sign-ups and payments. Fancy "&amp;IF(ISNUMBER(SEARCH(LEFT(F348,1),"AEIOU")),"an ","a ")&amp;F348&amp;" team game? "&amp;IF(AL348&lt;&gt;"",AL348,IF(Offer!$C$5&lt;&gt;"",Offer!$C$5,"[NAME]")),LEFT("Hi"&amp;IF(O348&lt;&gt;""," "&amp;O348,"")&amp;","&amp;" FC Urban runs after-work football for "&amp;IF(D348="Canary Wharf","Canary Wharf","City")&amp;" teams: "&amp;AC348&amp;" at "&amp;X348&amp;", "&amp;Y348&amp;" min from your office, "&amp;IF(ISNUMBER(AB348),TEXT(AB348,"ddd d mmm")&amp;", "&amp;TEXT(AB348,"hh:mm"),"weekday evenings")&amp;", "&amp;IF(AD348&lt;&gt;"","£"&amp;IF(AD348=INT(AD348),TEXT(AD348,"0"),TEXT(AD348,"0.00")),"[PRICE PER PLAYER]")&amp;" pp. We handle booking and payments. Up for a team game? "&amp;IF(AL348&lt;&gt;"",AL348,IF(Offer!$C$5&lt;&gt;"",Offer!$C$5,"[NAME]")),300))</f>
        <v/>
      </c>
      <c r="AI348" s="14">
        <f>LEN(AH348)</f>
        <v/>
      </c>
      <c r="AJ348" s="14">
        <f>"Thanks for connecting"&amp;IF(O348&lt;&gt;"",", "&amp;O348,"")&amp;". "&amp;IF(ISNUMBER(AB348),"The "&amp;AC348&amp;" slot at "&amp;X348&amp;" is "&amp;IF(ISNUMBER(AB348),TEXT(AB348,"ddd d mmm")&amp;", "&amp;TEXT(AB348,"hh:mm"),"weekday evenings"),"We can book "&amp;AC348&amp;" at "&amp;X348&amp;" on a weekday evening that suits you")&amp;" and it's "&amp;IF(AD348&lt;&gt;"","£"&amp;IF(AD348=INT(AD348),TEXT(AD348,"0"),TEXT(AD348,"0.00")),"[PRICE PER PLAYER]")&amp;" a player, all booked and paid through one link. If football isn't your thing, who at "&amp;F348&amp;" would be the right person to organise a team game?"&amp;IF(Offer!$C$7&lt;&gt;""," Spots are held until "&amp;TEXT(Offer!$C$7,"dddd d mmmm")&amp;".","")&amp;" "&amp;IF(Offer!$C$6&lt;&gt;"",Offer!$C$6,"[JOINING LINK]")</f>
        <v/>
      </c>
      <c r="AK348" s="14">
        <f>IF(OR(ISNUMBER(SEARCH("[",AG348)),ISNUMBER(SEARCH("[",AJ348))),"Fill placeholders",IF(ISNUMBER(AB348),"Ready to send","Ready · no fixed slot"))</f>
        <v/>
      </c>
      <c r="AN348" s="17" t="n"/>
    </row>
    <row r="349">
      <c r="A349" s="11" t="n">
        <v>347</v>
      </c>
      <c r="B349" s="11" t="n">
        <v>3</v>
      </c>
      <c r="C349" s="11" t="inlineStr">
        <is>
          <t>Insurance / broker</t>
        </is>
      </c>
      <c r="D349" s="11" t="inlineStr">
        <is>
          <t>City of London</t>
        </is>
      </c>
      <c r="E349" s="11" t="inlineStr">
        <is>
          <t>Iprism Underwriting Agency Limited</t>
        </is>
      </c>
      <c r="F349" s="11" t="inlineStr">
        <is>
          <t>Iprism Underwriting Agency</t>
        </is>
      </c>
      <c r="G349" s="11" t="inlineStr">
        <is>
          <t>05604278</t>
        </is>
      </c>
      <c r="H349" s="12" t="inlineStr">
        <is>
          <t>Open</t>
        </is>
      </c>
      <c r="I349" s="12" t="inlineStr">
        <is>
          <t>Search</t>
        </is>
      </c>
      <c r="J349" s="11" t="inlineStr">
        <is>
          <t>Full</t>
        </is>
      </c>
      <c r="K349" s="13" t="n">
        <v>38651</v>
      </c>
      <c r="L349" s="11" t="inlineStr">
        <is>
          <t>1St Floor, 17 Bevis Marks, London</t>
        </is>
      </c>
      <c r="M349" s="11" t="inlineStr">
        <is>
          <t>EC3A 7LN</t>
        </is>
      </c>
      <c r="N349" s="11" t="inlineStr">
        <is>
          <t>No</t>
        </is>
      </c>
      <c r="U349" s="11" t="inlineStr">
        <is>
          <t>Liverpool St - Attlee Centre</t>
        </is>
      </c>
      <c r="V349" s="11" t="n">
        <v>8</v>
      </c>
      <c r="W349" s="11" t="inlineStr">
        <is>
          <t>Shoreditch Powerleague (15.9)</t>
        </is>
      </c>
      <c r="X349" s="11" t="inlineStr">
        <is>
          <t>Shoreditch Powerleague</t>
        </is>
      </c>
      <c r="Y349" s="11" t="n">
        <v>16</v>
      </c>
      <c r="Z349" s="14">
        <f>IFERROR(INDEX(Venues!$E$2:$E$15,MATCH(X349,Venues!$A$2:$A$15,0)),"Not checked")</f>
        <v/>
      </c>
      <c r="AA349" s="14">
        <f>IFERROR(INDEX(Venues!$F$2:$F$15,MATCH(X349,Venues!$A$2:$A$15,0)),0)</f>
        <v/>
      </c>
      <c r="AB349" s="15">
        <f>IFERROR(INDEX(Venues!$M$2:$M$15,MATCH(X349,Venues!$A$2:$A$15,0)),"")</f>
        <v/>
      </c>
      <c r="AC349" s="14">
        <f>IFERROR(INDEX(Venues!$N$2:$N$15,MATCH(X349,Venues!$A$2:$A$15,0)),"5-a-side")</f>
        <v/>
      </c>
      <c r="AD349" s="16">
        <f>IF(Offer!$C$4="","",Offer!$C$4)</f>
        <v/>
      </c>
      <c r="AE349" s="14">
        <f>X349&amp;" ("&amp;Y349&amp;" min walk) · "&amp;IF(ISNUMBER(AB349),TEXT(AB349,"ddd d mmm, hh:mm"),"slot to confirm with venue")&amp;" · "&amp;AC349&amp;" · "&amp;IF(AD349&lt;&gt;"","£"&amp;TEXT(AD349,"0.00")&amp;" pp","price TBC")</f>
        <v/>
      </c>
      <c r="AF349" s="14">
        <f>"After-work football for "&amp;F349&amp;" · "&amp;X349&amp;", "&amp;Y349&amp;" min from your office"</f>
        <v/>
      </c>
      <c r="AG349" s="14">
        <f>"Hi"&amp;IF(O349&lt;&gt;""," "&amp;O349,"")&amp;","&amp;CHAR(10)&amp;CHAR(10)&amp;"I'm "&amp;IF(AL349&lt;&gt;"",AL349,IF(Offer!$C$5&lt;&gt;"",Offer!$C$5,"[NAME]"))&amp;" from FC Urban. We organise after-work football for teams in the City and Canary Wharf."&amp;CHAR(10)&amp;CHAR(10)&amp;"We have a "&amp;AC349&amp;" pitch at "&amp;X349&amp;", "&amp;IF(OR(Y349=8,Y349=11,Y349=18),"an ","a ")&amp;Y349&amp;"-minute walk from your "&amp;M349&amp;" office, "&amp;IF(ISNUMBER(AB349),"on "&amp;TEXT(AB349,"dddd d mmmm")&amp;" at "&amp;TEXT(AB349,"hh:mm"),"on a weekday evening that suits your team")&amp;". It's "&amp;IF(AD349&lt;&gt;"","£"&amp;IF(AD349=INT(AD349),TEXT(AD349,"0"),TEXT(AD349,"0.00")),"[PRICE PER PLAYER]")&amp;" a player and we handle the pitch booking, sign-ups and payments, so all it takes is one person sharing a link with the team."&amp;CHAR(10)&amp;CHAR(10)&amp;"It works well as a team social or "&amp;IF(ISNUMBER(SEARCH(LEFT(F349,1),"AEIOU")),"an ","a ")&amp;F349&amp;"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LINK]")&amp;CHAR(10)&amp;CHAR(10)&amp;"Best,"&amp;CHAR(10)&amp;IF(AL349&lt;&gt;"",AL349,IF(Offer!$C$5&lt;&gt;"",Offer!$C$5,"[NAME]"))&amp;CHAR(10)&amp;"FC Urban"</f>
        <v/>
      </c>
      <c r="AH349" s="14">
        <f>IF(LEN("Hi"&amp;IF(O349&lt;&gt;""," "&amp;O349,"")&amp;","&amp;" FC Urban runs after-work football for "&amp;IF(D349="Canary Wharf","Canary Wharf","City")&amp;" teams. We have a "&amp;AC349&amp;" pitch at "&amp;X349&amp;", "&amp;Y349&amp;" min from your office, "&amp;IF(ISNUMBER(AB349),TEXT(AB349,"ddd d mmm")&amp;", "&amp;TEXT(AB349,"hh:mm"),"weekday evenings")&amp;", "&amp;IF(AD349&lt;&gt;"","£"&amp;IF(AD349=INT(AD349),TEXT(AD349,"0"),TEXT(AD349,"0.00")),"[PRICE PER PLAYER]")&amp;" a player. We handle booking, sign-ups and payments. Fancy "&amp;IF(ISNUMBER(SEARCH(LEFT(F349,1),"AEIOU")),"an ","a ")&amp;F349&amp;" team game? "&amp;IF(AL349&lt;&gt;"",AL349,IF(Offer!$C$5&lt;&gt;"",Offer!$C$5,"[NAME]")))&lt;=300,"Hi"&amp;IF(O349&lt;&gt;""," "&amp;O349,"")&amp;","&amp;" FC Urban runs after-work football for "&amp;IF(D349="Canary Wharf","Canary Wharf","City")&amp;" teams. We have a "&amp;AC349&amp;" pitch at "&amp;X349&amp;", "&amp;Y349&amp;" min from your office, "&amp;IF(ISNUMBER(AB349),TEXT(AB349,"ddd d mmm")&amp;", "&amp;TEXT(AB349,"hh:mm"),"weekday evenings")&amp;", "&amp;IF(AD349&lt;&gt;"","£"&amp;IF(AD349=INT(AD349),TEXT(AD349,"0"),TEXT(AD349,"0.00")),"[PRICE PER PLAYER]")&amp;" a player. We handle booking, sign-ups and payments. Fancy "&amp;IF(ISNUMBER(SEARCH(LEFT(F349,1),"AEIOU")),"an ","a ")&amp;F349&amp;" team game? "&amp;IF(AL349&lt;&gt;"",AL349,IF(Offer!$C$5&lt;&gt;"",Offer!$C$5,"[NAME]")),LEFT("Hi"&amp;IF(O349&lt;&gt;""," "&amp;O349,"")&amp;","&amp;" FC Urban runs after-work football for "&amp;IF(D349="Canary Wharf","Canary Wharf","City")&amp;" teams: "&amp;AC349&amp;" at "&amp;X349&amp;", "&amp;Y349&amp;" min from your office, "&amp;IF(ISNUMBER(AB349),TEXT(AB349,"ddd d mmm")&amp;", "&amp;TEXT(AB349,"hh:mm"),"weekday evenings")&amp;", "&amp;IF(AD349&lt;&gt;"","£"&amp;IF(AD349=INT(AD349),TEXT(AD349,"0"),TEXT(AD349,"0.00")),"[PRICE PER PLAYER]")&amp;" pp. We handle booking and payments. Up for a team game? "&amp;IF(AL349&lt;&gt;"",AL349,IF(Offer!$C$5&lt;&gt;"",Offer!$C$5,"[NAME]")),300))</f>
        <v/>
      </c>
      <c r="AI349" s="14">
        <f>LEN(AH349)</f>
        <v/>
      </c>
      <c r="AJ349" s="14">
        <f>"Thanks for connecting"&amp;IF(O349&lt;&gt;"",", "&amp;O349,"")&amp;". "&amp;IF(ISNUMBER(AB349),"The "&amp;AC349&amp;" slot at "&amp;X349&amp;" is "&amp;IF(ISNUMBER(AB349),TEXT(AB349,"ddd d mmm")&amp;", "&amp;TEXT(AB349,"hh:mm"),"weekday evenings"),"We can book "&amp;AC349&amp;" at "&amp;X349&amp;" on a weekday evening that suits you")&amp;" and it's "&amp;IF(AD349&lt;&gt;"","£"&amp;IF(AD349=INT(AD349),TEXT(AD349,"0"),TEXT(AD349,"0.00")),"[PRICE PER PLAYER]")&amp;" a player, all booked and paid through one link. If football isn't your thing, who at "&amp;F349&amp;" would be the right person to organise a team game?"&amp;IF(Offer!$C$7&lt;&gt;""," Spots are held until "&amp;TEXT(Offer!$C$7,"dddd d mmmm")&amp;".","")&amp;" "&amp;IF(Offer!$C$6&lt;&gt;"",Offer!$C$6,"[JOINING LINK]")</f>
        <v/>
      </c>
      <c r="AK349" s="14">
        <f>IF(OR(ISNUMBER(SEARCH("[",AG349)),ISNUMBER(SEARCH("[",AJ349))),"Fill placeholders",IF(ISNUMBER(AB349),"Ready to send","Ready · no fixed slot"))</f>
        <v/>
      </c>
      <c r="AN349" s="17" t="n"/>
    </row>
    <row r="350">
      <c r="A350" s="11" t="n">
        <v>348</v>
      </c>
      <c r="B350" s="11" t="n">
        <v>3</v>
      </c>
      <c r="C350" s="11" t="inlineStr">
        <is>
          <t>Fund / asset manager</t>
        </is>
      </c>
      <c r="D350" s="11" t="inlineStr">
        <is>
          <t>City of London</t>
        </is>
      </c>
      <c r="E350" s="11" t="inlineStr">
        <is>
          <t>C&amp;W Management Services LLP</t>
        </is>
      </c>
      <c r="F350" s="11" t="inlineStr">
        <is>
          <t>C&amp;W Management</t>
        </is>
      </c>
      <c r="G350" s="11" t="inlineStr">
        <is>
          <t>OC403003</t>
        </is>
      </c>
      <c r="H350" s="12" t="inlineStr">
        <is>
          <t>Open</t>
        </is>
      </c>
      <c r="I350" s="12" t="inlineStr">
        <is>
          <t>Search</t>
        </is>
      </c>
      <c r="J350" s="11" t="inlineStr">
        <is>
          <t>Full</t>
        </is>
      </c>
      <c r="K350" s="13" t="n">
        <v>42327</v>
      </c>
      <c r="L350" s="11" t="inlineStr">
        <is>
          <t>125 Old Broad Street, London</t>
        </is>
      </c>
      <c r="M350" s="11" t="inlineStr">
        <is>
          <t>EC2N 1AR</t>
        </is>
      </c>
      <c r="N350" s="11" t="inlineStr">
        <is>
          <t>No</t>
        </is>
      </c>
      <c r="U350" s="11" t="inlineStr">
        <is>
          <t>Liverpool St - Attlee Centre</t>
        </is>
      </c>
      <c r="V350" s="11" t="n">
        <v>16</v>
      </c>
      <c r="W350" s="11" t="n"/>
      <c r="X350" s="11" t="inlineStr">
        <is>
          <t>Liverpool St - Attlee Centre</t>
        </is>
      </c>
      <c r="Y350" s="11" t="n">
        <v>16</v>
      </c>
      <c r="Z350" s="14">
        <f>IFERROR(INDEX(Venues!$E$2:$E$15,MATCH(X350,Venues!$A$2:$A$15,0)),"Not checked")</f>
        <v/>
      </c>
      <c r="AA350" s="14">
        <f>IFERROR(INDEX(Venues!$F$2:$F$15,MATCH(X350,Venues!$A$2:$A$15,0)),0)</f>
        <v/>
      </c>
      <c r="AB350" s="15">
        <f>IFERROR(INDEX(Venues!$M$2:$M$15,MATCH(X350,Venues!$A$2:$A$15,0)),"")</f>
        <v/>
      </c>
      <c r="AC350" s="14">
        <f>IFERROR(INDEX(Venues!$N$2:$N$15,MATCH(X350,Venues!$A$2:$A$15,0)),"5-a-side")</f>
        <v/>
      </c>
      <c r="AD350" s="16">
        <f>IF(Offer!$C$4="","",Offer!$C$4)</f>
        <v/>
      </c>
      <c r="AE350" s="14">
        <f>X350&amp;" ("&amp;Y350&amp;" min walk) · "&amp;IF(ISNUMBER(AB350),TEXT(AB350,"ddd d mmm, hh:mm"),"slot to confirm with venue")&amp;" · "&amp;AC350&amp;" · "&amp;IF(AD350&lt;&gt;"","£"&amp;TEXT(AD350,"0.00")&amp;" pp","price TBC")</f>
        <v/>
      </c>
      <c r="AF350" s="14">
        <f>"After-work football for "&amp;F350&amp;" · "&amp;X350&amp;", "&amp;Y350&amp;" min from your office"</f>
        <v/>
      </c>
      <c r="AG350" s="14">
        <f>"Hi"&amp;IF(O350&lt;&gt;""," "&amp;O350,"")&amp;","&amp;CHAR(10)&amp;CHAR(10)&amp;"I'm "&amp;IF(AL350&lt;&gt;"",AL350,IF(Offer!$C$5&lt;&gt;"",Offer!$C$5,"[NAME]"))&amp;" from FC Urban. We organise after-work football for teams in the City and Canary Wharf."&amp;CHAR(10)&amp;CHAR(10)&amp;"We have a "&amp;AC350&amp;" pitch at "&amp;X350&amp;", "&amp;IF(OR(Y350=8,Y350=11,Y350=18),"an ","a ")&amp;Y350&amp;"-minute walk from your "&amp;M350&amp;" office, "&amp;IF(ISNUMBER(AB350),"on "&amp;TEXT(AB350,"dddd d mmmm")&amp;" at "&amp;TEXT(AB350,"hh:mm"),"on a weekday evening that suits your team")&amp;". It's "&amp;IF(AD350&lt;&gt;"","£"&amp;IF(AD350=INT(AD350),TEXT(AD350,"0"),TEXT(AD350,"0.00")),"[PRICE PER PLAYER]")&amp;" a player and we handle the pitch booking, sign-ups and payments, so all it takes is one person sharing a link with the team."&amp;CHAR(10)&amp;CHAR(10)&amp;"It works well as a team social or "&amp;IF(ISNUMBER(SEARCH(LEFT(F350,1),"AEIOU")),"an ","a ")&amp;F350&amp;"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LINK]")&amp;CHAR(10)&amp;CHAR(10)&amp;"Best,"&amp;CHAR(10)&amp;IF(AL350&lt;&gt;"",AL350,IF(Offer!$C$5&lt;&gt;"",Offer!$C$5,"[NAME]"))&amp;CHAR(10)&amp;"FC Urban"</f>
        <v/>
      </c>
      <c r="AH350" s="14">
        <f>IF(LEN("Hi"&amp;IF(O350&lt;&gt;""," "&amp;O350,"")&amp;","&amp;" FC Urban runs after-work football for "&amp;IF(D350="Canary Wharf","Canary Wharf","City")&amp;" teams. We have a "&amp;AC350&amp;" pitch at "&amp;X350&amp;", "&amp;Y350&amp;" min from your office, "&amp;IF(ISNUMBER(AB350),TEXT(AB350,"ddd d mmm")&amp;", "&amp;TEXT(AB350,"hh:mm"),"weekday evenings")&amp;", "&amp;IF(AD350&lt;&gt;"","£"&amp;IF(AD350=INT(AD350),TEXT(AD350,"0"),TEXT(AD350,"0.00")),"[PRICE PER PLAYER]")&amp;" a player. We handle booking, sign-ups and payments. Fancy "&amp;IF(ISNUMBER(SEARCH(LEFT(F350,1),"AEIOU")),"an ","a ")&amp;F350&amp;" team game? "&amp;IF(AL350&lt;&gt;"",AL350,IF(Offer!$C$5&lt;&gt;"",Offer!$C$5,"[NAME]")))&lt;=300,"Hi"&amp;IF(O350&lt;&gt;""," "&amp;O350,"")&amp;","&amp;" FC Urban runs after-work football for "&amp;IF(D350="Canary Wharf","Canary Wharf","City")&amp;" teams. We have a "&amp;AC350&amp;" pitch at "&amp;X350&amp;", "&amp;Y350&amp;" min from your office, "&amp;IF(ISNUMBER(AB350),TEXT(AB350,"ddd d mmm")&amp;", "&amp;TEXT(AB350,"hh:mm"),"weekday evenings")&amp;", "&amp;IF(AD350&lt;&gt;"","£"&amp;IF(AD350=INT(AD350),TEXT(AD350,"0"),TEXT(AD350,"0.00")),"[PRICE PER PLAYER]")&amp;" a player. We handle booking, sign-ups and payments. Fancy "&amp;IF(ISNUMBER(SEARCH(LEFT(F350,1),"AEIOU")),"an ","a ")&amp;F350&amp;" team game? "&amp;IF(AL350&lt;&gt;"",AL350,IF(Offer!$C$5&lt;&gt;"",Offer!$C$5,"[NAME]")),LEFT("Hi"&amp;IF(O350&lt;&gt;""," "&amp;O350,"")&amp;","&amp;" FC Urban runs after-work football for "&amp;IF(D350="Canary Wharf","Canary Wharf","City")&amp;" teams: "&amp;AC350&amp;" at "&amp;X350&amp;", "&amp;Y350&amp;" min from your office, "&amp;IF(ISNUMBER(AB350),TEXT(AB350,"ddd d mmm")&amp;", "&amp;TEXT(AB350,"hh:mm"),"weekday evenings")&amp;", "&amp;IF(AD350&lt;&gt;"","£"&amp;IF(AD350=INT(AD350),TEXT(AD350,"0"),TEXT(AD350,"0.00")),"[PRICE PER PLAYER]")&amp;" pp. We handle booking and payments. Up for a team game? "&amp;IF(AL350&lt;&gt;"",AL350,IF(Offer!$C$5&lt;&gt;"",Offer!$C$5,"[NAME]")),300))</f>
        <v/>
      </c>
      <c r="AI350" s="14">
        <f>LEN(AH350)</f>
        <v/>
      </c>
      <c r="AJ350" s="14">
        <f>"Thanks for connecting"&amp;IF(O350&lt;&gt;"",", "&amp;O350,"")&amp;". "&amp;IF(ISNUMBER(AB350),"The "&amp;AC350&amp;" slot at "&amp;X350&amp;" is "&amp;IF(ISNUMBER(AB350),TEXT(AB350,"ddd d mmm")&amp;", "&amp;TEXT(AB350,"hh:mm"),"weekday evenings"),"We can book "&amp;AC350&amp;" at "&amp;X350&amp;" on a weekday evening that suits you")&amp;" and it's "&amp;IF(AD350&lt;&gt;"","£"&amp;IF(AD350=INT(AD350),TEXT(AD350,"0"),TEXT(AD350,"0.00")),"[PRICE PER PLAYER]")&amp;" a player, all booked and paid through one link. If football isn't your thing, who at "&amp;F350&amp;" would be the right person to organise a team game?"&amp;IF(Offer!$C$7&lt;&gt;""," Spots are held until "&amp;TEXT(Offer!$C$7,"dddd d mmmm")&amp;".","")&amp;" "&amp;IF(Offer!$C$6&lt;&gt;"",Offer!$C$6,"[JOINING LINK]")</f>
        <v/>
      </c>
      <c r="AK350" s="14">
        <f>IF(OR(ISNUMBER(SEARCH("[",AG350)),ISNUMBER(SEARCH("[",AJ350))),"Fill placeholders",IF(ISNUMBER(AB350),"Ready to send","Ready · no fixed slot"))</f>
        <v/>
      </c>
      <c r="AN350" s="17" t="n"/>
    </row>
    <row r="351">
      <c r="A351" s="11" t="n">
        <v>349</v>
      </c>
      <c r="B351" s="11" t="n">
        <v>3</v>
      </c>
      <c r="C351" s="11" t="inlineStr">
        <is>
          <t>Fund / asset manager</t>
        </is>
      </c>
      <c r="D351" s="11" t="inlineStr">
        <is>
          <t>City of London</t>
        </is>
      </c>
      <c r="E351" s="11" t="inlineStr">
        <is>
          <t>Embark Investments Limited</t>
        </is>
      </c>
      <c r="F351" s="11" t="inlineStr">
        <is>
          <t>Embark Investments</t>
        </is>
      </c>
      <c r="G351" s="11" t="inlineStr">
        <is>
          <t>03383730</t>
        </is>
      </c>
      <c r="H351" s="12" t="inlineStr">
        <is>
          <t>Open</t>
        </is>
      </c>
      <c r="I351" s="12" t="inlineStr">
        <is>
          <t>Search</t>
        </is>
      </c>
      <c r="J351" s="11" t="inlineStr">
        <is>
          <t>Full</t>
        </is>
      </c>
      <c r="K351" s="13" t="n">
        <v>35590</v>
      </c>
      <c r="L351" s="11" t="inlineStr">
        <is>
          <t>33 Old Broad Street, London</t>
        </is>
      </c>
      <c r="M351" s="11" t="inlineStr">
        <is>
          <t>EC2N 1HZ</t>
        </is>
      </c>
      <c r="N351" s="11" t="inlineStr">
        <is>
          <t>No</t>
        </is>
      </c>
      <c r="U351" s="11" t="inlineStr">
        <is>
          <t>Liverpool St - Attlee Centre</t>
        </is>
      </c>
      <c r="V351" s="11" t="n">
        <v>13</v>
      </c>
      <c r="W351" s="11" t="inlineStr">
        <is>
          <t>Shoreditch Powerleague (16)</t>
        </is>
      </c>
      <c r="X351" s="11" t="inlineStr">
        <is>
          <t>Shoreditch Powerleague</t>
        </is>
      </c>
      <c r="Y351" s="11" t="n">
        <v>16</v>
      </c>
      <c r="Z351" s="14">
        <f>IFERROR(INDEX(Venues!$E$2:$E$15,MATCH(X351,Venues!$A$2:$A$15,0)),"Not checked")</f>
        <v/>
      </c>
      <c r="AA351" s="14">
        <f>IFERROR(INDEX(Venues!$F$2:$F$15,MATCH(X351,Venues!$A$2:$A$15,0)),0)</f>
        <v/>
      </c>
      <c r="AB351" s="15">
        <f>IFERROR(INDEX(Venues!$M$2:$M$15,MATCH(X351,Venues!$A$2:$A$15,0)),"")</f>
        <v/>
      </c>
      <c r="AC351" s="14">
        <f>IFERROR(INDEX(Venues!$N$2:$N$15,MATCH(X351,Venues!$A$2:$A$15,0)),"5-a-side")</f>
        <v/>
      </c>
      <c r="AD351" s="16">
        <f>IF(Offer!$C$4="","",Offer!$C$4)</f>
        <v/>
      </c>
      <c r="AE351" s="14">
        <f>X351&amp;" ("&amp;Y351&amp;" min walk) · "&amp;IF(ISNUMBER(AB351),TEXT(AB351,"ddd d mmm, hh:mm"),"slot to confirm with venue")&amp;" · "&amp;AC351&amp;" · "&amp;IF(AD351&lt;&gt;"","£"&amp;TEXT(AD351,"0.00")&amp;" pp","price TBC")</f>
        <v/>
      </c>
      <c r="AF351" s="14">
        <f>"After-work football for "&amp;F351&amp;" · "&amp;X351&amp;", "&amp;Y351&amp;" min from your office"</f>
        <v/>
      </c>
      <c r="AG351" s="14">
        <f>"Hi"&amp;IF(O351&lt;&gt;""," "&amp;O351,"")&amp;","&amp;CHAR(10)&amp;CHAR(10)&amp;"I'm "&amp;IF(AL351&lt;&gt;"",AL351,IF(Offer!$C$5&lt;&gt;"",Offer!$C$5,"[NAME]"))&amp;" from FC Urban. We organise after-work football for teams in the City and Canary Wharf."&amp;CHAR(10)&amp;CHAR(10)&amp;"We have a "&amp;AC351&amp;" pitch at "&amp;X351&amp;", "&amp;IF(OR(Y351=8,Y351=11,Y351=18),"an ","a ")&amp;Y351&amp;"-minute walk from your "&amp;M351&amp;" office, "&amp;IF(ISNUMBER(AB351),"on "&amp;TEXT(AB351,"dddd d mmmm")&amp;" at "&amp;TEXT(AB351,"hh:mm"),"on a weekday evening that suits your team")&amp;". It's "&amp;IF(AD351&lt;&gt;"","£"&amp;IF(AD351=INT(AD351),TEXT(AD351,"0"),TEXT(AD351,"0.00")),"[PRICE PER PLAYER]")&amp;" a player and we handle the pitch booking, sign-ups and payments, so all it takes is one person sharing a link with the team."&amp;CHAR(10)&amp;CHAR(10)&amp;"It works well as a team social or "&amp;IF(ISNUMBER(SEARCH(LEFT(F351,1),"AEIOU")),"an ","a ")&amp;F351&amp;"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LINK]")&amp;CHAR(10)&amp;CHAR(10)&amp;"Best,"&amp;CHAR(10)&amp;IF(AL351&lt;&gt;"",AL351,IF(Offer!$C$5&lt;&gt;"",Offer!$C$5,"[NAME]"))&amp;CHAR(10)&amp;"FC Urban"</f>
        <v/>
      </c>
      <c r="AH351" s="14">
        <f>IF(LEN("Hi"&amp;IF(O351&lt;&gt;""," "&amp;O351,"")&amp;","&amp;" FC Urban runs after-work football for "&amp;IF(D351="Canary Wharf","Canary Wharf","City")&amp;" teams. We have a "&amp;AC351&amp;" pitch at "&amp;X351&amp;", "&amp;Y351&amp;" min from your office, "&amp;IF(ISNUMBER(AB351),TEXT(AB351,"ddd d mmm")&amp;", "&amp;TEXT(AB351,"hh:mm"),"weekday evenings")&amp;", "&amp;IF(AD351&lt;&gt;"","£"&amp;IF(AD351=INT(AD351),TEXT(AD351,"0"),TEXT(AD351,"0.00")),"[PRICE PER PLAYER]")&amp;" a player. We handle booking, sign-ups and payments. Fancy "&amp;IF(ISNUMBER(SEARCH(LEFT(F351,1),"AEIOU")),"an ","a ")&amp;F351&amp;" team game? "&amp;IF(AL351&lt;&gt;"",AL351,IF(Offer!$C$5&lt;&gt;"",Offer!$C$5,"[NAME]")))&lt;=300,"Hi"&amp;IF(O351&lt;&gt;""," "&amp;O351,"")&amp;","&amp;" FC Urban runs after-work football for "&amp;IF(D351="Canary Wharf","Canary Wharf","City")&amp;" teams. We have a "&amp;AC351&amp;" pitch at "&amp;X351&amp;", "&amp;Y351&amp;" min from your office, "&amp;IF(ISNUMBER(AB351),TEXT(AB351,"ddd d mmm")&amp;", "&amp;TEXT(AB351,"hh:mm"),"weekday evenings")&amp;", "&amp;IF(AD351&lt;&gt;"","£"&amp;IF(AD351=INT(AD351),TEXT(AD351,"0"),TEXT(AD351,"0.00")),"[PRICE PER PLAYER]")&amp;" a player. We handle booking, sign-ups and payments. Fancy "&amp;IF(ISNUMBER(SEARCH(LEFT(F351,1),"AEIOU")),"an ","a ")&amp;F351&amp;" team game? "&amp;IF(AL351&lt;&gt;"",AL351,IF(Offer!$C$5&lt;&gt;"",Offer!$C$5,"[NAME]")),LEFT("Hi"&amp;IF(O351&lt;&gt;""," "&amp;O351,"")&amp;","&amp;" FC Urban runs after-work football for "&amp;IF(D351="Canary Wharf","Canary Wharf","City")&amp;" teams: "&amp;AC351&amp;" at "&amp;X351&amp;", "&amp;Y351&amp;" min from your office, "&amp;IF(ISNUMBER(AB351),TEXT(AB351,"ddd d mmm")&amp;", "&amp;TEXT(AB351,"hh:mm"),"weekday evenings")&amp;", "&amp;IF(AD351&lt;&gt;"","£"&amp;IF(AD351=INT(AD351),TEXT(AD351,"0"),TEXT(AD351,"0.00")),"[PRICE PER PLAYER]")&amp;" pp. We handle booking and payments. Up for a team game? "&amp;IF(AL351&lt;&gt;"",AL351,IF(Offer!$C$5&lt;&gt;"",Offer!$C$5,"[NAME]")),300))</f>
        <v/>
      </c>
      <c r="AI351" s="14">
        <f>LEN(AH351)</f>
        <v/>
      </c>
      <c r="AJ351" s="14">
        <f>"Thanks for connecting"&amp;IF(O351&lt;&gt;"",", "&amp;O351,"")&amp;". "&amp;IF(ISNUMBER(AB351),"The "&amp;AC351&amp;" slot at "&amp;X351&amp;" is "&amp;IF(ISNUMBER(AB351),TEXT(AB351,"ddd d mmm")&amp;", "&amp;TEXT(AB351,"hh:mm"),"weekday evenings"),"We can book "&amp;AC351&amp;" at "&amp;X351&amp;" on a weekday evening that suits you")&amp;" and it's "&amp;IF(AD351&lt;&gt;"","£"&amp;IF(AD351=INT(AD351),TEXT(AD351,"0"),TEXT(AD351,"0.00")),"[PRICE PER PLAYER]")&amp;" a player, all booked and paid through one link. If football isn't your thing, who at "&amp;F351&amp;" would be the right person to organise a team game?"&amp;IF(Offer!$C$7&lt;&gt;""," Spots are held until "&amp;TEXT(Offer!$C$7,"dddd d mmmm")&amp;".","")&amp;" "&amp;IF(Offer!$C$6&lt;&gt;"",Offer!$C$6,"[JOINING LINK]")</f>
        <v/>
      </c>
      <c r="AK351" s="14">
        <f>IF(OR(ISNUMBER(SEARCH("[",AG351)),ISNUMBER(SEARCH("[",AJ351))),"Fill placeholders",IF(ISNUMBER(AB351),"Ready to send","Ready · no fixed slot"))</f>
        <v/>
      </c>
      <c r="AN351" s="17" t="n"/>
    </row>
    <row r="352">
      <c r="A352" s="11" t="n">
        <v>350</v>
      </c>
      <c r="B352" s="11" t="n">
        <v>3</v>
      </c>
      <c r="C352" s="11" t="inlineStr">
        <is>
          <t>Insurance / broker</t>
        </is>
      </c>
      <c r="D352" s="11" t="inlineStr">
        <is>
          <t>City of London</t>
        </is>
      </c>
      <c r="E352" s="11" t="inlineStr">
        <is>
          <t>Am Specialty Insurance Company (UK) Ltd</t>
        </is>
      </c>
      <c r="F352" s="11" t="inlineStr">
        <is>
          <t>Am Specialty Insurance Company</t>
        </is>
      </c>
      <c r="G352" s="11" t="inlineStr">
        <is>
          <t>16608704</t>
        </is>
      </c>
      <c r="H352" s="12" t="inlineStr">
        <is>
          <t>Open</t>
        </is>
      </c>
      <c r="I352" s="12" t="inlineStr">
        <is>
          <t>Search</t>
        </is>
      </c>
      <c r="J352" s="11" t="inlineStr">
        <is>
          <t>Full</t>
        </is>
      </c>
      <c r="K352" s="13" t="n">
        <v>45866</v>
      </c>
      <c r="L352" s="11" t="inlineStr">
        <is>
          <t>21 Lime Street, London</t>
        </is>
      </c>
      <c r="M352" s="11" t="inlineStr">
        <is>
          <t>EC3M 7HB</t>
        </is>
      </c>
      <c r="N352" s="11" t="inlineStr">
        <is>
          <t>No</t>
        </is>
      </c>
      <c r="U352" s="11" t="inlineStr">
        <is>
          <t>Liverpool St - Attlee Centre</t>
        </is>
      </c>
      <c r="V352" s="11" t="n">
        <v>16</v>
      </c>
      <c r="W352" s="11" t="n"/>
      <c r="X352" s="11" t="inlineStr">
        <is>
          <t>Liverpool St - Attlee Centre</t>
        </is>
      </c>
      <c r="Y352" s="11" t="n">
        <v>16</v>
      </c>
      <c r="Z352" s="14">
        <f>IFERROR(INDEX(Venues!$E$2:$E$15,MATCH(X352,Venues!$A$2:$A$15,0)),"Not checked")</f>
        <v/>
      </c>
      <c r="AA352" s="14">
        <f>IFERROR(INDEX(Venues!$F$2:$F$15,MATCH(X352,Venues!$A$2:$A$15,0)),0)</f>
        <v/>
      </c>
      <c r="AB352" s="15">
        <f>IFERROR(INDEX(Venues!$M$2:$M$15,MATCH(X352,Venues!$A$2:$A$15,0)),"")</f>
        <v/>
      </c>
      <c r="AC352" s="14">
        <f>IFERROR(INDEX(Venues!$N$2:$N$15,MATCH(X352,Venues!$A$2:$A$15,0)),"5-a-side")</f>
        <v/>
      </c>
      <c r="AD352" s="16">
        <f>IF(Offer!$C$4="","",Offer!$C$4)</f>
        <v/>
      </c>
      <c r="AE352" s="14">
        <f>X352&amp;" ("&amp;Y352&amp;" min walk) · "&amp;IF(ISNUMBER(AB352),TEXT(AB352,"ddd d mmm, hh:mm"),"slot to confirm with venue")&amp;" · "&amp;AC352&amp;" · "&amp;IF(AD352&lt;&gt;"","£"&amp;TEXT(AD352,"0.00")&amp;" pp","price TBC")</f>
        <v/>
      </c>
      <c r="AF352" s="14">
        <f>"After-work football for "&amp;F352&amp;" · "&amp;X352&amp;", "&amp;Y352&amp;" min from your office"</f>
        <v/>
      </c>
      <c r="AG352" s="14">
        <f>"Hi"&amp;IF(O352&lt;&gt;""," "&amp;O352,"")&amp;","&amp;CHAR(10)&amp;CHAR(10)&amp;"I'm "&amp;IF(AL352&lt;&gt;"",AL352,IF(Offer!$C$5&lt;&gt;"",Offer!$C$5,"[NAME]"))&amp;" from FC Urban. We organise after-work football for teams in the City and Canary Wharf."&amp;CHAR(10)&amp;CHAR(10)&amp;"We have a "&amp;AC352&amp;" pitch at "&amp;X352&amp;", "&amp;IF(OR(Y352=8,Y352=11,Y352=18),"an ","a ")&amp;Y352&amp;"-minute walk from your "&amp;M352&amp;" office, "&amp;IF(ISNUMBER(AB352),"on "&amp;TEXT(AB352,"dddd d mmmm")&amp;" at "&amp;TEXT(AB352,"hh:mm"),"on a weekday evening that suits your team")&amp;". It's "&amp;IF(AD352&lt;&gt;"","£"&amp;IF(AD352=INT(AD352),TEXT(AD352,"0"),TEXT(AD352,"0.00")),"[PRICE PER PLAYER]")&amp;" a player and we handle the pitch booking, sign-ups and payments, so all it takes is one person sharing a link with the team."&amp;CHAR(10)&amp;CHAR(10)&amp;"It works well as a team social or "&amp;IF(ISNUMBER(SEARCH(LEFT(F352,1),"AEIOU")),"an ","a ")&amp;F352&amp;"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LINK]")&amp;CHAR(10)&amp;CHAR(10)&amp;"Best,"&amp;CHAR(10)&amp;IF(AL352&lt;&gt;"",AL352,IF(Offer!$C$5&lt;&gt;"",Offer!$C$5,"[NAME]"))&amp;CHAR(10)&amp;"FC Urban"</f>
        <v/>
      </c>
      <c r="AH352" s="14">
        <f>IF(LEN("Hi"&amp;IF(O352&lt;&gt;""," "&amp;O352,"")&amp;","&amp;" FC Urban runs after-work football for "&amp;IF(D352="Canary Wharf","Canary Wharf","City")&amp;" teams. We have a "&amp;AC352&amp;" pitch at "&amp;X352&amp;", "&amp;Y352&amp;" min from your office, "&amp;IF(ISNUMBER(AB352),TEXT(AB352,"ddd d mmm")&amp;", "&amp;TEXT(AB352,"hh:mm"),"weekday evenings")&amp;", "&amp;IF(AD352&lt;&gt;"","£"&amp;IF(AD352=INT(AD352),TEXT(AD352,"0"),TEXT(AD352,"0.00")),"[PRICE PER PLAYER]")&amp;" a player. We handle booking, sign-ups and payments. Fancy "&amp;IF(ISNUMBER(SEARCH(LEFT(F352,1),"AEIOU")),"an ","a ")&amp;F352&amp;" team game? "&amp;IF(AL352&lt;&gt;"",AL352,IF(Offer!$C$5&lt;&gt;"",Offer!$C$5,"[NAME]")))&lt;=300,"Hi"&amp;IF(O352&lt;&gt;""," "&amp;O352,"")&amp;","&amp;" FC Urban runs after-work football for "&amp;IF(D352="Canary Wharf","Canary Wharf","City")&amp;" teams. We have a "&amp;AC352&amp;" pitch at "&amp;X352&amp;", "&amp;Y352&amp;" min from your office, "&amp;IF(ISNUMBER(AB352),TEXT(AB352,"ddd d mmm")&amp;", "&amp;TEXT(AB352,"hh:mm"),"weekday evenings")&amp;", "&amp;IF(AD352&lt;&gt;"","£"&amp;IF(AD352=INT(AD352),TEXT(AD352,"0"),TEXT(AD352,"0.00")),"[PRICE PER PLAYER]")&amp;" a player. We handle booking, sign-ups and payments. Fancy "&amp;IF(ISNUMBER(SEARCH(LEFT(F352,1),"AEIOU")),"an ","a ")&amp;F352&amp;" team game? "&amp;IF(AL352&lt;&gt;"",AL352,IF(Offer!$C$5&lt;&gt;"",Offer!$C$5,"[NAME]")),LEFT("Hi"&amp;IF(O352&lt;&gt;""," "&amp;O352,"")&amp;","&amp;" FC Urban runs after-work football for "&amp;IF(D352="Canary Wharf","Canary Wharf","City")&amp;" teams: "&amp;AC352&amp;" at "&amp;X352&amp;", "&amp;Y352&amp;" min from your office, "&amp;IF(ISNUMBER(AB352),TEXT(AB352,"ddd d mmm")&amp;", "&amp;TEXT(AB352,"hh:mm"),"weekday evenings")&amp;", "&amp;IF(AD352&lt;&gt;"","£"&amp;IF(AD352=INT(AD352),TEXT(AD352,"0"),TEXT(AD352,"0.00")),"[PRICE PER PLAYER]")&amp;" pp. We handle booking and payments. Up for a team game? "&amp;IF(AL352&lt;&gt;"",AL352,IF(Offer!$C$5&lt;&gt;"",Offer!$C$5,"[NAME]")),300))</f>
        <v/>
      </c>
      <c r="AI352" s="14">
        <f>LEN(AH352)</f>
        <v/>
      </c>
      <c r="AJ352" s="14">
        <f>"Thanks for connecting"&amp;IF(O352&lt;&gt;"",", "&amp;O352,"")&amp;". "&amp;IF(ISNUMBER(AB352),"The "&amp;AC352&amp;" slot at "&amp;X352&amp;" is "&amp;IF(ISNUMBER(AB352),TEXT(AB352,"ddd d mmm")&amp;", "&amp;TEXT(AB352,"hh:mm"),"weekday evenings"),"We can book "&amp;AC352&amp;" at "&amp;X352&amp;" on a weekday evening that suits you")&amp;" and it's "&amp;IF(AD352&lt;&gt;"","£"&amp;IF(AD352=INT(AD352),TEXT(AD352,"0"),TEXT(AD352,"0.00")),"[PRICE PER PLAYER]")&amp;" a player, all booked and paid through one link. If football isn't your thing, who at "&amp;F352&amp;" would be the right person to organise a team game?"&amp;IF(Offer!$C$7&lt;&gt;""," Spots are held until "&amp;TEXT(Offer!$C$7,"dddd d mmmm")&amp;".","")&amp;" "&amp;IF(Offer!$C$6&lt;&gt;"",Offer!$C$6,"[JOINING LINK]")</f>
        <v/>
      </c>
      <c r="AK352" s="14">
        <f>IF(OR(ISNUMBER(SEARCH("[",AG352)),ISNUMBER(SEARCH("[",AJ352))),"Fill placeholders",IF(ISNUMBER(AB352),"Ready to send","Ready · no fixed slot"))</f>
        <v/>
      </c>
      <c r="AN352" s="17" t="n"/>
    </row>
    <row r="353">
      <c r="A353" s="11" t="n">
        <v>351</v>
      </c>
      <c r="B353" s="11" t="n">
        <v>3</v>
      </c>
      <c r="C353" s="11" t="inlineStr">
        <is>
          <t>Insurance / broker</t>
        </is>
      </c>
      <c r="D353" s="11" t="inlineStr">
        <is>
          <t>City of London</t>
        </is>
      </c>
      <c r="E353" s="11" t="inlineStr">
        <is>
          <t>Antares Global Management Limited</t>
        </is>
      </c>
      <c r="F353" s="11" t="inlineStr">
        <is>
          <t>Antares Global Management</t>
        </is>
      </c>
      <c r="G353" s="11" t="inlineStr">
        <is>
          <t>02676622</t>
        </is>
      </c>
      <c r="H353" s="12" t="inlineStr">
        <is>
          <t>Open</t>
        </is>
      </c>
      <c r="I353" s="12" t="inlineStr">
        <is>
          <t>Search</t>
        </is>
      </c>
      <c r="J353" s="11" t="inlineStr">
        <is>
          <t>Full</t>
        </is>
      </c>
      <c r="K353" s="13" t="n">
        <v>33613</v>
      </c>
      <c r="L353" s="11" t="inlineStr">
        <is>
          <t>21 Lime Street, London</t>
        </is>
      </c>
      <c r="M353" s="11" t="inlineStr">
        <is>
          <t>EC3M 7HB</t>
        </is>
      </c>
      <c r="N353" s="11" t="inlineStr">
        <is>
          <t>No</t>
        </is>
      </c>
      <c r="U353" s="11" t="inlineStr">
        <is>
          <t>Liverpool St - Attlee Centre</t>
        </is>
      </c>
      <c r="V353" s="11" t="n">
        <v>16</v>
      </c>
      <c r="W353" s="11" t="n"/>
      <c r="X353" s="11" t="inlineStr">
        <is>
          <t>Liverpool St - Attlee Centre</t>
        </is>
      </c>
      <c r="Y353" s="11" t="n">
        <v>16</v>
      </c>
      <c r="Z353" s="14">
        <f>IFERROR(INDEX(Venues!$E$2:$E$15,MATCH(X353,Venues!$A$2:$A$15,0)),"Not checked")</f>
        <v/>
      </c>
      <c r="AA353" s="14">
        <f>IFERROR(INDEX(Venues!$F$2:$F$15,MATCH(X353,Venues!$A$2:$A$15,0)),0)</f>
        <v/>
      </c>
      <c r="AB353" s="15">
        <f>IFERROR(INDEX(Venues!$M$2:$M$15,MATCH(X353,Venues!$A$2:$A$15,0)),"")</f>
        <v/>
      </c>
      <c r="AC353" s="14">
        <f>IFERROR(INDEX(Venues!$N$2:$N$15,MATCH(X353,Venues!$A$2:$A$15,0)),"5-a-side")</f>
        <v/>
      </c>
      <c r="AD353" s="16">
        <f>IF(Offer!$C$4="","",Offer!$C$4)</f>
        <v/>
      </c>
      <c r="AE353" s="14">
        <f>X353&amp;" ("&amp;Y353&amp;" min walk) · "&amp;IF(ISNUMBER(AB353),TEXT(AB353,"ddd d mmm, hh:mm"),"slot to confirm with venue")&amp;" · "&amp;AC353&amp;" · "&amp;IF(AD353&lt;&gt;"","£"&amp;TEXT(AD353,"0.00")&amp;" pp","price TBC")</f>
        <v/>
      </c>
      <c r="AF353" s="14">
        <f>"After-work football for "&amp;F353&amp;" · "&amp;X353&amp;", "&amp;Y353&amp;" min from your office"</f>
        <v/>
      </c>
      <c r="AG353" s="14">
        <f>"Hi"&amp;IF(O353&lt;&gt;""," "&amp;O353,"")&amp;","&amp;CHAR(10)&amp;CHAR(10)&amp;"I'm "&amp;IF(AL353&lt;&gt;"",AL353,IF(Offer!$C$5&lt;&gt;"",Offer!$C$5,"[NAME]"))&amp;" from FC Urban. We organise after-work football for teams in the City and Canary Wharf."&amp;CHAR(10)&amp;CHAR(10)&amp;"We have a "&amp;AC353&amp;" pitch at "&amp;X353&amp;", "&amp;IF(OR(Y353=8,Y353=11,Y353=18),"an ","a ")&amp;Y353&amp;"-minute walk from your "&amp;M353&amp;" office, "&amp;IF(ISNUMBER(AB353),"on "&amp;TEXT(AB353,"dddd d mmmm")&amp;" at "&amp;TEXT(AB353,"hh:mm"),"on a weekday evening that suits your team")&amp;". It's "&amp;IF(AD353&lt;&gt;"","£"&amp;IF(AD353=INT(AD353),TEXT(AD353,"0"),TEXT(AD353,"0.00")),"[PRICE PER PLAYER]")&amp;" a player and we handle the pitch booking, sign-ups and payments, so all it takes is one person sharing a link with the team."&amp;CHAR(10)&amp;CHAR(10)&amp;"It works well as a team social or "&amp;IF(ISNUMBER(SEARCH(LEFT(F353,1),"AEIOU")),"an ","a ")&amp;F353&amp;"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LINK]")&amp;CHAR(10)&amp;CHAR(10)&amp;"Best,"&amp;CHAR(10)&amp;IF(AL353&lt;&gt;"",AL353,IF(Offer!$C$5&lt;&gt;"",Offer!$C$5,"[NAME]"))&amp;CHAR(10)&amp;"FC Urban"</f>
        <v/>
      </c>
      <c r="AH353" s="14">
        <f>IF(LEN("Hi"&amp;IF(O353&lt;&gt;""," "&amp;O353,"")&amp;","&amp;" FC Urban runs after-work football for "&amp;IF(D353="Canary Wharf","Canary Wharf","City")&amp;" teams. We have a "&amp;AC353&amp;" pitch at "&amp;X353&amp;", "&amp;Y353&amp;" min from your office, "&amp;IF(ISNUMBER(AB353),TEXT(AB353,"ddd d mmm")&amp;", "&amp;TEXT(AB353,"hh:mm"),"weekday evenings")&amp;", "&amp;IF(AD353&lt;&gt;"","£"&amp;IF(AD353=INT(AD353),TEXT(AD353,"0"),TEXT(AD353,"0.00")),"[PRICE PER PLAYER]")&amp;" a player. We handle booking, sign-ups and payments. Fancy "&amp;IF(ISNUMBER(SEARCH(LEFT(F353,1),"AEIOU")),"an ","a ")&amp;F353&amp;" team game? "&amp;IF(AL353&lt;&gt;"",AL353,IF(Offer!$C$5&lt;&gt;"",Offer!$C$5,"[NAME]")))&lt;=300,"Hi"&amp;IF(O353&lt;&gt;""," "&amp;O353,"")&amp;","&amp;" FC Urban runs after-work football for "&amp;IF(D353="Canary Wharf","Canary Wharf","City")&amp;" teams. We have a "&amp;AC353&amp;" pitch at "&amp;X353&amp;", "&amp;Y353&amp;" min from your office, "&amp;IF(ISNUMBER(AB353),TEXT(AB353,"ddd d mmm")&amp;", "&amp;TEXT(AB353,"hh:mm"),"weekday evenings")&amp;", "&amp;IF(AD353&lt;&gt;"","£"&amp;IF(AD353=INT(AD353),TEXT(AD353,"0"),TEXT(AD353,"0.00")),"[PRICE PER PLAYER]")&amp;" a player. We handle booking, sign-ups and payments. Fancy "&amp;IF(ISNUMBER(SEARCH(LEFT(F353,1),"AEIOU")),"an ","a ")&amp;F353&amp;" team game? "&amp;IF(AL353&lt;&gt;"",AL353,IF(Offer!$C$5&lt;&gt;"",Offer!$C$5,"[NAME]")),LEFT("Hi"&amp;IF(O353&lt;&gt;""," "&amp;O353,"")&amp;","&amp;" FC Urban runs after-work football for "&amp;IF(D353="Canary Wharf","Canary Wharf","City")&amp;" teams: "&amp;AC353&amp;" at "&amp;X353&amp;", "&amp;Y353&amp;" min from your office, "&amp;IF(ISNUMBER(AB353),TEXT(AB353,"ddd d mmm")&amp;", "&amp;TEXT(AB353,"hh:mm"),"weekday evenings")&amp;", "&amp;IF(AD353&lt;&gt;"","£"&amp;IF(AD353=INT(AD353),TEXT(AD353,"0"),TEXT(AD353,"0.00")),"[PRICE PER PLAYER]")&amp;" pp. We handle booking and payments. Up for a team game? "&amp;IF(AL353&lt;&gt;"",AL353,IF(Offer!$C$5&lt;&gt;"",Offer!$C$5,"[NAME]")),300))</f>
        <v/>
      </c>
      <c r="AI353" s="14">
        <f>LEN(AH353)</f>
        <v/>
      </c>
      <c r="AJ353" s="14">
        <f>"Thanks for connecting"&amp;IF(O353&lt;&gt;"",", "&amp;O353,"")&amp;". "&amp;IF(ISNUMBER(AB353),"The "&amp;AC353&amp;" slot at "&amp;X353&amp;" is "&amp;IF(ISNUMBER(AB353),TEXT(AB353,"ddd d mmm")&amp;", "&amp;TEXT(AB353,"hh:mm"),"weekday evenings"),"We can book "&amp;AC353&amp;" at "&amp;X353&amp;" on a weekday evening that suits you")&amp;" and it's "&amp;IF(AD353&lt;&gt;"","£"&amp;IF(AD353=INT(AD353),TEXT(AD353,"0"),TEXT(AD353,"0.00")),"[PRICE PER PLAYER]")&amp;" a player, all booked and paid through one link. If football isn't your thing, who at "&amp;F353&amp;" would be the right person to organise a team game?"&amp;IF(Offer!$C$7&lt;&gt;""," Spots are held until "&amp;TEXT(Offer!$C$7,"dddd d mmmm")&amp;".","")&amp;" "&amp;IF(Offer!$C$6&lt;&gt;"",Offer!$C$6,"[JOINING LINK]")</f>
        <v/>
      </c>
      <c r="AK353" s="14">
        <f>IF(OR(ISNUMBER(SEARCH("[",AG353)),ISNUMBER(SEARCH("[",AJ353))),"Fill placeholders",IF(ISNUMBER(AB353),"Ready to send","Ready · no fixed slot"))</f>
        <v/>
      </c>
      <c r="AN353" s="17" t="n"/>
    </row>
    <row r="354">
      <c r="A354" s="11" t="n">
        <v>352</v>
      </c>
      <c r="B354" s="11" t="n">
        <v>3</v>
      </c>
      <c r="C354" s="11" t="inlineStr">
        <is>
          <t>Insurance / broker</t>
        </is>
      </c>
      <c r="D354" s="11" t="inlineStr">
        <is>
          <t>City of London</t>
        </is>
      </c>
      <c r="E354" s="11" t="inlineStr">
        <is>
          <t>Asteri Re Limited</t>
        </is>
      </c>
      <c r="F354" s="11" t="inlineStr">
        <is>
          <t>Asteri Re</t>
        </is>
      </c>
      <c r="G354" s="11" t="inlineStr">
        <is>
          <t>15955888</t>
        </is>
      </c>
      <c r="H354" s="12" t="inlineStr">
        <is>
          <t>Open</t>
        </is>
      </c>
      <c r="I354" s="12" t="inlineStr">
        <is>
          <t>Search</t>
        </is>
      </c>
      <c r="J354" s="11" t="inlineStr">
        <is>
          <t>Full</t>
        </is>
      </c>
      <c r="K354" s="13" t="n">
        <v>45548</v>
      </c>
      <c r="L354" s="11" t="inlineStr">
        <is>
          <t>21 Lime Street, London</t>
        </is>
      </c>
      <c r="M354" s="11" t="inlineStr">
        <is>
          <t>EC3M 7HB</t>
        </is>
      </c>
      <c r="N354" s="11" t="inlineStr">
        <is>
          <t>No</t>
        </is>
      </c>
      <c r="U354" s="11" t="inlineStr">
        <is>
          <t>Liverpool St - Attlee Centre</t>
        </is>
      </c>
      <c r="V354" s="11" t="n">
        <v>16</v>
      </c>
      <c r="W354" s="11" t="n"/>
      <c r="X354" s="11" t="inlineStr">
        <is>
          <t>Liverpool St - Attlee Centre</t>
        </is>
      </c>
      <c r="Y354" s="11" t="n">
        <v>16</v>
      </c>
      <c r="Z354" s="14">
        <f>IFERROR(INDEX(Venues!$E$2:$E$15,MATCH(X354,Venues!$A$2:$A$15,0)),"Not checked")</f>
        <v/>
      </c>
      <c r="AA354" s="14">
        <f>IFERROR(INDEX(Venues!$F$2:$F$15,MATCH(X354,Venues!$A$2:$A$15,0)),0)</f>
        <v/>
      </c>
      <c r="AB354" s="15">
        <f>IFERROR(INDEX(Venues!$M$2:$M$15,MATCH(X354,Venues!$A$2:$A$15,0)),"")</f>
        <v/>
      </c>
      <c r="AC354" s="14">
        <f>IFERROR(INDEX(Venues!$N$2:$N$15,MATCH(X354,Venues!$A$2:$A$15,0)),"5-a-side")</f>
        <v/>
      </c>
      <c r="AD354" s="16">
        <f>IF(Offer!$C$4="","",Offer!$C$4)</f>
        <v/>
      </c>
      <c r="AE354" s="14">
        <f>X354&amp;" ("&amp;Y354&amp;" min walk) · "&amp;IF(ISNUMBER(AB354),TEXT(AB354,"ddd d mmm, hh:mm"),"slot to confirm with venue")&amp;" · "&amp;AC354&amp;" · "&amp;IF(AD354&lt;&gt;"","£"&amp;TEXT(AD354,"0.00")&amp;" pp","price TBC")</f>
        <v/>
      </c>
      <c r="AF354" s="14">
        <f>"After-work football for "&amp;F354&amp;" · "&amp;X354&amp;", "&amp;Y354&amp;" min from your office"</f>
        <v/>
      </c>
      <c r="AG354" s="14">
        <f>"Hi"&amp;IF(O354&lt;&gt;""," "&amp;O354,"")&amp;","&amp;CHAR(10)&amp;CHAR(10)&amp;"I'm "&amp;IF(AL354&lt;&gt;"",AL354,IF(Offer!$C$5&lt;&gt;"",Offer!$C$5,"[NAME]"))&amp;" from FC Urban. We organise after-work football for teams in the City and Canary Wharf."&amp;CHAR(10)&amp;CHAR(10)&amp;"We have a "&amp;AC354&amp;" pitch at "&amp;X354&amp;", "&amp;IF(OR(Y354=8,Y354=11,Y354=18),"an ","a ")&amp;Y354&amp;"-minute walk from your "&amp;M354&amp;" office, "&amp;IF(ISNUMBER(AB354),"on "&amp;TEXT(AB354,"dddd d mmmm")&amp;" at "&amp;TEXT(AB354,"hh:mm"),"on a weekday evening that suits your team")&amp;". It's "&amp;IF(AD354&lt;&gt;"","£"&amp;IF(AD354=INT(AD354),TEXT(AD354,"0"),TEXT(AD354,"0.00")),"[PRICE PER PLAYER]")&amp;" a player and we handle the pitch booking, sign-ups and payments, so all it takes is one person sharing a link with the team."&amp;CHAR(10)&amp;CHAR(10)&amp;"It works well as a team social or "&amp;IF(ISNUMBER(SEARCH(LEFT(F354,1),"AEIOU")),"an ","a ")&amp;F354&amp;"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LINK]")&amp;CHAR(10)&amp;CHAR(10)&amp;"Best,"&amp;CHAR(10)&amp;IF(AL354&lt;&gt;"",AL354,IF(Offer!$C$5&lt;&gt;"",Offer!$C$5,"[NAME]"))&amp;CHAR(10)&amp;"FC Urban"</f>
        <v/>
      </c>
      <c r="AH354" s="14">
        <f>IF(LEN("Hi"&amp;IF(O354&lt;&gt;""," "&amp;O354,"")&amp;","&amp;" FC Urban runs after-work football for "&amp;IF(D354="Canary Wharf","Canary Wharf","City")&amp;" teams. We have a "&amp;AC354&amp;" pitch at "&amp;X354&amp;", "&amp;Y354&amp;" min from your office, "&amp;IF(ISNUMBER(AB354),TEXT(AB354,"ddd d mmm")&amp;", "&amp;TEXT(AB354,"hh:mm"),"weekday evenings")&amp;", "&amp;IF(AD354&lt;&gt;"","£"&amp;IF(AD354=INT(AD354),TEXT(AD354,"0"),TEXT(AD354,"0.00")),"[PRICE PER PLAYER]")&amp;" a player. We handle booking, sign-ups and payments. Fancy "&amp;IF(ISNUMBER(SEARCH(LEFT(F354,1),"AEIOU")),"an ","a ")&amp;F354&amp;" team game? "&amp;IF(AL354&lt;&gt;"",AL354,IF(Offer!$C$5&lt;&gt;"",Offer!$C$5,"[NAME]")))&lt;=300,"Hi"&amp;IF(O354&lt;&gt;""," "&amp;O354,"")&amp;","&amp;" FC Urban runs after-work football for "&amp;IF(D354="Canary Wharf","Canary Wharf","City")&amp;" teams. We have a "&amp;AC354&amp;" pitch at "&amp;X354&amp;", "&amp;Y354&amp;" min from your office, "&amp;IF(ISNUMBER(AB354),TEXT(AB354,"ddd d mmm")&amp;", "&amp;TEXT(AB354,"hh:mm"),"weekday evenings")&amp;", "&amp;IF(AD354&lt;&gt;"","£"&amp;IF(AD354=INT(AD354),TEXT(AD354,"0"),TEXT(AD354,"0.00")),"[PRICE PER PLAYER]")&amp;" a player. We handle booking, sign-ups and payments. Fancy "&amp;IF(ISNUMBER(SEARCH(LEFT(F354,1),"AEIOU")),"an ","a ")&amp;F354&amp;" team game? "&amp;IF(AL354&lt;&gt;"",AL354,IF(Offer!$C$5&lt;&gt;"",Offer!$C$5,"[NAME]")),LEFT("Hi"&amp;IF(O354&lt;&gt;""," "&amp;O354,"")&amp;","&amp;" FC Urban runs after-work football for "&amp;IF(D354="Canary Wharf","Canary Wharf","City")&amp;" teams: "&amp;AC354&amp;" at "&amp;X354&amp;", "&amp;Y354&amp;" min from your office, "&amp;IF(ISNUMBER(AB354),TEXT(AB354,"ddd d mmm")&amp;", "&amp;TEXT(AB354,"hh:mm"),"weekday evenings")&amp;", "&amp;IF(AD354&lt;&gt;"","£"&amp;IF(AD354=INT(AD354),TEXT(AD354,"0"),TEXT(AD354,"0.00")),"[PRICE PER PLAYER]")&amp;" pp. We handle booking and payments. Up for a team game? "&amp;IF(AL354&lt;&gt;"",AL354,IF(Offer!$C$5&lt;&gt;"",Offer!$C$5,"[NAME]")),300))</f>
        <v/>
      </c>
      <c r="AI354" s="14">
        <f>LEN(AH354)</f>
        <v/>
      </c>
      <c r="AJ354" s="14">
        <f>"Thanks for connecting"&amp;IF(O354&lt;&gt;"",", "&amp;O354,"")&amp;". "&amp;IF(ISNUMBER(AB354),"The "&amp;AC354&amp;" slot at "&amp;X354&amp;" is "&amp;IF(ISNUMBER(AB354),TEXT(AB354,"ddd d mmm")&amp;", "&amp;TEXT(AB354,"hh:mm"),"weekday evenings"),"We can book "&amp;AC354&amp;" at "&amp;X354&amp;" on a weekday evening that suits you")&amp;" and it's "&amp;IF(AD354&lt;&gt;"","£"&amp;IF(AD354=INT(AD354),TEXT(AD354,"0"),TEXT(AD354,"0.00")),"[PRICE PER PLAYER]")&amp;" a player, all booked and paid through one link. If football isn't your thing, who at "&amp;F354&amp;" would be the right person to organise a team game?"&amp;IF(Offer!$C$7&lt;&gt;""," Spots are held until "&amp;TEXT(Offer!$C$7,"dddd d mmmm")&amp;".","")&amp;" "&amp;IF(Offer!$C$6&lt;&gt;"",Offer!$C$6,"[JOINING LINK]")</f>
        <v/>
      </c>
      <c r="AK354" s="14">
        <f>IF(OR(ISNUMBER(SEARCH("[",AG354)),ISNUMBER(SEARCH("[",AJ354))),"Fill placeholders",IF(ISNUMBER(AB354),"Ready to send","Ready · no fixed slot"))</f>
        <v/>
      </c>
      <c r="AN354" s="17" t="n"/>
    </row>
    <row r="355">
      <c r="A355" s="11" t="n">
        <v>353</v>
      </c>
      <c r="B355" s="11" t="n">
        <v>3</v>
      </c>
      <c r="C355" s="11" t="inlineStr">
        <is>
          <t>Insurance / broker</t>
        </is>
      </c>
      <c r="D355" s="11" t="inlineStr">
        <is>
          <t>City of London</t>
        </is>
      </c>
      <c r="E355" s="11" t="inlineStr">
        <is>
          <t>Pinpoint UK Solutions Ltd</t>
        </is>
      </c>
      <c r="F355" s="11" t="inlineStr">
        <is>
          <t>Pinpoint UK Solutions</t>
        </is>
      </c>
      <c r="G355" s="11" t="inlineStr">
        <is>
          <t>15753305</t>
        </is>
      </c>
      <c r="H355" s="12" t="inlineStr">
        <is>
          <t>Open</t>
        </is>
      </c>
      <c r="I355" s="12" t="inlineStr">
        <is>
          <t>Search</t>
        </is>
      </c>
      <c r="J355" s="11" t="inlineStr">
        <is>
          <t>Full</t>
        </is>
      </c>
      <c r="K355" s="13" t="n">
        <v>45443</v>
      </c>
      <c r="L355" s="11" t="inlineStr">
        <is>
          <t>21 Lime Street, London</t>
        </is>
      </c>
      <c r="M355" s="11" t="inlineStr">
        <is>
          <t>EC3M 7HB</t>
        </is>
      </c>
      <c r="N355" s="11" t="inlineStr">
        <is>
          <t>No</t>
        </is>
      </c>
      <c r="U355" s="11" t="inlineStr">
        <is>
          <t>Liverpool St - Attlee Centre</t>
        </is>
      </c>
      <c r="V355" s="11" t="n">
        <v>16</v>
      </c>
      <c r="W355" s="11" t="n"/>
      <c r="X355" s="11" t="inlineStr">
        <is>
          <t>Liverpool St - Attlee Centre</t>
        </is>
      </c>
      <c r="Y355" s="11" t="n">
        <v>16</v>
      </c>
      <c r="Z355" s="14">
        <f>IFERROR(INDEX(Venues!$E$2:$E$15,MATCH(X355,Venues!$A$2:$A$15,0)),"Not checked")</f>
        <v/>
      </c>
      <c r="AA355" s="14">
        <f>IFERROR(INDEX(Venues!$F$2:$F$15,MATCH(X355,Venues!$A$2:$A$15,0)),0)</f>
        <v/>
      </c>
      <c r="AB355" s="15">
        <f>IFERROR(INDEX(Venues!$M$2:$M$15,MATCH(X355,Venues!$A$2:$A$15,0)),"")</f>
        <v/>
      </c>
      <c r="AC355" s="14">
        <f>IFERROR(INDEX(Venues!$N$2:$N$15,MATCH(X355,Venues!$A$2:$A$15,0)),"5-a-side")</f>
        <v/>
      </c>
      <c r="AD355" s="16">
        <f>IF(Offer!$C$4="","",Offer!$C$4)</f>
        <v/>
      </c>
      <c r="AE355" s="14">
        <f>X355&amp;" ("&amp;Y355&amp;" min walk) · "&amp;IF(ISNUMBER(AB355),TEXT(AB355,"ddd d mmm, hh:mm"),"slot to confirm with venue")&amp;" · "&amp;AC355&amp;" · "&amp;IF(AD355&lt;&gt;"","£"&amp;TEXT(AD355,"0.00")&amp;" pp","price TBC")</f>
        <v/>
      </c>
      <c r="AF355" s="14">
        <f>"After-work football for "&amp;F355&amp;" · "&amp;X355&amp;", "&amp;Y355&amp;" min from your office"</f>
        <v/>
      </c>
      <c r="AG355" s="14">
        <f>"Hi"&amp;IF(O355&lt;&gt;""," "&amp;O355,"")&amp;","&amp;CHAR(10)&amp;CHAR(10)&amp;"I'm "&amp;IF(AL355&lt;&gt;"",AL355,IF(Offer!$C$5&lt;&gt;"",Offer!$C$5,"[NAME]"))&amp;" from FC Urban. We organise after-work football for teams in the City and Canary Wharf."&amp;CHAR(10)&amp;CHAR(10)&amp;"We have a "&amp;AC355&amp;" pitch at "&amp;X355&amp;", "&amp;IF(OR(Y355=8,Y355=11,Y355=18),"an ","a ")&amp;Y355&amp;"-minute walk from your "&amp;M355&amp;" office, "&amp;IF(ISNUMBER(AB355),"on "&amp;TEXT(AB355,"dddd d mmmm")&amp;" at "&amp;TEXT(AB355,"hh:mm"),"on a weekday evening that suits your team")&amp;". It's "&amp;IF(AD355&lt;&gt;"","£"&amp;IF(AD355=INT(AD355),TEXT(AD355,"0"),TEXT(AD355,"0.00")),"[PRICE PER PLAYER]")&amp;" a player and we handle the pitch booking, sign-ups and payments, so all it takes is one person sharing a link with the team."&amp;CHAR(10)&amp;CHAR(10)&amp;"It works well as a team social or "&amp;IF(ISNUMBER(SEARCH(LEFT(F355,1),"AEIOU")),"an ","a ")&amp;F355&amp;"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LINK]")&amp;CHAR(10)&amp;CHAR(10)&amp;"Best,"&amp;CHAR(10)&amp;IF(AL355&lt;&gt;"",AL355,IF(Offer!$C$5&lt;&gt;"",Offer!$C$5,"[NAME]"))&amp;CHAR(10)&amp;"FC Urban"</f>
        <v/>
      </c>
      <c r="AH355" s="14">
        <f>IF(LEN("Hi"&amp;IF(O355&lt;&gt;""," "&amp;O355,"")&amp;","&amp;" FC Urban runs after-work football for "&amp;IF(D355="Canary Wharf","Canary Wharf","City")&amp;" teams. We have a "&amp;AC355&amp;" pitch at "&amp;X355&amp;", "&amp;Y355&amp;" min from your office, "&amp;IF(ISNUMBER(AB355),TEXT(AB355,"ddd d mmm")&amp;", "&amp;TEXT(AB355,"hh:mm"),"weekday evenings")&amp;", "&amp;IF(AD355&lt;&gt;"","£"&amp;IF(AD355=INT(AD355),TEXT(AD355,"0"),TEXT(AD355,"0.00")),"[PRICE PER PLAYER]")&amp;" a player. We handle booking, sign-ups and payments. Fancy "&amp;IF(ISNUMBER(SEARCH(LEFT(F355,1),"AEIOU")),"an ","a ")&amp;F355&amp;" team game? "&amp;IF(AL355&lt;&gt;"",AL355,IF(Offer!$C$5&lt;&gt;"",Offer!$C$5,"[NAME]")))&lt;=300,"Hi"&amp;IF(O355&lt;&gt;""," "&amp;O355,"")&amp;","&amp;" FC Urban runs after-work football for "&amp;IF(D355="Canary Wharf","Canary Wharf","City")&amp;" teams. We have a "&amp;AC355&amp;" pitch at "&amp;X355&amp;", "&amp;Y355&amp;" min from your office, "&amp;IF(ISNUMBER(AB355),TEXT(AB355,"ddd d mmm")&amp;", "&amp;TEXT(AB355,"hh:mm"),"weekday evenings")&amp;", "&amp;IF(AD355&lt;&gt;"","£"&amp;IF(AD355=INT(AD355),TEXT(AD355,"0"),TEXT(AD355,"0.00")),"[PRICE PER PLAYER]")&amp;" a player. We handle booking, sign-ups and payments. Fancy "&amp;IF(ISNUMBER(SEARCH(LEFT(F355,1),"AEIOU")),"an ","a ")&amp;F355&amp;" team game? "&amp;IF(AL355&lt;&gt;"",AL355,IF(Offer!$C$5&lt;&gt;"",Offer!$C$5,"[NAME]")),LEFT("Hi"&amp;IF(O355&lt;&gt;""," "&amp;O355,"")&amp;","&amp;" FC Urban runs after-work football for "&amp;IF(D355="Canary Wharf","Canary Wharf","City")&amp;" teams: "&amp;AC355&amp;" at "&amp;X355&amp;", "&amp;Y355&amp;" min from your office, "&amp;IF(ISNUMBER(AB355),TEXT(AB355,"ddd d mmm")&amp;", "&amp;TEXT(AB355,"hh:mm"),"weekday evenings")&amp;", "&amp;IF(AD355&lt;&gt;"","£"&amp;IF(AD355=INT(AD355),TEXT(AD355,"0"),TEXT(AD355,"0.00")),"[PRICE PER PLAYER]")&amp;" pp. We handle booking and payments. Up for a team game? "&amp;IF(AL355&lt;&gt;"",AL355,IF(Offer!$C$5&lt;&gt;"",Offer!$C$5,"[NAME]")),300))</f>
        <v/>
      </c>
      <c r="AI355" s="14">
        <f>LEN(AH355)</f>
        <v/>
      </c>
      <c r="AJ355" s="14">
        <f>"Thanks for connecting"&amp;IF(O355&lt;&gt;"",", "&amp;O355,"")&amp;". "&amp;IF(ISNUMBER(AB355),"The "&amp;AC355&amp;" slot at "&amp;X355&amp;" is "&amp;IF(ISNUMBER(AB355),TEXT(AB355,"ddd d mmm")&amp;", "&amp;TEXT(AB355,"hh:mm"),"weekday evenings"),"We can book "&amp;AC355&amp;" at "&amp;X355&amp;" on a weekday evening that suits you")&amp;" and it's "&amp;IF(AD355&lt;&gt;"","£"&amp;IF(AD355=INT(AD355),TEXT(AD355,"0"),TEXT(AD355,"0.00")),"[PRICE PER PLAYER]")&amp;" a player, all booked and paid through one link. If football isn't your thing, who at "&amp;F355&amp;" would be the right person to organise a team game?"&amp;IF(Offer!$C$7&lt;&gt;""," Spots are held until "&amp;TEXT(Offer!$C$7,"dddd d mmmm")&amp;".","")&amp;" "&amp;IF(Offer!$C$6&lt;&gt;"",Offer!$C$6,"[JOINING LINK]")</f>
        <v/>
      </c>
      <c r="AK355" s="14">
        <f>IF(OR(ISNUMBER(SEARCH("[",AG355)),ISNUMBER(SEARCH("[",AJ355))),"Fill placeholders",IF(ISNUMBER(AB355),"Ready to send","Ready · no fixed slot"))</f>
        <v/>
      </c>
      <c r="AN355" s="17" t="n"/>
    </row>
    <row r="356">
      <c r="A356" s="11" t="n">
        <v>354</v>
      </c>
      <c r="B356" s="11" t="n">
        <v>3</v>
      </c>
      <c r="C356" s="11" t="inlineStr">
        <is>
          <t>Insurance / broker</t>
        </is>
      </c>
      <c r="D356" s="11" t="inlineStr">
        <is>
          <t>City of London</t>
        </is>
      </c>
      <c r="E356" s="11" t="inlineStr">
        <is>
          <t>Renaissancere Corporate Capital (UK) Limited</t>
        </is>
      </c>
      <c r="F356" s="11" t="inlineStr">
        <is>
          <t>Renaissancere Corporate Capital</t>
        </is>
      </c>
      <c r="G356" s="11" t="inlineStr">
        <is>
          <t>06838321</t>
        </is>
      </c>
      <c r="H356" s="12" t="inlineStr">
        <is>
          <t>Open</t>
        </is>
      </c>
      <c r="I356" s="12" t="inlineStr">
        <is>
          <t>Search</t>
        </is>
      </c>
      <c r="J356" s="11" t="inlineStr">
        <is>
          <t>Full</t>
        </is>
      </c>
      <c r="K356" s="13" t="n">
        <v>39877</v>
      </c>
      <c r="L356" s="11" t="inlineStr">
        <is>
          <t>18Th Floor, 125, Old Broad Street, London</t>
        </is>
      </c>
      <c r="M356" s="11" t="inlineStr">
        <is>
          <t>EC2N 1AR</t>
        </is>
      </c>
      <c r="N356" s="11" t="inlineStr">
        <is>
          <t>Yes</t>
        </is>
      </c>
      <c r="U356" s="11" t="inlineStr">
        <is>
          <t>Liverpool St - Attlee Centre</t>
        </is>
      </c>
      <c r="V356" s="11" t="n">
        <v>16</v>
      </c>
      <c r="W356" s="11" t="n"/>
      <c r="X356" s="11" t="inlineStr">
        <is>
          <t>Liverpool St - Attlee Centre</t>
        </is>
      </c>
      <c r="Y356" s="11" t="n">
        <v>16</v>
      </c>
      <c r="Z356" s="14">
        <f>IFERROR(INDEX(Venues!$E$2:$E$15,MATCH(X356,Venues!$A$2:$A$15,0)),"Not checked")</f>
        <v/>
      </c>
      <c r="AA356" s="14">
        <f>IFERROR(INDEX(Venues!$F$2:$F$15,MATCH(X356,Venues!$A$2:$A$15,0)),0)</f>
        <v/>
      </c>
      <c r="AB356" s="15">
        <f>IFERROR(INDEX(Venues!$M$2:$M$15,MATCH(X356,Venues!$A$2:$A$15,0)),"")</f>
        <v/>
      </c>
      <c r="AC356" s="14">
        <f>IFERROR(INDEX(Venues!$N$2:$N$15,MATCH(X356,Venues!$A$2:$A$15,0)),"5-a-side")</f>
        <v/>
      </c>
      <c r="AD356" s="16">
        <f>IF(Offer!$C$4="","",Offer!$C$4)</f>
        <v/>
      </c>
      <c r="AE356" s="14">
        <f>X356&amp;" ("&amp;Y356&amp;" min walk) · "&amp;IF(ISNUMBER(AB356),TEXT(AB356,"ddd d mmm, hh:mm"),"slot to confirm with venue")&amp;" · "&amp;AC356&amp;" · "&amp;IF(AD356&lt;&gt;"","£"&amp;TEXT(AD356,"0.00")&amp;" pp","price TBC")</f>
        <v/>
      </c>
      <c r="AF356" s="14">
        <f>"After-work football for "&amp;F356&amp;" · "&amp;X356&amp;", "&amp;Y356&amp;" min from your office"</f>
        <v/>
      </c>
      <c r="AG356" s="14">
        <f>"Hi"&amp;IF(O356&lt;&gt;""," "&amp;O356,"")&amp;","&amp;CHAR(10)&amp;CHAR(10)&amp;"I'm "&amp;IF(AL356&lt;&gt;"",AL356,IF(Offer!$C$5&lt;&gt;"",Offer!$C$5,"[NAME]"))&amp;" from FC Urban. We organise after-work football for teams in the City and Canary Wharf."&amp;CHAR(10)&amp;CHAR(10)&amp;"We have a "&amp;AC356&amp;" pitch at "&amp;X356&amp;", "&amp;IF(OR(Y356=8,Y356=11,Y356=18),"an ","a ")&amp;Y356&amp;"-minute walk from your "&amp;M356&amp;" office, "&amp;IF(ISNUMBER(AB356),"on "&amp;TEXT(AB356,"dddd d mmmm")&amp;" at "&amp;TEXT(AB356,"hh:mm"),"on a weekday evening that suits your team")&amp;". It's "&amp;IF(AD356&lt;&gt;"","£"&amp;IF(AD356=INT(AD356),TEXT(AD356,"0"),TEXT(AD356,"0.00")),"[PRICE PER PLAYER]")&amp;" a player and we handle the pitch booking, sign-ups and payments, so all it takes is one person sharing a link with the team."&amp;CHAR(10)&amp;CHAR(10)&amp;"It works well as a team social or "&amp;IF(ISNUMBER(SEARCH(LEFT(F356,1),"AEIOU")),"an ","a ")&amp;F356&amp;"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LINK]")&amp;CHAR(10)&amp;CHAR(10)&amp;"Best,"&amp;CHAR(10)&amp;IF(AL356&lt;&gt;"",AL356,IF(Offer!$C$5&lt;&gt;"",Offer!$C$5,"[NAME]"))&amp;CHAR(10)&amp;"FC Urban"</f>
        <v/>
      </c>
      <c r="AH356" s="14">
        <f>IF(LEN("Hi"&amp;IF(O356&lt;&gt;""," "&amp;O356,"")&amp;","&amp;" FC Urban runs after-work football for "&amp;IF(D356="Canary Wharf","Canary Wharf","City")&amp;" teams. We have a "&amp;AC356&amp;" pitch at "&amp;X356&amp;", "&amp;Y356&amp;" min from your office, "&amp;IF(ISNUMBER(AB356),TEXT(AB356,"ddd d mmm")&amp;", "&amp;TEXT(AB356,"hh:mm"),"weekday evenings")&amp;", "&amp;IF(AD356&lt;&gt;"","£"&amp;IF(AD356=INT(AD356),TEXT(AD356,"0"),TEXT(AD356,"0.00")),"[PRICE PER PLAYER]")&amp;" a player. We handle booking, sign-ups and payments. Fancy "&amp;IF(ISNUMBER(SEARCH(LEFT(F356,1),"AEIOU")),"an ","a ")&amp;F356&amp;" team game? "&amp;IF(AL356&lt;&gt;"",AL356,IF(Offer!$C$5&lt;&gt;"",Offer!$C$5,"[NAME]")))&lt;=300,"Hi"&amp;IF(O356&lt;&gt;""," "&amp;O356,"")&amp;","&amp;" FC Urban runs after-work football for "&amp;IF(D356="Canary Wharf","Canary Wharf","City")&amp;" teams. We have a "&amp;AC356&amp;" pitch at "&amp;X356&amp;", "&amp;Y356&amp;" min from your office, "&amp;IF(ISNUMBER(AB356),TEXT(AB356,"ddd d mmm")&amp;", "&amp;TEXT(AB356,"hh:mm"),"weekday evenings")&amp;", "&amp;IF(AD356&lt;&gt;"","£"&amp;IF(AD356=INT(AD356),TEXT(AD356,"0"),TEXT(AD356,"0.00")),"[PRICE PER PLAYER]")&amp;" a player. We handle booking, sign-ups and payments. Fancy "&amp;IF(ISNUMBER(SEARCH(LEFT(F356,1),"AEIOU")),"an ","a ")&amp;F356&amp;" team game? "&amp;IF(AL356&lt;&gt;"",AL356,IF(Offer!$C$5&lt;&gt;"",Offer!$C$5,"[NAME]")),LEFT("Hi"&amp;IF(O356&lt;&gt;""," "&amp;O356,"")&amp;","&amp;" FC Urban runs after-work football for "&amp;IF(D356="Canary Wharf","Canary Wharf","City")&amp;" teams: "&amp;AC356&amp;" at "&amp;X356&amp;", "&amp;Y356&amp;" min from your office, "&amp;IF(ISNUMBER(AB356),TEXT(AB356,"ddd d mmm")&amp;", "&amp;TEXT(AB356,"hh:mm"),"weekday evenings")&amp;", "&amp;IF(AD356&lt;&gt;"","£"&amp;IF(AD356=INT(AD356),TEXT(AD356,"0"),TEXT(AD356,"0.00")),"[PRICE PER PLAYER]")&amp;" pp. We handle booking and payments. Up for a team game? "&amp;IF(AL356&lt;&gt;"",AL356,IF(Offer!$C$5&lt;&gt;"",Offer!$C$5,"[NAME]")),300))</f>
        <v/>
      </c>
      <c r="AI356" s="14">
        <f>LEN(AH356)</f>
        <v/>
      </c>
      <c r="AJ356" s="14">
        <f>"Thanks for connecting"&amp;IF(O356&lt;&gt;"",", "&amp;O356,"")&amp;". "&amp;IF(ISNUMBER(AB356),"The "&amp;AC356&amp;" slot at "&amp;X356&amp;" is "&amp;IF(ISNUMBER(AB356),TEXT(AB356,"ddd d mmm")&amp;", "&amp;TEXT(AB356,"hh:mm"),"weekday evenings"),"We can book "&amp;AC356&amp;" at "&amp;X356&amp;" on a weekday evening that suits you")&amp;" and it's "&amp;IF(AD356&lt;&gt;"","£"&amp;IF(AD356=INT(AD356),TEXT(AD356,"0"),TEXT(AD356,"0.00")),"[PRICE PER PLAYER]")&amp;" a player, all booked and paid through one link. If football isn't your thing, who at "&amp;F356&amp;" would be the right person to organise a team game?"&amp;IF(Offer!$C$7&lt;&gt;""," Spots are held until "&amp;TEXT(Offer!$C$7,"dddd d mmmm")&amp;".","")&amp;" "&amp;IF(Offer!$C$6&lt;&gt;"",Offer!$C$6,"[JOINING LINK]")</f>
        <v/>
      </c>
      <c r="AK356" s="14">
        <f>IF(OR(ISNUMBER(SEARCH("[",AG356)),ISNUMBER(SEARCH("[",AJ356))),"Fill placeholders",IF(ISNUMBER(AB356),"Ready to send","Ready · no fixed slot"))</f>
        <v/>
      </c>
      <c r="AN356" s="17" t="n"/>
    </row>
    <row r="357">
      <c r="A357" s="11" t="n">
        <v>355</v>
      </c>
      <c r="B357" s="11" t="n">
        <v>3</v>
      </c>
      <c r="C357" s="11" t="inlineStr">
        <is>
          <t>Insurance / broker</t>
        </is>
      </c>
      <c r="D357" s="11" t="inlineStr">
        <is>
          <t>City of London</t>
        </is>
      </c>
      <c r="E357" s="11" t="inlineStr">
        <is>
          <t>Scorpius Mga Limited</t>
        </is>
      </c>
      <c r="F357" s="11" t="inlineStr">
        <is>
          <t>Scorpius Mga</t>
        </is>
      </c>
      <c r="G357" s="11" t="inlineStr">
        <is>
          <t>15049064</t>
        </is>
      </c>
      <c r="H357" s="12" t="inlineStr">
        <is>
          <t>Open</t>
        </is>
      </c>
      <c r="I357" s="12" t="inlineStr">
        <is>
          <t>Search</t>
        </is>
      </c>
      <c r="J357" s="11" t="inlineStr">
        <is>
          <t>Full</t>
        </is>
      </c>
      <c r="K357" s="13" t="n">
        <v>45142</v>
      </c>
      <c r="L357" s="11" t="inlineStr">
        <is>
          <t>21 Lime Street, London</t>
        </is>
      </c>
      <c r="M357" s="11" t="inlineStr">
        <is>
          <t>EC3M 7HB</t>
        </is>
      </c>
      <c r="N357" s="11" t="inlineStr">
        <is>
          <t>No</t>
        </is>
      </c>
      <c r="U357" s="11" t="inlineStr">
        <is>
          <t>Liverpool St - Attlee Centre</t>
        </is>
      </c>
      <c r="V357" s="11" t="n">
        <v>16</v>
      </c>
      <c r="W357" s="11" t="n"/>
      <c r="X357" s="11" t="inlineStr">
        <is>
          <t>Liverpool St - Attlee Centre</t>
        </is>
      </c>
      <c r="Y357" s="11" t="n">
        <v>16</v>
      </c>
      <c r="Z357" s="14">
        <f>IFERROR(INDEX(Venues!$E$2:$E$15,MATCH(X357,Venues!$A$2:$A$15,0)),"Not checked")</f>
        <v/>
      </c>
      <c r="AA357" s="14">
        <f>IFERROR(INDEX(Venues!$F$2:$F$15,MATCH(X357,Venues!$A$2:$A$15,0)),0)</f>
        <v/>
      </c>
      <c r="AB357" s="15">
        <f>IFERROR(INDEX(Venues!$M$2:$M$15,MATCH(X357,Venues!$A$2:$A$15,0)),"")</f>
        <v/>
      </c>
      <c r="AC357" s="14">
        <f>IFERROR(INDEX(Venues!$N$2:$N$15,MATCH(X357,Venues!$A$2:$A$15,0)),"5-a-side")</f>
        <v/>
      </c>
      <c r="AD357" s="16">
        <f>IF(Offer!$C$4="","",Offer!$C$4)</f>
        <v/>
      </c>
      <c r="AE357" s="14">
        <f>X357&amp;" ("&amp;Y357&amp;" min walk) · "&amp;IF(ISNUMBER(AB357),TEXT(AB357,"ddd d mmm, hh:mm"),"slot to confirm with venue")&amp;" · "&amp;AC357&amp;" · "&amp;IF(AD357&lt;&gt;"","£"&amp;TEXT(AD357,"0.00")&amp;" pp","price TBC")</f>
        <v/>
      </c>
      <c r="AF357" s="14">
        <f>"After-work football for "&amp;F357&amp;" · "&amp;X357&amp;", "&amp;Y357&amp;" min from your office"</f>
        <v/>
      </c>
      <c r="AG357" s="14">
        <f>"Hi"&amp;IF(O357&lt;&gt;""," "&amp;O357,"")&amp;","&amp;CHAR(10)&amp;CHAR(10)&amp;"I'm "&amp;IF(AL357&lt;&gt;"",AL357,IF(Offer!$C$5&lt;&gt;"",Offer!$C$5,"[NAME]"))&amp;" from FC Urban. We organise after-work football for teams in the City and Canary Wharf."&amp;CHAR(10)&amp;CHAR(10)&amp;"We have a "&amp;AC357&amp;" pitch at "&amp;X357&amp;", "&amp;IF(OR(Y357=8,Y357=11,Y357=18),"an ","a ")&amp;Y357&amp;"-minute walk from your "&amp;M357&amp;" office, "&amp;IF(ISNUMBER(AB357),"on "&amp;TEXT(AB357,"dddd d mmmm")&amp;" at "&amp;TEXT(AB357,"hh:mm"),"on a weekday evening that suits your team")&amp;". It's "&amp;IF(AD357&lt;&gt;"","£"&amp;IF(AD357=INT(AD357),TEXT(AD357,"0"),TEXT(AD357,"0.00")),"[PRICE PER PLAYER]")&amp;" a player and we handle the pitch booking, sign-ups and payments, so all it takes is one person sharing a link with the team."&amp;CHAR(10)&amp;CHAR(10)&amp;"It works well as a team social or "&amp;IF(ISNUMBER(SEARCH(LEFT(F357,1),"AEIOU")),"an ","a ")&amp;F357&amp;"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LINK]")&amp;CHAR(10)&amp;CHAR(10)&amp;"Best,"&amp;CHAR(10)&amp;IF(AL357&lt;&gt;"",AL357,IF(Offer!$C$5&lt;&gt;"",Offer!$C$5,"[NAME]"))&amp;CHAR(10)&amp;"FC Urban"</f>
        <v/>
      </c>
      <c r="AH357" s="14">
        <f>IF(LEN("Hi"&amp;IF(O357&lt;&gt;""," "&amp;O357,"")&amp;","&amp;" FC Urban runs after-work football for "&amp;IF(D357="Canary Wharf","Canary Wharf","City")&amp;" teams. We have a "&amp;AC357&amp;" pitch at "&amp;X357&amp;", "&amp;Y357&amp;" min from your office, "&amp;IF(ISNUMBER(AB357),TEXT(AB357,"ddd d mmm")&amp;", "&amp;TEXT(AB357,"hh:mm"),"weekday evenings")&amp;", "&amp;IF(AD357&lt;&gt;"","£"&amp;IF(AD357=INT(AD357),TEXT(AD357,"0"),TEXT(AD357,"0.00")),"[PRICE PER PLAYER]")&amp;" a player. We handle booking, sign-ups and payments. Fancy "&amp;IF(ISNUMBER(SEARCH(LEFT(F357,1),"AEIOU")),"an ","a ")&amp;F357&amp;" team game? "&amp;IF(AL357&lt;&gt;"",AL357,IF(Offer!$C$5&lt;&gt;"",Offer!$C$5,"[NAME]")))&lt;=300,"Hi"&amp;IF(O357&lt;&gt;""," "&amp;O357,"")&amp;","&amp;" FC Urban runs after-work football for "&amp;IF(D357="Canary Wharf","Canary Wharf","City")&amp;" teams. We have a "&amp;AC357&amp;" pitch at "&amp;X357&amp;", "&amp;Y357&amp;" min from your office, "&amp;IF(ISNUMBER(AB357),TEXT(AB357,"ddd d mmm")&amp;", "&amp;TEXT(AB357,"hh:mm"),"weekday evenings")&amp;", "&amp;IF(AD357&lt;&gt;"","£"&amp;IF(AD357=INT(AD357),TEXT(AD357,"0"),TEXT(AD357,"0.00")),"[PRICE PER PLAYER]")&amp;" a player. We handle booking, sign-ups and payments. Fancy "&amp;IF(ISNUMBER(SEARCH(LEFT(F357,1),"AEIOU")),"an ","a ")&amp;F357&amp;" team game? "&amp;IF(AL357&lt;&gt;"",AL357,IF(Offer!$C$5&lt;&gt;"",Offer!$C$5,"[NAME]")),LEFT("Hi"&amp;IF(O357&lt;&gt;""," "&amp;O357,"")&amp;","&amp;" FC Urban runs after-work football for "&amp;IF(D357="Canary Wharf","Canary Wharf","City")&amp;" teams: "&amp;AC357&amp;" at "&amp;X357&amp;", "&amp;Y357&amp;" min from your office, "&amp;IF(ISNUMBER(AB357),TEXT(AB357,"ddd d mmm")&amp;", "&amp;TEXT(AB357,"hh:mm"),"weekday evenings")&amp;", "&amp;IF(AD357&lt;&gt;"","£"&amp;IF(AD357=INT(AD357),TEXT(AD357,"0"),TEXT(AD357,"0.00")),"[PRICE PER PLAYER]")&amp;" pp. We handle booking and payments. Up for a team game? "&amp;IF(AL357&lt;&gt;"",AL357,IF(Offer!$C$5&lt;&gt;"",Offer!$C$5,"[NAME]")),300))</f>
        <v/>
      </c>
      <c r="AI357" s="14">
        <f>LEN(AH357)</f>
        <v/>
      </c>
      <c r="AJ357" s="14">
        <f>"Thanks for connecting"&amp;IF(O357&lt;&gt;"",", "&amp;O357,"")&amp;". "&amp;IF(ISNUMBER(AB357),"The "&amp;AC357&amp;" slot at "&amp;X357&amp;" is "&amp;IF(ISNUMBER(AB357),TEXT(AB357,"ddd d mmm")&amp;", "&amp;TEXT(AB357,"hh:mm"),"weekday evenings"),"We can book "&amp;AC357&amp;" at "&amp;X357&amp;" on a weekday evening that suits you")&amp;" and it's "&amp;IF(AD357&lt;&gt;"","£"&amp;IF(AD357=INT(AD357),TEXT(AD357,"0"),TEXT(AD357,"0.00")),"[PRICE PER PLAYER]")&amp;" a player, all booked and paid through one link. If football isn't your thing, who at "&amp;F357&amp;" would be the right person to organise a team game?"&amp;IF(Offer!$C$7&lt;&gt;""," Spots are held until "&amp;TEXT(Offer!$C$7,"dddd d mmmm")&amp;".","")&amp;" "&amp;IF(Offer!$C$6&lt;&gt;"",Offer!$C$6,"[JOINING LINK]")</f>
        <v/>
      </c>
      <c r="AK357" s="14">
        <f>IF(OR(ISNUMBER(SEARCH("[",AG357)),ISNUMBER(SEARCH("[",AJ357))),"Fill placeholders",IF(ISNUMBER(AB357),"Ready to send","Ready · no fixed slot"))</f>
        <v/>
      </c>
      <c r="AN357" s="17" t="n"/>
    </row>
    <row r="358">
      <c r="A358" s="11" t="n">
        <v>356</v>
      </c>
      <c r="B358" s="11" t="n">
        <v>3</v>
      </c>
      <c r="C358" s="11" t="inlineStr">
        <is>
          <t>Insurance / broker</t>
        </is>
      </c>
      <c r="D358" s="11" t="inlineStr">
        <is>
          <t>City of London</t>
        </is>
      </c>
      <c r="E358" s="11" t="inlineStr">
        <is>
          <t>St Andrew's Insurance PLC</t>
        </is>
      </c>
      <c r="F358" s="11" t="inlineStr">
        <is>
          <t>St Andrew's Insurance</t>
        </is>
      </c>
      <c r="G358" s="11" t="inlineStr">
        <is>
          <t>03104671</t>
        </is>
      </c>
      <c r="H358" s="12" t="inlineStr">
        <is>
          <t>Open</t>
        </is>
      </c>
      <c r="I358" s="12" t="inlineStr">
        <is>
          <t>Search</t>
        </is>
      </c>
      <c r="J358" s="11" t="inlineStr">
        <is>
          <t>Full</t>
        </is>
      </c>
      <c r="K358" s="13" t="n">
        <v>34957</v>
      </c>
      <c r="L358" s="11" t="inlineStr">
        <is>
          <t>33 Old Broad Street, London</t>
        </is>
      </c>
      <c r="M358" s="11" t="inlineStr">
        <is>
          <t>EC2N 1HZ</t>
        </is>
      </c>
      <c r="N358" s="11" t="inlineStr">
        <is>
          <t>No</t>
        </is>
      </c>
      <c r="U358" s="11" t="inlineStr">
        <is>
          <t>Liverpool St - Attlee Centre</t>
        </is>
      </c>
      <c r="V358" s="11" t="n">
        <v>13</v>
      </c>
      <c r="W358" s="11" t="inlineStr">
        <is>
          <t>Shoreditch Powerleague (16)</t>
        </is>
      </c>
      <c r="X358" s="11" t="inlineStr">
        <is>
          <t>Shoreditch Powerleague</t>
        </is>
      </c>
      <c r="Y358" s="11" t="n">
        <v>16</v>
      </c>
      <c r="Z358" s="14">
        <f>IFERROR(INDEX(Venues!$E$2:$E$15,MATCH(X358,Venues!$A$2:$A$15,0)),"Not checked")</f>
        <v/>
      </c>
      <c r="AA358" s="14">
        <f>IFERROR(INDEX(Venues!$F$2:$F$15,MATCH(X358,Venues!$A$2:$A$15,0)),0)</f>
        <v/>
      </c>
      <c r="AB358" s="15">
        <f>IFERROR(INDEX(Venues!$M$2:$M$15,MATCH(X358,Venues!$A$2:$A$15,0)),"")</f>
        <v/>
      </c>
      <c r="AC358" s="14">
        <f>IFERROR(INDEX(Venues!$N$2:$N$15,MATCH(X358,Venues!$A$2:$A$15,0)),"5-a-side")</f>
        <v/>
      </c>
      <c r="AD358" s="16">
        <f>IF(Offer!$C$4="","",Offer!$C$4)</f>
        <v/>
      </c>
      <c r="AE358" s="14">
        <f>X358&amp;" ("&amp;Y358&amp;" min walk) · "&amp;IF(ISNUMBER(AB358),TEXT(AB358,"ddd d mmm, hh:mm"),"slot to confirm with venue")&amp;" · "&amp;AC358&amp;" · "&amp;IF(AD358&lt;&gt;"","£"&amp;TEXT(AD358,"0.00")&amp;" pp","price TBC")</f>
        <v/>
      </c>
      <c r="AF358" s="14">
        <f>"After-work football for "&amp;F358&amp;" · "&amp;X358&amp;", "&amp;Y358&amp;" min from your office"</f>
        <v/>
      </c>
      <c r="AG358" s="14">
        <f>"Hi"&amp;IF(O358&lt;&gt;""," "&amp;O358,"")&amp;","&amp;CHAR(10)&amp;CHAR(10)&amp;"I'm "&amp;IF(AL358&lt;&gt;"",AL358,IF(Offer!$C$5&lt;&gt;"",Offer!$C$5,"[NAME]"))&amp;" from FC Urban. We organise after-work football for teams in the City and Canary Wharf."&amp;CHAR(10)&amp;CHAR(10)&amp;"We have a "&amp;AC358&amp;" pitch at "&amp;X358&amp;", "&amp;IF(OR(Y358=8,Y358=11,Y358=18),"an ","a ")&amp;Y358&amp;"-minute walk from your "&amp;M358&amp;" office, "&amp;IF(ISNUMBER(AB358),"on "&amp;TEXT(AB358,"dddd d mmmm")&amp;" at "&amp;TEXT(AB358,"hh:mm"),"on a weekday evening that suits your team")&amp;". It's "&amp;IF(AD358&lt;&gt;"","£"&amp;IF(AD358=INT(AD358),TEXT(AD358,"0"),TEXT(AD358,"0.00")),"[PRICE PER PLAYER]")&amp;" a player and we handle the pitch booking, sign-ups and payments, so all it takes is one person sharing a link with the team."&amp;CHAR(10)&amp;CHAR(10)&amp;"It works well as a team social or "&amp;IF(ISNUMBER(SEARCH(LEFT(F358,1),"AEIOU")),"an ","a ")&amp;F358&amp;"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LINK]")&amp;CHAR(10)&amp;CHAR(10)&amp;"Best,"&amp;CHAR(10)&amp;IF(AL358&lt;&gt;"",AL358,IF(Offer!$C$5&lt;&gt;"",Offer!$C$5,"[NAME]"))&amp;CHAR(10)&amp;"FC Urban"</f>
        <v/>
      </c>
      <c r="AH358" s="14">
        <f>IF(LEN("Hi"&amp;IF(O358&lt;&gt;""," "&amp;O358,"")&amp;","&amp;" FC Urban runs after-work football for "&amp;IF(D358="Canary Wharf","Canary Wharf","City")&amp;" teams. We have a "&amp;AC358&amp;" pitch at "&amp;X358&amp;", "&amp;Y358&amp;" min from your office, "&amp;IF(ISNUMBER(AB358),TEXT(AB358,"ddd d mmm")&amp;", "&amp;TEXT(AB358,"hh:mm"),"weekday evenings")&amp;", "&amp;IF(AD358&lt;&gt;"","£"&amp;IF(AD358=INT(AD358),TEXT(AD358,"0"),TEXT(AD358,"0.00")),"[PRICE PER PLAYER]")&amp;" a player. We handle booking, sign-ups and payments. Fancy "&amp;IF(ISNUMBER(SEARCH(LEFT(F358,1),"AEIOU")),"an ","a ")&amp;F358&amp;" team game? "&amp;IF(AL358&lt;&gt;"",AL358,IF(Offer!$C$5&lt;&gt;"",Offer!$C$5,"[NAME]")))&lt;=300,"Hi"&amp;IF(O358&lt;&gt;""," "&amp;O358,"")&amp;","&amp;" FC Urban runs after-work football for "&amp;IF(D358="Canary Wharf","Canary Wharf","City")&amp;" teams. We have a "&amp;AC358&amp;" pitch at "&amp;X358&amp;", "&amp;Y358&amp;" min from your office, "&amp;IF(ISNUMBER(AB358),TEXT(AB358,"ddd d mmm")&amp;", "&amp;TEXT(AB358,"hh:mm"),"weekday evenings")&amp;", "&amp;IF(AD358&lt;&gt;"","£"&amp;IF(AD358=INT(AD358),TEXT(AD358,"0"),TEXT(AD358,"0.00")),"[PRICE PER PLAYER]")&amp;" a player. We handle booking, sign-ups and payments. Fancy "&amp;IF(ISNUMBER(SEARCH(LEFT(F358,1),"AEIOU")),"an ","a ")&amp;F358&amp;" team game? "&amp;IF(AL358&lt;&gt;"",AL358,IF(Offer!$C$5&lt;&gt;"",Offer!$C$5,"[NAME]")),LEFT("Hi"&amp;IF(O358&lt;&gt;""," "&amp;O358,"")&amp;","&amp;" FC Urban runs after-work football for "&amp;IF(D358="Canary Wharf","Canary Wharf","City")&amp;" teams: "&amp;AC358&amp;" at "&amp;X358&amp;", "&amp;Y358&amp;" min from your office, "&amp;IF(ISNUMBER(AB358),TEXT(AB358,"ddd d mmm")&amp;", "&amp;TEXT(AB358,"hh:mm"),"weekday evenings")&amp;", "&amp;IF(AD358&lt;&gt;"","£"&amp;IF(AD358=INT(AD358),TEXT(AD358,"0"),TEXT(AD358,"0.00")),"[PRICE PER PLAYER]")&amp;" pp. We handle booking and payments. Up for a team game? "&amp;IF(AL358&lt;&gt;"",AL358,IF(Offer!$C$5&lt;&gt;"",Offer!$C$5,"[NAME]")),300))</f>
        <v/>
      </c>
      <c r="AI358" s="14">
        <f>LEN(AH358)</f>
        <v/>
      </c>
      <c r="AJ358" s="14">
        <f>"Thanks for connecting"&amp;IF(O358&lt;&gt;"",", "&amp;O358,"")&amp;". "&amp;IF(ISNUMBER(AB358),"The "&amp;AC358&amp;" slot at "&amp;X358&amp;" is "&amp;IF(ISNUMBER(AB358),TEXT(AB358,"ddd d mmm")&amp;", "&amp;TEXT(AB358,"hh:mm"),"weekday evenings"),"We can book "&amp;AC358&amp;" at "&amp;X358&amp;" on a weekday evening that suits you")&amp;" and it's "&amp;IF(AD358&lt;&gt;"","£"&amp;IF(AD358=INT(AD358),TEXT(AD358,"0"),TEXT(AD358,"0.00")),"[PRICE PER PLAYER]")&amp;" a player, all booked and paid through one link. If football isn't your thing, who at "&amp;F358&amp;" would be the right person to organise a team game?"&amp;IF(Offer!$C$7&lt;&gt;""," Spots are held until "&amp;TEXT(Offer!$C$7,"dddd d mmmm")&amp;".","")&amp;" "&amp;IF(Offer!$C$6&lt;&gt;"",Offer!$C$6,"[JOINING LINK]")</f>
        <v/>
      </c>
      <c r="AK358" s="14">
        <f>IF(OR(ISNUMBER(SEARCH("[",AG358)),ISNUMBER(SEARCH("[",AJ358))),"Fill placeholders",IF(ISNUMBER(AB358),"Ready to send","Ready · no fixed slot"))</f>
        <v/>
      </c>
      <c r="AN358" s="17" t="n"/>
    </row>
    <row r="359">
      <c r="A359" s="11" t="n">
        <v>357</v>
      </c>
      <c r="B359" s="11" t="n">
        <v>3</v>
      </c>
      <c r="C359" s="11" t="inlineStr">
        <is>
          <t>Fund / asset manager</t>
        </is>
      </c>
      <c r="D359" s="11" t="inlineStr">
        <is>
          <t>City of London</t>
        </is>
      </c>
      <c r="E359" s="11" t="inlineStr">
        <is>
          <t>GMO U.K. Limited</t>
        </is>
      </c>
      <c r="F359" s="11" t="inlineStr">
        <is>
          <t>GMO U.K</t>
        </is>
      </c>
      <c r="G359" s="11" t="inlineStr">
        <is>
          <t>04658801</t>
        </is>
      </c>
      <c r="H359" s="12" t="inlineStr">
        <is>
          <t>Open</t>
        </is>
      </c>
      <c r="I359" s="12" t="inlineStr">
        <is>
          <t>Search</t>
        </is>
      </c>
      <c r="J359" s="11" t="inlineStr">
        <is>
          <t>Full</t>
        </is>
      </c>
      <c r="K359" s="13" t="n">
        <v>37658</v>
      </c>
      <c r="L359" s="11" t="inlineStr">
        <is>
          <t>No. 1 London Bridge, London Bridge, London</t>
        </is>
      </c>
      <c r="M359" s="11" t="inlineStr">
        <is>
          <t>SE1 9BG</t>
        </is>
      </c>
      <c r="N359" s="11" t="inlineStr">
        <is>
          <t>No</t>
        </is>
      </c>
      <c r="U359" s="11" t="inlineStr">
        <is>
          <t>Borough Academy</t>
        </is>
      </c>
      <c r="V359" s="11" t="n">
        <v>16</v>
      </c>
      <c r="W359" s="11" t="n"/>
      <c r="X359" s="11" t="inlineStr">
        <is>
          <t>Borough Academy</t>
        </is>
      </c>
      <c r="Y359" s="11" t="n">
        <v>16</v>
      </c>
      <c r="Z359" s="14">
        <f>IFERROR(INDEX(Venues!$E$2:$E$15,MATCH(X359,Venues!$A$2:$A$15,0)),"Not checked")</f>
        <v/>
      </c>
      <c r="AA359" s="14">
        <f>IFERROR(INDEX(Venues!$F$2:$F$15,MATCH(X359,Venues!$A$2:$A$15,0)),0)</f>
        <v/>
      </c>
      <c r="AB359" s="15">
        <f>IFERROR(INDEX(Venues!$M$2:$M$15,MATCH(X359,Venues!$A$2:$A$15,0)),"")</f>
        <v/>
      </c>
      <c r="AC359" s="14">
        <f>IFERROR(INDEX(Venues!$N$2:$N$15,MATCH(X359,Venues!$A$2:$A$15,0)),"5-a-side")</f>
        <v/>
      </c>
      <c r="AD359" s="16">
        <f>IF(Offer!$C$4="","",Offer!$C$4)</f>
        <v/>
      </c>
      <c r="AE359" s="14">
        <f>X359&amp;" ("&amp;Y359&amp;" min walk) · "&amp;IF(ISNUMBER(AB359),TEXT(AB359,"ddd d mmm, hh:mm"),"slot to confirm with venue")&amp;" · "&amp;AC359&amp;" · "&amp;IF(AD359&lt;&gt;"","£"&amp;TEXT(AD359,"0.00")&amp;" pp","price TBC")</f>
        <v/>
      </c>
      <c r="AF359" s="14">
        <f>"After-work football for "&amp;F359&amp;" · "&amp;X359&amp;", "&amp;Y359&amp;" min from your office"</f>
        <v/>
      </c>
      <c r="AG359" s="14">
        <f>"Hi"&amp;IF(O359&lt;&gt;""," "&amp;O359,"")&amp;","&amp;CHAR(10)&amp;CHAR(10)&amp;"I'm "&amp;IF(AL359&lt;&gt;"",AL359,IF(Offer!$C$5&lt;&gt;"",Offer!$C$5,"[NAME]"))&amp;" from FC Urban. We organise after-work football for teams in the City and Canary Wharf."&amp;CHAR(10)&amp;CHAR(10)&amp;"We have a "&amp;AC359&amp;" pitch at "&amp;X359&amp;", "&amp;IF(OR(Y359=8,Y359=11,Y359=18),"an ","a ")&amp;Y359&amp;"-minute walk from your "&amp;M359&amp;" office, "&amp;IF(ISNUMBER(AB359),"on "&amp;TEXT(AB359,"dddd d mmmm")&amp;" at "&amp;TEXT(AB359,"hh:mm"),"on a weekday evening that suits your team")&amp;". It's "&amp;IF(AD359&lt;&gt;"","£"&amp;IF(AD359=INT(AD359),TEXT(AD359,"0"),TEXT(AD359,"0.00")),"[PRICE PER PLAYER]")&amp;" a player and we handle the pitch booking, sign-ups and payments, so all it takes is one person sharing a link with the team."&amp;CHAR(10)&amp;CHAR(10)&amp;"It works well as a team social or "&amp;IF(ISNUMBER(SEARCH(LEFT(F359,1),"AEIOU")),"an ","a ")&amp;F359&amp;"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LINK]")&amp;CHAR(10)&amp;CHAR(10)&amp;"Best,"&amp;CHAR(10)&amp;IF(AL359&lt;&gt;"",AL359,IF(Offer!$C$5&lt;&gt;"",Offer!$C$5,"[NAME]"))&amp;CHAR(10)&amp;"FC Urban"</f>
        <v/>
      </c>
      <c r="AH359" s="14">
        <f>IF(LEN("Hi"&amp;IF(O359&lt;&gt;""," "&amp;O359,"")&amp;","&amp;" FC Urban runs after-work football for "&amp;IF(D359="Canary Wharf","Canary Wharf","City")&amp;" teams. We have a "&amp;AC359&amp;" pitch at "&amp;X359&amp;", "&amp;Y359&amp;" min from your office, "&amp;IF(ISNUMBER(AB359),TEXT(AB359,"ddd d mmm")&amp;", "&amp;TEXT(AB359,"hh:mm"),"weekday evenings")&amp;", "&amp;IF(AD359&lt;&gt;"","£"&amp;IF(AD359=INT(AD359),TEXT(AD359,"0"),TEXT(AD359,"0.00")),"[PRICE PER PLAYER]")&amp;" a player. We handle booking, sign-ups and payments. Fancy "&amp;IF(ISNUMBER(SEARCH(LEFT(F359,1),"AEIOU")),"an ","a ")&amp;F359&amp;" team game? "&amp;IF(AL359&lt;&gt;"",AL359,IF(Offer!$C$5&lt;&gt;"",Offer!$C$5,"[NAME]")))&lt;=300,"Hi"&amp;IF(O359&lt;&gt;""," "&amp;O359,"")&amp;","&amp;" FC Urban runs after-work football for "&amp;IF(D359="Canary Wharf","Canary Wharf","City")&amp;" teams. We have a "&amp;AC359&amp;" pitch at "&amp;X359&amp;", "&amp;Y359&amp;" min from your office, "&amp;IF(ISNUMBER(AB359),TEXT(AB359,"ddd d mmm")&amp;", "&amp;TEXT(AB359,"hh:mm"),"weekday evenings")&amp;", "&amp;IF(AD359&lt;&gt;"","£"&amp;IF(AD359=INT(AD359),TEXT(AD359,"0"),TEXT(AD359,"0.00")),"[PRICE PER PLAYER]")&amp;" a player. We handle booking, sign-ups and payments. Fancy "&amp;IF(ISNUMBER(SEARCH(LEFT(F359,1),"AEIOU")),"an ","a ")&amp;F359&amp;" team game? "&amp;IF(AL359&lt;&gt;"",AL359,IF(Offer!$C$5&lt;&gt;"",Offer!$C$5,"[NAME]")),LEFT("Hi"&amp;IF(O359&lt;&gt;""," "&amp;O359,"")&amp;","&amp;" FC Urban runs after-work football for "&amp;IF(D359="Canary Wharf","Canary Wharf","City")&amp;" teams: "&amp;AC359&amp;" at "&amp;X359&amp;", "&amp;Y359&amp;" min from your office, "&amp;IF(ISNUMBER(AB359),TEXT(AB359,"ddd d mmm")&amp;", "&amp;TEXT(AB359,"hh:mm"),"weekday evenings")&amp;", "&amp;IF(AD359&lt;&gt;"","£"&amp;IF(AD359=INT(AD359),TEXT(AD359,"0"),TEXT(AD359,"0.00")),"[PRICE PER PLAYER]")&amp;" pp. We handle booking and payments. Up for a team game? "&amp;IF(AL359&lt;&gt;"",AL359,IF(Offer!$C$5&lt;&gt;"",Offer!$C$5,"[NAME]")),300))</f>
        <v/>
      </c>
      <c r="AI359" s="14">
        <f>LEN(AH359)</f>
        <v/>
      </c>
      <c r="AJ359" s="14">
        <f>"Thanks for connecting"&amp;IF(O359&lt;&gt;"",", "&amp;O359,"")&amp;". "&amp;IF(ISNUMBER(AB359),"The "&amp;AC359&amp;" slot at "&amp;X359&amp;" is "&amp;IF(ISNUMBER(AB359),TEXT(AB359,"ddd d mmm")&amp;", "&amp;TEXT(AB359,"hh:mm"),"weekday evenings"),"We can book "&amp;AC359&amp;" at "&amp;X359&amp;" on a weekday evening that suits you")&amp;" and it's "&amp;IF(AD359&lt;&gt;"","£"&amp;IF(AD359=INT(AD359),TEXT(AD359,"0"),TEXT(AD359,"0.00")),"[PRICE PER PLAYER]")&amp;" a player, all booked and paid through one link. If football isn't your thing, who at "&amp;F359&amp;" would be the right person to organise a team game?"&amp;IF(Offer!$C$7&lt;&gt;""," Spots are held until "&amp;TEXT(Offer!$C$7,"dddd d mmmm")&amp;".","")&amp;" "&amp;IF(Offer!$C$6&lt;&gt;"",Offer!$C$6,"[JOINING LINK]")</f>
        <v/>
      </c>
      <c r="AK359" s="14">
        <f>IF(OR(ISNUMBER(SEARCH("[",AG359)),ISNUMBER(SEARCH("[",AJ359))),"Fill placeholders",IF(ISNUMBER(AB359),"Ready to send","Ready · no fixed slot"))</f>
        <v/>
      </c>
      <c r="AN359" s="17" t="n"/>
    </row>
    <row r="360">
      <c r="A360" s="11" t="n">
        <v>358</v>
      </c>
      <c r="B360" s="11" t="n">
        <v>3</v>
      </c>
      <c r="C360" s="11" t="inlineStr">
        <is>
          <t>Fund / asset manager</t>
        </is>
      </c>
      <c r="D360" s="11" t="inlineStr">
        <is>
          <t>City of London</t>
        </is>
      </c>
      <c r="E360" s="11" t="inlineStr">
        <is>
          <t>Innisfree Limited</t>
        </is>
      </c>
      <c r="F360" s="11" t="inlineStr">
        <is>
          <t>Innisfree</t>
        </is>
      </c>
      <c r="G360" s="11" t="inlineStr">
        <is>
          <t>03039792</t>
        </is>
      </c>
      <c r="H360" s="12" t="inlineStr">
        <is>
          <t>Open</t>
        </is>
      </c>
      <c r="I360" s="12" t="inlineStr">
        <is>
          <t>Search</t>
        </is>
      </c>
      <c r="J360" s="11" t="inlineStr">
        <is>
          <t>Full</t>
        </is>
      </c>
      <c r="K360" s="13" t="n">
        <v>34788</v>
      </c>
      <c r="L360" s="11" t="inlineStr">
        <is>
          <t>First Floor, Boundary House, 91-93 Charterhouse Street, London</t>
        </is>
      </c>
      <c r="M360" s="11" t="inlineStr">
        <is>
          <t>EC1M 6HR</t>
        </is>
      </c>
      <c r="N360" s="11" t="inlineStr">
        <is>
          <t>Yes</t>
        </is>
      </c>
      <c r="U360" s="11" t="inlineStr">
        <is>
          <t>Old St - Moreland Primary School</t>
        </is>
      </c>
      <c r="V360" s="11" t="n">
        <v>16</v>
      </c>
      <c r="W360" s="11" t="n"/>
      <c r="X360" s="11" t="inlineStr">
        <is>
          <t>Old St - Moreland Primary School</t>
        </is>
      </c>
      <c r="Y360" s="11" t="n">
        <v>16</v>
      </c>
      <c r="Z360" s="14">
        <f>IFERROR(INDEX(Venues!$E$2:$E$15,MATCH(X360,Venues!$A$2:$A$15,0)),"Not checked")</f>
        <v/>
      </c>
      <c r="AA360" s="14">
        <f>IFERROR(INDEX(Venues!$F$2:$F$15,MATCH(X360,Venues!$A$2:$A$15,0)),0)</f>
        <v/>
      </c>
      <c r="AB360" s="15">
        <f>IFERROR(INDEX(Venues!$M$2:$M$15,MATCH(X360,Venues!$A$2:$A$15,0)),"")</f>
        <v/>
      </c>
      <c r="AC360" s="14">
        <f>IFERROR(INDEX(Venues!$N$2:$N$15,MATCH(X360,Venues!$A$2:$A$15,0)),"5-a-side")</f>
        <v/>
      </c>
      <c r="AD360" s="16">
        <f>IF(Offer!$C$4="","",Offer!$C$4)</f>
        <v/>
      </c>
      <c r="AE360" s="14">
        <f>X360&amp;" ("&amp;Y360&amp;" min walk) · "&amp;IF(ISNUMBER(AB360),TEXT(AB360,"ddd d mmm, hh:mm"),"slot to confirm with venue")&amp;" · "&amp;AC360&amp;" · "&amp;IF(AD360&lt;&gt;"","£"&amp;TEXT(AD360,"0.00")&amp;" pp","price TBC")</f>
        <v/>
      </c>
      <c r="AF360" s="14">
        <f>"After-work football for "&amp;F360&amp;" · "&amp;X360&amp;", "&amp;Y360&amp;" min from your office"</f>
        <v/>
      </c>
      <c r="AG360" s="14">
        <f>"Hi"&amp;IF(O360&lt;&gt;""," "&amp;O360,"")&amp;","&amp;CHAR(10)&amp;CHAR(10)&amp;"I'm "&amp;IF(AL360&lt;&gt;"",AL360,IF(Offer!$C$5&lt;&gt;"",Offer!$C$5,"[NAME]"))&amp;" from FC Urban. We organise after-work football for teams in the City and Canary Wharf."&amp;CHAR(10)&amp;CHAR(10)&amp;"We have a "&amp;AC360&amp;" pitch at "&amp;X360&amp;", "&amp;IF(OR(Y360=8,Y360=11,Y360=18),"an ","a ")&amp;Y360&amp;"-minute walk from your "&amp;M360&amp;" office, "&amp;IF(ISNUMBER(AB360),"on "&amp;TEXT(AB360,"dddd d mmmm")&amp;" at "&amp;TEXT(AB360,"hh:mm"),"on a weekday evening that suits your team")&amp;". It's "&amp;IF(AD360&lt;&gt;"","£"&amp;IF(AD360=INT(AD360),TEXT(AD360,"0"),TEXT(AD360,"0.00")),"[PRICE PER PLAYER]")&amp;" a player and we handle the pitch booking, sign-ups and payments, so all it takes is one person sharing a link with the team."&amp;CHAR(10)&amp;CHAR(10)&amp;"It works well as a team social or "&amp;IF(ISNUMBER(SEARCH(LEFT(F360,1),"AEIOU")),"an ","a ")&amp;F360&amp;"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LINK]")&amp;CHAR(10)&amp;CHAR(10)&amp;"Best,"&amp;CHAR(10)&amp;IF(AL360&lt;&gt;"",AL360,IF(Offer!$C$5&lt;&gt;"",Offer!$C$5,"[NAME]"))&amp;CHAR(10)&amp;"FC Urban"</f>
        <v/>
      </c>
      <c r="AH360" s="14">
        <f>IF(LEN("Hi"&amp;IF(O360&lt;&gt;""," "&amp;O360,"")&amp;","&amp;" FC Urban runs after-work football for "&amp;IF(D360="Canary Wharf","Canary Wharf","City")&amp;" teams. We have a "&amp;AC360&amp;" pitch at "&amp;X360&amp;", "&amp;Y360&amp;" min from your office, "&amp;IF(ISNUMBER(AB360),TEXT(AB360,"ddd d mmm")&amp;", "&amp;TEXT(AB360,"hh:mm"),"weekday evenings")&amp;", "&amp;IF(AD360&lt;&gt;"","£"&amp;IF(AD360=INT(AD360),TEXT(AD360,"0"),TEXT(AD360,"0.00")),"[PRICE PER PLAYER]")&amp;" a player. We handle booking, sign-ups and payments. Fancy "&amp;IF(ISNUMBER(SEARCH(LEFT(F360,1),"AEIOU")),"an ","a ")&amp;F360&amp;" team game? "&amp;IF(AL360&lt;&gt;"",AL360,IF(Offer!$C$5&lt;&gt;"",Offer!$C$5,"[NAME]")))&lt;=300,"Hi"&amp;IF(O360&lt;&gt;""," "&amp;O360,"")&amp;","&amp;" FC Urban runs after-work football for "&amp;IF(D360="Canary Wharf","Canary Wharf","City")&amp;" teams. We have a "&amp;AC360&amp;" pitch at "&amp;X360&amp;", "&amp;Y360&amp;" min from your office, "&amp;IF(ISNUMBER(AB360),TEXT(AB360,"ddd d mmm")&amp;", "&amp;TEXT(AB360,"hh:mm"),"weekday evenings")&amp;", "&amp;IF(AD360&lt;&gt;"","£"&amp;IF(AD360=INT(AD360),TEXT(AD360,"0"),TEXT(AD360,"0.00")),"[PRICE PER PLAYER]")&amp;" a player. We handle booking, sign-ups and payments. Fancy "&amp;IF(ISNUMBER(SEARCH(LEFT(F360,1),"AEIOU")),"an ","a ")&amp;F360&amp;" team game? "&amp;IF(AL360&lt;&gt;"",AL360,IF(Offer!$C$5&lt;&gt;"",Offer!$C$5,"[NAME]")),LEFT("Hi"&amp;IF(O360&lt;&gt;""," "&amp;O360,"")&amp;","&amp;" FC Urban runs after-work football for "&amp;IF(D360="Canary Wharf","Canary Wharf","City")&amp;" teams: "&amp;AC360&amp;" at "&amp;X360&amp;", "&amp;Y360&amp;" min from your office, "&amp;IF(ISNUMBER(AB360),TEXT(AB360,"ddd d mmm")&amp;", "&amp;TEXT(AB360,"hh:mm"),"weekday evenings")&amp;", "&amp;IF(AD360&lt;&gt;"","£"&amp;IF(AD360=INT(AD360),TEXT(AD360,"0"),TEXT(AD360,"0.00")),"[PRICE PER PLAYER]")&amp;" pp. We handle booking and payments. Up for a team game? "&amp;IF(AL360&lt;&gt;"",AL360,IF(Offer!$C$5&lt;&gt;"",Offer!$C$5,"[NAME]")),300))</f>
        <v/>
      </c>
      <c r="AI360" s="14">
        <f>LEN(AH360)</f>
        <v/>
      </c>
      <c r="AJ360" s="14">
        <f>"Thanks for connecting"&amp;IF(O360&lt;&gt;"",", "&amp;O360,"")&amp;". "&amp;IF(ISNUMBER(AB360),"The "&amp;AC360&amp;" slot at "&amp;X360&amp;" is "&amp;IF(ISNUMBER(AB360),TEXT(AB360,"ddd d mmm")&amp;", "&amp;TEXT(AB360,"hh:mm"),"weekday evenings"),"We can book "&amp;AC360&amp;" at "&amp;X360&amp;" on a weekday evening that suits you")&amp;" and it's "&amp;IF(AD360&lt;&gt;"","£"&amp;IF(AD360=INT(AD360),TEXT(AD360,"0"),TEXT(AD360,"0.00")),"[PRICE PER PLAYER]")&amp;" a player, all booked and paid through one link. If football isn't your thing, who at "&amp;F360&amp;" would be the right person to organise a team game?"&amp;IF(Offer!$C$7&lt;&gt;""," Spots are held until "&amp;TEXT(Offer!$C$7,"dddd d mmmm")&amp;".","")&amp;" "&amp;IF(Offer!$C$6&lt;&gt;"",Offer!$C$6,"[JOINING LINK]")</f>
        <v/>
      </c>
      <c r="AK360" s="14">
        <f>IF(OR(ISNUMBER(SEARCH("[",AG360)),ISNUMBER(SEARCH("[",AJ360))),"Fill placeholders",IF(ISNUMBER(AB360),"Ready to send","Ready · no fixed slot"))</f>
        <v/>
      </c>
      <c r="AN360" s="17" t="n"/>
    </row>
    <row r="361">
      <c r="A361" s="11" t="n">
        <v>359</v>
      </c>
      <c r="B361" s="11" t="n">
        <v>3</v>
      </c>
      <c r="C361" s="11" t="inlineStr">
        <is>
          <t>Fund / asset manager</t>
        </is>
      </c>
      <c r="D361" s="11" t="inlineStr">
        <is>
          <t>City of London</t>
        </is>
      </c>
      <c r="E361" s="11" t="inlineStr">
        <is>
          <t>Sidekick Money Ltd</t>
        </is>
      </c>
      <c r="F361" s="11" t="inlineStr">
        <is>
          <t>Sidekick Money</t>
        </is>
      </c>
      <c r="G361" s="11" t="inlineStr">
        <is>
          <t>13882980</t>
        </is>
      </c>
      <c r="H361" s="12" t="inlineStr">
        <is>
          <t>Open</t>
        </is>
      </c>
      <c r="I361" s="12" t="inlineStr">
        <is>
          <t>Search</t>
        </is>
      </c>
      <c r="J361" s="11" t="inlineStr">
        <is>
          <t>Full</t>
        </is>
      </c>
      <c r="K361" s="13" t="n">
        <v>44592</v>
      </c>
      <c r="L361" s="11" t="inlineStr">
        <is>
          <t>6-7 St. Cross Street, London</t>
        </is>
      </c>
      <c r="M361" s="11" t="inlineStr">
        <is>
          <t>EC1N 8UB</t>
        </is>
      </c>
      <c r="N361" s="11" t="inlineStr">
        <is>
          <t>Yes</t>
        </is>
      </c>
      <c r="U361" s="11" t="inlineStr">
        <is>
          <t>St Pancras - Coram's Fields 3G</t>
        </is>
      </c>
      <c r="V361" s="11" t="n">
        <v>16</v>
      </c>
      <c r="W361" s="11" t="n"/>
      <c r="X361" s="11" t="inlineStr">
        <is>
          <t>St Pancras - Coram's Fields 3G</t>
        </is>
      </c>
      <c r="Y361" s="11" t="n">
        <v>16</v>
      </c>
      <c r="Z361" s="14">
        <f>IFERROR(INDEX(Venues!$E$2:$E$15,MATCH(X361,Venues!$A$2:$A$15,0)),"Not checked")</f>
        <v/>
      </c>
      <c r="AA361" s="14">
        <f>IFERROR(INDEX(Venues!$F$2:$F$15,MATCH(X361,Venues!$A$2:$A$15,0)),0)</f>
        <v/>
      </c>
      <c r="AB361" s="15">
        <f>IFERROR(INDEX(Venues!$M$2:$M$15,MATCH(X361,Venues!$A$2:$A$15,0)),"")</f>
        <v/>
      </c>
      <c r="AC361" s="14">
        <f>IFERROR(INDEX(Venues!$N$2:$N$15,MATCH(X361,Venues!$A$2:$A$15,0)),"5-a-side")</f>
        <v/>
      </c>
      <c r="AD361" s="16">
        <f>IF(Offer!$C$4="","",Offer!$C$4)</f>
        <v/>
      </c>
      <c r="AE361" s="14">
        <f>X361&amp;" ("&amp;Y361&amp;" min walk) · "&amp;IF(ISNUMBER(AB361),TEXT(AB361,"ddd d mmm, hh:mm"),"slot to confirm with venue")&amp;" · "&amp;AC361&amp;" · "&amp;IF(AD361&lt;&gt;"","£"&amp;TEXT(AD361,"0.00")&amp;" pp","price TBC")</f>
        <v/>
      </c>
      <c r="AF361" s="14">
        <f>"After-work football for "&amp;F361&amp;" · "&amp;X361&amp;", "&amp;Y361&amp;" min from your office"</f>
        <v/>
      </c>
      <c r="AG361" s="14">
        <f>"Hi"&amp;IF(O361&lt;&gt;""," "&amp;O361,"")&amp;","&amp;CHAR(10)&amp;CHAR(10)&amp;"I'm "&amp;IF(AL361&lt;&gt;"",AL361,IF(Offer!$C$5&lt;&gt;"",Offer!$C$5,"[NAME]"))&amp;" from FC Urban. We organise after-work football for teams in the City and Canary Wharf."&amp;CHAR(10)&amp;CHAR(10)&amp;"We have a "&amp;AC361&amp;" pitch at "&amp;X361&amp;", "&amp;IF(OR(Y361=8,Y361=11,Y361=18),"an ","a ")&amp;Y361&amp;"-minute walk from your "&amp;M361&amp;" office, "&amp;IF(ISNUMBER(AB361),"on "&amp;TEXT(AB361,"dddd d mmmm")&amp;" at "&amp;TEXT(AB361,"hh:mm"),"on a weekday evening that suits your team")&amp;". It's "&amp;IF(AD361&lt;&gt;"","£"&amp;IF(AD361=INT(AD361),TEXT(AD361,"0"),TEXT(AD361,"0.00")),"[PRICE PER PLAYER]")&amp;" a player and we handle the pitch booking, sign-ups and payments, so all it takes is one person sharing a link with the team."&amp;CHAR(10)&amp;CHAR(10)&amp;"It works well as a team social or "&amp;IF(ISNUMBER(SEARCH(LEFT(F361,1),"AEIOU")),"an ","a ")&amp;F361&amp;"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LINK]")&amp;CHAR(10)&amp;CHAR(10)&amp;"Best,"&amp;CHAR(10)&amp;IF(AL361&lt;&gt;"",AL361,IF(Offer!$C$5&lt;&gt;"",Offer!$C$5,"[NAME]"))&amp;CHAR(10)&amp;"FC Urban"</f>
        <v/>
      </c>
      <c r="AH361" s="14">
        <f>IF(LEN("Hi"&amp;IF(O361&lt;&gt;""," "&amp;O361,"")&amp;","&amp;" FC Urban runs after-work football for "&amp;IF(D361="Canary Wharf","Canary Wharf","City")&amp;" teams. We have a "&amp;AC361&amp;" pitch at "&amp;X361&amp;", "&amp;Y361&amp;" min from your office, "&amp;IF(ISNUMBER(AB361),TEXT(AB361,"ddd d mmm")&amp;", "&amp;TEXT(AB361,"hh:mm"),"weekday evenings")&amp;", "&amp;IF(AD361&lt;&gt;"","£"&amp;IF(AD361=INT(AD361),TEXT(AD361,"0"),TEXT(AD361,"0.00")),"[PRICE PER PLAYER]")&amp;" a player. We handle booking, sign-ups and payments. Fancy "&amp;IF(ISNUMBER(SEARCH(LEFT(F361,1),"AEIOU")),"an ","a ")&amp;F361&amp;" team game? "&amp;IF(AL361&lt;&gt;"",AL361,IF(Offer!$C$5&lt;&gt;"",Offer!$C$5,"[NAME]")))&lt;=300,"Hi"&amp;IF(O361&lt;&gt;""," "&amp;O361,"")&amp;","&amp;" FC Urban runs after-work football for "&amp;IF(D361="Canary Wharf","Canary Wharf","City")&amp;" teams. We have a "&amp;AC361&amp;" pitch at "&amp;X361&amp;", "&amp;Y361&amp;" min from your office, "&amp;IF(ISNUMBER(AB361),TEXT(AB361,"ddd d mmm")&amp;", "&amp;TEXT(AB361,"hh:mm"),"weekday evenings")&amp;", "&amp;IF(AD361&lt;&gt;"","£"&amp;IF(AD361=INT(AD361),TEXT(AD361,"0"),TEXT(AD361,"0.00")),"[PRICE PER PLAYER]")&amp;" a player. We handle booking, sign-ups and payments. Fancy "&amp;IF(ISNUMBER(SEARCH(LEFT(F361,1),"AEIOU")),"an ","a ")&amp;F361&amp;" team game? "&amp;IF(AL361&lt;&gt;"",AL361,IF(Offer!$C$5&lt;&gt;"",Offer!$C$5,"[NAME]")),LEFT("Hi"&amp;IF(O361&lt;&gt;""," "&amp;O361,"")&amp;","&amp;" FC Urban runs after-work football for "&amp;IF(D361="Canary Wharf","Canary Wharf","City")&amp;" teams: "&amp;AC361&amp;" at "&amp;X361&amp;", "&amp;Y361&amp;" min from your office, "&amp;IF(ISNUMBER(AB361),TEXT(AB361,"ddd d mmm")&amp;", "&amp;TEXT(AB361,"hh:mm"),"weekday evenings")&amp;", "&amp;IF(AD361&lt;&gt;"","£"&amp;IF(AD361=INT(AD361),TEXT(AD361,"0"),TEXT(AD361,"0.00")),"[PRICE PER PLAYER]")&amp;" pp. We handle booking and payments. Up for a team game? "&amp;IF(AL361&lt;&gt;"",AL361,IF(Offer!$C$5&lt;&gt;"",Offer!$C$5,"[NAME]")),300))</f>
        <v/>
      </c>
      <c r="AI361" s="14">
        <f>LEN(AH361)</f>
        <v/>
      </c>
      <c r="AJ361" s="14">
        <f>"Thanks for connecting"&amp;IF(O361&lt;&gt;"",", "&amp;O361,"")&amp;". "&amp;IF(ISNUMBER(AB361),"The "&amp;AC361&amp;" slot at "&amp;X361&amp;" is "&amp;IF(ISNUMBER(AB361),TEXT(AB361,"ddd d mmm")&amp;", "&amp;TEXT(AB361,"hh:mm"),"weekday evenings"),"We can book "&amp;AC361&amp;" at "&amp;X361&amp;" on a weekday evening that suits you")&amp;" and it's "&amp;IF(AD361&lt;&gt;"","£"&amp;IF(AD361=INT(AD361),TEXT(AD361,"0"),TEXT(AD361,"0.00")),"[PRICE PER PLAYER]")&amp;" a player, all booked and paid through one link. If football isn't your thing, who at "&amp;F361&amp;" would be the right person to organise a team game?"&amp;IF(Offer!$C$7&lt;&gt;""," Spots are held until "&amp;TEXT(Offer!$C$7,"dddd d mmmm")&amp;".","")&amp;" "&amp;IF(Offer!$C$6&lt;&gt;"",Offer!$C$6,"[JOINING LINK]")</f>
        <v/>
      </c>
      <c r="AK361" s="14">
        <f>IF(OR(ISNUMBER(SEARCH("[",AG361)),ISNUMBER(SEARCH("[",AJ361))),"Fill placeholders",IF(ISNUMBER(AB361),"Ready to send","Ready · no fixed slot"))</f>
        <v/>
      </c>
      <c r="AN361" s="17" t="n"/>
    </row>
    <row r="362">
      <c r="A362" s="11" t="n">
        <v>360</v>
      </c>
      <c r="B362" s="11" t="n">
        <v>3</v>
      </c>
      <c r="C362" s="11" t="inlineStr">
        <is>
          <t>Fund / asset manager</t>
        </is>
      </c>
      <c r="D362" s="11" t="inlineStr">
        <is>
          <t>City of London</t>
        </is>
      </c>
      <c r="E362" s="11" t="inlineStr">
        <is>
          <t>Crake Asset Management LLP</t>
        </is>
      </c>
      <c r="F362" s="11" t="inlineStr">
        <is>
          <t>Crake Asset Management</t>
        </is>
      </c>
      <c r="G362" s="11" t="inlineStr">
        <is>
          <t>OC422582</t>
        </is>
      </c>
      <c r="H362" s="12" t="inlineStr">
        <is>
          <t>Open</t>
        </is>
      </c>
      <c r="I362" s="12" t="inlineStr">
        <is>
          <t>Search</t>
        </is>
      </c>
      <c r="J362" s="11" t="inlineStr">
        <is>
          <t>Full</t>
        </is>
      </c>
      <c r="K362" s="13" t="n">
        <v>43244</v>
      </c>
      <c r="L362" s="11" t="inlineStr">
        <is>
          <t>78-80 Cornhill, London</t>
        </is>
      </c>
      <c r="M362" s="11" t="inlineStr">
        <is>
          <t>EC3V 3QQ</t>
        </is>
      </c>
      <c r="N362" s="11" t="inlineStr">
        <is>
          <t>No</t>
        </is>
      </c>
      <c r="U362" s="11" t="inlineStr">
        <is>
          <t>Liverpool St - Attlee Centre</t>
        </is>
      </c>
      <c r="V362" s="11" t="n">
        <v>16</v>
      </c>
      <c r="W362" s="11" t="n"/>
      <c r="X362" s="11" t="inlineStr">
        <is>
          <t>Liverpool St - Attlee Centre</t>
        </is>
      </c>
      <c r="Y362" s="11" t="n">
        <v>16</v>
      </c>
      <c r="Z362" s="14">
        <f>IFERROR(INDEX(Venues!$E$2:$E$15,MATCH(X362,Venues!$A$2:$A$15,0)),"Not checked")</f>
        <v/>
      </c>
      <c r="AA362" s="14">
        <f>IFERROR(INDEX(Venues!$F$2:$F$15,MATCH(X362,Venues!$A$2:$A$15,0)),0)</f>
        <v/>
      </c>
      <c r="AB362" s="15">
        <f>IFERROR(INDEX(Venues!$M$2:$M$15,MATCH(X362,Venues!$A$2:$A$15,0)),"")</f>
        <v/>
      </c>
      <c r="AC362" s="14">
        <f>IFERROR(INDEX(Venues!$N$2:$N$15,MATCH(X362,Venues!$A$2:$A$15,0)),"5-a-side")</f>
        <v/>
      </c>
      <c r="AD362" s="16">
        <f>IF(Offer!$C$4="","",Offer!$C$4)</f>
        <v/>
      </c>
      <c r="AE362" s="14">
        <f>X362&amp;" ("&amp;Y362&amp;" min walk) · "&amp;IF(ISNUMBER(AB362),TEXT(AB362,"ddd d mmm, hh:mm"),"slot to confirm with venue")&amp;" · "&amp;AC362&amp;" · "&amp;IF(AD362&lt;&gt;"","£"&amp;TEXT(AD362,"0.00")&amp;" pp","price TBC")</f>
        <v/>
      </c>
      <c r="AF362" s="14">
        <f>"After-work football for "&amp;F362&amp;" · "&amp;X362&amp;", "&amp;Y362&amp;" min from your office"</f>
        <v/>
      </c>
      <c r="AG362" s="14">
        <f>"Hi"&amp;IF(O362&lt;&gt;""," "&amp;O362,"")&amp;","&amp;CHAR(10)&amp;CHAR(10)&amp;"I'm "&amp;IF(AL362&lt;&gt;"",AL362,IF(Offer!$C$5&lt;&gt;"",Offer!$C$5,"[NAME]"))&amp;" from FC Urban. We organise after-work football for teams in the City and Canary Wharf."&amp;CHAR(10)&amp;CHAR(10)&amp;"We have a "&amp;AC362&amp;" pitch at "&amp;X362&amp;", "&amp;IF(OR(Y362=8,Y362=11,Y362=18),"an ","a ")&amp;Y362&amp;"-minute walk from your "&amp;M362&amp;" office, "&amp;IF(ISNUMBER(AB362),"on "&amp;TEXT(AB362,"dddd d mmmm")&amp;" at "&amp;TEXT(AB362,"hh:mm"),"on a weekday evening that suits your team")&amp;". It's "&amp;IF(AD362&lt;&gt;"","£"&amp;IF(AD362=INT(AD362),TEXT(AD362,"0"),TEXT(AD362,"0.00")),"[PRICE PER PLAYER]")&amp;" a player and we handle the pitch booking, sign-ups and payments, so all it takes is one person sharing a link with the team."&amp;CHAR(10)&amp;CHAR(10)&amp;"It works well as a team social or "&amp;IF(ISNUMBER(SEARCH(LEFT(F362,1),"AEIOU")),"an ","a ")&amp;F362&amp;"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LINK]")&amp;CHAR(10)&amp;CHAR(10)&amp;"Best,"&amp;CHAR(10)&amp;IF(AL362&lt;&gt;"",AL362,IF(Offer!$C$5&lt;&gt;"",Offer!$C$5,"[NAME]"))&amp;CHAR(10)&amp;"FC Urban"</f>
        <v/>
      </c>
      <c r="AH362" s="14">
        <f>IF(LEN("Hi"&amp;IF(O362&lt;&gt;""," "&amp;O362,"")&amp;","&amp;" FC Urban runs after-work football for "&amp;IF(D362="Canary Wharf","Canary Wharf","City")&amp;" teams. We have a "&amp;AC362&amp;" pitch at "&amp;X362&amp;", "&amp;Y362&amp;" min from your office, "&amp;IF(ISNUMBER(AB362),TEXT(AB362,"ddd d mmm")&amp;", "&amp;TEXT(AB362,"hh:mm"),"weekday evenings")&amp;", "&amp;IF(AD362&lt;&gt;"","£"&amp;IF(AD362=INT(AD362),TEXT(AD362,"0"),TEXT(AD362,"0.00")),"[PRICE PER PLAYER]")&amp;" a player. We handle booking, sign-ups and payments. Fancy "&amp;IF(ISNUMBER(SEARCH(LEFT(F362,1),"AEIOU")),"an ","a ")&amp;F362&amp;" team game? "&amp;IF(AL362&lt;&gt;"",AL362,IF(Offer!$C$5&lt;&gt;"",Offer!$C$5,"[NAME]")))&lt;=300,"Hi"&amp;IF(O362&lt;&gt;""," "&amp;O362,"")&amp;","&amp;" FC Urban runs after-work football for "&amp;IF(D362="Canary Wharf","Canary Wharf","City")&amp;" teams. We have a "&amp;AC362&amp;" pitch at "&amp;X362&amp;", "&amp;Y362&amp;" min from your office, "&amp;IF(ISNUMBER(AB362),TEXT(AB362,"ddd d mmm")&amp;", "&amp;TEXT(AB362,"hh:mm"),"weekday evenings")&amp;", "&amp;IF(AD362&lt;&gt;"","£"&amp;IF(AD362=INT(AD362),TEXT(AD362,"0"),TEXT(AD362,"0.00")),"[PRICE PER PLAYER]")&amp;" a player. We handle booking, sign-ups and payments. Fancy "&amp;IF(ISNUMBER(SEARCH(LEFT(F362,1),"AEIOU")),"an ","a ")&amp;F362&amp;" team game? "&amp;IF(AL362&lt;&gt;"",AL362,IF(Offer!$C$5&lt;&gt;"",Offer!$C$5,"[NAME]")),LEFT("Hi"&amp;IF(O362&lt;&gt;""," "&amp;O362,"")&amp;","&amp;" FC Urban runs after-work football for "&amp;IF(D362="Canary Wharf","Canary Wharf","City")&amp;" teams: "&amp;AC362&amp;" at "&amp;X362&amp;", "&amp;Y362&amp;" min from your office, "&amp;IF(ISNUMBER(AB362),TEXT(AB362,"ddd d mmm")&amp;", "&amp;TEXT(AB362,"hh:mm"),"weekday evenings")&amp;", "&amp;IF(AD362&lt;&gt;"","£"&amp;IF(AD362=INT(AD362),TEXT(AD362,"0"),TEXT(AD362,"0.00")),"[PRICE PER PLAYER]")&amp;" pp. We handle booking and payments. Up for a team game? "&amp;IF(AL362&lt;&gt;"",AL362,IF(Offer!$C$5&lt;&gt;"",Offer!$C$5,"[NAME]")),300))</f>
        <v/>
      </c>
      <c r="AI362" s="14">
        <f>LEN(AH362)</f>
        <v/>
      </c>
      <c r="AJ362" s="14">
        <f>"Thanks for connecting"&amp;IF(O362&lt;&gt;"",", "&amp;O362,"")&amp;". "&amp;IF(ISNUMBER(AB362),"The "&amp;AC362&amp;" slot at "&amp;X362&amp;" is "&amp;IF(ISNUMBER(AB362),TEXT(AB362,"ddd d mmm")&amp;", "&amp;TEXT(AB362,"hh:mm"),"weekday evenings"),"We can book "&amp;AC362&amp;" at "&amp;X362&amp;" on a weekday evening that suits you")&amp;" and it's "&amp;IF(AD362&lt;&gt;"","£"&amp;IF(AD362=INT(AD362),TEXT(AD362,"0"),TEXT(AD362,"0.00")),"[PRICE PER PLAYER]")&amp;" a player, all booked and paid through one link. If football isn't your thing, who at "&amp;F362&amp;" would be the right person to organise a team game?"&amp;IF(Offer!$C$7&lt;&gt;""," Spots are held until "&amp;TEXT(Offer!$C$7,"dddd d mmmm")&amp;".","")&amp;" "&amp;IF(Offer!$C$6&lt;&gt;"",Offer!$C$6,"[JOINING LINK]")</f>
        <v/>
      </c>
      <c r="AK362" s="14">
        <f>IF(OR(ISNUMBER(SEARCH("[",AG362)),ISNUMBER(SEARCH("[",AJ362))),"Fill placeholders",IF(ISNUMBER(AB362),"Ready to send","Ready · no fixed slot"))</f>
        <v/>
      </c>
      <c r="AN362" s="17" t="n"/>
    </row>
    <row r="363">
      <c r="A363" s="11" t="n">
        <v>361</v>
      </c>
      <c r="B363" s="11" t="n">
        <v>3</v>
      </c>
      <c r="C363" s="11" t="inlineStr">
        <is>
          <t>Fund / asset manager</t>
        </is>
      </c>
      <c r="D363" s="11" t="inlineStr">
        <is>
          <t>City of London</t>
        </is>
      </c>
      <c r="E363" s="11" t="inlineStr">
        <is>
          <t>Intrinsic Capital LLP</t>
        </is>
      </c>
      <c r="F363" s="11" t="inlineStr">
        <is>
          <t>Intrinsic Capital</t>
        </is>
      </c>
      <c r="G363" s="11" t="inlineStr">
        <is>
          <t>OC312266</t>
        </is>
      </c>
      <c r="H363" s="12" t="inlineStr">
        <is>
          <t>Open</t>
        </is>
      </c>
      <c r="I363" s="12" t="inlineStr">
        <is>
          <t>Search</t>
        </is>
      </c>
      <c r="J363" s="11" t="inlineStr">
        <is>
          <t>Full</t>
        </is>
      </c>
      <c r="K363" s="13" t="n">
        <v>38428</v>
      </c>
      <c r="L363" s="11" t="inlineStr">
        <is>
          <t>73 Cornhill, London</t>
        </is>
      </c>
      <c r="M363" s="11" t="inlineStr">
        <is>
          <t>EC3V 3QQ</t>
        </is>
      </c>
      <c r="N363" s="11" t="inlineStr">
        <is>
          <t>No</t>
        </is>
      </c>
      <c r="U363" s="11" t="inlineStr">
        <is>
          <t>Liverpool St - Attlee Centre</t>
        </is>
      </c>
      <c r="V363" s="11" t="n">
        <v>16</v>
      </c>
      <c r="W363" s="11" t="n"/>
      <c r="X363" s="11" t="inlineStr">
        <is>
          <t>Liverpool St - Attlee Centre</t>
        </is>
      </c>
      <c r="Y363" s="11" t="n">
        <v>16</v>
      </c>
      <c r="Z363" s="14">
        <f>IFERROR(INDEX(Venues!$E$2:$E$15,MATCH(X363,Venues!$A$2:$A$15,0)),"Not checked")</f>
        <v/>
      </c>
      <c r="AA363" s="14">
        <f>IFERROR(INDEX(Venues!$F$2:$F$15,MATCH(X363,Venues!$A$2:$A$15,0)),0)</f>
        <v/>
      </c>
      <c r="AB363" s="15">
        <f>IFERROR(INDEX(Venues!$M$2:$M$15,MATCH(X363,Venues!$A$2:$A$15,0)),"")</f>
        <v/>
      </c>
      <c r="AC363" s="14">
        <f>IFERROR(INDEX(Venues!$N$2:$N$15,MATCH(X363,Venues!$A$2:$A$15,0)),"5-a-side")</f>
        <v/>
      </c>
      <c r="AD363" s="16">
        <f>IF(Offer!$C$4="","",Offer!$C$4)</f>
        <v/>
      </c>
      <c r="AE363" s="14">
        <f>X363&amp;" ("&amp;Y363&amp;" min walk) · "&amp;IF(ISNUMBER(AB363),TEXT(AB363,"ddd d mmm, hh:mm"),"slot to confirm with venue")&amp;" · "&amp;AC363&amp;" · "&amp;IF(AD363&lt;&gt;"","£"&amp;TEXT(AD363,"0.00")&amp;" pp","price TBC")</f>
        <v/>
      </c>
      <c r="AF363" s="14">
        <f>"After-work football for "&amp;F363&amp;" · "&amp;X363&amp;", "&amp;Y363&amp;" min from your office"</f>
        <v/>
      </c>
      <c r="AG363" s="14">
        <f>"Hi"&amp;IF(O363&lt;&gt;""," "&amp;O363,"")&amp;","&amp;CHAR(10)&amp;CHAR(10)&amp;"I'm "&amp;IF(AL363&lt;&gt;"",AL363,IF(Offer!$C$5&lt;&gt;"",Offer!$C$5,"[NAME]"))&amp;" from FC Urban. We organise after-work football for teams in the City and Canary Wharf."&amp;CHAR(10)&amp;CHAR(10)&amp;"We have a "&amp;AC363&amp;" pitch at "&amp;X363&amp;", "&amp;IF(OR(Y363=8,Y363=11,Y363=18),"an ","a ")&amp;Y363&amp;"-minute walk from your "&amp;M363&amp;" office, "&amp;IF(ISNUMBER(AB363),"on "&amp;TEXT(AB363,"dddd d mmmm")&amp;" at "&amp;TEXT(AB363,"hh:mm"),"on a weekday evening that suits your team")&amp;". It's "&amp;IF(AD363&lt;&gt;"","£"&amp;IF(AD363=INT(AD363),TEXT(AD363,"0"),TEXT(AD363,"0.00")),"[PRICE PER PLAYER]")&amp;" a player and we handle the pitch booking, sign-ups and payments, so all it takes is one person sharing a link with the team."&amp;CHAR(10)&amp;CHAR(10)&amp;"It works well as a team social or "&amp;IF(ISNUMBER(SEARCH(LEFT(F363,1),"AEIOU")),"an ","a ")&amp;F363&amp;"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LINK]")&amp;CHAR(10)&amp;CHAR(10)&amp;"Best,"&amp;CHAR(10)&amp;IF(AL363&lt;&gt;"",AL363,IF(Offer!$C$5&lt;&gt;"",Offer!$C$5,"[NAME]"))&amp;CHAR(10)&amp;"FC Urban"</f>
        <v/>
      </c>
      <c r="AH363" s="14">
        <f>IF(LEN("Hi"&amp;IF(O363&lt;&gt;""," "&amp;O363,"")&amp;","&amp;" FC Urban runs after-work football for "&amp;IF(D363="Canary Wharf","Canary Wharf","City")&amp;" teams. We have a "&amp;AC363&amp;" pitch at "&amp;X363&amp;", "&amp;Y363&amp;" min from your office, "&amp;IF(ISNUMBER(AB363),TEXT(AB363,"ddd d mmm")&amp;", "&amp;TEXT(AB363,"hh:mm"),"weekday evenings")&amp;", "&amp;IF(AD363&lt;&gt;"","£"&amp;IF(AD363=INT(AD363),TEXT(AD363,"0"),TEXT(AD363,"0.00")),"[PRICE PER PLAYER]")&amp;" a player. We handle booking, sign-ups and payments. Fancy "&amp;IF(ISNUMBER(SEARCH(LEFT(F363,1),"AEIOU")),"an ","a ")&amp;F363&amp;" team game? "&amp;IF(AL363&lt;&gt;"",AL363,IF(Offer!$C$5&lt;&gt;"",Offer!$C$5,"[NAME]")))&lt;=300,"Hi"&amp;IF(O363&lt;&gt;""," "&amp;O363,"")&amp;","&amp;" FC Urban runs after-work football for "&amp;IF(D363="Canary Wharf","Canary Wharf","City")&amp;" teams. We have a "&amp;AC363&amp;" pitch at "&amp;X363&amp;", "&amp;Y363&amp;" min from your office, "&amp;IF(ISNUMBER(AB363),TEXT(AB363,"ddd d mmm")&amp;", "&amp;TEXT(AB363,"hh:mm"),"weekday evenings")&amp;", "&amp;IF(AD363&lt;&gt;"","£"&amp;IF(AD363=INT(AD363),TEXT(AD363,"0"),TEXT(AD363,"0.00")),"[PRICE PER PLAYER]")&amp;" a player. We handle booking, sign-ups and payments. Fancy "&amp;IF(ISNUMBER(SEARCH(LEFT(F363,1),"AEIOU")),"an ","a ")&amp;F363&amp;" team game? "&amp;IF(AL363&lt;&gt;"",AL363,IF(Offer!$C$5&lt;&gt;"",Offer!$C$5,"[NAME]")),LEFT("Hi"&amp;IF(O363&lt;&gt;""," "&amp;O363,"")&amp;","&amp;" FC Urban runs after-work football for "&amp;IF(D363="Canary Wharf","Canary Wharf","City")&amp;" teams: "&amp;AC363&amp;" at "&amp;X363&amp;", "&amp;Y363&amp;" min from your office, "&amp;IF(ISNUMBER(AB363),TEXT(AB363,"ddd d mmm")&amp;", "&amp;TEXT(AB363,"hh:mm"),"weekday evenings")&amp;", "&amp;IF(AD363&lt;&gt;"","£"&amp;IF(AD363=INT(AD363),TEXT(AD363,"0"),TEXT(AD363,"0.00")),"[PRICE PER PLAYER]")&amp;" pp. We handle booking and payments. Up for a team game? "&amp;IF(AL363&lt;&gt;"",AL363,IF(Offer!$C$5&lt;&gt;"",Offer!$C$5,"[NAME]")),300))</f>
        <v/>
      </c>
      <c r="AI363" s="14">
        <f>LEN(AH363)</f>
        <v/>
      </c>
      <c r="AJ363" s="14">
        <f>"Thanks for connecting"&amp;IF(O363&lt;&gt;"",", "&amp;O363,"")&amp;". "&amp;IF(ISNUMBER(AB363),"The "&amp;AC363&amp;" slot at "&amp;X363&amp;" is "&amp;IF(ISNUMBER(AB363),TEXT(AB363,"ddd d mmm")&amp;", "&amp;TEXT(AB363,"hh:mm"),"weekday evenings"),"We can book "&amp;AC363&amp;" at "&amp;X363&amp;" on a weekday evening that suits you")&amp;" and it's "&amp;IF(AD363&lt;&gt;"","£"&amp;IF(AD363=INT(AD363),TEXT(AD363,"0"),TEXT(AD363,"0.00")),"[PRICE PER PLAYER]")&amp;" a player, all booked and paid through one link. If football isn't your thing, who at "&amp;F363&amp;" would be the right person to organise a team game?"&amp;IF(Offer!$C$7&lt;&gt;""," Spots are held until "&amp;TEXT(Offer!$C$7,"dddd d mmmm")&amp;".","")&amp;" "&amp;IF(Offer!$C$6&lt;&gt;"",Offer!$C$6,"[JOINING LINK]")</f>
        <v/>
      </c>
      <c r="AK363" s="14">
        <f>IF(OR(ISNUMBER(SEARCH("[",AG363)),ISNUMBER(SEARCH("[",AJ363))),"Fill placeholders",IF(ISNUMBER(AB363),"Ready to send","Ready · no fixed slot"))</f>
        <v/>
      </c>
      <c r="AN363" s="17" t="n"/>
    </row>
    <row r="364">
      <c r="A364" s="11" t="n">
        <v>362</v>
      </c>
      <c r="B364" s="11" t="n">
        <v>3</v>
      </c>
      <c r="C364" s="11" t="inlineStr">
        <is>
          <t>Fund / asset manager</t>
        </is>
      </c>
      <c r="D364" s="11" t="inlineStr">
        <is>
          <t>City of London</t>
        </is>
      </c>
      <c r="E364" s="11" t="inlineStr">
        <is>
          <t>Longfield Investment Partners Limited</t>
        </is>
      </c>
      <c r="F364" s="11" t="inlineStr">
        <is>
          <t>Longfield Investment Partners</t>
        </is>
      </c>
      <c r="G364" s="11" t="inlineStr">
        <is>
          <t>12095661</t>
        </is>
      </c>
      <c r="H364" s="12" t="inlineStr">
        <is>
          <t>Open</t>
        </is>
      </c>
      <c r="I364" s="12" t="inlineStr">
        <is>
          <t>Search</t>
        </is>
      </c>
      <c r="J364" s="11" t="inlineStr">
        <is>
          <t>Full</t>
        </is>
      </c>
      <c r="K364" s="13" t="n">
        <v>43656</v>
      </c>
      <c r="L364" s="11" t="inlineStr">
        <is>
          <t>73 Cornhill, London</t>
        </is>
      </c>
      <c r="M364" s="11" t="inlineStr">
        <is>
          <t>EC3V 3QQ</t>
        </is>
      </c>
      <c r="N364" s="11" t="inlineStr">
        <is>
          <t>No</t>
        </is>
      </c>
      <c r="U364" s="11" t="inlineStr">
        <is>
          <t>Liverpool St - Attlee Centre</t>
        </is>
      </c>
      <c r="V364" s="11" t="n">
        <v>16</v>
      </c>
      <c r="W364" s="11" t="n"/>
      <c r="X364" s="11" t="inlineStr">
        <is>
          <t>Liverpool St - Attlee Centre</t>
        </is>
      </c>
      <c r="Y364" s="11" t="n">
        <v>16</v>
      </c>
      <c r="Z364" s="14">
        <f>IFERROR(INDEX(Venues!$E$2:$E$15,MATCH(X364,Venues!$A$2:$A$15,0)),"Not checked")</f>
        <v/>
      </c>
      <c r="AA364" s="14">
        <f>IFERROR(INDEX(Venues!$F$2:$F$15,MATCH(X364,Venues!$A$2:$A$15,0)),0)</f>
        <v/>
      </c>
      <c r="AB364" s="15">
        <f>IFERROR(INDEX(Venues!$M$2:$M$15,MATCH(X364,Venues!$A$2:$A$15,0)),"")</f>
        <v/>
      </c>
      <c r="AC364" s="14">
        <f>IFERROR(INDEX(Venues!$N$2:$N$15,MATCH(X364,Venues!$A$2:$A$15,0)),"5-a-side")</f>
        <v/>
      </c>
      <c r="AD364" s="16">
        <f>IF(Offer!$C$4="","",Offer!$C$4)</f>
        <v/>
      </c>
      <c r="AE364" s="14">
        <f>X364&amp;" ("&amp;Y364&amp;" min walk) · "&amp;IF(ISNUMBER(AB364),TEXT(AB364,"ddd d mmm, hh:mm"),"slot to confirm with venue")&amp;" · "&amp;AC364&amp;" · "&amp;IF(AD364&lt;&gt;"","£"&amp;TEXT(AD364,"0.00")&amp;" pp","price TBC")</f>
        <v/>
      </c>
      <c r="AF364" s="14">
        <f>"After-work football for "&amp;F364&amp;" · "&amp;X364&amp;", "&amp;Y364&amp;" min from your office"</f>
        <v/>
      </c>
      <c r="AG364" s="14">
        <f>"Hi"&amp;IF(O364&lt;&gt;""," "&amp;O364,"")&amp;","&amp;CHAR(10)&amp;CHAR(10)&amp;"I'm "&amp;IF(AL364&lt;&gt;"",AL364,IF(Offer!$C$5&lt;&gt;"",Offer!$C$5,"[NAME]"))&amp;" from FC Urban. We organise after-work football for teams in the City and Canary Wharf."&amp;CHAR(10)&amp;CHAR(10)&amp;"We have a "&amp;AC364&amp;" pitch at "&amp;X364&amp;", "&amp;IF(OR(Y364=8,Y364=11,Y364=18),"an ","a ")&amp;Y364&amp;"-minute walk from your "&amp;M364&amp;" office, "&amp;IF(ISNUMBER(AB364),"on "&amp;TEXT(AB364,"dddd d mmmm")&amp;" at "&amp;TEXT(AB364,"hh:mm"),"on a weekday evening that suits your team")&amp;". It's "&amp;IF(AD364&lt;&gt;"","£"&amp;IF(AD364=INT(AD364),TEXT(AD364,"0"),TEXT(AD364,"0.00")),"[PRICE PER PLAYER]")&amp;" a player and we handle the pitch booking, sign-ups and payments, so all it takes is one person sharing a link with the team."&amp;CHAR(10)&amp;CHAR(10)&amp;"It works well as a team social or "&amp;IF(ISNUMBER(SEARCH(LEFT(F364,1),"AEIOU")),"an ","a ")&amp;F364&amp;"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LINK]")&amp;CHAR(10)&amp;CHAR(10)&amp;"Best,"&amp;CHAR(10)&amp;IF(AL364&lt;&gt;"",AL364,IF(Offer!$C$5&lt;&gt;"",Offer!$C$5,"[NAME]"))&amp;CHAR(10)&amp;"FC Urban"</f>
        <v/>
      </c>
      <c r="AH364" s="14">
        <f>IF(LEN("Hi"&amp;IF(O364&lt;&gt;""," "&amp;O364,"")&amp;","&amp;" FC Urban runs after-work football for "&amp;IF(D364="Canary Wharf","Canary Wharf","City")&amp;" teams. We have a "&amp;AC364&amp;" pitch at "&amp;X364&amp;", "&amp;Y364&amp;" min from your office, "&amp;IF(ISNUMBER(AB364),TEXT(AB364,"ddd d mmm")&amp;", "&amp;TEXT(AB364,"hh:mm"),"weekday evenings")&amp;", "&amp;IF(AD364&lt;&gt;"","£"&amp;IF(AD364=INT(AD364),TEXT(AD364,"0"),TEXT(AD364,"0.00")),"[PRICE PER PLAYER]")&amp;" a player. We handle booking, sign-ups and payments. Fancy "&amp;IF(ISNUMBER(SEARCH(LEFT(F364,1),"AEIOU")),"an ","a ")&amp;F364&amp;" team game? "&amp;IF(AL364&lt;&gt;"",AL364,IF(Offer!$C$5&lt;&gt;"",Offer!$C$5,"[NAME]")))&lt;=300,"Hi"&amp;IF(O364&lt;&gt;""," "&amp;O364,"")&amp;","&amp;" FC Urban runs after-work football for "&amp;IF(D364="Canary Wharf","Canary Wharf","City")&amp;" teams. We have a "&amp;AC364&amp;" pitch at "&amp;X364&amp;", "&amp;Y364&amp;" min from your office, "&amp;IF(ISNUMBER(AB364),TEXT(AB364,"ddd d mmm")&amp;", "&amp;TEXT(AB364,"hh:mm"),"weekday evenings")&amp;", "&amp;IF(AD364&lt;&gt;"","£"&amp;IF(AD364=INT(AD364),TEXT(AD364,"0"),TEXT(AD364,"0.00")),"[PRICE PER PLAYER]")&amp;" a player. We handle booking, sign-ups and payments. Fancy "&amp;IF(ISNUMBER(SEARCH(LEFT(F364,1),"AEIOU")),"an ","a ")&amp;F364&amp;" team game? "&amp;IF(AL364&lt;&gt;"",AL364,IF(Offer!$C$5&lt;&gt;"",Offer!$C$5,"[NAME]")),LEFT("Hi"&amp;IF(O364&lt;&gt;""," "&amp;O364,"")&amp;","&amp;" FC Urban runs after-work football for "&amp;IF(D364="Canary Wharf","Canary Wharf","City")&amp;" teams: "&amp;AC364&amp;" at "&amp;X364&amp;", "&amp;Y364&amp;" min from your office, "&amp;IF(ISNUMBER(AB364),TEXT(AB364,"ddd d mmm")&amp;", "&amp;TEXT(AB364,"hh:mm"),"weekday evenings")&amp;", "&amp;IF(AD364&lt;&gt;"","£"&amp;IF(AD364=INT(AD364),TEXT(AD364,"0"),TEXT(AD364,"0.00")),"[PRICE PER PLAYER]")&amp;" pp. We handle booking and payments. Up for a team game? "&amp;IF(AL364&lt;&gt;"",AL364,IF(Offer!$C$5&lt;&gt;"",Offer!$C$5,"[NAME]")),300))</f>
        <v/>
      </c>
      <c r="AI364" s="14">
        <f>LEN(AH364)</f>
        <v/>
      </c>
      <c r="AJ364" s="14">
        <f>"Thanks for connecting"&amp;IF(O364&lt;&gt;"",", "&amp;O364,"")&amp;". "&amp;IF(ISNUMBER(AB364),"The "&amp;AC364&amp;" slot at "&amp;X364&amp;" is "&amp;IF(ISNUMBER(AB364),TEXT(AB364,"ddd d mmm")&amp;", "&amp;TEXT(AB364,"hh:mm"),"weekday evenings"),"We can book "&amp;AC364&amp;" at "&amp;X364&amp;" on a weekday evening that suits you")&amp;" and it's "&amp;IF(AD364&lt;&gt;"","£"&amp;IF(AD364=INT(AD364),TEXT(AD364,"0"),TEXT(AD364,"0.00")),"[PRICE PER PLAYER]")&amp;" a player, all booked and paid through one link. If football isn't your thing, who at "&amp;F364&amp;" would be the right person to organise a team game?"&amp;IF(Offer!$C$7&lt;&gt;""," Spots are held until "&amp;TEXT(Offer!$C$7,"dddd d mmmm")&amp;".","")&amp;" "&amp;IF(Offer!$C$6&lt;&gt;"",Offer!$C$6,"[JOINING LINK]")</f>
        <v/>
      </c>
      <c r="AK364" s="14">
        <f>IF(OR(ISNUMBER(SEARCH("[",AG364)),ISNUMBER(SEARCH("[",AJ364))),"Fill placeholders",IF(ISNUMBER(AB364),"Ready to send","Ready · no fixed slot"))</f>
        <v/>
      </c>
      <c r="AN364" s="17" t="n"/>
    </row>
    <row r="365">
      <c r="A365" s="11" t="n">
        <v>363</v>
      </c>
      <c r="B365" s="11" t="n">
        <v>3</v>
      </c>
      <c r="C365" s="11" t="inlineStr">
        <is>
          <t>Fund / asset manager</t>
        </is>
      </c>
      <c r="D365" s="11" t="inlineStr">
        <is>
          <t>City of London</t>
        </is>
      </c>
      <c r="E365" s="11" t="inlineStr">
        <is>
          <t>Tacconis Advisors &amp; Co LLP</t>
        </is>
      </c>
      <c r="F365" s="11" t="inlineStr">
        <is>
          <t>Tacconis Advisors &amp; Co</t>
        </is>
      </c>
      <c r="G365" s="11" t="inlineStr">
        <is>
          <t>OC322018</t>
        </is>
      </c>
      <c r="H365" s="12" t="inlineStr">
        <is>
          <t>Open</t>
        </is>
      </c>
      <c r="I365" s="12" t="inlineStr">
        <is>
          <t>Search</t>
        </is>
      </c>
      <c r="J365" s="11" t="inlineStr">
        <is>
          <t>Full</t>
        </is>
      </c>
      <c r="K365" s="13" t="n">
        <v>38960</v>
      </c>
      <c r="L365" s="11" t="inlineStr">
        <is>
          <t>73 Cornhill, London</t>
        </is>
      </c>
      <c r="M365" s="11" t="inlineStr">
        <is>
          <t>EC3V 3QQ</t>
        </is>
      </c>
      <c r="N365" s="11" t="inlineStr">
        <is>
          <t>No</t>
        </is>
      </c>
      <c r="U365" s="11" t="inlineStr">
        <is>
          <t>Liverpool St - Attlee Centre</t>
        </is>
      </c>
      <c r="V365" s="11" t="n">
        <v>16</v>
      </c>
      <c r="W365" s="11" t="n"/>
      <c r="X365" s="11" t="inlineStr">
        <is>
          <t>Liverpool St - Attlee Centre</t>
        </is>
      </c>
      <c r="Y365" s="11" t="n">
        <v>16</v>
      </c>
      <c r="Z365" s="14">
        <f>IFERROR(INDEX(Venues!$E$2:$E$15,MATCH(X365,Venues!$A$2:$A$15,0)),"Not checked")</f>
        <v/>
      </c>
      <c r="AA365" s="14">
        <f>IFERROR(INDEX(Venues!$F$2:$F$15,MATCH(X365,Venues!$A$2:$A$15,0)),0)</f>
        <v/>
      </c>
      <c r="AB365" s="15">
        <f>IFERROR(INDEX(Venues!$M$2:$M$15,MATCH(X365,Venues!$A$2:$A$15,0)),"")</f>
        <v/>
      </c>
      <c r="AC365" s="14">
        <f>IFERROR(INDEX(Venues!$N$2:$N$15,MATCH(X365,Venues!$A$2:$A$15,0)),"5-a-side")</f>
        <v/>
      </c>
      <c r="AD365" s="16">
        <f>IF(Offer!$C$4="","",Offer!$C$4)</f>
        <v/>
      </c>
      <c r="AE365" s="14">
        <f>X365&amp;" ("&amp;Y365&amp;" min walk) · "&amp;IF(ISNUMBER(AB365),TEXT(AB365,"ddd d mmm, hh:mm"),"slot to confirm with venue")&amp;" · "&amp;AC365&amp;" · "&amp;IF(AD365&lt;&gt;"","£"&amp;TEXT(AD365,"0.00")&amp;" pp","price TBC")</f>
        <v/>
      </c>
      <c r="AF365" s="14">
        <f>"After-work football for "&amp;F365&amp;" · "&amp;X365&amp;", "&amp;Y365&amp;" min from your office"</f>
        <v/>
      </c>
      <c r="AG365" s="14">
        <f>"Hi"&amp;IF(O365&lt;&gt;""," "&amp;O365,"")&amp;","&amp;CHAR(10)&amp;CHAR(10)&amp;"I'm "&amp;IF(AL365&lt;&gt;"",AL365,IF(Offer!$C$5&lt;&gt;"",Offer!$C$5,"[NAME]"))&amp;" from FC Urban. We organise after-work football for teams in the City and Canary Wharf."&amp;CHAR(10)&amp;CHAR(10)&amp;"We have a "&amp;AC365&amp;" pitch at "&amp;X365&amp;", "&amp;IF(OR(Y365=8,Y365=11,Y365=18),"an ","a ")&amp;Y365&amp;"-minute walk from your "&amp;M365&amp;" office, "&amp;IF(ISNUMBER(AB365),"on "&amp;TEXT(AB365,"dddd d mmmm")&amp;" at "&amp;TEXT(AB365,"hh:mm"),"on a weekday evening that suits your team")&amp;". It's "&amp;IF(AD365&lt;&gt;"","£"&amp;IF(AD365=INT(AD365),TEXT(AD365,"0"),TEXT(AD365,"0.00")),"[PRICE PER PLAYER]")&amp;" a player and we handle the pitch booking, sign-ups and payments, so all it takes is one person sharing a link with the team."&amp;CHAR(10)&amp;CHAR(10)&amp;"It works well as a team social or "&amp;IF(ISNUMBER(SEARCH(LEFT(F365,1),"AEIOU")),"an ","a ")&amp;F365&amp;"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LINK]")&amp;CHAR(10)&amp;CHAR(10)&amp;"Best,"&amp;CHAR(10)&amp;IF(AL365&lt;&gt;"",AL365,IF(Offer!$C$5&lt;&gt;"",Offer!$C$5,"[NAME]"))&amp;CHAR(10)&amp;"FC Urban"</f>
        <v/>
      </c>
      <c r="AH365" s="14">
        <f>IF(LEN("Hi"&amp;IF(O365&lt;&gt;""," "&amp;O365,"")&amp;","&amp;" FC Urban runs after-work football for "&amp;IF(D365="Canary Wharf","Canary Wharf","City")&amp;" teams. We have a "&amp;AC365&amp;" pitch at "&amp;X365&amp;", "&amp;Y365&amp;" min from your office, "&amp;IF(ISNUMBER(AB365),TEXT(AB365,"ddd d mmm")&amp;", "&amp;TEXT(AB365,"hh:mm"),"weekday evenings")&amp;", "&amp;IF(AD365&lt;&gt;"","£"&amp;IF(AD365=INT(AD365),TEXT(AD365,"0"),TEXT(AD365,"0.00")),"[PRICE PER PLAYER]")&amp;" a player. We handle booking, sign-ups and payments. Fancy "&amp;IF(ISNUMBER(SEARCH(LEFT(F365,1),"AEIOU")),"an ","a ")&amp;F365&amp;" team game? "&amp;IF(AL365&lt;&gt;"",AL365,IF(Offer!$C$5&lt;&gt;"",Offer!$C$5,"[NAME]")))&lt;=300,"Hi"&amp;IF(O365&lt;&gt;""," "&amp;O365,"")&amp;","&amp;" FC Urban runs after-work football for "&amp;IF(D365="Canary Wharf","Canary Wharf","City")&amp;" teams. We have a "&amp;AC365&amp;" pitch at "&amp;X365&amp;", "&amp;Y365&amp;" min from your office, "&amp;IF(ISNUMBER(AB365),TEXT(AB365,"ddd d mmm")&amp;", "&amp;TEXT(AB365,"hh:mm"),"weekday evenings")&amp;", "&amp;IF(AD365&lt;&gt;"","£"&amp;IF(AD365=INT(AD365),TEXT(AD365,"0"),TEXT(AD365,"0.00")),"[PRICE PER PLAYER]")&amp;" a player. We handle booking, sign-ups and payments. Fancy "&amp;IF(ISNUMBER(SEARCH(LEFT(F365,1),"AEIOU")),"an ","a ")&amp;F365&amp;" team game? "&amp;IF(AL365&lt;&gt;"",AL365,IF(Offer!$C$5&lt;&gt;"",Offer!$C$5,"[NAME]")),LEFT("Hi"&amp;IF(O365&lt;&gt;""," "&amp;O365,"")&amp;","&amp;" FC Urban runs after-work football for "&amp;IF(D365="Canary Wharf","Canary Wharf","City")&amp;" teams: "&amp;AC365&amp;" at "&amp;X365&amp;", "&amp;Y365&amp;" min from your office, "&amp;IF(ISNUMBER(AB365),TEXT(AB365,"ddd d mmm")&amp;", "&amp;TEXT(AB365,"hh:mm"),"weekday evenings")&amp;", "&amp;IF(AD365&lt;&gt;"","£"&amp;IF(AD365=INT(AD365),TEXT(AD365,"0"),TEXT(AD365,"0.00")),"[PRICE PER PLAYER]")&amp;" pp. We handle booking and payments. Up for a team game? "&amp;IF(AL365&lt;&gt;"",AL365,IF(Offer!$C$5&lt;&gt;"",Offer!$C$5,"[NAME]")),300))</f>
        <v/>
      </c>
      <c r="AI365" s="14">
        <f>LEN(AH365)</f>
        <v/>
      </c>
      <c r="AJ365" s="14">
        <f>"Thanks for connecting"&amp;IF(O365&lt;&gt;"",", "&amp;O365,"")&amp;". "&amp;IF(ISNUMBER(AB365),"The "&amp;AC365&amp;" slot at "&amp;X365&amp;" is "&amp;IF(ISNUMBER(AB365),TEXT(AB365,"ddd d mmm")&amp;", "&amp;TEXT(AB365,"hh:mm"),"weekday evenings"),"We can book "&amp;AC365&amp;" at "&amp;X365&amp;" on a weekday evening that suits you")&amp;" and it's "&amp;IF(AD365&lt;&gt;"","£"&amp;IF(AD365=INT(AD365),TEXT(AD365,"0"),TEXT(AD365,"0.00")),"[PRICE PER PLAYER]")&amp;" a player, all booked and paid through one link. If football isn't your thing, who at "&amp;F365&amp;" would be the right person to organise a team game?"&amp;IF(Offer!$C$7&lt;&gt;""," Spots are held until "&amp;TEXT(Offer!$C$7,"dddd d mmmm")&amp;".","")&amp;" "&amp;IF(Offer!$C$6&lt;&gt;"",Offer!$C$6,"[JOINING LINK]")</f>
        <v/>
      </c>
      <c r="AK365" s="14">
        <f>IF(OR(ISNUMBER(SEARCH("[",AG365)),ISNUMBER(SEARCH("[",AJ365))),"Fill placeholders",IF(ISNUMBER(AB365),"Ready to send","Ready · no fixed slot"))</f>
        <v/>
      </c>
      <c r="AN365" s="17" t="n"/>
    </row>
    <row r="366">
      <c r="A366" s="11" t="n">
        <v>364</v>
      </c>
      <c r="B366" s="11" t="n">
        <v>3</v>
      </c>
      <c r="C366" s="11" t="inlineStr">
        <is>
          <t>Insurance / broker</t>
        </is>
      </c>
      <c r="D366" s="11" t="inlineStr">
        <is>
          <t>City of London</t>
        </is>
      </c>
      <c r="E366" s="11" t="inlineStr">
        <is>
          <t>Stubben Edge Markets Limited</t>
        </is>
      </c>
      <c r="F366" s="11" t="inlineStr">
        <is>
          <t>Stubben Edge Markets</t>
        </is>
      </c>
      <c r="G366" s="11" t="inlineStr">
        <is>
          <t>03317764</t>
        </is>
      </c>
      <c r="H366" s="12" t="inlineStr">
        <is>
          <t>Open</t>
        </is>
      </c>
      <c r="I366" s="12" t="inlineStr">
        <is>
          <t>Search</t>
        </is>
      </c>
      <c r="J366" s="11" t="inlineStr">
        <is>
          <t>Full</t>
        </is>
      </c>
      <c r="K366" s="13" t="n">
        <v>35468</v>
      </c>
      <c r="L366" s="11" t="inlineStr">
        <is>
          <t>77 Cornhill, London</t>
        </is>
      </c>
      <c r="M366" s="11" t="inlineStr">
        <is>
          <t>EC3V 3QQ</t>
        </is>
      </c>
      <c r="N366" s="11" t="inlineStr">
        <is>
          <t>No</t>
        </is>
      </c>
      <c r="U366" s="11" t="inlineStr">
        <is>
          <t>Liverpool St - Attlee Centre</t>
        </is>
      </c>
      <c r="V366" s="11" t="n">
        <v>16</v>
      </c>
      <c r="W366" s="11" t="n"/>
      <c r="X366" s="11" t="inlineStr">
        <is>
          <t>Liverpool St - Attlee Centre</t>
        </is>
      </c>
      <c r="Y366" s="11" t="n">
        <v>16</v>
      </c>
      <c r="Z366" s="14">
        <f>IFERROR(INDEX(Venues!$E$2:$E$15,MATCH(X366,Venues!$A$2:$A$15,0)),"Not checked")</f>
        <v/>
      </c>
      <c r="AA366" s="14">
        <f>IFERROR(INDEX(Venues!$F$2:$F$15,MATCH(X366,Venues!$A$2:$A$15,0)),0)</f>
        <v/>
      </c>
      <c r="AB366" s="15">
        <f>IFERROR(INDEX(Venues!$M$2:$M$15,MATCH(X366,Venues!$A$2:$A$15,0)),"")</f>
        <v/>
      </c>
      <c r="AC366" s="14">
        <f>IFERROR(INDEX(Venues!$N$2:$N$15,MATCH(X366,Venues!$A$2:$A$15,0)),"5-a-side")</f>
        <v/>
      </c>
      <c r="AD366" s="16">
        <f>IF(Offer!$C$4="","",Offer!$C$4)</f>
        <v/>
      </c>
      <c r="AE366" s="14">
        <f>X366&amp;" ("&amp;Y366&amp;" min walk) · "&amp;IF(ISNUMBER(AB366),TEXT(AB366,"ddd d mmm, hh:mm"),"slot to confirm with venue")&amp;" · "&amp;AC366&amp;" · "&amp;IF(AD366&lt;&gt;"","£"&amp;TEXT(AD366,"0.00")&amp;" pp","price TBC")</f>
        <v/>
      </c>
      <c r="AF366" s="14">
        <f>"After-work football for "&amp;F366&amp;" · "&amp;X366&amp;", "&amp;Y366&amp;" min from your office"</f>
        <v/>
      </c>
      <c r="AG366" s="14">
        <f>"Hi"&amp;IF(O366&lt;&gt;""," "&amp;O366,"")&amp;","&amp;CHAR(10)&amp;CHAR(10)&amp;"I'm "&amp;IF(AL366&lt;&gt;"",AL366,IF(Offer!$C$5&lt;&gt;"",Offer!$C$5,"[NAME]"))&amp;" from FC Urban. We organise after-work football for teams in the City and Canary Wharf."&amp;CHAR(10)&amp;CHAR(10)&amp;"We have a "&amp;AC366&amp;" pitch at "&amp;X366&amp;", "&amp;IF(OR(Y366=8,Y366=11,Y366=18),"an ","a ")&amp;Y366&amp;"-minute walk from your "&amp;M366&amp;" office, "&amp;IF(ISNUMBER(AB366),"on "&amp;TEXT(AB366,"dddd d mmmm")&amp;" at "&amp;TEXT(AB366,"hh:mm"),"on a weekday evening that suits your team")&amp;". It's "&amp;IF(AD366&lt;&gt;"","£"&amp;IF(AD366=INT(AD366),TEXT(AD366,"0"),TEXT(AD366,"0.00")),"[PRICE PER PLAYER]")&amp;" a player and we handle the pitch booking, sign-ups and payments, so all it takes is one person sharing a link with the team."&amp;CHAR(10)&amp;CHAR(10)&amp;"It works well as a team social or "&amp;IF(ISNUMBER(SEARCH(LEFT(F366,1),"AEIOU")),"an ","a ")&amp;F366&amp;"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LINK]")&amp;CHAR(10)&amp;CHAR(10)&amp;"Best,"&amp;CHAR(10)&amp;IF(AL366&lt;&gt;"",AL366,IF(Offer!$C$5&lt;&gt;"",Offer!$C$5,"[NAME]"))&amp;CHAR(10)&amp;"FC Urban"</f>
        <v/>
      </c>
      <c r="AH366" s="14">
        <f>IF(LEN("Hi"&amp;IF(O366&lt;&gt;""," "&amp;O366,"")&amp;","&amp;" FC Urban runs after-work football for "&amp;IF(D366="Canary Wharf","Canary Wharf","City")&amp;" teams. We have a "&amp;AC366&amp;" pitch at "&amp;X366&amp;", "&amp;Y366&amp;" min from your office, "&amp;IF(ISNUMBER(AB366),TEXT(AB366,"ddd d mmm")&amp;", "&amp;TEXT(AB366,"hh:mm"),"weekday evenings")&amp;", "&amp;IF(AD366&lt;&gt;"","£"&amp;IF(AD366=INT(AD366),TEXT(AD366,"0"),TEXT(AD366,"0.00")),"[PRICE PER PLAYER]")&amp;" a player. We handle booking, sign-ups and payments. Fancy "&amp;IF(ISNUMBER(SEARCH(LEFT(F366,1),"AEIOU")),"an ","a ")&amp;F366&amp;" team game? "&amp;IF(AL366&lt;&gt;"",AL366,IF(Offer!$C$5&lt;&gt;"",Offer!$C$5,"[NAME]")))&lt;=300,"Hi"&amp;IF(O366&lt;&gt;""," "&amp;O366,"")&amp;","&amp;" FC Urban runs after-work football for "&amp;IF(D366="Canary Wharf","Canary Wharf","City")&amp;" teams. We have a "&amp;AC366&amp;" pitch at "&amp;X366&amp;", "&amp;Y366&amp;" min from your office, "&amp;IF(ISNUMBER(AB366),TEXT(AB366,"ddd d mmm")&amp;", "&amp;TEXT(AB366,"hh:mm"),"weekday evenings")&amp;", "&amp;IF(AD366&lt;&gt;"","£"&amp;IF(AD366=INT(AD366),TEXT(AD366,"0"),TEXT(AD366,"0.00")),"[PRICE PER PLAYER]")&amp;" a player. We handle booking, sign-ups and payments. Fancy "&amp;IF(ISNUMBER(SEARCH(LEFT(F366,1),"AEIOU")),"an ","a ")&amp;F366&amp;" team game? "&amp;IF(AL366&lt;&gt;"",AL366,IF(Offer!$C$5&lt;&gt;"",Offer!$C$5,"[NAME]")),LEFT("Hi"&amp;IF(O366&lt;&gt;""," "&amp;O366,"")&amp;","&amp;" FC Urban runs after-work football for "&amp;IF(D366="Canary Wharf","Canary Wharf","City")&amp;" teams: "&amp;AC366&amp;" at "&amp;X366&amp;", "&amp;Y366&amp;" min from your office, "&amp;IF(ISNUMBER(AB366),TEXT(AB366,"ddd d mmm")&amp;", "&amp;TEXT(AB366,"hh:mm"),"weekday evenings")&amp;", "&amp;IF(AD366&lt;&gt;"","£"&amp;IF(AD366=INT(AD366),TEXT(AD366,"0"),TEXT(AD366,"0.00")),"[PRICE PER PLAYER]")&amp;" pp. We handle booking and payments. Up for a team game? "&amp;IF(AL366&lt;&gt;"",AL366,IF(Offer!$C$5&lt;&gt;"",Offer!$C$5,"[NAME]")),300))</f>
        <v/>
      </c>
      <c r="AI366" s="14">
        <f>LEN(AH366)</f>
        <v/>
      </c>
      <c r="AJ366" s="14">
        <f>"Thanks for connecting"&amp;IF(O366&lt;&gt;"",", "&amp;O366,"")&amp;". "&amp;IF(ISNUMBER(AB366),"The "&amp;AC366&amp;" slot at "&amp;X366&amp;" is "&amp;IF(ISNUMBER(AB366),TEXT(AB366,"ddd d mmm")&amp;", "&amp;TEXT(AB366,"hh:mm"),"weekday evenings"),"We can book "&amp;AC366&amp;" at "&amp;X366&amp;" on a weekday evening that suits you")&amp;" and it's "&amp;IF(AD366&lt;&gt;"","£"&amp;IF(AD366=INT(AD366),TEXT(AD366,"0"),TEXT(AD366,"0.00")),"[PRICE PER PLAYER]")&amp;" a player, all booked and paid through one link. If football isn't your thing, who at "&amp;F366&amp;" would be the right person to organise a team game?"&amp;IF(Offer!$C$7&lt;&gt;""," Spots are held until "&amp;TEXT(Offer!$C$7,"dddd d mmmm")&amp;".","")&amp;" "&amp;IF(Offer!$C$6&lt;&gt;"",Offer!$C$6,"[JOINING LINK]")</f>
        <v/>
      </c>
      <c r="AK366" s="14">
        <f>IF(OR(ISNUMBER(SEARCH("[",AG366)),ISNUMBER(SEARCH("[",AJ366))),"Fill placeholders",IF(ISNUMBER(AB366),"Ready to send","Ready · no fixed slot"))</f>
        <v/>
      </c>
      <c r="AN366" s="17" t="n"/>
    </row>
    <row r="367">
      <c r="A367" s="11" t="n">
        <v>365</v>
      </c>
      <c r="B367" s="11" t="n">
        <v>3</v>
      </c>
      <c r="C367" s="11" t="inlineStr">
        <is>
          <t>Insurance / broker</t>
        </is>
      </c>
      <c r="D367" s="11" t="inlineStr">
        <is>
          <t>City of London</t>
        </is>
      </c>
      <c r="E367" s="11" t="inlineStr">
        <is>
          <t>Total Risk Solutions (London) Limited</t>
        </is>
      </c>
      <c r="F367" s="11" t="inlineStr">
        <is>
          <t>Total Risk Solutions</t>
        </is>
      </c>
      <c r="G367" s="11" t="inlineStr">
        <is>
          <t>04007266</t>
        </is>
      </c>
      <c r="H367" s="12" t="inlineStr">
        <is>
          <t>Open</t>
        </is>
      </c>
      <c r="I367" s="12" t="inlineStr">
        <is>
          <t>Search</t>
        </is>
      </c>
      <c r="J367" s="11" t="inlineStr">
        <is>
          <t>Full</t>
        </is>
      </c>
      <c r="K367" s="13" t="n">
        <v>36682</v>
      </c>
      <c r="L367" s="11" t="inlineStr">
        <is>
          <t>78 Cornhill, London</t>
        </is>
      </c>
      <c r="M367" s="11" t="inlineStr">
        <is>
          <t>EC3V 3QQ</t>
        </is>
      </c>
      <c r="N367" s="11" t="inlineStr">
        <is>
          <t>Yes</t>
        </is>
      </c>
      <c r="U367" s="11" t="inlineStr">
        <is>
          <t>Liverpool St - Attlee Centre</t>
        </is>
      </c>
      <c r="V367" s="11" t="n">
        <v>16</v>
      </c>
      <c r="W367" s="11" t="n"/>
      <c r="X367" s="11" t="inlineStr">
        <is>
          <t>Liverpool St - Attlee Centre</t>
        </is>
      </c>
      <c r="Y367" s="11" t="n">
        <v>16</v>
      </c>
      <c r="Z367" s="14">
        <f>IFERROR(INDEX(Venues!$E$2:$E$15,MATCH(X367,Venues!$A$2:$A$15,0)),"Not checked")</f>
        <v/>
      </c>
      <c r="AA367" s="14">
        <f>IFERROR(INDEX(Venues!$F$2:$F$15,MATCH(X367,Venues!$A$2:$A$15,0)),0)</f>
        <v/>
      </c>
      <c r="AB367" s="15">
        <f>IFERROR(INDEX(Venues!$M$2:$M$15,MATCH(X367,Venues!$A$2:$A$15,0)),"")</f>
        <v/>
      </c>
      <c r="AC367" s="14">
        <f>IFERROR(INDEX(Venues!$N$2:$N$15,MATCH(X367,Venues!$A$2:$A$15,0)),"5-a-side")</f>
        <v/>
      </c>
      <c r="AD367" s="16">
        <f>IF(Offer!$C$4="","",Offer!$C$4)</f>
        <v/>
      </c>
      <c r="AE367" s="14">
        <f>X367&amp;" ("&amp;Y367&amp;" min walk) · "&amp;IF(ISNUMBER(AB367),TEXT(AB367,"ddd d mmm, hh:mm"),"slot to confirm with venue")&amp;" · "&amp;AC367&amp;" · "&amp;IF(AD367&lt;&gt;"","£"&amp;TEXT(AD367,"0.00")&amp;" pp","price TBC")</f>
        <v/>
      </c>
      <c r="AF367" s="14">
        <f>"After-work football for "&amp;F367&amp;" · "&amp;X367&amp;", "&amp;Y367&amp;" min from your office"</f>
        <v/>
      </c>
      <c r="AG367" s="14">
        <f>"Hi"&amp;IF(O367&lt;&gt;""," "&amp;O367,"")&amp;","&amp;CHAR(10)&amp;CHAR(10)&amp;"I'm "&amp;IF(AL367&lt;&gt;"",AL367,IF(Offer!$C$5&lt;&gt;"",Offer!$C$5,"[NAME]"))&amp;" from FC Urban. We organise after-work football for teams in the City and Canary Wharf."&amp;CHAR(10)&amp;CHAR(10)&amp;"We have a "&amp;AC367&amp;" pitch at "&amp;X367&amp;", "&amp;IF(OR(Y367=8,Y367=11,Y367=18),"an ","a ")&amp;Y367&amp;"-minute walk from your "&amp;M367&amp;" office, "&amp;IF(ISNUMBER(AB367),"on "&amp;TEXT(AB367,"dddd d mmmm")&amp;" at "&amp;TEXT(AB367,"hh:mm"),"on a weekday evening that suits your team")&amp;". It's "&amp;IF(AD367&lt;&gt;"","£"&amp;IF(AD367=INT(AD367),TEXT(AD367,"0"),TEXT(AD367,"0.00")),"[PRICE PER PLAYER]")&amp;" a player and we handle the pitch booking, sign-ups and payments, so all it takes is one person sharing a link with the team."&amp;CHAR(10)&amp;CHAR(10)&amp;"It works well as a team social or "&amp;IF(ISNUMBER(SEARCH(LEFT(F367,1),"AEIOU")),"an ","a ")&amp;F367&amp;"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LINK]")&amp;CHAR(10)&amp;CHAR(10)&amp;"Best,"&amp;CHAR(10)&amp;IF(AL367&lt;&gt;"",AL367,IF(Offer!$C$5&lt;&gt;"",Offer!$C$5,"[NAME]"))&amp;CHAR(10)&amp;"FC Urban"</f>
        <v/>
      </c>
      <c r="AH367" s="14">
        <f>IF(LEN("Hi"&amp;IF(O367&lt;&gt;""," "&amp;O367,"")&amp;","&amp;" FC Urban runs after-work football for "&amp;IF(D367="Canary Wharf","Canary Wharf","City")&amp;" teams. We have a "&amp;AC367&amp;" pitch at "&amp;X367&amp;", "&amp;Y367&amp;" min from your office, "&amp;IF(ISNUMBER(AB367),TEXT(AB367,"ddd d mmm")&amp;", "&amp;TEXT(AB367,"hh:mm"),"weekday evenings")&amp;", "&amp;IF(AD367&lt;&gt;"","£"&amp;IF(AD367=INT(AD367),TEXT(AD367,"0"),TEXT(AD367,"0.00")),"[PRICE PER PLAYER]")&amp;" a player. We handle booking, sign-ups and payments. Fancy "&amp;IF(ISNUMBER(SEARCH(LEFT(F367,1),"AEIOU")),"an ","a ")&amp;F367&amp;" team game? "&amp;IF(AL367&lt;&gt;"",AL367,IF(Offer!$C$5&lt;&gt;"",Offer!$C$5,"[NAME]")))&lt;=300,"Hi"&amp;IF(O367&lt;&gt;""," "&amp;O367,"")&amp;","&amp;" FC Urban runs after-work football for "&amp;IF(D367="Canary Wharf","Canary Wharf","City")&amp;" teams. We have a "&amp;AC367&amp;" pitch at "&amp;X367&amp;", "&amp;Y367&amp;" min from your office, "&amp;IF(ISNUMBER(AB367),TEXT(AB367,"ddd d mmm")&amp;", "&amp;TEXT(AB367,"hh:mm"),"weekday evenings")&amp;", "&amp;IF(AD367&lt;&gt;"","£"&amp;IF(AD367=INT(AD367),TEXT(AD367,"0"),TEXT(AD367,"0.00")),"[PRICE PER PLAYER]")&amp;" a player. We handle booking, sign-ups and payments. Fancy "&amp;IF(ISNUMBER(SEARCH(LEFT(F367,1),"AEIOU")),"an ","a ")&amp;F367&amp;" team game? "&amp;IF(AL367&lt;&gt;"",AL367,IF(Offer!$C$5&lt;&gt;"",Offer!$C$5,"[NAME]")),LEFT("Hi"&amp;IF(O367&lt;&gt;""," "&amp;O367,"")&amp;","&amp;" FC Urban runs after-work football for "&amp;IF(D367="Canary Wharf","Canary Wharf","City")&amp;" teams: "&amp;AC367&amp;" at "&amp;X367&amp;", "&amp;Y367&amp;" min from your office, "&amp;IF(ISNUMBER(AB367),TEXT(AB367,"ddd d mmm")&amp;", "&amp;TEXT(AB367,"hh:mm"),"weekday evenings")&amp;", "&amp;IF(AD367&lt;&gt;"","£"&amp;IF(AD367=INT(AD367),TEXT(AD367,"0"),TEXT(AD367,"0.00")),"[PRICE PER PLAYER]")&amp;" pp. We handle booking and payments. Up for a team game? "&amp;IF(AL367&lt;&gt;"",AL367,IF(Offer!$C$5&lt;&gt;"",Offer!$C$5,"[NAME]")),300))</f>
        <v/>
      </c>
      <c r="AI367" s="14">
        <f>LEN(AH367)</f>
        <v/>
      </c>
      <c r="AJ367" s="14">
        <f>"Thanks for connecting"&amp;IF(O367&lt;&gt;"",", "&amp;O367,"")&amp;". "&amp;IF(ISNUMBER(AB367),"The "&amp;AC367&amp;" slot at "&amp;X367&amp;" is "&amp;IF(ISNUMBER(AB367),TEXT(AB367,"ddd d mmm")&amp;", "&amp;TEXT(AB367,"hh:mm"),"weekday evenings"),"We can book "&amp;AC367&amp;" at "&amp;X367&amp;" on a weekday evening that suits you")&amp;" and it's "&amp;IF(AD367&lt;&gt;"","£"&amp;IF(AD367=INT(AD367),TEXT(AD367,"0"),TEXT(AD367,"0.00")),"[PRICE PER PLAYER]")&amp;" a player, all booked and paid through one link. If football isn't your thing, who at "&amp;F367&amp;" would be the right person to organise a team game?"&amp;IF(Offer!$C$7&lt;&gt;""," Spots are held until "&amp;TEXT(Offer!$C$7,"dddd d mmmm")&amp;".","")&amp;" "&amp;IF(Offer!$C$6&lt;&gt;"",Offer!$C$6,"[JOINING LINK]")</f>
        <v/>
      </c>
      <c r="AK367" s="14">
        <f>IF(OR(ISNUMBER(SEARCH("[",AG367)),ISNUMBER(SEARCH("[",AJ367))),"Fill placeholders",IF(ISNUMBER(AB367),"Ready to send","Ready · no fixed slot"))</f>
        <v/>
      </c>
      <c r="AN367" s="17" t="n"/>
    </row>
    <row r="368">
      <c r="A368" s="11" t="n">
        <v>366</v>
      </c>
      <c r="B368" s="11" t="n">
        <v>3</v>
      </c>
      <c r="C368" s="11" t="inlineStr">
        <is>
          <t>Insurance / broker</t>
        </is>
      </c>
      <c r="D368" s="11" t="inlineStr">
        <is>
          <t>City of London</t>
        </is>
      </c>
      <c r="E368" s="11" t="inlineStr">
        <is>
          <t>China Taiping Insurance (UK) Co Ltd</t>
        </is>
      </c>
      <c r="F368" s="11" t="inlineStr">
        <is>
          <t>China Taiping Insurance Co</t>
        </is>
      </c>
      <c r="G368" s="11" t="inlineStr">
        <is>
          <t>01766035</t>
        </is>
      </c>
      <c r="H368" s="12" t="inlineStr">
        <is>
          <t>Open</t>
        </is>
      </c>
      <c r="I368" s="12" t="inlineStr">
        <is>
          <t>Search</t>
        </is>
      </c>
      <c r="J368" s="11" t="inlineStr">
        <is>
          <t>Full</t>
        </is>
      </c>
      <c r="K368" s="13" t="n">
        <v>30620</v>
      </c>
      <c r="L368" s="11" t="inlineStr">
        <is>
          <t>2 Finch Lane, London</t>
        </is>
      </c>
      <c r="M368" s="11" t="inlineStr">
        <is>
          <t>EC3V 3NA</t>
        </is>
      </c>
      <c r="N368" s="11" t="inlineStr">
        <is>
          <t>Yes</t>
        </is>
      </c>
      <c r="U368" s="11" t="inlineStr">
        <is>
          <t>Liverpool St - Attlee Centre</t>
        </is>
      </c>
      <c r="V368" s="11" t="n">
        <v>16</v>
      </c>
      <c r="W368" s="11" t="n"/>
      <c r="X368" s="11" t="inlineStr">
        <is>
          <t>Liverpool St - Attlee Centre</t>
        </is>
      </c>
      <c r="Y368" s="11" t="n">
        <v>16</v>
      </c>
      <c r="Z368" s="14">
        <f>IFERROR(INDEX(Venues!$E$2:$E$15,MATCH(X368,Venues!$A$2:$A$15,0)),"Not checked")</f>
        <v/>
      </c>
      <c r="AA368" s="14">
        <f>IFERROR(INDEX(Venues!$F$2:$F$15,MATCH(X368,Venues!$A$2:$A$15,0)),0)</f>
        <v/>
      </c>
      <c r="AB368" s="15">
        <f>IFERROR(INDEX(Venues!$M$2:$M$15,MATCH(X368,Venues!$A$2:$A$15,0)),"")</f>
        <v/>
      </c>
      <c r="AC368" s="14">
        <f>IFERROR(INDEX(Venues!$N$2:$N$15,MATCH(X368,Venues!$A$2:$A$15,0)),"5-a-side")</f>
        <v/>
      </c>
      <c r="AD368" s="16">
        <f>IF(Offer!$C$4="","",Offer!$C$4)</f>
        <v/>
      </c>
      <c r="AE368" s="14">
        <f>X368&amp;" ("&amp;Y368&amp;" min walk) · "&amp;IF(ISNUMBER(AB368),TEXT(AB368,"ddd d mmm, hh:mm"),"slot to confirm with venue")&amp;" · "&amp;AC368&amp;" · "&amp;IF(AD368&lt;&gt;"","£"&amp;TEXT(AD368,"0.00")&amp;" pp","price TBC")</f>
        <v/>
      </c>
      <c r="AF368" s="14">
        <f>"After-work football for "&amp;F368&amp;" · "&amp;X368&amp;", "&amp;Y368&amp;" min from your office"</f>
        <v/>
      </c>
      <c r="AG368" s="14">
        <f>"Hi"&amp;IF(O368&lt;&gt;""," "&amp;O368,"")&amp;","&amp;CHAR(10)&amp;CHAR(10)&amp;"I'm "&amp;IF(AL368&lt;&gt;"",AL368,IF(Offer!$C$5&lt;&gt;"",Offer!$C$5,"[NAME]"))&amp;" from FC Urban. We organise after-work football for teams in the City and Canary Wharf."&amp;CHAR(10)&amp;CHAR(10)&amp;"We have a "&amp;AC368&amp;" pitch at "&amp;X368&amp;", "&amp;IF(OR(Y368=8,Y368=11,Y368=18),"an ","a ")&amp;Y368&amp;"-minute walk from your "&amp;M368&amp;" office, "&amp;IF(ISNUMBER(AB368),"on "&amp;TEXT(AB368,"dddd d mmmm")&amp;" at "&amp;TEXT(AB368,"hh:mm"),"on a weekday evening that suits your team")&amp;". It's "&amp;IF(AD368&lt;&gt;"","£"&amp;IF(AD368=INT(AD368),TEXT(AD368,"0"),TEXT(AD368,"0.00")),"[PRICE PER PLAYER]")&amp;" a player and we handle the pitch booking, sign-ups and payments, so all it takes is one person sharing a link with the team."&amp;CHAR(10)&amp;CHAR(10)&amp;"It works well as a team social or "&amp;IF(ISNUMBER(SEARCH(LEFT(F368,1),"AEIOU")),"an ","a ")&amp;F368&amp;"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LINK]")&amp;CHAR(10)&amp;CHAR(10)&amp;"Best,"&amp;CHAR(10)&amp;IF(AL368&lt;&gt;"",AL368,IF(Offer!$C$5&lt;&gt;"",Offer!$C$5,"[NAME]"))&amp;CHAR(10)&amp;"FC Urban"</f>
        <v/>
      </c>
      <c r="AH368" s="14">
        <f>IF(LEN("Hi"&amp;IF(O368&lt;&gt;""," "&amp;O368,"")&amp;","&amp;" FC Urban runs after-work football for "&amp;IF(D368="Canary Wharf","Canary Wharf","City")&amp;" teams. We have a "&amp;AC368&amp;" pitch at "&amp;X368&amp;", "&amp;Y368&amp;" min from your office, "&amp;IF(ISNUMBER(AB368),TEXT(AB368,"ddd d mmm")&amp;", "&amp;TEXT(AB368,"hh:mm"),"weekday evenings")&amp;", "&amp;IF(AD368&lt;&gt;"","£"&amp;IF(AD368=INT(AD368),TEXT(AD368,"0"),TEXT(AD368,"0.00")),"[PRICE PER PLAYER]")&amp;" a player. We handle booking, sign-ups and payments. Fancy "&amp;IF(ISNUMBER(SEARCH(LEFT(F368,1),"AEIOU")),"an ","a ")&amp;F368&amp;" team game? "&amp;IF(AL368&lt;&gt;"",AL368,IF(Offer!$C$5&lt;&gt;"",Offer!$C$5,"[NAME]")))&lt;=300,"Hi"&amp;IF(O368&lt;&gt;""," "&amp;O368,"")&amp;","&amp;" FC Urban runs after-work football for "&amp;IF(D368="Canary Wharf","Canary Wharf","City")&amp;" teams. We have a "&amp;AC368&amp;" pitch at "&amp;X368&amp;", "&amp;Y368&amp;" min from your office, "&amp;IF(ISNUMBER(AB368),TEXT(AB368,"ddd d mmm")&amp;", "&amp;TEXT(AB368,"hh:mm"),"weekday evenings")&amp;", "&amp;IF(AD368&lt;&gt;"","£"&amp;IF(AD368=INT(AD368),TEXT(AD368,"0"),TEXT(AD368,"0.00")),"[PRICE PER PLAYER]")&amp;" a player. We handle booking, sign-ups and payments. Fancy "&amp;IF(ISNUMBER(SEARCH(LEFT(F368,1),"AEIOU")),"an ","a ")&amp;F368&amp;" team game? "&amp;IF(AL368&lt;&gt;"",AL368,IF(Offer!$C$5&lt;&gt;"",Offer!$C$5,"[NAME]")),LEFT("Hi"&amp;IF(O368&lt;&gt;""," "&amp;O368,"")&amp;","&amp;" FC Urban runs after-work football for "&amp;IF(D368="Canary Wharf","Canary Wharf","City")&amp;" teams: "&amp;AC368&amp;" at "&amp;X368&amp;", "&amp;Y368&amp;" min from your office, "&amp;IF(ISNUMBER(AB368),TEXT(AB368,"ddd d mmm")&amp;", "&amp;TEXT(AB368,"hh:mm"),"weekday evenings")&amp;", "&amp;IF(AD368&lt;&gt;"","£"&amp;IF(AD368=INT(AD368),TEXT(AD368,"0"),TEXT(AD368,"0.00")),"[PRICE PER PLAYER]")&amp;" pp. We handle booking and payments. Up for a team game? "&amp;IF(AL368&lt;&gt;"",AL368,IF(Offer!$C$5&lt;&gt;"",Offer!$C$5,"[NAME]")),300))</f>
        <v/>
      </c>
      <c r="AI368" s="14">
        <f>LEN(AH368)</f>
        <v/>
      </c>
      <c r="AJ368" s="14">
        <f>"Thanks for connecting"&amp;IF(O368&lt;&gt;"",", "&amp;O368,"")&amp;". "&amp;IF(ISNUMBER(AB368),"The "&amp;AC368&amp;" slot at "&amp;X368&amp;" is "&amp;IF(ISNUMBER(AB368),TEXT(AB368,"ddd d mmm")&amp;", "&amp;TEXT(AB368,"hh:mm"),"weekday evenings"),"We can book "&amp;AC368&amp;" at "&amp;X368&amp;" on a weekday evening that suits you")&amp;" and it's "&amp;IF(AD368&lt;&gt;"","£"&amp;IF(AD368=INT(AD368),TEXT(AD368,"0"),TEXT(AD368,"0.00")),"[PRICE PER PLAYER]")&amp;" a player, all booked and paid through one link. If football isn't your thing, who at "&amp;F368&amp;" would be the right person to organise a team game?"&amp;IF(Offer!$C$7&lt;&gt;""," Spots are held until "&amp;TEXT(Offer!$C$7,"dddd d mmmm")&amp;".","")&amp;" "&amp;IF(Offer!$C$6&lt;&gt;"",Offer!$C$6,"[JOINING LINK]")</f>
        <v/>
      </c>
      <c r="AK368" s="14">
        <f>IF(OR(ISNUMBER(SEARCH("[",AG368)),ISNUMBER(SEARCH("[",AJ368))),"Fill placeholders",IF(ISNUMBER(AB368),"Ready to send","Ready · no fixed slot"))</f>
        <v/>
      </c>
      <c r="AN368" s="17" t="n"/>
    </row>
    <row r="369">
      <c r="A369" s="11" t="n">
        <v>367</v>
      </c>
      <c r="B369" s="11" t="n">
        <v>3</v>
      </c>
      <c r="C369" s="11" t="inlineStr">
        <is>
          <t>Insurance / broker</t>
        </is>
      </c>
      <c r="D369" s="11" t="inlineStr">
        <is>
          <t>City of London</t>
        </is>
      </c>
      <c r="E369" s="11" t="inlineStr">
        <is>
          <t>Bannerman Rendell Limited</t>
        </is>
      </c>
      <c r="F369" s="11" t="inlineStr">
        <is>
          <t>Bannerman Rendell</t>
        </is>
      </c>
      <c r="G369" s="11" t="inlineStr">
        <is>
          <t>00609004</t>
        </is>
      </c>
      <c r="H369" s="12" t="inlineStr">
        <is>
          <t>Open</t>
        </is>
      </c>
      <c r="I369" s="12" t="inlineStr">
        <is>
          <t>Search</t>
        </is>
      </c>
      <c r="J369" s="11" t="inlineStr">
        <is>
          <t>Full</t>
        </is>
      </c>
      <c r="K369" s="13" t="n">
        <v>21397</v>
      </c>
      <c r="L369" s="11" t="inlineStr">
        <is>
          <t>5-10 Bury Street, London</t>
        </is>
      </c>
      <c r="M369" s="11" t="inlineStr">
        <is>
          <t>EC3A 5AT</t>
        </is>
      </c>
      <c r="N369" s="11" t="inlineStr">
        <is>
          <t>No</t>
        </is>
      </c>
      <c r="U369" s="11" t="inlineStr">
        <is>
          <t>Liverpool St - Attlee Centre</t>
        </is>
      </c>
      <c r="V369" s="11" t="n">
        <v>10</v>
      </c>
      <c r="W369" s="11" t="inlineStr">
        <is>
          <t>Shoreditch Powerleague (16.4)</t>
        </is>
      </c>
      <c r="X369" s="11" t="inlineStr">
        <is>
          <t>Shoreditch Powerleague</t>
        </is>
      </c>
      <c r="Y369" s="11" t="n">
        <v>16</v>
      </c>
      <c r="Z369" s="14">
        <f>IFERROR(INDEX(Venues!$E$2:$E$15,MATCH(X369,Venues!$A$2:$A$15,0)),"Not checked")</f>
        <v/>
      </c>
      <c r="AA369" s="14">
        <f>IFERROR(INDEX(Venues!$F$2:$F$15,MATCH(X369,Venues!$A$2:$A$15,0)),0)</f>
        <v/>
      </c>
      <c r="AB369" s="15">
        <f>IFERROR(INDEX(Venues!$M$2:$M$15,MATCH(X369,Venues!$A$2:$A$15,0)),"")</f>
        <v/>
      </c>
      <c r="AC369" s="14">
        <f>IFERROR(INDEX(Venues!$N$2:$N$15,MATCH(X369,Venues!$A$2:$A$15,0)),"5-a-side")</f>
        <v/>
      </c>
      <c r="AD369" s="16">
        <f>IF(Offer!$C$4="","",Offer!$C$4)</f>
        <v/>
      </c>
      <c r="AE369" s="14">
        <f>X369&amp;" ("&amp;Y369&amp;" min walk) · "&amp;IF(ISNUMBER(AB369),TEXT(AB369,"ddd d mmm, hh:mm"),"slot to confirm with venue")&amp;" · "&amp;AC369&amp;" · "&amp;IF(AD369&lt;&gt;"","£"&amp;TEXT(AD369,"0.00")&amp;" pp","price TBC")</f>
        <v/>
      </c>
      <c r="AF369" s="14">
        <f>"After-work football for "&amp;F369&amp;" · "&amp;X369&amp;", "&amp;Y369&amp;" min from your office"</f>
        <v/>
      </c>
      <c r="AG369" s="14">
        <f>"Hi"&amp;IF(O369&lt;&gt;""," "&amp;O369,"")&amp;","&amp;CHAR(10)&amp;CHAR(10)&amp;"I'm "&amp;IF(AL369&lt;&gt;"",AL369,IF(Offer!$C$5&lt;&gt;"",Offer!$C$5,"[NAME]"))&amp;" from FC Urban. We organise after-work football for teams in the City and Canary Wharf."&amp;CHAR(10)&amp;CHAR(10)&amp;"We have a "&amp;AC369&amp;" pitch at "&amp;X369&amp;", "&amp;IF(OR(Y369=8,Y369=11,Y369=18),"an ","a ")&amp;Y369&amp;"-minute walk from your "&amp;M369&amp;" office, "&amp;IF(ISNUMBER(AB369),"on "&amp;TEXT(AB369,"dddd d mmmm")&amp;" at "&amp;TEXT(AB369,"hh:mm"),"on a weekday evening that suits your team")&amp;". It's "&amp;IF(AD369&lt;&gt;"","£"&amp;IF(AD369=INT(AD369),TEXT(AD369,"0"),TEXT(AD369,"0.00")),"[PRICE PER PLAYER]")&amp;" a player and we handle the pitch booking, sign-ups and payments, so all it takes is one person sharing a link with the team."&amp;CHAR(10)&amp;CHAR(10)&amp;"It works well as a team social or "&amp;IF(ISNUMBER(SEARCH(LEFT(F369,1),"AEIOU")),"an ","a ")&amp;F369&amp;"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LINK]")&amp;CHAR(10)&amp;CHAR(10)&amp;"Best,"&amp;CHAR(10)&amp;IF(AL369&lt;&gt;"",AL369,IF(Offer!$C$5&lt;&gt;"",Offer!$C$5,"[NAME]"))&amp;CHAR(10)&amp;"FC Urban"</f>
        <v/>
      </c>
      <c r="AH369" s="14">
        <f>IF(LEN("Hi"&amp;IF(O369&lt;&gt;""," "&amp;O369,"")&amp;","&amp;" FC Urban runs after-work football for "&amp;IF(D369="Canary Wharf","Canary Wharf","City")&amp;" teams. We have a "&amp;AC369&amp;" pitch at "&amp;X369&amp;", "&amp;Y369&amp;" min from your office, "&amp;IF(ISNUMBER(AB369),TEXT(AB369,"ddd d mmm")&amp;", "&amp;TEXT(AB369,"hh:mm"),"weekday evenings")&amp;", "&amp;IF(AD369&lt;&gt;"","£"&amp;IF(AD369=INT(AD369),TEXT(AD369,"0"),TEXT(AD369,"0.00")),"[PRICE PER PLAYER]")&amp;" a player. We handle booking, sign-ups and payments. Fancy "&amp;IF(ISNUMBER(SEARCH(LEFT(F369,1),"AEIOU")),"an ","a ")&amp;F369&amp;" team game? "&amp;IF(AL369&lt;&gt;"",AL369,IF(Offer!$C$5&lt;&gt;"",Offer!$C$5,"[NAME]")))&lt;=300,"Hi"&amp;IF(O369&lt;&gt;""," "&amp;O369,"")&amp;","&amp;" FC Urban runs after-work football for "&amp;IF(D369="Canary Wharf","Canary Wharf","City")&amp;" teams. We have a "&amp;AC369&amp;" pitch at "&amp;X369&amp;", "&amp;Y369&amp;" min from your office, "&amp;IF(ISNUMBER(AB369),TEXT(AB369,"ddd d mmm")&amp;", "&amp;TEXT(AB369,"hh:mm"),"weekday evenings")&amp;", "&amp;IF(AD369&lt;&gt;"","£"&amp;IF(AD369=INT(AD369),TEXT(AD369,"0"),TEXT(AD369,"0.00")),"[PRICE PER PLAYER]")&amp;" a player. We handle booking, sign-ups and payments. Fancy "&amp;IF(ISNUMBER(SEARCH(LEFT(F369,1),"AEIOU")),"an ","a ")&amp;F369&amp;" team game? "&amp;IF(AL369&lt;&gt;"",AL369,IF(Offer!$C$5&lt;&gt;"",Offer!$C$5,"[NAME]")),LEFT("Hi"&amp;IF(O369&lt;&gt;""," "&amp;O369,"")&amp;","&amp;" FC Urban runs after-work football for "&amp;IF(D369="Canary Wharf","Canary Wharf","City")&amp;" teams: "&amp;AC369&amp;" at "&amp;X369&amp;", "&amp;Y369&amp;" min from your office, "&amp;IF(ISNUMBER(AB369),TEXT(AB369,"ddd d mmm")&amp;", "&amp;TEXT(AB369,"hh:mm"),"weekday evenings")&amp;", "&amp;IF(AD369&lt;&gt;"","£"&amp;IF(AD369=INT(AD369),TEXT(AD369,"0"),TEXT(AD369,"0.00")),"[PRICE PER PLAYER]")&amp;" pp. We handle booking and payments. Up for a team game? "&amp;IF(AL369&lt;&gt;"",AL369,IF(Offer!$C$5&lt;&gt;"",Offer!$C$5,"[NAME]")),300))</f>
        <v/>
      </c>
      <c r="AI369" s="14">
        <f>LEN(AH369)</f>
        <v/>
      </c>
      <c r="AJ369" s="14">
        <f>"Thanks for connecting"&amp;IF(O369&lt;&gt;"",", "&amp;O369,"")&amp;". "&amp;IF(ISNUMBER(AB369),"The "&amp;AC369&amp;" slot at "&amp;X369&amp;" is "&amp;IF(ISNUMBER(AB369),TEXT(AB369,"ddd d mmm")&amp;", "&amp;TEXT(AB369,"hh:mm"),"weekday evenings"),"We can book "&amp;AC369&amp;" at "&amp;X369&amp;" on a weekday evening that suits you")&amp;" and it's "&amp;IF(AD369&lt;&gt;"","£"&amp;IF(AD369=INT(AD369),TEXT(AD369,"0"),TEXT(AD369,"0.00")),"[PRICE PER PLAYER]")&amp;" a player, all booked and paid through one link. If football isn't your thing, who at "&amp;F369&amp;" would be the right person to organise a team game?"&amp;IF(Offer!$C$7&lt;&gt;""," Spots are held until "&amp;TEXT(Offer!$C$7,"dddd d mmmm")&amp;".","")&amp;" "&amp;IF(Offer!$C$6&lt;&gt;"",Offer!$C$6,"[JOINING LINK]")</f>
        <v/>
      </c>
      <c r="AK369" s="14">
        <f>IF(OR(ISNUMBER(SEARCH("[",AG369)),ISNUMBER(SEARCH("[",AJ369))),"Fill placeholders",IF(ISNUMBER(AB369),"Ready to send","Ready · no fixed slot"))</f>
        <v/>
      </c>
      <c r="AN369" s="17" t="n"/>
    </row>
    <row r="370">
      <c r="A370" s="11" t="n">
        <v>368</v>
      </c>
      <c r="B370" s="11" t="n">
        <v>3</v>
      </c>
      <c r="C370" s="11" t="inlineStr">
        <is>
          <t>Fund / asset manager</t>
        </is>
      </c>
      <c r="D370" s="11" t="inlineStr">
        <is>
          <t>City of London</t>
        </is>
      </c>
      <c r="E370" s="11" t="inlineStr">
        <is>
          <t>Rondine Capital LLP</t>
        </is>
      </c>
      <c r="F370" s="11" t="inlineStr">
        <is>
          <t>Rondine Capital</t>
        </is>
      </c>
      <c r="G370" s="11" t="inlineStr">
        <is>
          <t>OC394732</t>
        </is>
      </c>
      <c r="H370" s="12" t="inlineStr">
        <is>
          <t>Open</t>
        </is>
      </c>
      <c r="I370" s="12" t="inlineStr">
        <is>
          <t>Search</t>
        </is>
      </c>
      <c r="J370" s="11" t="inlineStr">
        <is>
          <t>Full</t>
        </is>
      </c>
      <c r="K370" s="13" t="n">
        <v>41859</v>
      </c>
      <c r="L370" s="11" t="inlineStr">
        <is>
          <t>3Rd Floor, 7 St. John Street, London</t>
        </is>
      </c>
      <c r="M370" s="11" t="inlineStr">
        <is>
          <t>EC1M 4AA</t>
        </is>
      </c>
      <c r="N370" s="11" t="inlineStr">
        <is>
          <t>No</t>
        </is>
      </c>
      <c r="U370" s="11" t="inlineStr">
        <is>
          <t>Old St - Moreland Primary School</t>
        </is>
      </c>
      <c r="V370" s="11" t="n">
        <v>16</v>
      </c>
      <c r="W370" s="11" t="n"/>
      <c r="X370" s="11" t="inlineStr">
        <is>
          <t>Old St - Moreland Primary School</t>
        </is>
      </c>
      <c r="Y370" s="11" t="n">
        <v>16</v>
      </c>
      <c r="Z370" s="14">
        <f>IFERROR(INDEX(Venues!$E$2:$E$15,MATCH(X370,Venues!$A$2:$A$15,0)),"Not checked")</f>
        <v/>
      </c>
      <c r="AA370" s="14">
        <f>IFERROR(INDEX(Venues!$F$2:$F$15,MATCH(X370,Venues!$A$2:$A$15,0)),0)</f>
        <v/>
      </c>
      <c r="AB370" s="15">
        <f>IFERROR(INDEX(Venues!$M$2:$M$15,MATCH(X370,Venues!$A$2:$A$15,0)),"")</f>
        <v/>
      </c>
      <c r="AC370" s="14">
        <f>IFERROR(INDEX(Venues!$N$2:$N$15,MATCH(X370,Venues!$A$2:$A$15,0)),"5-a-side")</f>
        <v/>
      </c>
      <c r="AD370" s="16">
        <f>IF(Offer!$C$4="","",Offer!$C$4)</f>
        <v/>
      </c>
      <c r="AE370" s="14">
        <f>X370&amp;" ("&amp;Y370&amp;" min walk) · "&amp;IF(ISNUMBER(AB370),TEXT(AB370,"ddd d mmm, hh:mm"),"slot to confirm with venue")&amp;" · "&amp;AC370&amp;" · "&amp;IF(AD370&lt;&gt;"","£"&amp;TEXT(AD370,"0.00")&amp;" pp","price TBC")</f>
        <v/>
      </c>
      <c r="AF370" s="14">
        <f>"After-work football for "&amp;F370&amp;" · "&amp;X370&amp;", "&amp;Y370&amp;" min from your office"</f>
        <v/>
      </c>
      <c r="AG370" s="14">
        <f>"Hi"&amp;IF(O370&lt;&gt;""," "&amp;O370,"")&amp;","&amp;CHAR(10)&amp;CHAR(10)&amp;"I'm "&amp;IF(AL370&lt;&gt;"",AL370,IF(Offer!$C$5&lt;&gt;"",Offer!$C$5,"[NAME]"))&amp;" from FC Urban. We organise after-work football for teams in the City and Canary Wharf."&amp;CHAR(10)&amp;CHAR(10)&amp;"We have a "&amp;AC370&amp;" pitch at "&amp;X370&amp;", "&amp;IF(OR(Y370=8,Y370=11,Y370=18),"an ","a ")&amp;Y370&amp;"-minute walk from your "&amp;M370&amp;" office, "&amp;IF(ISNUMBER(AB370),"on "&amp;TEXT(AB370,"dddd d mmmm")&amp;" at "&amp;TEXT(AB370,"hh:mm"),"on a weekday evening that suits your team")&amp;". It's "&amp;IF(AD370&lt;&gt;"","£"&amp;IF(AD370=INT(AD370),TEXT(AD370,"0"),TEXT(AD370,"0.00")),"[PRICE PER PLAYER]")&amp;" a player and we handle the pitch booking, sign-ups and payments, so all it takes is one person sharing a link with the team."&amp;CHAR(10)&amp;CHAR(10)&amp;"It works well as a team social or "&amp;IF(ISNUMBER(SEARCH(LEFT(F370,1),"AEIOU")),"an ","a ")&amp;F370&amp;"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LINK]")&amp;CHAR(10)&amp;CHAR(10)&amp;"Best,"&amp;CHAR(10)&amp;IF(AL370&lt;&gt;"",AL370,IF(Offer!$C$5&lt;&gt;"",Offer!$C$5,"[NAME]"))&amp;CHAR(10)&amp;"FC Urban"</f>
        <v/>
      </c>
      <c r="AH370" s="14">
        <f>IF(LEN("Hi"&amp;IF(O370&lt;&gt;""," "&amp;O370,"")&amp;","&amp;" FC Urban runs after-work football for "&amp;IF(D370="Canary Wharf","Canary Wharf","City")&amp;" teams. We have a "&amp;AC370&amp;" pitch at "&amp;X370&amp;", "&amp;Y370&amp;" min from your office, "&amp;IF(ISNUMBER(AB370),TEXT(AB370,"ddd d mmm")&amp;", "&amp;TEXT(AB370,"hh:mm"),"weekday evenings")&amp;", "&amp;IF(AD370&lt;&gt;"","£"&amp;IF(AD370=INT(AD370),TEXT(AD370,"0"),TEXT(AD370,"0.00")),"[PRICE PER PLAYER]")&amp;" a player. We handle booking, sign-ups and payments. Fancy "&amp;IF(ISNUMBER(SEARCH(LEFT(F370,1),"AEIOU")),"an ","a ")&amp;F370&amp;" team game? "&amp;IF(AL370&lt;&gt;"",AL370,IF(Offer!$C$5&lt;&gt;"",Offer!$C$5,"[NAME]")))&lt;=300,"Hi"&amp;IF(O370&lt;&gt;""," "&amp;O370,"")&amp;","&amp;" FC Urban runs after-work football for "&amp;IF(D370="Canary Wharf","Canary Wharf","City")&amp;" teams. We have a "&amp;AC370&amp;" pitch at "&amp;X370&amp;", "&amp;Y370&amp;" min from your office, "&amp;IF(ISNUMBER(AB370),TEXT(AB370,"ddd d mmm")&amp;", "&amp;TEXT(AB370,"hh:mm"),"weekday evenings")&amp;", "&amp;IF(AD370&lt;&gt;"","£"&amp;IF(AD370=INT(AD370),TEXT(AD370,"0"),TEXT(AD370,"0.00")),"[PRICE PER PLAYER]")&amp;" a player. We handle booking, sign-ups and payments. Fancy "&amp;IF(ISNUMBER(SEARCH(LEFT(F370,1),"AEIOU")),"an ","a ")&amp;F370&amp;" team game? "&amp;IF(AL370&lt;&gt;"",AL370,IF(Offer!$C$5&lt;&gt;"",Offer!$C$5,"[NAME]")),LEFT("Hi"&amp;IF(O370&lt;&gt;""," "&amp;O370,"")&amp;","&amp;" FC Urban runs after-work football for "&amp;IF(D370="Canary Wharf","Canary Wharf","City")&amp;" teams: "&amp;AC370&amp;" at "&amp;X370&amp;", "&amp;Y370&amp;" min from your office, "&amp;IF(ISNUMBER(AB370),TEXT(AB370,"ddd d mmm")&amp;", "&amp;TEXT(AB370,"hh:mm"),"weekday evenings")&amp;", "&amp;IF(AD370&lt;&gt;"","£"&amp;IF(AD370=INT(AD370),TEXT(AD370,"0"),TEXT(AD370,"0.00")),"[PRICE PER PLAYER]")&amp;" pp. We handle booking and payments. Up for a team game? "&amp;IF(AL370&lt;&gt;"",AL370,IF(Offer!$C$5&lt;&gt;"",Offer!$C$5,"[NAME]")),300))</f>
        <v/>
      </c>
      <c r="AI370" s="14">
        <f>LEN(AH370)</f>
        <v/>
      </c>
      <c r="AJ370" s="14">
        <f>"Thanks for connecting"&amp;IF(O370&lt;&gt;"",", "&amp;O370,"")&amp;". "&amp;IF(ISNUMBER(AB370),"The "&amp;AC370&amp;" slot at "&amp;X370&amp;" is "&amp;IF(ISNUMBER(AB370),TEXT(AB370,"ddd d mmm")&amp;", "&amp;TEXT(AB370,"hh:mm"),"weekday evenings"),"We can book "&amp;AC370&amp;" at "&amp;X370&amp;" on a weekday evening that suits you")&amp;" and it's "&amp;IF(AD370&lt;&gt;"","£"&amp;IF(AD370=INT(AD370),TEXT(AD370,"0"),TEXT(AD370,"0.00")),"[PRICE PER PLAYER]")&amp;" a player, all booked and paid through one link. If football isn't your thing, who at "&amp;F370&amp;" would be the right person to organise a team game?"&amp;IF(Offer!$C$7&lt;&gt;""," Spots are held until "&amp;TEXT(Offer!$C$7,"dddd d mmmm")&amp;".","")&amp;" "&amp;IF(Offer!$C$6&lt;&gt;"",Offer!$C$6,"[JOINING LINK]")</f>
        <v/>
      </c>
      <c r="AK370" s="14">
        <f>IF(OR(ISNUMBER(SEARCH("[",AG370)),ISNUMBER(SEARCH("[",AJ370))),"Fill placeholders",IF(ISNUMBER(AB370),"Ready to send","Ready · no fixed slot"))</f>
        <v/>
      </c>
      <c r="AN370" s="17" t="n"/>
    </row>
    <row r="371">
      <c r="A371" s="11" t="n">
        <v>369</v>
      </c>
      <c r="B371" s="11" t="n">
        <v>3</v>
      </c>
      <c r="C371" s="11" t="inlineStr">
        <is>
          <t>Insurance / broker</t>
        </is>
      </c>
      <c r="D371" s="11" t="inlineStr">
        <is>
          <t>City of London</t>
        </is>
      </c>
      <c r="E371" s="11" t="inlineStr">
        <is>
          <t>Eppione Limited</t>
        </is>
      </c>
      <c r="F371" s="11" t="inlineStr">
        <is>
          <t>Eppione</t>
        </is>
      </c>
      <c r="G371" s="11" t="inlineStr">
        <is>
          <t>10141284</t>
        </is>
      </c>
      <c r="H371" s="12" t="inlineStr">
        <is>
          <t>Open</t>
        </is>
      </c>
      <c r="I371" s="12" t="inlineStr">
        <is>
          <t>Search</t>
        </is>
      </c>
      <c r="J371" s="11" t="inlineStr">
        <is>
          <t>Full</t>
        </is>
      </c>
      <c r="K371" s="13" t="n">
        <v>42482</v>
      </c>
      <c r="L371" s="11" t="inlineStr">
        <is>
          <t>29 Throgmorton Street, Warnford Court, London</t>
        </is>
      </c>
      <c r="M371" s="11" t="inlineStr">
        <is>
          <t>EC2N 2AT</t>
        </is>
      </c>
      <c r="N371" s="11" t="inlineStr">
        <is>
          <t>Yes</t>
        </is>
      </c>
      <c r="U371" s="11" t="inlineStr">
        <is>
          <t>Liverpool St - Attlee Centre</t>
        </is>
      </c>
      <c r="V371" s="11" t="n">
        <v>16</v>
      </c>
      <c r="W371" s="11" t="n"/>
      <c r="X371" s="11" t="inlineStr">
        <is>
          <t>Liverpool St - Attlee Centre</t>
        </is>
      </c>
      <c r="Y371" s="11" t="n">
        <v>16</v>
      </c>
      <c r="Z371" s="14">
        <f>IFERROR(INDEX(Venues!$E$2:$E$15,MATCH(X371,Venues!$A$2:$A$15,0)),"Not checked")</f>
        <v/>
      </c>
      <c r="AA371" s="14">
        <f>IFERROR(INDEX(Venues!$F$2:$F$15,MATCH(X371,Venues!$A$2:$A$15,0)),0)</f>
        <v/>
      </c>
      <c r="AB371" s="15">
        <f>IFERROR(INDEX(Venues!$M$2:$M$15,MATCH(X371,Venues!$A$2:$A$15,0)),"")</f>
        <v/>
      </c>
      <c r="AC371" s="14">
        <f>IFERROR(INDEX(Venues!$N$2:$N$15,MATCH(X371,Venues!$A$2:$A$15,0)),"5-a-side")</f>
        <v/>
      </c>
      <c r="AD371" s="16">
        <f>IF(Offer!$C$4="","",Offer!$C$4)</f>
        <v/>
      </c>
      <c r="AE371" s="14">
        <f>X371&amp;" ("&amp;Y371&amp;" min walk) · "&amp;IF(ISNUMBER(AB371),TEXT(AB371,"ddd d mmm, hh:mm"),"slot to confirm with venue")&amp;" · "&amp;AC371&amp;" · "&amp;IF(AD371&lt;&gt;"","£"&amp;TEXT(AD371,"0.00")&amp;" pp","price TBC")</f>
        <v/>
      </c>
      <c r="AF371" s="14">
        <f>"After-work football for "&amp;F371&amp;" · "&amp;X371&amp;", "&amp;Y371&amp;" min from your office"</f>
        <v/>
      </c>
      <c r="AG371" s="14">
        <f>"Hi"&amp;IF(O371&lt;&gt;""," "&amp;O371,"")&amp;","&amp;CHAR(10)&amp;CHAR(10)&amp;"I'm "&amp;IF(AL371&lt;&gt;"",AL371,IF(Offer!$C$5&lt;&gt;"",Offer!$C$5,"[NAME]"))&amp;" from FC Urban. We organise after-work football for teams in the City and Canary Wharf."&amp;CHAR(10)&amp;CHAR(10)&amp;"We have a "&amp;AC371&amp;" pitch at "&amp;X371&amp;", "&amp;IF(OR(Y371=8,Y371=11,Y371=18),"an ","a ")&amp;Y371&amp;"-minute walk from your "&amp;M371&amp;" office, "&amp;IF(ISNUMBER(AB371),"on "&amp;TEXT(AB371,"dddd d mmmm")&amp;" at "&amp;TEXT(AB371,"hh:mm"),"on a weekday evening that suits your team")&amp;". It's "&amp;IF(AD371&lt;&gt;"","£"&amp;IF(AD371=INT(AD371),TEXT(AD371,"0"),TEXT(AD371,"0.00")),"[PRICE PER PLAYER]")&amp;" a player and we handle the pitch booking, sign-ups and payments, so all it takes is one person sharing a link with the team."&amp;CHAR(10)&amp;CHAR(10)&amp;"It works well as a team social or "&amp;IF(ISNUMBER(SEARCH(LEFT(F371,1),"AEIOU")),"an ","a ")&amp;F371&amp;"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LINK]")&amp;CHAR(10)&amp;CHAR(10)&amp;"Best,"&amp;CHAR(10)&amp;IF(AL371&lt;&gt;"",AL371,IF(Offer!$C$5&lt;&gt;"",Offer!$C$5,"[NAME]"))&amp;CHAR(10)&amp;"FC Urban"</f>
        <v/>
      </c>
      <c r="AH371" s="14">
        <f>IF(LEN("Hi"&amp;IF(O371&lt;&gt;""," "&amp;O371,"")&amp;","&amp;" FC Urban runs after-work football for "&amp;IF(D371="Canary Wharf","Canary Wharf","City")&amp;" teams. We have a "&amp;AC371&amp;" pitch at "&amp;X371&amp;", "&amp;Y371&amp;" min from your office, "&amp;IF(ISNUMBER(AB371),TEXT(AB371,"ddd d mmm")&amp;", "&amp;TEXT(AB371,"hh:mm"),"weekday evenings")&amp;", "&amp;IF(AD371&lt;&gt;"","£"&amp;IF(AD371=INT(AD371),TEXT(AD371,"0"),TEXT(AD371,"0.00")),"[PRICE PER PLAYER]")&amp;" a player. We handle booking, sign-ups and payments. Fancy "&amp;IF(ISNUMBER(SEARCH(LEFT(F371,1),"AEIOU")),"an ","a ")&amp;F371&amp;" team game? "&amp;IF(AL371&lt;&gt;"",AL371,IF(Offer!$C$5&lt;&gt;"",Offer!$C$5,"[NAME]")))&lt;=300,"Hi"&amp;IF(O371&lt;&gt;""," "&amp;O371,"")&amp;","&amp;" FC Urban runs after-work football for "&amp;IF(D371="Canary Wharf","Canary Wharf","City")&amp;" teams. We have a "&amp;AC371&amp;" pitch at "&amp;X371&amp;", "&amp;Y371&amp;" min from your office, "&amp;IF(ISNUMBER(AB371),TEXT(AB371,"ddd d mmm")&amp;", "&amp;TEXT(AB371,"hh:mm"),"weekday evenings")&amp;", "&amp;IF(AD371&lt;&gt;"","£"&amp;IF(AD371=INT(AD371),TEXT(AD371,"0"),TEXT(AD371,"0.00")),"[PRICE PER PLAYER]")&amp;" a player. We handle booking, sign-ups and payments. Fancy "&amp;IF(ISNUMBER(SEARCH(LEFT(F371,1),"AEIOU")),"an ","a ")&amp;F371&amp;" team game? "&amp;IF(AL371&lt;&gt;"",AL371,IF(Offer!$C$5&lt;&gt;"",Offer!$C$5,"[NAME]")),LEFT("Hi"&amp;IF(O371&lt;&gt;""," "&amp;O371,"")&amp;","&amp;" FC Urban runs after-work football for "&amp;IF(D371="Canary Wharf","Canary Wharf","City")&amp;" teams: "&amp;AC371&amp;" at "&amp;X371&amp;", "&amp;Y371&amp;" min from your office, "&amp;IF(ISNUMBER(AB371),TEXT(AB371,"ddd d mmm")&amp;", "&amp;TEXT(AB371,"hh:mm"),"weekday evenings")&amp;", "&amp;IF(AD371&lt;&gt;"","£"&amp;IF(AD371=INT(AD371),TEXT(AD371,"0"),TEXT(AD371,"0.00")),"[PRICE PER PLAYER]")&amp;" pp. We handle booking and payments. Up for a team game? "&amp;IF(AL371&lt;&gt;"",AL371,IF(Offer!$C$5&lt;&gt;"",Offer!$C$5,"[NAME]")),300))</f>
        <v/>
      </c>
      <c r="AI371" s="14">
        <f>LEN(AH371)</f>
        <v/>
      </c>
      <c r="AJ371" s="14">
        <f>"Thanks for connecting"&amp;IF(O371&lt;&gt;"",", "&amp;O371,"")&amp;". "&amp;IF(ISNUMBER(AB371),"The "&amp;AC371&amp;" slot at "&amp;X371&amp;" is "&amp;IF(ISNUMBER(AB371),TEXT(AB371,"ddd d mmm")&amp;", "&amp;TEXT(AB371,"hh:mm"),"weekday evenings"),"We can book "&amp;AC371&amp;" at "&amp;X371&amp;" on a weekday evening that suits you")&amp;" and it's "&amp;IF(AD371&lt;&gt;"","£"&amp;IF(AD371=INT(AD371),TEXT(AD371,"0"),TEXT(AD371,"0.00")),"[PRICE PER PLAYER]")&amp;" a player, all booked and paid through one link. If football isn't your thing, who at "&amp;F371&amp;" would be the right person to organise a team game?"&amp;IF(Offer!$C$7&lt;&gt;""," Spots are held until "&amp;TEXT(Offer!$C$7,"dddd d mmmm")&amp;".","")&amp;" "&amp;IF(Offer!$C$6&lt;&gt;"",Offer!$C$6,"[JOINING LINK]")</f>
        <v/>
      </c>
      <c r="AK371" s="14">
        <f>IF(OR(ISNUMBER(SEARCH("[",AG371)),ISNUMBER(SEARCH("[",AJ371))),"Fill placeholders",IF(ISNUMBER(AB371),"Ready to send","Ready · no fixed slot"))</f>
        <v/>
      </c>
      <c r="AN371" s="17" t="n"/>
    </row>
    <row r="372">
      <c r="A372" s="11" t="n">
        <v>370</v>
      </c>
      <c r="B372" s="11" t="n">
        <v>3</v>
      </c>
      <c r="C372" s="11" t="inlineStr">
        <is>
          <t>Advisory / accountancy</t>
        </is>
      </c>
      <c r="D372" s="11" t="inlineStr">
        <is>
          <t>City of London</t>
        </is>
      </c>
      <c r="E372" s="11" t="inlineStr">
        <is>
          <t>Barnett Waddingham Actuaries and Consultants Limited</t>
        </is>
      </c>
      <c r="F372" s="11" t="inlineStr">
        <is>
          <t>Barnett Waddingham Actuaries and Consultants</t>
        </is>
      </c>
      <c r="G372" s="11" t="inlineStr">
        <is>
          <t>06498431</t>
        </is>
      </c>
      <c r="H372" s="12" t="inlineStr">
        <is>
          <t>Open</t>
        </is>
      </c>
      <c r="I372" s="12" t="inlineStr">
        <is>
          <t>Search</t>
        </is>
      </c>
      <c r="J372" s="11" t="inlineStr">
        <is>
          <t>Full</t>
        </is>
      </c>
      <c r="K372" s="13" t="n">
        <v>39486</v>
      </c>
      <c r="L372" s="11" t="inlineStr">
        <is>
          <t>One, Creechurch Place, London</t>
        </is>
      </c>
      <c r="M372" s="11" t="inlineStr">
        <is>
          <t>EC3A 5AF</t>
        </is>
      </c>
      <c r="N372" s="11" t="inlineStr">
        <is>
          <t>No</t>
        </is>
      </c>
      <c r="U372" s="11" t="inlineStr">
        <is>
          <t>Liverpool St - Attlee Centre</t>
        </is>
      </c>
      <c r="V372" s="11" t="n">
        <v>9</v>
      </c>
      <c r="W372" s="11" t="inlineStr">
        <is>
          <t>Shoreditch Powerleague (16.6)</t>
        </is>
      </c>
      <c r="X372" s="11" t="inlineStr">
        <is>
          <t>Shoreditch Powerleague</t>
        </is>
      </c>
      <c r="Y372" s="11" t="n">
        <v>17</v>
      </c>
      <c r="Z372" s="14">
        <f>IFERROR(INDEX(Venues!$E$2:$E$15,MATCH(X372,Venues!$A$2:$A$15,0)),"Not checked")</f>
        <v/>
      </c>
      <c r="AA372" s="14">
        <f>IFERROR(INDEX(Venues!$F$2:$F$15,MATCH(X372,Venues!$A$2:$A$15,0)),0)</f>
        <v/>
      </c>
      <c r="AB372" s="15">
        <f>IFERROR(INDEX(Venues!$M$2:$M$15,MATCH(X372,Venues!$A$2:$A$15,0)),"")</f>
        <v/>
      </c>
      <c r="AC372" s="14">
        <f>IFERROR(INDEX(Venues!$N$2:$N$15,MATCH(X372,Venues!$A$2:$A$15,0)),"5-a-side")</f>
        <v/>
      </c>
      <c r="AD372" s="16">
        <f>IF(Offer!$C$4="","",Offer!$C$4)</f>
        <v/>
      </c>
      <c r="AE372" s="14">
        <f>X372&amp;" ("&amp;Y372&amp;" min walk) · "&amp;IF(ISNUMBER(AB372),TEXT(AB372,"ddd d mmm, hh:mm"),"slot to confirm with venue")&amp;" · "&amp;AC372&amp;" · "&amp;IF(AD372&lt;&gt;"","£"&amp;TEXT(AD372,"0.00")&amp;" pp","price TBC")</f>
        <v/>
      </c>
      <c r="AF372" s="14">
        <f>"After-work football for "&amp;F372&amp;" · "&amp;X372&amp;", "&amp;Y372&amp;" min from your office"</f>
        <v/>
      </c>
      <c r="AG372" s="14">
        <f>"Hi"&amp;IF(O372&lt;&gt;""," "&amp;O372,"")&amp;","&amp;CHAR(10)&amp;CHAR(10)&amp;"I'm "&amp;IF(AL372&lt;&gt;"",AL372,IF(Offer!$C$5&lt;&gt;"",Offer!$C$5,"[NAME]"))&amp;" from FC Urban. We organise after-work football for teams in the City and Canary Wharf."&amp;CHAR(10)&amp;CHAR(10)&amp;"We have a "&amp;AC372&amp;" pitch at "&amp;X372&amp;", "&amp;IF(OR(Y372=8,Y372=11,Y372=18),"an ","a ")&amp;Y372&amp;"-minute walk from your "&amp;M372&amp;" office, "&amp;IF(ISNUMBER(AB372),"on "&amp;TEXT(AB372,"dddd d mmmm")&amp;" at "&amp;TEXT(AB372,"hh:mm"),"on a weekday evening that suits your team")&amp;". It's "&amp;IF(AD372&lt;&gt;"","£"&amp;IF(AD372=INT(AD372),TEXT(AD372,"0"),TEXT(AD372,"0.00")),"[PRICE PER PLAYER]")&amp;" a player and we handle the pitch booking, sign-ups and payments, so all it takes is one person sharing a link with the team."&amp;CHAR(10)&amp;CHAR(10)&amp;"It works well as a team social or "&amp;IF(ISNUMBER(SEARCH(LEFT(F372,1),"AEIOU")),"an ","a ")&amp;F372&amp;"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LINK]")&amp;CHAR(10)&amp;CHAR(10)&amp;"Best,"&amp;CHAR(10)&amp;IF(AL372&lt;&gt;"",AL372,IF(Offer!$C$5&lt;&gt;"",Offer!$C$5,"[NAME]"))&amp;CHAR(10)&amp;"FC Urban"</f>
        <v/>
      </c>
      <c r="AH372" s="14">
        <f>IF(LEN("Hi"&amp;IF(O372&lt;&gt;""," "&amp;O372,"")&amp;","&amp;" FC Urban runs after-work football for "&amp;IF(D372="Canary Wharf","Canary Wharf","City")&amp;" teams. We have a "&amp;AC372&amp;" pitch at "&amp;X372&amp;", "&amp;Y372&amp;" min from your office, "&amp;IF(ISNUMBER(AB372),TEXT(AB372,"ddd d mmm")&amp;", "&amp;TEXT(AB372,"hh:mm"),"weekday evenings")&amp;", "&amp;IF(AD372&lt;&gt;"","£"&amp;IF(AD372=INT(AD372),TEXT(AD372,"0"),TEXT(AD372,"0.00")),"[PRICE PER PLAYER]")&amp;" a player. We handle booking, sign-ups and payments. Fancy "&amp;IF(ISNUMBER(SEARCH(LEFT(F372,1),"AEIOU")),"an ","a ")&amp;F372&amp;" team game? "&amp;IF(AL372&lt;&gt;"",AL372,IF(Offer!$C$5&lt;&gt;"",Offer!$C$5,"[NAME]")))&lt;=300,"Hi"&amp;IF(O372&lt;&gt;""," "&amp;O372,"")&amp;","&amp;" FC Urban runs after-work football for "&amp;IF(D372="Canary Wharf","Canary Wharf","City")&amp;" teams. We have a "&amp;AC372&amp;" pitch at "&amp;X372&amp;", "&amp;Y372&amp;" min from your office, "&amp;IF(ISNUMBER(AB372),TEXT(AB372,"ddd d mmm")&amp;", "&amp;TEXT(AB372,"hh:mm"),"weekday evenings")&amp;", "&amp;IF(AD372&lt;&gt;"","£"&amp;IF(AD372=INT(AD372),TEXT(AD372,"0"),TEXT(AD372,"0.00")),"[PRICE PER PLAYER]")&amp;" a player. We handle booking, sign-ups and payments. Fancy "&amp;IF(ISNUMBER(SEARCH(LEFT(F372,1),"AEIOU")),"an ","a ")&amp;F372&amp;" team game? "&amp;IF(AL372&lt;&gt;"",AL372,IF(Offer!$C$5&lt;&gt;"",Offer!$C$5,"[NAME]")),LEFT("Hi"&amp;IF(O372&lt;&gt;""," "&amp;O372,"")&amp;","&amp;" FC Urban runs after-work football for "&amp;IF(D372="Canary Wharf","Canary Wharf","City")&amp;" teams: "&amp;AC372&amp;" at "&amp;X372&amp;", "&amp;Y372&amp;" min from your office, "&amp;IF(ISNUMBER(AB372),TEXT(AB372,"ddd d mmm")&amp;", "&amp;TEXT(AB372,"hh:mm"),"weekday evenings")&amp;", "&amp;IF(AD372&lt;&gt;"","£"&amp;IF(AD372=INT(AD372),TEXT(AD372,"0"),TEXT(AD372,"0.00")),"[PRICE PER PLAYER]")&amp;" pp. We handle booking and payments. Up for a team game? "&amp;IF(AL372&lt;&gt;"",AL372,IF(Offer!$C$5&lt;&gt;"",Offer!$C$5,"[NAME]")),300))</f>
        <v/>
      </c>
      <c r="AI372" s="14">
        <f>LEN(AH372)</f>
        <v/>
      </c>
      <c r="AJ372" s="14">
        <f>"Thanks for connecting"&amp;IF(O372&lt;&gt;"",", "&amp;O372,"")&amp;". "&amp;IF(ISNUMBER(AB372),"The "&amp;AC372&amp;" slot at "&amp;X372&amp;" is "&amp;IF(ISNUMBER(AB372),TEXT(AB372,"ddd d mmm")&amp;", "&amp;TEXT(AB372,"hh:mm"),"weekday evenings"),"We can book "&amp;AC372&amp;" at "&amp;X372&amp;" on a weekday evening that suits you")&amp;" and it's "&amp;IF(AD372&lt;&gt;"","£"&amp;IF(AD372=INT(AD372),TEXT(AD372,"0"),TEXT(AD372,"0.00")),"[PRICE PER PLAYER]")&amp;" a player, all booked and paid through one link. If football isn't your thing, who at "&amp;F372&amp;" would be the right person to organise a team game?"&amp;IF(Offer!$C$7&lt;&gt;""," Spots are held until "&amp;TEXT(Offer!$C$7,"dddd d mmmm")&amp;".","")&amp;" "&amp;IF(Offer!$C$6&lt;&gt;"",Offer!$C$6,"[JOINING LINK]")</f>
        <v/>
      </c>
      <c r="AK372" s="14">
        <f>IF(OR(ISNUMBER(SEARCH("[",AG372)),ISNUMBER(SEARCH("[",AJ372))),"Fill placeholders",IF(ISNUMBER(AB372),"Ready to send","Ready · no fixed slot"))</f>
        <v/>
      </c>
      <c r="AN372" s="17" t="n"/>
    </row>
    <row r="373">
      <c r="A373" s="11" t="n">
        <v>371</v>
      </c>
      <c r="B373" s="11" t="n">
        <v>3</v>
      </c>
      <c r="C373" s="11" t="inlineStr">
        <is>
          <t>Insurance / broker</t>
        </is>
      </c>
      <c r="D373" s="11" t="inlineStr">
        <is>
          <t>City of London</t>
        </is>
      </c>
      <c r="E373" s="11" t="inlineStr">
        <is>
          <t>Dual International Limited</t>
        </is>
      </c>
      <c r="F373" s="11" t="inlineStr">
        <is>
          <t>Dual</t>
        </is>
      </c>
      <c r="G373" s="11" t="inlineStr">
        <is>
          <t>03540129</t>
        </is>
      </c>
      <c r="H373" s="12" t="inlineStr">
        <is>
          <t>Open</t>
        </is>
      </c>
      <c r="I373" s="12" t="inlineStr">
        <is>
          <t>Search</t>
        </is>
      </c>
      <c r="J373" s="11" t="inlineStr">
        <is>
          <t>Full</t>
        </is>
      </c>
      <c r="K373" s="13" t="n">
        <v>35888</v>
      </c>
      <c r="L373" s="11" t="inlineStr">
        <is>
          <t>One Creechurch Place, London</t>
        </is>
      </c>
      <c r="M373" s="11" t="inlineStr">
        <is>
          <t>EC3A 5AF</t>
        </is>
      </c>
      <c r="N373" s="11" t="inlineStr">
        <is>
          <t>No</t>
        </is>
      </c>
      <c r="U373" s="11" t="inlineStr">
        <is>
          <t>Liverpool St - Attlee Centre</t>
        </is>
      </c>
      <c r="V373" s="11" t="n">
        <v>9</v>
      </c>
      <c r="W373" s="11" t="inlineStr">
        <is>
          <t>Shoreditch Powerleague (16.6)</t>
        </is>
      </c>
      <c r="X373" s="11" t="inlineStr">
        <is>
          <t>Shoreditch Powerleague</t>
        </is>
      </c>
      <c r="Y373" s="11" t="n">
        <v>17</v>
      </c>
      <c r="Z373" s="14">
        <f>IFERROR(INDEX(Venues!$E$2:$E$15,MATCH(X373,Venues!$A$2:$A$15,0)),"Not checked")</f>
        <v/>
      </c>
      <c r="AA373" s="14">
        <f>IFERROR(INDEX(Venues!$F$2:$F$15,MATCH(X373,Venues!$A$2:$A$15,0)),0)</f>
        <v/>
      </c>
      <c r="AB373" s="15">
        <f>IFERROR(INDEX(Venues!$M$2:$M$15,MATCH(X373,Venues!$A$2:$A$15,0)),"")</f>
        <v/>
      </c>
      <c r="AC373" s="14">
        <f>IFERROR(INDEX(Venues!$N$2:$N$15,MATCH(X373,Venues!$A$2:$A$15,0)),"5-a-side")</f>
        <v/>
      </c>
      <c r="AD373" s="16">
        <f>IF(Offer!$C$4="","",Offer!$C$4)</f>
        <v/>
      </c>
      <c r="AE373" s="14">
        <f>X373&amp;" ("&amp;Y373&amp;" min walk) · "&amp;IF(ISNUMBER(AB373),TEXT(AB373,"ddd d mmm, hh:mm"),"slot to confirm with venue")&amp;" · "&amp;AC373&amp;" · "&amp;IF(AD373&lt;&gt;"","£"&amp;TEXT(AD373,"0.00")&amp;" pp","price TBC")</f>
        <v/>
      </c>
      <c r="AF373" s="14">
        <f>"After-work football for "&amp;F373&amp;" · "&amp;X373&amp;", "&amp;Y373&amp;" min from your office"</f>
        <v/>
      </c>
      <c r="AG373" s="14">
        <f>"Hi"&amp;IF(O373&lt;&gt;""," "&amp;O373,"")&amp;","&amp;CHAR(10)&amp;CHAR(10)&amp;"I'm "&amp;IF(AL373&lt;&gt;"",AL373,IF(Offer!$C$5&lt;&gt;"",Offer!$C$5,"[NAME]"))&amp;" from FC Urban. We organise after-work football for teams in the City and Canary Wharf."&amp;CHAR(10)&amp;CHAR(10)&amp;"We have a "&amp;AC373&amp;" pitch at "&amp;X373&amp;", "&amp;IF(OR(Y373=8,Y373=11,Y373=18),"an ","a ")&amp;Y373&amp;"-minute walk from your "&amp;M373&amp;" office, "&amp;IF(ISNUMBER(AB373),"on "&amp;TEXT(AB373,"dddd d mmmm")&amp;" at "&amp;TEXT(AB373,"hh:mm"),"on a weekday evening that suits your team")&amp;". It's "&amp;IF(AD373&lt;&gt;"","£"&amp;IF(AD373=INT(AD373),TEXT(AD373,"0"),TEXT(AD373,"0.00")),"[PRICE PER PLAYER]")&amp;" a player and we handle the pitch booking, sign-ups and payments, so all it takes is one person sharing a link with the team."&amp;CHAR(10)&amp;CHAR(10)&amp;"It works well as a team social or "&amp;IF(ISNUMBER(SEARCH(LEFT(F373,1),"AEIOU")),"an ","a ")&amp;F373&amp;"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LINK]")&amp;CHAR(10)&amp;CHAR(10)&amp;"Best,"&amp;CHAR(10)&amp;IF(AL373&lt;&gt;"",AL373,IF(Offer!$C$5&lt;&gt;"",Offer!$C$5,"[NAME]"))&amp;CHAR(10)&amp;"FC Urban"</f>
        <v/>
      </c>
      <c r="AH373" s="14">
        <f>IF(LEN("Hi"&amp;IF(O373&lt;&gt;""," "&amp;O373,"")&amp;","&amp;" FC Urban runs after-work football for "&amp;IF(D373="Canary Wharf","Canary Wharf","City")&amp;" teams. We have a "&amp;AC373&amp;" pitch at "&amp;X373&amp;", "&amp;Y373&amp;" min from your office, "&amp;IF(ISNUMBER(AB373),TEXT(AB373,"ddd d mmm")&amp;", "&amp;TEXT(AB373,"hh:mm"),"weekday evenings")&amp;", "&amp;IF(AD373&lt;&gt;"","£"&amp;IF(AD373=INT(AD373),TEXT(AD373,"0"),TEXT(AD373,"0.00")),"[PRICE PER PLAYER]")&amp;" a player. We handle booking, sign-ups and payments. Fancy "&amp;IF(ISNUMBER(SEARCH(LEFT(F373,1),"AEIOU")),"an ","a ")&amp;F373&amp;" team game? "&amp;IF(AL373&lt;&gt;"",AL373,IF(Offer!$C$5&lt;&gt;"",Offer!$C$5,"[NAME]")))&lt;=300,"Hi"&amp;IF(O373&lt;&gt;""," "&amp;O373,"")&amp;","&amp;" FC Urban runs after-work football for "&amp;IF(D373="Canary Wharf","Canary Wharf","City")&amp;" teams. We have a "&amp;AC373&amp;" pitch at "&amp;X373&amp;", "&amp;Y373&amp;" min from your office, "&amp;IF(ISNUMBER(AB373),TEXT(AB373,"ddd d mmm")&amp;", "&amp;TEXT(AB373,"hh:mm"),"weekday evenings")&amp;", "&amp;IF(AD373&lt;&gt;"","£"&amp;IF(AD373=INT(AD373),TEXT(AD373,"0"),TEXT(AD373,"0.00")),"[PRICE PER PLAYER]")&amp;" a player. We handle booking, sign-ups and payments. Fancy "&amp;IF(ISNUMBER(SEARCH(LEFT(F373,1),"AEIOU")),"an ","a ")&amp;F373&amp;" team game? "&amp;IF(AL373&lt;&gt;"",AL373,IF(Offer!$C$5&lt;&gt;"",Offer!$C$5,"[NAME]")),LEFT("Hi"&amp;IF(O373&lt;&gt;""," "&amp;O373,"")&amp;","&amp;" FC Urban runs after-work football for "&amp;IF(D373="Canary Wharf","Canary Wharf","City")&amp;" teams: "&amp;AC373&amp;" at "&amp;X373&amp;", "&amp;Y373&amp;" min from your office, "&amp;IF(ISNUMBER(AB373),TEXT(AB373,"ddd d mmm")&amp;", "&amp;TEXT(AB373,"hh:mm"),"weekday evenings")&amp;", "&amp;IF(AD373&lt;&gt;"","£"&amp;IF(AD373=INT(AD373),TEXT(AD373,"0"),TEXT(AD373,"0.00")),"[PRICE PER PLAYER]")&amp;" pp. We handle booking and payments. Up for a team game? "&amp;IF(AL373&lt;&gt;"",AL373,IF(Offer!$C$5&lt;&gt;"",Offer!$C$5,"[NAME]")),300))</f>
        <v/>
      </c>
      <c r="AI373" s="14">
        <f>LEN(AH373)</f>
        <v/>
      </c>
      <c r="AJ373" s="14">
        <f>"Thanks for connecting"&amp;IF(O373&lt;&gt;"",", "&amp;O373,"")&amp;". "&amp;IF(ISNUMBER(AB373),"The "&amp;AC373&amp;" slot at "&amp;X373&amp;" is "&amp;IF(ISNUMBER(AB373),TEXT(AB373,"ddd d mmm")&amp;", "&amp;TEXT(AB373,"hh:mm"),"weekday evenings"),"We can book "&amp;AC373&amp;" at "&amp;X373&amp;" on a weekday evening that suits you")&amp;" and it's "&amp;IF(AD373&lt;&gt;"","£"&amp;IF(AD373=INT(AD373),TEXT(AD373,"0"),TEXT(AD373,"0.00")),"[PRICE PER PLAYER]")&amp;" a player, all booked and paid through one link. If football isn't your thing, who at "&amp;F373&amp;" would be the right person to organise a team game?"&amp;IF(Offer!$C$7&lt;&gt;""," Spots are held until "&amp;TEXT(Offer!$C$7,"dddd d mmmm")&amp;".","")&amp;" "&amp;IF(Offer!$C$6&lt;&gt;"",Offer!$C$6,"[JOINING LINK]")</f>
        <v/>
      </c>
      <c r="AK373" s="14">
        <f>IF(OR(ISNUMBER(SEARCH("[",AG373)),ISNUMBER(SEARCH("[",AJ373))),"Fill placeholders",IF(ISNUMBER(AB373),"Ready to send","Ready · no fixed slot"))</f>
        <v/>
      </c>
      <c r="AN373" s="17" t="n"/>
    </row>
    <row r="374">
      <c r="A374" s="11" t="n">
        <v>372</v>
      </c>
      <c r="B374" s="11" t="n">
        <v>3</v>
      </c>
      <c r="C374" s="11" t="inlineStr">
        <is>
          <t>Insurance / broker</t>
        </is>
      </c>
      <c r="D374" s="11" t="inlineStr">
        <is>
          <t>City of London</t>
        </is>
      </c>
      <c r="E374" s="11" t="inlineStr">
        <is>
          <t>Tigerrisk Partners (UK) Limited</t>
        </is>
      </c>
      <c r="F374" s="11" t="inlineStr">
        <is>
          <t>Tigerrisk Partners</t>
        </is>
      </c>
      <c r="G374" s="11" t="inlineStr">
        <is>
          <t>07524836</t>
        </is>
      </c>
      <c r="H374" s="12" t="inlineStr">
        <is>
          <t>Open</t>
        </is>
      </c>
      <c r="I374" s="12" t="inlineStr">
        <is>
          <t>Search</t>
        </is>
      </c>
      <c r="J374" s="11" t="inlineStr">
        <is>
          <t>Full</t>
        </is>
      </c>
      <c r="K374" s="13" t="n">
        <v>40584</v>
      </c>
      <c r="L374" s="11" t="inlineStr">
        <is>
          <t>One Creechurch Place, London</t>
        </is>
      </c>
      <c r="M374" s="11" t="inlineStr">
        <is>
          <t>EC3A 5AF</t>
        </is>
      </c>
      <c r="N374" s="11" t="inlineStr">
        <is>
          <t>No</t>
        </is>
      </c>
      <c r="U374" s="11" t="inlineStr">
        <is>
          <t>Liverpool St - Attlee Centre</t>
        </is>
      </c>
      <c r="V374" s="11" t="n">
        <v>9</v>
      </c>
      <c r="W374" s="11" t="inlineStr">
        <is>
          <t>Shoreditch Powerleague (16.6)</t>
        </is>
      </c>
      <c r="X374" s="11" t="inlineStr">
        <is>
          <t>Shoreditch Powerleague</t>
        </is>
      </c>
      <c r="Y374" s="11" t="n">
        <v>17</v>
      </c>
      <c r="Z374" s="14">
        <f>IFERROR(INDEX(Venues!$E$2:$E$15,MATCH(X374,Venues!$A$2:$A$15,0)),"Not checked")</f>
        <v/>
      </c>
      <c r="AA374" s="14">
        <f>IFERROR(INDEX(Venues!$F$2:$F$15,MATCH(X374,Venues!$A$2:$A$15,0)),0)</f>
        <v/>
      </c>
      <c r="AB374" s="15">
        <f>IFERROR(INDEX(Venues!$M$2:$M$15,MATCH(X374,Venues!$A$2:$A$15,0)),"")</f>
        <v/>
      </c>
      <c r="AC374" s="14">
        <f>IFERROR(INDEX(Venues!$N$2:$N$15,MATCH(X374,Venues!$A$2:$A$15,0)),"5-a-side")</f>
        <v/>
      </c>
      <c r="AD374" s="16">
        <f>IF(Offer!$C$4="","",Offer!$C$4)</f>
        <v/>
      </c>
      <c r="AE374" s="14">
        <f>X374&amp;" ("&amp;Y374&amp;" min walk) · "&amp;IF(ISNUMBER(AB374),TEXT(AB374,"ddd d mmm, hh:mm"),"slot to confirm with venue")&amp;" · "&amp;AC374&amp;" · "&amp;IF(AD374&lt;&gt;"","£"&amp;TEXT(AD374,"0.00")&amp;" pp","price TBC")</f>
        <v/>
      </c>
      <c r="AF374" s="14">
        <f>"After-work football for "&amp;F374&amp;" · "&amp;X374&amp;", "&amp;Y374&amp;" min from your office"</f>
        <v/>
      </c>
      <c r="AG374" s="14">
        <f>"Hi"&amp;IF(O374&lt;&gt;""," "&amp;O374,"")&amp;","&amp;CHAR(10)&amp;CHAR(10)&amp;"I'm "&amp;IF(AL374&lt;&gt;"",AL374,IF(Offer!$C$5&lt;&gt;"",Offer!$C$5,"[NAME]"))&amp;" from FC Urban. We organise after-work football for teams in the City and Canary Wharf."&amp;CHAR(10)&amp;CHAR(10)&amp;"We have a "&amp;AC374&amp;" pitch at "&amp;X374&amp;", "&amp;IF(OR(Y374=8,Y374=11,Y374=18),"an ","a ")&amp;Y374&amp;"-minute walk from your "&amp;M374&amp;" office, "&amp;IF(ISNUMBER(AB374),"on "&amp;TEXT(AB374,"dddd d mmmm")&amp;" at "&amp;TEXT(AB374,"hh:mm"),"on a weekday evening that suits your team")&amp;". It's "&amp;IF(AD374&lt;&gt;"","£"&amp;IF(AD374=INT(AD374),TEXT(AD374,"0"),TEXT(AD374,"0.00")),"[PRICE PER PLAYER]")&amp;" a player and we handle the pitch booking, sign-ups and payments, so all it takes is one person sharing a link with the team."&amp;CHAR(10)&amp;CHAR(10)&amp;"It works well as a team social or "&amp;IF(ISNUMBER(SEARCH(LEFT(F374,1),"AEIOU")),"an ","a ")&amp;F374&amp;"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LINK]")&amp;CHAR(10)&amp;CHAR(10)&amp;"Best,"&amp;CHAR(10)&amp;IF(AL374&lt;&gt;"",AL374,IF(Offer!$C$5&lt;&gt;"",Offer!$C$5,"[NAME]"))&amp;CHAR(10)&amp;"FC Urban"</f>
        <v/>
      </c>
      <c r="AH374" s="14">
        <f>IF(LEN("Hi"&amp;IF(O374&lt;&gt;""," "&amp;O374,"")&amp;","&amp;" FC Urban runs after-work football for "&amp;IF(D374="Canary Wharf","Canary Wharf","City")&amp;" teams. We have a "&amp;AC374&amp;" pitch at "&amp;X374&amp;", "&amp;Y374&amp;" min from your office, "&amp;IF(ISNUMBER(AB374),TEXT(AB374,"ddd d mmm")&amp;", "&amp;TEXT(AB374,"hh:mm"),"weekday evenings")&amp;", "&amp;IF(AD374&lt;&gt;"","£"&amp;IF(AD374=INT(AD374),TEXT(AD374,"0"),TEXT(AD374,"0.00")),"[PRICE PER PLAYER]")&amp;" a player. We handle booking, sign-ups and payments. Fancy "&amp;IF(ISNUMBER(SEARCH(LEFT(F374,1),"AEIOU")),"an ","a ")&amp;F374&amp;" team game? "&amp;IF(AL374&lt;&gt;"",AL374,IF(Offer!$C$5&lt;&gt;"",Offer!$C$5,"[NAME]")))&lt;=300,"Hi"&amp;IF(O374&lt;&gt;""," "&amp;O374,"")&amp;","&amp;" FC Urban runs after-work football for "&amp;IF(D374="Canary Wharf","Canary Wharf","City")&amp;" teams. We have a "&amp;AC374&amp;" pitch at "&amp;X374&amp;", "&amp;Y374&amp;" min from your office, "&amp;IF(ISNUMBER(AB374),TEXT(AB374,"ddd d mmm")&amp;", "&amp;TEXT(AB374,"hh:mm"),"weekday evenings")&amp;", "&amp;IF(AD374&lt;&gt;"","£"&amp;IF(AD374=INT(AD374),TEXT(AD374,"0"),TEXT(AD374,"0.00")),"[PRICE PER PLAYER]")&amp;" a player. We handle booking, sign-ups and payments. Fancy "&amp;IF(ISNUMBER(SEARCH(LEFT(F374,1),"AEIOU")),"an ","a ")&amp;F374&amp;" team game? "&amp;IF(AL374&lt;&gt;"",AL374,IF(Offer!$C$5&lt;&gt;"",Offer!$C$5,"[NAME]")),LEFT("Hi"&amp;IF(O374&lt;&gt;""," "&amp;O374,"")&amp;","&amp;" FC Urban runs after-work football for "&amp;IF(D374="Canary Wharf","Canary Wharf","City")&amp;" teams: "&amp;AC374&amp;" at "&amp;X374&amp;", "&amp;Y374&amp;" min from your office, "&amp;IF(ISNUMBER(AB374),TEXT(AB374,"ddd d mmm")&amp;", "&amp;TEXT(AB374,"hh:mm"),"weekday evenings")&amp;", "&amp;IF(AD374&lt;&gt;"","£"&amp;IF(AD374=INT(AD374),TEXT(AD374,"0"),TEXT(AD374,"0.00")),"[PRICE PER PLAYER]")&amp;" pp. We handle booking and payments. Up for a team game? "&amp;IF(AL374&lt;&gt;"",AL374,IF(Offer!$C$5&lt;&gt;"",Offer!$C$5,"[NAME]")),300))</f>
        <v/>
      </c>
      <c r="AI374" s="14">
        <f>LEN(AH374)</f>
        <v/>
      </c>
      <c r="AJ374" s="14">
        <f>"Thanks for connecting"&amp;IF(O374&lt;&gt;"",", "&amp;O374,"")&amp;". "&amp;IF(ISNUMBER(AB374),"The "&amp;AC374&amp;" slot at "&amp;X374&amp;" is "&amp;IF(ISNUMBER(AB374),TEXT(AB374,"ddd d mmm")&amp;", "&amp;TEXT(AB374,"hh:mm"),"weekday evenings"),"We can book "&amp;AC374&amp;" at "&amp;X374&amp;" on a weekday evening that suits you")&amp;" and it's "&amp;IF(AD374&lt;&gt;"","£"&amp;IF(AD374=INT(AD374),TEXT(AD374,"0"),TEXT(AD374,"0.00")),"[PRICE PER PLAYER]")&amp;" a player, all booked and paid through one link. If football isn't your thing, who at "&amp;F374&amp;" would be the right person to organise a team game?"&amp;IF(Offer!$C$7&lt;&gt;""," Spots are held until "&amp;TEXT(Offer!$C$7,"dddd d mmmm")&amp;".","")&amp;" "&amp;IF(Offer!$C$6&lt;&gt;"",Offer!$C$6,"[JOINING LINK]")</f>
        <v/>
      </c>
      <c r="AK374" s="14">
        <f>IF(OR(ISNUMBER(SEARCH("[",AG374)),ISNUMBER(SEARCH("[",AJ374))),"Fill placeholders",IF(ISNUMBER(AB374),"Ready to send","Ready · no fixed slot"))</f>
        <v/>
      </c>
      <c r="AN374" s="17" t="n"/>
    </row>
    <row r="375">
      <c r="A375" s="11" t="n">
        <v>373</v>
      </c>
      <c r="B375" s="11" t="n">
        <v>3</v>
      </c>
      <c r="C375" s="11" t="inlineStr">
        <is>
          <t>Fund / asset manager</t>
        </is>
      </c>
      <c r="D375" s="11" t="inlineStr">
        <is>
          <t>City of London</t>
        </is>
      </c>
      <c r="E375" s="11" t="inlineStr">
        <is>
          <t>London Wall Capital Investments LLP</t>
        </is>
      </c>
      <c r="F375" s="11" t="inlineStr">
        <is>
          <t>London Wall Capital Investments</t>
        </is>
      </c>
      <c r="G375" s="11" t="inlineStr">
        <is>
          <t>OC396015</t>
        </is>
      </c>
      <c r="H375" s="12" t="inlineStr">
        <is>
          <t>Open</t>
        </is>
      </c>
      <c r="I375" s="12" t="inlineStr">
        <is>
          <t>Search</t>
        </is>
      </c>
      <c r="J375" s="11" t="inlineStr">
        <is>
          <t>Full</t>
        </is>
      </c>
      <c r="K375" s="13" t="n">
        <v>41933</v>
      </c>
      <c r="L375" s="11" t="inlineStr">
        <is>
          <t>4Th Floor,, 140 Aldersgate Street, London</t>
        </is>
      </c>
      <c r="M375" s="11" t="inlineStr">
        <is>
          <t>EC1A 4HY</t>
        </is>
      </c>
      <c r="N375" s="11" t="inlineStr">
        <is>
          <t>No</t>
        </is>
      </c>
      <c r="U375" s="11" t="inlineStr">
        <is>
          <t>Old St - Moreland Primary School</t>
        </is>
      </c>
      <c r="V375" s="11" t="n">
        <v>17</v>
      </c>
      <c r="W375" s="11" t="n"/>
      <c r="X375" s="11" t="inlineStr">
        <is>
          <t>Old St - Moreland Primary School</t>
        </is>
      </c>
      <c r="Y375" s="11" t="n">
        <v>17</v>
      </c>
      <c r="Z375" s="14">
        <f>IFERROR(INDEX(Venues!$E$2:$E$15,MATCH(X375,Venues!$A$2:$A$15,0)),"Not checked")</f>
        <v/>
      </c>
      <c r="AA375" s="14">
        <f>IFERROR(INDEX(Venues!$F$2:$F$15,MATCH(X375,Venues!$A$2:$A$15,0)),0)</f>
        <v/>
      </c>
      <c r="AB375" s="15">
        <f>IFERROR(INDEX(Venues!$M$2:$M$15,MATCH(X375,Venues!$A$2:$A$15,0)),"")</f>
        <v/>
      </c>
      <c r="AC375" s="14">
        <f>IFERROR(INDEX(Venues!$N$2:$N$15,MATCH(X375,Venues!$A$2:$A$15,0)),"5-a-side")</f>
        <v/>
      </c>
      <c r="AD375" s="16">
        <f>IF(Offer!$C$4="","",Offer!$C$4)</f>
        <v/>
      </c>
      <c r="AE375" s="14">
        <f>X375&amp;" ("&amp;Y375&amp;" min walk) · "&amp;IF(ISNUMBER(AB375),TEXT(AB375,"ddd d mmm, hh:mm"),"slot to confirm with venue")&amp;" · "&amp;AC375&amp;" · "&amp;IF(AD375&lt;&gt;"","£"&amp;TEXT(AD375,"0.00")&amp;" pp","price TBC")</f>
        <v/>
      </c>
      <c r="AF375" s="14">
        <f>"After-work football for "&amp;F375&amp;" · "&amp;X375&amp;", "&amp;Y375&amp;" min from your office"</f>
        <v/>
      </c>
      <c r="AG375" s="14">
        <f>"Hi"&amp;IF(O375&lt;&gt;""," "&amp;O375,"")&amp;","&amp;CHAR(10)&amp;CHAR(10)&amp;"I'm "&amp;IF(AL375&lt;&gt;"",AL375,IF(Offer!$C$5&lt;&gt;"",Offer!$C$5,"[NAME]"))&amp;" from FC Urban. We organise after-work football for teams in the City and Canary Wharf."&amp;CHAR(10)&amp;CHAR(10)&amp;"We have a "&amp;AC375&amp;" pitch at "&amp;X375&amp;", "&amp;IF(OR(Y375=8,Y375=11,Y375=18),"an ","a ")&amp;Y375&amp;"-minute walk from your "&amp;M375&amp;" office, "&amp;IF(ISNUMBER(AB375),"on "&amp;TEXT(AB375,"dddd d mmmm")&amp;" at "&amp;TEXT(AB375,"hh:mm"),"on a weekday evening that suits your team")&amp;". It's "&amp;IF(AD375&lt;&gt;"","£"&amp;IF(AD375=INT(AD375),TEXT(AD375,"0"),TEXT(AD375,"0.00")),"[PRICE PER PLAYER]")&amp;" a player and we handle the pitch booking, sign-ups and payments, so all it takes is one person sharing a link with the team."&amp;CHAR(10)&amp;CHAR(10)&amp;"It works well as a team social or "&amp;IF(ISNUMBER(SEARCH(LEFT(F375,1),"AEIOU")),"an ","a ")&amp;F375&amp;"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LINK]")&amp;CHAR(10)&amp;CHAR(10)&amp;"Best,"&amp;CHAR(10)&amp;IF(AL375&lt;&gt;"",AL375,IF(Offer!$C$5&lt;&gt;"",Offer!$C$5,"[NAME]"))&amp;CHAR(10)&amp;"FC Urban"</f>
        <v/>
      </c>
      <c r="AH375" s="14">
        <f>IF(LEN("Hi"&amp;IF(O375&lt;&gt;""," "&amp;O375,"")&amp;","&amp;" FC Urban runs after-work football for "&amp;IF(D375="Canary Wharf","Canary Wharf","City")&amp;" teams. We have a "&amp;AC375&amp;" pitch at "&amp;X375&amp;", "&amp;Y375&amp;" min from your office, "&amp;IF(ISNUMBER(AB375),TEXT(AB375,"ddd d mmm")&amp;", "&amp;TEXT(AB375,"hh:mm"),"weekday evenings")&amp;", "&amp;IF(AD375&lt;&gt;"","£"&amp;IF(AD375=INT(AD375),TEXT(AD375,"0"),TEXT(AD375,"0.00")),"[PRICE PER PLAYER]")&amp;" a player. We handle booking, sign-ups and payments. Fancy "&amp;IF(ISNUMBER(SEARCH(LEFT(F375,1),"AEIOU")),"an ","a ")&amp;F375&amp;" team game? "&amp;IF(AL375&lt;&gt;"",AL375,IF(Offer!$C$5&lt;&gt;"",Offer!$C$5,"[NAME]")))&lt;=300,"Hi"&amp;IF(O375&lt;&gt;""," "&amp;O375,"")&amp;","&amp;" FC Urban runs after-work football for "&amp;IF(D375="Canary Wharf","Canary Wharf","City")&amp;" teams. We have a "&amp;AC375&amp;" pitch at "&amp;X375&amp;", "&amp;Y375&amp;" min from your office, "&amp;IF(ISNUMBER(AB375),TEXT(AB375,"ddd d mmm")&amp;", "&amp;TEXT(AB375,"hh:mm"),"weekday evenings")&amp;", "&amp;IF(AD375&lt;&gt;"","£"&amp;IF(AD375=INT(AD375),TEXT(AD375,"0"),TEXT(AD375,"0.00")),"[PRICE PER PLAYER]")&amp;" a player. We handle booking, sign-ups and payments. Fancy "&amp;IF(ISNUMBER(SEARCH(LEFT(F375,1),"AEIOU")),"an ","a ")&amp;F375&amp;" team game? "&amp;IF(AL375&lt;&gt;"",AL375,IF(Offer!$C$5&lt;&gt;"",Offer!$C$5,"[NAME]")),LEFT("Hi"&amp;IF(O375&lt;&gt;""," "&amp;O375,"")&amp;","&amp;" FC Urban runs after-work football for "&amp;IF(D375="Canary Wharf","Canary Wharf","City")&amp;" teams: "&amp;AC375&amp;" at "&amp;X375&amp;", "&amp;Y375&amp;" min from your office, "&amp;IF(ISNUMBER(AB375),TEXT(AB375,"ddd d mmm")&amp;", "&amp;TEXT(AB375,"hh:mm"),"weekday evenings")&amp;", "&amp;IF(AD375&lt;&gt;"","£"&amp;IF(AD375=INT(AD375),TEXT(AD375,"0"),TEXT(AD375,"0.00")),"[PRICE PER PLAYER]")&amp;" pp. We handle booking and payments. Up for a team game? "&amp;IF(AL375&lt;&gt;"",AL375,IF(Offer!$C$5&lt;&gt;"",Offer!$C$5,"[NAME]")),300))</f>
        <v/>
      </c>
      <c r="AI375" s="14">
        <f>LEN(AH375)</f>
        <v/>
      </c>
      <c r="AJ375" s="14">
        <f>"Thanks for connecting"&amp;IF(O375&lt;&gt;"",", "&amp;O375,"")&amp;". "&amp;IF(ISNUMBER(AB375),"The "&amp;AC375&amp;" slot at "&amp;X375&amp;" is "&amp;IF(ISNUMBER(AB375),TEXT(AB375,"ddd d mmm")&amp;", "&amp;TEXT(AB375,"hh:mm"),"weekday evenings"),"We can book "&amp;AC375&amp;" at "&amp;X375&amp;" on a weekday evening that suits you")&amp;" and it's "&amp;IF(AD375&lt;&gt;"","£"&amp;IF(AD375=INT(AD375),TEXT(AD375,"0"),TEXT(AD375,"0.00")),"[PRICE PER PLAYER]")&amp;" a player, all booked and paid through one link. If football isn't your thing, who at "&amp;F375&amp;" would be the right person to organise a team game?"&amp;IF(Offer!$C$7&lt;&gt;""," Spots are held until "&amp;TEXT(Offer!$C$7,"dddd d mmmm")&amp;".","")&amp;" "&amp;IF(Offer!$C$6&lt;&gt;"",Offer!$C$6,"[JOINING LINK]")</f>
        <v/>
      </c>
      <c r="AK375" s="14">
        <f>IF(OR(ISNUMBER(SEARCH("[",AG375)),ISNUMBER(SEARCH("[",AJ375))),"Fill placeholders",IF(ISNUMBER(AB375),"Ready to send","Ready · no fixed slot"))</f>
        <v/>
      </c>
      <c r="AN375" s="17" t="n"/>
    </row>
    <row r="376">
      <c r="A376" s="11" t="n">
        <v>374</v>
      </c>
      <c r="B376" s="11" t="n">
        <v>3</v>
      </c>
      <c r="C376" s="11" t="inlineStr">
        <is>
          <t>Fund / asset manager</t>
        </is>
      </c>
      <c r="D376" s="11" t="inlineStr">
        <is>
          <t>City of London</t>
        </is>
      </c>
      <c r="E376" s="11" t="inlineStr">
        <is>
          <t>Macquarie Lending &amp; Investment Partners LLP</t>
        </is>
      </c>
      <c r="F376" s="11" t="inlineStr">
        <is>
          <t>Macquarie Lending &amp; Investment Partners</t>
        </is>
      </c>
      <c r="G376" s="11" t="inlineStr">
        <is>
          <t>OC363068</t>
        </is>
      </c>
      <c r="H376" s="12" t="inlineStr">
        <is>
          <t>Open</t>
        </is>
      </c>
      <c r="I376" s="12" t="inlineStr">
        <is>
          <t>Search</t>
        </is>
      </c>
      <c r="J376" s="11" t="inlineStr">
        <is>
          <t>Full</t>
        </is>
      </c>
      <c r="K376" s="13" t="n">
        <v>40625</v>
      </c>
      <c r="L376" s="11" t="inlineStr">
        <is>
          <t>Ropemaker Place, 28 Ropemaker Street, London</t>
        </is>
      </c>
      <c r="M376" s="11" t="inlineStr">
        <is>
          <t>EC2Y 9HD</t>
        </is>
      </c>
      <c r="N376" s="11" t="inlineStr">
        <is>
          <t>No</t>
        </is>
      </c>
      <c r="U376" s="11" t="inlineStr">
        <is>
          <t>Shoreditch Powerleague</t>
        </is>
      </c>
      <c r="V376" s="11" t="n">
        <v>17</v>
      </c>
      <c r="W376" s="11" t="inlineStr">
        <is>
          <t>Old St - Moreland Primary School (18.6)</t>
        </is>
      </c>
      <c r="X376" s="11" t="inlineStr">
        <is>
          <t>Shoreditch Powerleague</t>
        </is>
      </c>
      <c r="Y376" s="11" t="n">
        <v>17</v>
      </c>
      <c r="Z376" s="14">
        <f>IFERROR(INDEX(Venues!$E$2:$E$15,MATCH(X376,Venues!$A$2:$A$15,0)),"Not checked")</f>
        <v/>
      </c>
      <c r="AA376" s="14">
        <f>IFERROR(INDEX(Venues!$F$2:$F$15,MATCH(X376,Venues!$A$2:$A$15,0)),0)</f>
        <v/>
      </c>
      <c r="AB376" s="15">
        <f>IFERROR(INDEX(Venues!$M$2:$M$15,MATCH(X376,Venues!$A$2:$A$15,0)),"")</f>
        <v/>
      </c>
      <c r="AC376" s="14">
        <f>IFERROR(INDEX(Venues!$N$2:$N$15,MATCH(X376,Venues!$A$2:$A$15,0)),"5-a-side")</f>
        <v/>
      </c>
      <c r="AD376" s="16">
        <f>IF(Offer!$C$4="","",Offer!$C$4)</f>
        <v/>
      </c>
      <c r="AE376" s="14">
        <f>X376&amp;" ("&amp;Y376&amp;" min walk) · "&amp;IF(ISNUMBER(AB376),TEXT(AB376,"ddd d mmm, hh:mm"),"slot to confirm with venue")&amp;" · "&amp;AC376&amp;" · "&amp;IF(AD376&lt;&gt;"","£"&amp;TEXT(AD376,"0.00")&amp;" pp","price TBC")</f>
        <v/>
      </c>
      <c r="AF376" s="14">
        <f>"After-work football for "&amp;F376&amp;" · "&amp;X376&amp;", "&amp;Y376&amp;" min from your office"</f>
        <v/>
      </c>
      <c r="AG376" s="14">
        <f>"Hi"&amp;IF(O376&lt;&gt;""," "&amp;O376,"")&amp;","&amp;CHAR(10)&amp;CHAR(10)&amp;"I'm "&amp;IF(AL376&lt;&gt;"",AL376,IF(Offer!$C$5&lt;&gt;"",Offer!$C$5,"[NAME]"))&amp;" from FC Urban. We organise after-work football for teams in the City and Canary Wharf."&amp;CHAR(10)&amp;CHAR(10)&amp;"We have a "&amp;AC376&amp;" pitch at "&amp;X376&amp;", "&amp;IF(OR(Y376=8,Y376=11,Y376=18),"an ","a ")&amp;Y376&amp;"-minute walk from your "&amp;M376&amp;" office, "&amp;IF(ISNUMBER(AB376),"on "&amp;TEXT(AB376,"dddd d mmmm")&amp;" at "&amp;TEXT(AB376,"hh:mm"),"on a weekday evening that suits your team")&amp;". It's "&amp;IF(AD376&lt;&gt;"","£"&amp;IF(AD376=INT(AD376),TEXT(AD376,"0"),TEXT(AD376,"0.00")),"[PRICE PER PLAYER]")&amp;" a player and we handle the pitch booking, sign-ups and payments, so all it takes is one person sharing a link with the team."&amp;CHAR(10)&amp;CHAR(10)&amp;"It works well as a team social or "&amp;IF(ISNUMBER(SEARCH(LEFT(F376,1),"AEIOU")),"an ","a ")&amp;F376&amp;"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LINK]")&amp;CHAR(10)&amp;CHAR(10)&amp;"Best,"&amp;CHAR(10)&amp;IF(AL376&lt;&gt;"",AL376,IF(Offer!$C$5&lt;&gt;"",Offer!$C$5,"[NAME]"))&amp;CHAR(10)&amp;"FC Urban"</f>
        <v/>
      </c>
      <c r="AH376" s="14">
        <f>IF(LEN("Hi"&amp;IF(O376&lt;&gt;""," "&amp;O376,"")&amp;","&amp;" FC Urban runs after-work football for "&amp;IF(D376="Canary Wharf","Canary Wharf","City")&amp;" teams. We have a "&amp;AC376&amp;" pitch at "&amp;X376&amp;", "&amp;Y376&amp;" min from your office, "&amp;IF(ISNUMBER(AB376),TEXT(AB376,"ddd d mmm")&amp;", "&amp;TEXT(AB376,"hh:mm"),"weekday evenings")&amp;", "&amp;IF(AD376&lt;&gt;"","£"&amp;IF(AD376=INT(AD376),TEXT(AD376,"0"),TEXT(AD376,"0.00")),"[PRICE PER PLAYER]")&amp;" a player. We handle booking, sign-ups and payments. Fancy "&amp;IF(ISNUMBER(SEARCH(LEFT(F376,1),"AEIOU")),"an ","a ")&amp;F376&amp;" team game? "&amp;IF(AL376&lt;&gt;"",AL376,IF(Offer!$C$5&lt;&gt;"",Offer!$C$5,"[NAME]")))&lt;=300,"Hi"&amp;IF(O376&lt;&gt;""," "&amp;O376,"")&amp;","&amp;" FC Urban runs after-work football for "&amp;IF(D376="Canary Wharf","Canary Wharf","City")&amp;" teams. We have a "&amp;AC376&amp;" pitch at "&amp;X376&amp;", "&amp;Y376&amp;" min from your office, "&amp;IF(ISNUMBER(AB376),TEXT(AB376,"ddd d mmm")&amp;", "&amp;TEXT(AB376,"hh:mm"),"weekday evenings")&amp;", "&amp;IF(AD376&lt;&gt;"","£"&amp;IF(AD376=INT(AD376),TEXT(AD376,"0"),TEXT(AD376,"0.00")),"[PRICE PER PLAYER]")&amp;" a player. We handle booking, sign-ups and payments. Fancy "&amp;IF(ISNUMBER(SEARCH(LEFT(F376,1),"AEIOU")),"an ","a ")&amp;F376&amp;" team game? "&amp;IF(AL376&lt;&gt;"",AL376,IF(Offer!$C$5&lt;&gt;"",Offer!$C$5,"[NAME]")),LEFT("Hi"&amp;IF(O376&lt;&gt;""," "&amp;O376,"")&amp;","&amp;" FC Urban runs after-work football for "&amp;IF(D376="Canary Wharf","Canary Wharf","City")&amp;" teams: "&amp;AC376&amp;" at "&amp;X376&amp;", "&amp;Y376&amp;" min from your office, "&amp;IF(ISNUMBER(AB376),TEXT(AB376,"ddd d mmm")&amp;", "&amp;TEXT(AB376,"hh:mm"),"weekday evenings")&amp;", "&amp;IF(AD376&lt;&gt;"","£"&amp;IF(AD376=INT(AD376),TEXT(AD376,"0"),TEXT(AD376,"0.00")),"[PRICE PER PLAYER]")&amp;" pp. We handle booking and payments. Up for a team game? "&amp;IF(AL376&lt;&gt;"",AL376,IF(Offer!$C$5&lt;&gt;"",Offer!$C$5,"[NAME]")),300))</f>
        <v/>
      </c>
      <c r="AI376" s="14">
        <f>LEN(AH376)</f>
        <v/>
      </c>
      <c r="AJ376" s="14">
        <f>"Thanks for connecting"&amp;IF(O376&lt;&gt;"",", "&amp;O376,"")&amp;". "&amp;IF(ISNUMBER(AB376),"The "&amp;AC376&amp;" slot at "&amp;X376&amp;" is "&amp;IF(ISNUMBER(AB376),TEXT(AB376,"ddd d mmm")&amp;", "&amp;TEXT(AB376,"hh:mm"),"weekday evenings"),"We can book "&amp;AC376&amp;" at "&amp;X376&amp;" on a weekday evening that suits you")&amp;" and it's "&amp;IF(AD376&lt;&gt;"","£"&amp;IF(AD376=INT(AD376),TEXT(AD376,"0"),TEXT(AD376,"0.00")),"[PRICE PER PLAYER]")&amp;" a player, all booked and paid through one link. If football isn't your thing, who at "&amp;F376&amp;" would be the right person to organise a team game?"&amp;IF(Offer!$C$7&lt;&gt;""," Spots are held until "&amp;TEXT(Offer!$C$7,"dddd d mmmm")&amp;".","")&amp;" "&amp;IF(Offer!$C$6&lt;&gt;"",Offer!$C$6,"[JOINING LINK]")</f>
        <v/>
      </c>
      <c r="AK376" s="14">
        <f>IF(OR(ISNUMBER(SEARCH("[",AG376)),ISNUMBER(SEARCH("[",AJ376))),"Fill placeholders",IF(ISNUMBER(AB376),"Ready to send","Ready · no fixed slot"))</f>
        <v/>
      </c>
      <c r="AN376" s="17" t="n"/>
    </row>
    <row r="377">
      <c r="A377" s="11" t="n">
        <v>375</v>
      </c>
      <c r="B377" s="11" t="n">
        <v>3</v>
      </c>
      <c r="C377" s="11" t="inlineStr">
        <is>
          <t>Fund / asset manager</t>
        </is>
      </c>
      <c r="D377" s="11" t="inlineStr">
        <is>
          <t>City of London</t>
        </is>
      </c>
      <c r="E377" s="11" t="inlineStr">
        <is>
          <t>Twentyfour Asset Management LLP</t>
        </is>
      </c>
      <c r="F377" s="11" t="inlineStr">
        <is>
          <t>Twentyfour Asset Management</t>
        </is>
      </c>
      <c r="G377" s="11" t="inlineStr">
        <is>
          <t>OC335015</t>
        </is>
      </c>
      <c r="H377" s="12" t="inlineStr">
        <is>
          <t>Open</t>
        </is>
      </c>
      <c r="I377" s="12" t="inlineStr">
        <is>
          <t>Search</t>
        </is>
      </c>
      <c r="J377" s="11" t="inlineStr">
        <is>
          <t>Full</t>
        </is>
      </c>
      <c r="K377" s="13" t="n">
        <v>39502</v>
      </c>
      <c r="L377" s="11" t="inlineStr">
        <is>
          <t>20 Fenchurch Street, 4Th Floor, London</t>
        </is>
      </c>
      <c r="M377" s="11" t="inlineStr">
        <is>
          <t>EC3M 3BY</t>
        </is>
      </c>
      <c r="N377" s="11" t="inlineStr">
        <is>
          <t>No</t>
        </is>
      </c>
      <c r="U377" s="11" t="inlineStr">
        <is>
          <t>Liverpool St - Attlee Centre</t>
        </is>
      </c>
      <c r="V377" s="11" t="n">
        <v>17</v>
      </c>
      <c r="W377" s="11" t="n"/>
      <c r="X377" s="11" t="inlineStr">
        <is>
          <t>Liverpool St - Attlee Centre</t>
        </is>
      </c>
      <c r="Y377" s="11" t="n">
        <v>17</v>
      </c>
      <c r="Z377" s="14">
        <f>IFERROR(INDEX(Venues!$E$2:$E$15,MATCH(X377,Venues!$A$2:$A$15,0)),"Not checked")</f>
        <v/>
      </c>
      <c r="AA377" s="14">
        <f>IFERROR(INDEX(Venues!$F$2:$F$15,MATCH(X377,Venues!$A$2:$A$15,0)),0)</f>
        <v/>
      </c>
      <c r="AB377" s="15">
        <f>IFERROR(INDEX(Venues!$M$2:$M$15,MATCH(X377,Venues!$A$2:$A$15,0)),"")</f>
        <v/>
      </c>
      <c r="AC377" s="14">
        <f>IFERROR(INDEX(Venues!$N$2:$N$15,MATCH(X377,Venues!$A$2:$A$15,0)),"5-a-side")</f>
        <v/>
      </c>
      <c r="AD377" s="16">
        <f>IF(Offer!$C$4="","",Offer!$C$4)</f>
        <v/>
      </c>
      <c r="AE377" s="14">
        <f>X377&amp;" ("&amp;Y377&amp;" min walk) · "&amp;IF(ISNUMBER(AB377),TEXT(AB377,"ddd d mmm, hh:mm"),"slot to confirm with venue")&amp;" · "&amp;AC377&amp;" · "&amp;IF(AD377&lt;&gt;"","£"&amp;TEXT(AD377,"0.00")&amp;" pp","price TBC")</f>
        <v/>
      </c>
      <c r="AF377" s="14">
        <f>"After-work football for "&amp;F377&amp;" · "&amp;X377&amp;", "&amp;Y377&amp;" min from your office"</f>
        <v/>
      </c>
      <c r="AG377" s="14">
        <f>"Hi"&amp;IF(O377&lt;&gt;""," "&amp;O377,"")&amp;","&amp;CHAR(10)&amp;CHAR(10)&amp;"I'm "&amp;IF(AL377&lt;&gt;"",AL377,IF(Offer!$C$5&lt;&gt;"",Offer!$C$5,"[NAME]"))&amp;" from FC Urban. We organise after-work football for teams in the City and Canary Wharf."&amp;CHAR(10)&amp;CHAR(10)&amp;"We have a "&amp;AC377&amp;" pitch at "&amp;X377&amp;", "&amp;IF(OR(Y377=8,Y377=11,Y377=18),"an ","a ")&amp;Y377&amp;"-minute walk from your "&amp;M377&amp;" office, "&amp;IF(ISNUMBER(AB377),"on "&amp;TEXT(AB377,"dddd d mmmm")&amp;" at "&amp;TEXT(AB377,"hh:mm"),"on a weekday evening that suits your team")&amp;". It's "&amp;IF(AD377&lt;&gt;"","£"&amp;IF(AD377=INT(AD377),TEXT(AD377,"0"),TEXT(AD377,"0.00")),"[PRICE PER PLAYER]")&amp;" a player and we handle the pitch booking, sign-ups and payments, so all it takes is one person sharing a link with the team."&amp;CHAR(10)&amp;CHAR(10)&amp;"It works well as a team social or "&amp;IF(ISNUMBER(SEARCH(LEFT(F377,1),"AEIOU")),"an ","a ")&amp;F377&amp;"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LINK]")&amp;CHAR(10)&amp;CHAR(10)&amp;"Best,"&amp;CHAR(10)&amp;IF(AL377&lt;&gt;"",AL377,IF(Offer!$C$5&lt;&gt;"",Offer!$C$5,"[NAME]"))&amp;CHAR(10)&amp;"FC Urban"</f>
        <v/>
      </c>
      <c r="AH377" s="14">
        <f>IF(LEN("Hi"&amp;IF(O377&lt;&gt;""," "&amp;O377,"")&amp;","&amp;" FC Urban runs after-work football for "&amp;IF(D377="Canary Wharf","Canary Wharf","City")&amp;" teams. We have a "&amp;AC377&amp;" pitch at "&amp;X377&amp;", "&amp;Y377&amp;" min from your office, "&amp;IF(ISNUMBER(AB377),TEXT(AB377,"ddd d mmm")&amp;", "&amp;TEXT(AB377,"hh:mm"),"weekday evenings")&amp;", "&amp;IF(AD377&lt;&gt;"","£"&amp;IF(AD377=INT(AD377),TEXT(AD377,"0"),TEXT(AD377,"0.00")),"[PRICE PER PLAYER]")&amp;" a player. We handle booking, sign-ups and payments. Fancy "&amp;IF(ISNUMBER(SEARCH(LEFT(F377,1),"AEIOU")),"an ","a ")&amp;F377&amp;" team game? "&amp;IF(AL377&lt;&gt;"",AL377,IF(Offer!$C$5&lt;&gt;"",Offer!$C$5,"[NAME]")))&lt;=300,"Hi"&amp;IF(O377&lt;&gt;""," "&amp;O377,"")&amp;","&amp;" FC Urban runs after-work football for "&amp;IF(D377="Canary Wharf","Canary Wharf","City")&amp;" teams. We have a "&amp;AC377&amp;" pitch at "&amp;X377&amp;", "&amp;Y377&amp;" min from your office, "&amp;IF(ISNUMBER(AB377),TEXT(AB377,"ddd d mmm")&amp;", "&amp;TEXT(AB377,"hh:mm"),"weekday evenings")&amp;", "&amp;IF(AD377&lt;&gt;"","£"&amp;IF(AD377=INT(AD377),TEXT(AD377,"0"),TEXT(AD377,"0.00")),"[PRICE PER PLAYER]")&amp;" a player. We handle booking, sign-ups and payments. Fancy "&amp;IF(ISNUMBER(SEARCH(LEFT(F377,1),"AEIOU")),"an ","a ")&amp;F377&amp;" team game? "&amp;IF(AL377&lt;&gt;"",AL377,IF(Offer!$C$5&lt;&gt;"",Offer!$C$5,"[NAME]")),LEFT("Hi"&amp;IF(O377&lt;&gt;""," "&amp;O377,"")&amp;","&amp;" FC Urban runs after-work football for "&amp;IF(D377="Canary Wharf","Canary Wharf","City")&amp;" teams: "&amp;AC377&amp;" at "&amp;X377&amp;", "&amp;Y377&amp;" min from your office, "&amp;IF(ISNUMBER(AB377),TEXT(AB377,"ddd d mmm")&amp;", "&amp;TEXT(AB377,"hh:mm"),"weekday evenings")&amp;", "&amp;IF(AD377&lt;&gt;"","£"&amp;IF(AD377=INT(AD377),TEXT(AD377,"0"),TEXT(AD377,"0.00")),"[PRICE PER PLAYER]")&amp;" pp. We handle booking and payments. Up for a team game? "&amp;IF(AL377&lt;&gt;"",AL377,IF(Offer!$C$5&lt;&gt;"",Offer!$C$5,"[NAME]")),300))</f>
        <v/>
      </c>
      <c r="AI377" s="14">
        <f>LEN(AH377)</f>
        <v/>
      </c>
      <c r="AJ377" s="14">
        <f>"Thanks for connecting"&amp;IF(O377&lt;&gt;"",", "&amp;O377,"")&amp;". "&amp;IF(ISNUMBER(AB377),"The "&amp;AC377&amp;" slot at "&amp;X377&amp;" is "&amp;IF(ISNUMBER(AB377),TEXT(AB377,"ddd d mmm")&amp;", "&amp;TEXT(AB377,"hh:mm"),"weekday evenings"),"We can book "&amp;AC377&amp;" at "&amp;X377&amp;" on a weekday evening that suits you")&amp;" and it's "&amp;IF(AD377&lt;&gt;"","£"&amp;IF(AD377=INT(AD377),TEXT(AD377,"0"),TEXT(AD377,"0.00")),"[PRICE PER PLAYER]")&amp;" a player, all booked and paid through one link. If football isn't your thing, who at "&amp;F377&amp;" would be the right person to organise a team game?"&amp;IF(Offer!$C$7&lt;&gt;""," Spots are held until "&amp;TEXT(Offer!$C$7,"dddd d mmmm")&amp;".","")&amp;" "&amp;IF(Offer!$C$6&lt;&gt;"",Offer!$C$6,"[JOINING LINK]")</f>
        <v/>
      </c>
      <c r="AK377" s="14">
        <f>IF(OR(ISNUMBER(SEARCH("[",AG377)),ISNUMBER(SEARCH("[",AJ377))),"Fill placeholders",IF(ISNUMBER(AB377),"Ready to send","Ready · no fixed slot"))</f>
        <v/>
      </c>
      <c r="AN377" s="17" t="n"/>
    </row>
    <row r="378">
      <c r="A378" s="11" t="n">
        <v>376</v>
      </c>
      <c r="B378" s="11" t="n">
        <v>3</v>
      </c>
      <c r="C378" s="11" t="inlineStr">
        <is>
          <t>Insurance / broker</t>
        </is>
      </c>
      <c r="D378" s="11" t="inlineStr">
        <is>
          <t>City of London</t>
        </is>
      </c>
      <c r="E378" s="11" t="inlineStr">
        <is>
          <t>Ascot Underwriting Limited</t>
        </is>
      </c>
      <c r="F378" s="11" t="inlineStr">
        <is>
          <t>Ascot Underwriting</t>
        </is>
      </c>
      <c r="G378" s="11" t="inlineStr">
        <is>
          <t>04098461</t>
        </is>
      </c>
      <c r="H378" s="12" t="inlineStr">
        <is>
          <t>Open</t>
        </is>
      </c>
      <c r="I378" s="12" t="inlineStr">
        <is>
          <t>Search</t>
        </is>
      </c>
      <c r="J378" s="11" t="inlineStr">
        <is>
          <t>Full</t>
        </is>
      </c>
      <c r="K378" s="13" t="n">
        <v>36829</v>
      </c>
      <c r="L378" s="11" t="inlineStr">
        <is>
          <t>20 Fenchurch Street, London</t>
        </is>
      </c>
      <c r="M378" s="11" t="inlineStr">
        <is>
          <t>EC3M 3BY</t>
        </is>
      </c>
      <c r="N378" s="11" t="inlineStr">
        <is>
          <t>No</t>
        </is>
      </c>
      <c r="U378" s="11" t="inlineStr">
        <is>
          <t>Liverpool St - Attlee Centre</t>
        </is>
      </c>
      <c r="V378" s="11" t="n">
        <v>17</v>
      </c>
      <c r="W378" s="11" t="n"/>
      <c r="X378" s="11" t="inlineStr">
        <is>
          <t>Liverpool St - Attlee Centre</t>
        </is>
      </c>
      <c r="Y378" s="11" t="n">
        <v>17</v>
      </c>
      <c r="Z378" s="14">
        <f>IFERROR(INDEX(Venues!$E$2:$E$15,MATCH(X378,Venues!$A$2:$A$15,0)),"Not checked")</f>
        <v/>
      </c>
      <c r="AA378" s="14">
        <f>IFERROR(INDEX(Venues!$F$2:$F$15,MATCH(X378,Venues!$A$2:$A$15,0)),0)</f>
        <v/>
      </c>
      <c r="AB378" s="15">
        <f>IFERROR(INDEX(Venues!$M$2:$M$15,MATCH(X378,Venues!$A$2:$A$15,0)),"")</f>
        <v/>
      </c>
      <c r="AC378" s="14">
        <f>IFERROR(INDEX(Venues!$N$2:$N$15,MATCH(X378,Venues!$A$2:$A$15,0)),"5-a-side")</f>
        <v/>
      </c>
      <c r="AD378" s="16">
        <f>IF(Offer!$C$4="","",Offer!$C$4)</f>
        <v/>
      </c>
      <c r="AE378" s="14">
        <f>X378&amp;" ("&amp;Y378&amp;" min walk) · "&amp;IF(ISNUMBER(AB378),TEXT(AB378,"ddd d mmm, hh:mm"),"slot to confirm with venue")&amp;" · "&amp;AC378&amp;" · "&amp;IF(AD378&lt;&gt;"","£"&amp;TEXT(AD378,"0.00")&amp;" pp","price TBC")</f>
        <v/>
      </c>
      <c r="AF378" s="14">
        <f>"After-work football for "&amp;F378&amp;" · "&amp;X378&amp;", "&amp;Y378&amp;" min from your office"</f>
        <v/>
      </c>
      <c r="AG378" s="14">
        <f>"Hi"&amp;IF(O378&lt;&gt;""," "&amp;O378,"")&amp;","&amp;CHAR(10)&amp;CHAR(10)&amp;"I'm "&amp;IF(AL378&lt;&gt;"",AL378,IF(Offer!$C$5&lt;&gt;"",Offer!$C$5,"[NAME]"))&amp;" from FC Urban. We organise after-work football for teams in the City and Canary Wharf."&amp;CHAR(10)&amp;CHAR(10)&amp;"We have a "&amp;AC378&amp;" pitch at "&amp;X378&amp;", "&amp;IF(OR(Y378=8,Y378=11,Y378=18),"an ","a ")&amp;Y378&amp;"-minute walk from your "&amp;M378&amp;" office, "&amp;IF(ISNUMBER(AB378),"on "&amp;TEXT(AB378,"dddd d mmmm")&amp;" at "&amp;TEXT(AB378,"hh:mm"),"on a weekday evening that suits your team")&amp;". It's "&amp;IF(AD378&lt;&gt;"","£"&amp;IF(AD378=INT(AD378),TEXT(AD378,"0"),TEXT(AD378,"0.00")),"[PRICE PER PLAYER]")&amp;" a player and we handle the pitch booking, sign-ups and payments, so all it takes is one person sharing a link with the team."&amp;CHAR(10)&amp;CHAR(10)&amp;"It works well as a team social or "&amp;IF(ISNUMBER(SEARCH(LEFT(F378,1),"AEIOU")),"an ","a ")&amp;F378&amp;"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LINK]")&amp;CHAR(10)&amp;CHAR(10)&amp;"Best,"&amp;CHAR(10)&amp;IF(AL378&lt;&gt;"",AL378,IF(Offer!$C$5&lt;&gt;"",Offer!$C$5,"[NAME]"))&amp;CHAR(10)&amp;"FC Urban"</f>
        <v/>
      </c>
      <c r="AH378" s="14">
        <f>IF(LEN("Hi"&amp;IF(O378&lt;&gt;""," "&amp;O378,"")&amp;","&amp;" FC Urban runs after-work football for "&amp;IF(D378="Canary Wharf","Canary Wharf","City")&amp;" teams. We have a "&amp;AC378&amp;" pitch at "&amp;X378&amp;", "&amp;Y378&amp;" min from your office, "&amp;IF(ISNUMBER(AB378),TEXT(AB378,"ddd d mmm")&amp;", "&amp;TEXT(AB378,"hh:mm"),"weekday evenings")&amp;", "&amp;IF(AD378&lt;&gt;"","£"&amp;IF(AD378=INT(AD378),TEXT(AD378,"0"),TEXT(AD378,"0.00")),"[PRICE PER PLAYER]")&amp;" a player. We handle booking, sign-ups and payments. Fancy "&amp;IF(ISNUMBER(SEARCH(LEFT(F378,1),"AEIOU")),"an ","a ")&amp;F378&amp;" team game? "&amp;IF(AL378&lt;&gt;"",AL378,IF(Offer!$C$5&lt;&gt;"",Offer!$C$5,"[NAME]")))&lt;=300,"Hi"&amp;IF(O378&lt;&gt;""," "&amp;O378,"")&amp;","&amp;" FC Urban runs after-work football for "&amp;IF(D378="Canary Wharf","Canary Wharf","City")&amp;" teams. We have a "&amp;AC378&amp;" pitch at "&amp;X378&amp;", "&amp;Y378&amp;" min from your office, "&amp;IF(ISNUMBER(AB378),TEXT(AB378,"ddd d mmm")&amp;", "&amp;TEXT(AB378,"hh:mm"),"weekday evenings")&amp;", "&amp;IF(AD378&lt;&gt;"","£"&amp;IF(AD378=INT(AD378),TEXT(AD378,"0"),TEXT(AD378,"0.00")),"[PRICE PER PLAYER]")&amp;" a player. We handle booking, sign-ups and payments. Fancy "&amp;IF(ISNUMBER(SEARCH(LEFT(F378,1),"AEIOU")),"an ","a ")&amp;F378&amp;" team game? "&amp;IF(AL378&lt;&gt;"",AL378,IF(Offer!$C$5&lt;&gt;"",Offer!$C$5,"[NAME]")),LEFT("Hi"&amp;IF(O378&lt;&gt;""," "&amp;O378,"")&amp;","&amp;" FC Urban runs after-work football for "&amp;IF(D378="Canary Wharf","Canary Wharf","City")&amp;" teams: "&amp;AC378&amp;" at "&amp;X378&amp;", "&amp;Y378&amp;" min from your office, "&amp;IF(ISNUMBER(AB378),TEXT(AB378,"ddd d mmm")&amp;", "&amp;TEXT(AB378,"hh:mm"),"weekday evenings")&amp;", "&amp;IF(AD378&lt;&gt;"","£"&amp;IF(AD378=INT(AD378),TEXT(AD378,"0"),TEXT(AD378,"0.00")),"[PRICE PER PLAYER]")&amp;" pp. We handle booking and payments. Up for a team game? "&amp;IF(AL378&lt;&gt;"",AL378,IF(Offer!$C$5&lt;&gt;"",Offer!$C$5,"[NAME]")),300))</f>
        <v/>
      </c>
      <c r="AI378" s="14">
        <f>LEN(AH378)</f>
        <v/>
      </c>
      <c r="AJ378" s="14">
        <f>"Thanks for connecting"&amp;IF(O378&lt;&gt;"",", "&amp;O378,"")&amp;". "&amp;IF(ISNUMBER(AB378),"The "&amp;AC378&amp;" slot at "&amp;X378&amp;" is "&amp;IF(ISNUMBER(AB378),TEXT(AB378,"ddd d mmm")&amp;", "&amp;TEXT(AB378,"hh:mm"),"weekday evenings"),"We can book "&amp;AC378&amp;" at "&amp;X378&amp;" on a weekday evening that suits you")&amp;" and it's "&amp;IF(AD378&lt;&gt;"","£"&amp;IF(AD378=INT(AD378),TEXT(AD378,"0"),TEXT(AD378,"0.00")),"[PRICE PER PLAYER]")&amp;" a player, all booked and paid through one link. If football isn't your thing, who at "&amp;F378&amp;" would be the right person to organise a team game?"&amp;IF(Offer!$C$7&lt;&gt;""," Spots are held until "&amp;TEXT(Offer!$C$7,"dddd d mmmm")&amp;".","")&amp;" "&amp;IF(Offer!$C$6&lt;&gt;"",Offer!$C$6,"[JOINING LINK]")</f>
        <v/>
      </c>
      <c r="AK378" s="14">
        <f>IF(OR(ISNUMBER(SEARCH("[",AG378)),ISNUMBER(SEARCH("[",AJ378))),"Fill placeholders",IF(ISNUMBER(AB378),"Ready to send","Ready · no fixed slot"))</f>
        <v/>
      </c>
      <c r="AN378" s="17" t="n"/>
    </row>
    <row r="379">
      <c r="A379" s="11" t="n">
        <v>377</v>
      </c>
      <c r="B379" s="11" t="n">
        <v>3</v>
      </c>
      <c r="C379" s="11" t="inlineStr">
        <is>
          <t>Insurance / broker</t>
        </is>
      </c>
      <c r="D379" s="11" t="inlineStr">
        <is>
          <t>City of London</t>
        </is>
      </c>
      <c r="E379" s="11" t="inlineStr">
        <is>
          <t>Cathedral Capital Holdings Limited</t>
        </is>
      </c>
      <c r="F379" s="11" t="inlineStr">
        <is>
          <t>Cathedral Capital</t>
        </is>
      </c>
      <c r="G379" s="11" t="inlineStr">
        <is>
          <t>03372107</t>
        </is>
      </c>
      <c r="H379" s="12" t="inlineStr">
        <is>
          <t>Open</t>
        </is>
      </c>
      <c r="I379" s="12" t="inlineStr">
        <is>
          <t>Search</t>
        </is>
      </c>
      <c r="J379" s="11" t="inlineStr">
        <is>
          <t>Full</t>
        </is>
      </c>
      <c r="K379" s="13" t="n">
        <v>35566</v>
      </c>
      <c r="L379" s="11" t="inlineStr">
        <is>
          <t>20 Fenchurch Street, London</t>
        </is>
      </c>
      <c r="M379" s="11" t="inlineStr">
        <is>
          <t>EC3M 3BY</t>
        </is>
      </c>
      <c r="N379" s="11" t="inlineStr">
        <is>
          <t>No</t>
        </is>
      </c>
      <c r="U379" s="11" t="inlineStr">
        <is>
          <t>Liverpool St - Attlee Centre</t>
        </is>
      </c>
      <c r="V379" s="11" t="n">
        <v>17</v>
      </c>
      <c r="W379" s="11" t="n"/>
      <c r="X379" s="11" t="inlineStr">
        <is>
          <t>Liverpool St - Attlee Centre</t>
        </is>
      </c>
      <c r="Y379" s="11" t="n">
        <v>17</v>
      </c>
      <c r="Z379" s="14">
        <f>IFERROR(INDEX(Venues!$E$2:$E$15,MATCH(X379,Venues!$A$2:$A$15,0)),"Not checked")</f>
        <v/>
      </c>
      <c r="AA379" s="14">
        <f>IFERROR(INDEX(Venues!$F$2:$F$15,MATCH(X379,Venues!$A$2:$A$15,0)),0)</f>
        <v/>
      </c>
      <c r="AB379" s="15">
        <f>IFERROR(INDEX(Venues!$M$2:$M$15,MATCH(X379,Venues!$A$2:$A$15,0)),"")</f>
        <v/>
      </c>
      <c r="AC379" s="14">
        <f>IFERROR(INDEX(Venues!$N$2:$N$15,MATCH(X379,Venues!$A$2:$A$15,0)),"5-a-side")</f>
        <v/>
      </c>
      <c r="AD379" s="16">
        <f>IF(Offer!$C$4="","",Offer!$C$4)</f>
        <v/>
      </c>
      <c r="AE379" s="14">
        <f>X379&amp;" ("&amp;Y379&amp;" min walk) · "&amp;IF(ISNUMBER(AB379),TEXT(AB379,"ddd d mmm, hh:mm"),"slot to confirm with venue")&amp;" · "&amp;AC379&amp;" · "&amp;IF(AD379&lt;&gt;"","£"&amp;TEXT(AD379,"0.00")&amp;" pp","price TBC")</f>
        <v/>
      </c>
      <c r="AF379" s="14">
        <f>"After-work football for "&amp;F379&amp;" · "&amp;X379&amp;", "&amp;Y379&amp;" min from your office"</f>
        <v/>
      </c>
      <c r="AG379" s="14">
        <f>"Hi"&amp;IF(O379&lt;&gt;""," "&amp;O379,"")&amp;","&amp;CHAR(10)&amp;CHAR(10)&amp;"I'm "&amp;IF(AL379&lt;&gt;"",AL379,IF(Offer!$C$5&lt;&gt;"",Offer!$C$5,"[NAME]"))&amp;" from FC Urban. We organise after-work football for teams in the City and Canary Wharf."&amp;CHAR(10)&amp;CHAR(10)&amp;"We have a "&amp;AC379&amp;" pitch at "&amp;X379&amp;", "&amp;IF(OR(Y379=8,Y379=11,Y379=18),"an ","a ")&amp;Y379&amp;"-minute walk from your "&amp;M379&amp;" office, "&amp;IF(ISNUMBER(AB379),"on "&amp;TEXT(AB379,"dddd d mmmm")&amp;" at "&amp;TEXT(AB379,"hh:mm"),"on a weekday evening that suits your team")&amp;". It's "&amp;IF(AD379&lt;&gt;"","£"&amp;IF(AD379=INT(AD379),TEXT(AD379,"0"),TEXT(AD379,"0.00")),"[PRICE PER PLAYER]")&amp;" a player and we handle the pitch booking, sign-ups and payments, so all it takes is one person sharing a link with the team."&amp;CHAR(10)&amp;CHAR(10)&amp;"It works well as a team social or "&amp;IF(ISNUMBER(SEARCH(LEFT(F379,1),"AEIOU")),"an ","a ")&amp;F379&amp;"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LINK]")&amp;CHAR(10)&amp;CHAR(10)&amp;"Best,"&amp;CHAR(10)&amp;IF(AL379&lt;&gt;"",AL379,IF(Offer!$C$5&lt;&gt;"",Offer!$C$5,"[NAME]"))&amp;CHAR(10)&amp;"FC Urban"</f>
        <v/>
      </c>
      <c r="AH379" s="14">
        <f>IF(LEN("Hi"&amp;IF(O379&lt;&gt;""," "&amp;O379,"")&amp;","&amp;" FC Urban runs after-work football for "&amp;IF(D379="Canary Wharf","Canary Wharf","City")&amp;" teams. We have a "&amp;AC379&amp;" pitch at "&amp;X379&amp;", "&amp;Y379&amp;" min from your office, "&amp;IF(ISNUMBER(AB379),TEXT(AB379,"ddd d mmm")&amp;", "&amp;TEXT(AB379,"hh:mm"),"weekday evenings")&amp;", "&amp;IF(AD379&lt;&gt;"","£"&amp;IF(AD379=INT(AD379),TEXT(AD379,"0"),TEXT(AD379,"0.00")),"[PRICE PER PLAYER]")&amp;" a player. We handle booking, sign-ups and payments. Fancy "&amp;IF(ISNUMBER(SEARCH(LEFT(F379,1),"AEIOU")),"an ","a ")&amp;F379&amp;" team game? "&amp;IF(AL379&lt;&gt;"",AL379,IF(Offer!$C$5&lt;&gt;"",Offer!$C$5,"[NAME]")))&lt;=300,"Hi"&amp;IF(O379&lt;&gt;""," "&amp;O379,"")&amp;","&amp;" FC Urban runs after-work football for "&amp;IF(D379="Canary Wharf","Canary Wharf","City")&amp;" teams. We have a "&amp;AC379&amp;" pitch at "&amp;X379&amp;", "&amp;Y379&amp;" min from your office, "&amp;IF(ISNUMBER(AB379),TEXT(AB379,"ddd d mmm")&amp;", "&amp;TEXT(AB379,"hh:mm"),"weekday evenings")&amp;", "&amp;IF(AD379&lt;&gt;"","£"&amp;IF(AD379=INT(AD379),TEXT(AD379,"0"),TEXT(AD379,"0.00")),"[PRICE PER PLAYER]")&amp;" a player. We handle booking, sign-ups and payments. Fancy "&amp;IF(ISNUMBER(SEARCH(LEFT(F379,1),"AEIOU")),"an ","a ")&amp;F379&amp;" team game? "&amp;IF(AL379&lt;&gt;"",AL379,IF(Offer!$C$5&lt;&gt;"",Offer!$C$5,"[NAME]")),LEFT("Hi"&amp;IF(O379&lt;&gt;""," "&amp;O379,"")&amp;","&amp;" FC Urban runs after-work football for "&amp;IF(D379="Canary Wharf","Canary Wharf","City")&amp;" teams: "&amp;AC379&amp;" at "&amp;X379&amp;", "&amp;Y379&amp;" min from your office, "&amp;IF(ISNUMBER(AB379),TEXT(AB379,"ddd d mmm")&amp;", "&amp;TEXT(AB379,"hh:mm"),"weekday evenings")&amp;", "&amp;IF(AD379&lt;&gt;"","£"&amp;IF(AD379=INT(AD379),TEXT(AD379,"0"),TEXT(AD379,"0.00")),"[PRICE PER PLAYER]")&amp;" pp. We handle booking and payments. Up for a team game? "&amp;IF(AL379&lt;&gt;"",AL379,IF(Offer!$C$5&lt;&gt;"",Offer!$C$5,"[NAME]")),300))</f>
        <v/>
      </c>
      <c r="AI379" s="14">
        <f>LEN(AH379)</f>
        <v/>
      </c>
      <c r="AJ379" s="14">
        <f>"Thanks for connecting"&amp;IF(O379&lt;&gt;"",", "&amp;O379,"")&amp;". "&amp;IF(ISNUMBER(AB379),"The "&amp;AC379&amp;" slot at "&amp;X379&amp;" is "&amp;IF(ISNUMBER(AB379),TEXT(AB379,"ddd d mmm")&amp;", "&amp;TEXT(AB379,"hh:mm"),"weekday evenings"),"We can book "&amp;AC379&amp;" at "&amp;X379&amp;" on a weekday evening that suits you")&amp;" and it's "&amp;IF(AD379&lt;&gt;"","£"&amp;IF(AD379=INT(AD379),TEXT(AD379,"0"),TEXT(AD379,"0.00")),"[PRICE PER PLAYER]")&amp;" a player, all booked and paid through one link. If football isn't your thing, who at "&amp;F379&amp;" would be the right person to organise a team game?"&amp;IF(Offer!$C$7&lt;&gt;""," Spots are held until "&amp;TEXT(Offer!$C$7,"dddd d mmmm")&amp;".","")&amp;" "&amp;IF(Offer!$C$6&lt;&gt;"",Offer!$C$6,"[JOINING LINK]")</f>
        <v/>
      </c>
      <c r="AK379" s="14">
        <f>IF(OR(ISNUMBER(SEARCH("[",AG379)),ISNUMBER(SEARCH("[",AJ379))),"Fill placeholders",IF(ISNUMBER(AB379),"Ready to send","Ready · no fixed slot"))</f>
        <v/>
      </c>
      <c r="AN379" s="17" t="n"/>
    </row>
    <row r="380">
      <c r="A380" s="11" t="n">
        <v>378</v>
      </c>
      <c r="B380" s="11" t="n">
        <v>3</v>
      </c>
      <c r="C380" s="11" t="inlineStr">
        <is>
          <t>Insurance / broker</t>
        </is>
      </c>
      <c r="D380" s="11" t="inlineStr">
        <is>
          <t>City of London</t>
        </is>
      </c>
      <c r="E380" s="11" t="inlineStr">
        <is>
          <t>CNA Insurance Company Limited</t>
        </is>
      </c>
      <c r="F380" s="11" t="inlineStr">
        <is>
          <t>CNA Insurance Company</t>
        </is>
      </c>
      <c r="G380" s="11" t="inlineStr">
        <is>
          <t>00000950</t>
        </is>
      </c>
      <c r="H380" s="12" t="inlineStr">
        <is>
          <t>Open</t>
        </is>
      </c>
      <c r="I380" s="12" t="inlineStr">
        <is>
          <t>Search</t>
        </is>
      </c>
      <c r="J380" s="11" t="inlineStr">
        <is>
          <t>Full</t>
        </is>
      </c>
      <c r="K380" s="13" t="n">
        <v>-13109</v>
      </c>
      <c r="L380" s="11" t="inlineStr">
        <is>
          <t>20 Fenchurch Street, London</t>
        </is>
      </c>
      <c r="M380" s="11" t="inlineStr">
        <is>
          <t>EC3M 3BY</t>
        </is>
      </c>
      <c r="N380" s="11" t="inlineStr">
        <is>
          <t>No</t>
        </is>
      </c>
      <c r="U380" s="11" t="inlineStr">
        <is>
          <t>Liverpool St - Attlee Centre</t>
        </is>
      </c>
      <c r="V380" s="11" t="n">
        <v>17</v>
      </c>
      <c r="W380" s="11" t="n"/>
      <c r="X380" s="11" t="inlineStr">
        <is>
          <t>Liverpool St - Attlee Centre</t>
        </is>
      </c>
      <c r="Y380" s="11" t="n">
        <v>17</v>
      </c>
      <c r="Z380" s="14">
        <f>IFERROR(INDEX(Venues!$E$2:$E$15,MATCH(X380,Venues!$A$2:$A$15,0)),"Not checked")</f>
        <v/>
      </c>
      <c r="AA380" s="14">
        <f>IFERROR(INDEX(Venues!$F$2:$F$15,MATCH(X380,Venues!$A$2:$A$15,0)),0)</f>
        <v/>
      </c>
      <c r="AB380" s="15">
        <f>IFERROR(INDEX(Venues!$M$2:$M$15,MATCH(X380,Venues!$A$2:$A$15,0)),"")</f>
        <v/>
      </c>
      <c r="AC380" s="14">
        <f>IFERROR(INDEX(Venues!$N$2:$N$15,MATCH(X380,Venues!$A$2:$A$15,0)),"5-a-side")</f>
        <v/>
      </c>
      <c r="AD380" s="16">
        <f>IF(Offer!$C$4="","",Offer!$C$4)</f>
        <v/>
      </c>
      <c r="AE380" s="14">
        <f>X380&amp;" ("&amp;Y380&amp;" min walk) · "&amp;IF(ISNUMBER(AB380),TEXT(AB380,"ddd d mmm, hh:mm"),"slot to confirm with venue")&amp;" · "&amp;AC380&amp;" · "&amp;IF(AD380&lt;&gt;"","£"&amp;TEXT(AD380,"0.00")&amp;" pp","price TBC")</f>
        <v/>
      </c>
      <c r="AF380" s="14">
        <f>"After-work football for "&amp;F380&amp;" · "&amp;X380&amp;", "&amp;Y380&amp;" min from your office"</f>
        <v/>
      </c>
      <c r="AG380" s="14">
        <f>"Hi"&amp;IF(O380&lt;&gt;""," "&amp;O380,"")&amp;","&amp;CHAR(10)&amp;CHAR(10)&amp;"I'm "&amp;IF(AL380&lt;&gt;"",AL380,IF(Offer!$C$5&lt;&gt;"",Offer!$C$5,"[NAME]"))&amp;" from FC Urban. We organise after-work football for teams in the City and Canary Wharf."&amp;CHAR(10)&amp;CHAR(10)&amp;"We have a "&amp;AC380&amp;" pitch at "&amp;X380&amp;", "&amp;IF(OR(Y380=8,Y380=11,Y380=18),"an ","a ")&amp;Y380&amp;"-minute walk from your "&amp;M380&amp;" office, "&amp;IF(ISNUMBER(AB380),"on "&amp;TEXT(AB380,"dddd d mmmm")&amp;" at "&amp;TEXT(AB380,"hh:mm"),"on a weekday evening that suits your team")&amp;". It's "&amp;IF(AD380&lt;&gt;"","£"&amp;IF(AD380=INT(AD380),TEXT(AD380,"0"),TEXT(AD380,"0.00")),"[PRICE PER PLAYER]")&amp;" a player and we handle the pitch booking, sign-ups and payments, so all it takes is one person sharing a link with the team."&amp;CHAR(10)&amp;CHAR(10)&amp;"It works well as a team social or "&amp;IF(ISNUMBER(SEARCH(LEFT(F380,1),"AEIOU")),"an ","a ")&amp;F380&amp;"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LINK]")&amp;CHAR(10)&amp;CHAR(10)&amp;"Best,"&amp;CHAR(10)&amp;IF(AL380&lt;&gt;"",AL380,IF(Offer!$C$5&lt;&gt;"",Offer!$C$5,"[NAME]"))&amp;CHAR(10)&amp;"FC Urban"</f>
        <v/>
      </c>
      <c r="AH380" s="14">
        <f>IF(LEN("Hi"&amp;IF(O380&lt;&gt;""," "&amp;O380,"")&amp;","&amp;" FC Urban runs after-work football for "&amp;IF(D380="Canary Wharf","Canary Wharf","City")&amp;" teams. We have a "&amp;AC380&amp;" pitch at "&amp;X380&amp;", "&amp;Y380&amp;" min from your office, "&amp;IF(ISNUMBER(AB380),TEXT(AB380,"ddd d mmm")&amp;", "&amp;TEXT(AB380,"hh:mm"),"weekday evenings")&amp;", "&amp;IF(AD380&lt;&gt;"","£"&amp;IF(AD380=INT(AD380),TEXT(AD380,"0"),TEXT(AD380,"0.00")),"[PRICE PER PLAYER]")&amp;" a player. We handle booking, sign-ups and payments. Fancy "&amp;IF(ISNUMBER(SEARCH(LEFT(F380,1),"AEIOU")),"an ","a ")&amp;F380&amp;" team game? "&amp;IF(AL380&lt;&gt;"",AL380,IF(Offer!$C$5&lt;&gt;"",Offer!$C$5,"[NAME]")))&lt;=300,"Hi"&amp;IF(O380&lt;&gt;""," "&amp;O380,"")&amp;","&amp;" FC Urban runs after-work football for "&amp;IF(D380="Canary Wharf","Canary Wharf","City")&amp;" teams. We have a "&amp;AC380&amp;" pitch at "&amp;X380&amp;", "&amp;Y380&amp;" min from your office, "&amp;IF(ISNUMBER(AB380),TEXT(AB380,"ddd d mmm")&amp;", "&amp;TEXT(AB380,"hh:mm"),"weekday evenings")&amp;", "&amp;IF(AD380&lt;&gt;"","£"&amp;IF(AD380=INT(AD380),TEXT(AD380,"0"),TEXT(AD380,"0.00")),"[PRICE PER PLAYER]")&amp;" a player. We handle booking, sign-ups and payments. Fancy "&amp;IF(ISNUMBER(SEARCH(LEFT(F380,1),"AEIOU")),"an ","a ")&amp;F380&amp;" team game? "&amp;IF(AL380&lt;&gt;"",AL380,IF(Offer!$C$5&lt;&gt;"",Offer!$C$5,"[NAME]")),LEFT("Hi"&amp;IF(O380&lt;&gt;""," "&amp;O380,"")&amp;","&amp;" FC Urban runs after-work football for "&amp;IF(D380="Canary Wharf","Canary Wharf","City")&amp;" teams: "&amp;AC380&amp;" at "&amp;X380&amp;", "&amp;Y380&amp;" min from your office, "&amp;IF(ISNUMBER(AB380),TEXT(AB380,"ddd d mmm")&amp;", "&amp;TEXT(AB380,"hh:mm"),"weekday evenings")&amp;", "&amp;IF(AD380&lt;&gt;"","£"&amp;IF(AD380=INT(AD380),TEXT(AD380,"0"),TEXT(AD380,"0.00")),"[PRICE PER PLAYER]")&amp;" pp. We handle booking and payments. Up for a team game? "&amp;IF(AL380&lt;&gt;"",AL380,IF(Offer!$C$5&lt;&gt;"",Offer!$C$5,"[NAME]")),300))</f>
        <v/>
      </c>
      <c r="AI380" s="14">
        <f>LEN(AH380)</f>
        <v/>
      </c>
      <c r="AJ380" s="14">
        <f>"Thanks for connecting"&amp;IF(O380&lt;&gt;"",", "&amp;O380,"")&amp;". "&amp;IF(ISNUMBER(AB380),"The "&amp;AC380&amp;" slot at "&amp;X380&amp;" is "&amp;IF(ISNUMBER(AB380),TEXT(AB380,"ddd d mmm")&amp;", "&amp;TEXT(AB380,"hh:mm"),"weekday evenings"),"We can book "&amp;AC380&amp;" at "&amp;X380&amp;" on a weekday evening that suits you")&amp;" and it's "&amp;IF(AD380&lt;&gt;"","£"&amp;IF(AD380=INT(AD380),TEXT(AD380,"0"),TEXT(AD380,"0.00")),"[PRICE PER PLAYER]")&amp;" a player, all booked and paid through one link. If football isn't your thing, who at "&amp;F380&amp;" would be the right person to organise a team game?"&amp;IF(Offer!$C$7&lt;&gt;""," Spots are held until "&amp;TEXT(Offer!$C$7,"dddd d mmmm")&amp;".","")&amp;" "&amp;IF(Offer!$C$6&lt;&gt;"",Offer!$C$6,"[JOINING LINK]")</f>
        <v/>
      </c>
      <c r="AK380" s="14">
        <f>IF(OR(ISNUMBER(SEARCH("[",AG380)),ISNUMBER(SEARCH("[",AJ380))),"Fill placeholders",IF(ISNUMBER(AB380),"Ready to send","Ready · no fixed slot"))</f>
        <v/>
      </c>
      <c r="AN380" s="17" t="n"/>
    </row>
    <row r="381">
      <c r="A381" s="11" t="n">
        <v>379</v>
      </c>
      <c r="B381" s="11" t="n">
        <v>3</v>
      </c>
      <c r="C381" s="11" t="inlineStr">
        <is>
          <t>Fund / asset manager</t>
        </is>
      </c>
      <c r="D381" s="11" t="inlineStr">
        <is>
          <t>City of London</t>
        </is>
      </c>
      <c r="E381" s="11" t="inlineStr">
        <is>
          <t>Smarkets (Clients) Limited</t>
        </is>
      </c>
      <c r="F381" s="11" t="inlineStr">
        <is>
          <t>Smarkets</t>
        </is>
      </c>
      <c r="G381" s="11" t="inlineStr">
        <is>
          <t>11184989</t>
        </is>
      </c>
      <c r="H381" s="12" t="inlineStr">
        <is>
          <t>Open</t>
        </is>
      </c>
      <c r="I381" s="12" t="inlineStr">
        <is>
          <t>Search</t>
        </is>
      </c>
      <c r="J381" s="11" t="inlineStr">
        <is>
          <t>Full</t>
        </is>
      </c>
      <c r="K381" s="13" t="n">
        <v>43133</v>
      </c>
      <c r="L381" s="11" t="inlineStr">
        <is>
          <t>1 Commodity Quay, 7Th Floor, St Katharine Docks, London</t>
        </is>
      </c>
      <c r="M381" s="11" t="inlineStr">
        <is>
          <t>E1W 1AZ</t>
        </is>
      </c>
      <c r="N381" s="11" t="inlineStr">
        <is>
          <t>No</t>
        </is>
      </c>
      <c r="U381" s="11" t="inlineStr">
        <is>
          <t>Bermondsey Riverside</t>
        </is>
      </c>
      <c r="V381" s="11" t="n">
        <v>17</v>
      </c>
      <c r="W381" s="11" t="inlineStr">
        <is>
          <t>Whitechapel (17.2); Liverpool St - Attlee Centre (17.7)</t>
        </is>
      </c>
      <c r="X381" s="11" t="inlineStr">
        <is>
          <t>Bermondsey Riverside</t>
        </is>
      </c>
      <c r="Y381" s="11" t="n">
        <v>17</v>
      </c>
      <c r="Z381" s="14">
        <f>IFERROR(INDEX(Venues!$E$2:$E$15,MATCH(X381,Venues!$A$2:$A$15,0)),"Not checked")</f>
        <v/>
      </c>
      <c r="AA381" s="14">
        <f>IFERROR(INDEX(Venues!$F$2:$F$15,MATCH(X381,Venues!$A$2:$A$15,0)),0)</f>
        <v/>
      </c>
      <c r="AB381" s="15">
        <f>IFERROR(INDEX(Venues!$M$2:$M$15,MATCH(X381,Venues!$A$2:$A$15,0)),"")</f>
        <v/>
      </c>
      <c r="AC381" s="14">
        <f>IFERROR(INDEX(Venues!$N$2:$N$15,MATCH(X381,Venues!$A$2:$A$15,0)),"5-a-side")</f>
        <v/>
      </c>
      <c r="AD381" s="16">
        <f>IF(Offer!$C$4="","",Offer!$C$4)</f>
        <v/>
      </c>
      <c r="AE381" s="14">
        <f>X381&amp;" ("&amp;Y381&amp;" min walk) · "&amp;IF(ISNUMBER(AB381),TEXT(AB381,"ddd d mmm, hh:mm"),"slot to confirm with venue")&amp;" · "&amp;AC381&amp;" · "&amp;IF(AD381&lt;&gt;"","£"&amp;TEXT(AD381,"0.00")&amp;" pp","price TBC")</f>
        <v/>
      </c>
      <c r="AF381" s="14">
        <f>"After-work football for "&amp;F381&amp;" · "&amp;X381&amp;", "&amp;Y381&amp;" min from your office"</f>
        <v/>
      </c>
      <c r="AG381" s="14">
        <f>"Hi"&amp;IF(O381&lt;&gt;""," "&amp;O381,"")&amp;","&amp;CHAR(10)&amp;CHAR(10)&amp;"I'm "&amp;IF(AL381&lt;&gt;"",AL381,IF(Offer!$C$5&lt;&gt;"",Offer!$C$5,"[NAME]"))&amp;" from FC Urban. We organise after-work football for teams in the City and Canary Wharf."&amp;CHAR(10)&amp;CHAR(10)&amp;"We have a "&amp;AC381&amp;" pitch at "&amp;X381&amp;", "&amp;IF(OR(Y381=8,Y381=11,Y381=18),"an ","a ")&amp;Y381&amp;"-minute walk from your "&amp;M381&amp;" office, "&amp;IF(ISNUMBER(AB381),"on "&amp;TEXT(AB381,"dddd d mmmm")&amp;" at "&amp;TEXT(AB381,"hh:mm"),"on a weekday evening that suits your team")&amp;". It's "&amp;IF(AD381&lt;&gt;"","£"&amp;IF(AD381=INT(AD381),TEXT(AD381,"0"),TEXT(AD381,"0.00")),"[PRICE PER PLAYER]")&amp;" a player and we handle the pitch booking, sign-ups and payments, so all it takes is one person sharing a link with the team."&amp;CHAR(10)&amp;CHAR(10)&amp;"It works well as a team social or "&amp;IF(ISNUMBER(SEARCH(LEFT(F381,1),"AEIOU")),"an ","a ")&amp;F381&amp;"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LINK]")&amp;CHAR(10)&amp;CHAR(10)&amp;"Best,"&amp;CHAR(10)&amp;IF(AL381&lt;&gt;"",AL381,IF(Offer!$C$5&lt;&gt;"",Offer!$C$5,"[NAME]"))&amp;CHAR(10)&amp;"FC Urban"</f>
        <v/>
      </c>
      <c r="AH381" s="14">
        <f>IF(LEN("Hi"&amp;IF(O381&lt;&gt;""," "&amp;O381,"")&amp;","&amp;" FC Urban runs after-work football for "&amp;IF(D381="Canary Wharf","Canary Wharf","City")&amp;" teams. We have a "&amp;AC381&amp;" pitch at "&amp;X381&amp;", "&amp;Y381&amp;" min from your office, "&amp;IF(ISNUMBER(AB381),TEXT(AB381,"ddd d mmm")&amp;", "&amp;TEXT(AB381,"hh:mm"),"weekday evenings")&amp;", "&amp;IF(AD381&lt;&gt;"","£"&amp;IF(AD381=INT(AD381),TEXT(AD381,"0"),TEXT(AD381,"0.00")),"[PRICE PER PLAYER]")&amp;" a player. We handle booking, sign-ups and payments. Fancy "&amp;IF(ISNUMBER(SEARCH(LEFT(F381,1),"AEIOU")),"an ","a ")&amp;F381&amp;" team game? "&amp;IF(AL381&lt;&gt;"",AL381,IF(Offer!$C$5&lt;&gt;"",Offer!$C$5,"[NAME]")))&lt;=300,"Hi"&amp;IF(O381&lt;&gt;""," "&amp;O381,"")&amp;","&amp;" FC Urban runs after-work football for "&amp;IF(D381="Canary Wharf","Canary Wharf","City")&amp;" teams. We have a "&amp;AC381&amp;" pitch at "&amp;X381&amp;", "&amp;Y381&amp;" min from your office, "&amp;IF(ISNUMBER(AB381),TEXT(AB381,"ddd d mmm")&amp;", "&amp;TEXT(AB381,"hh:mm"),"weekday evenings")&amp;", "&amp;IF(AD381&lt;&gt;"","£"&amp;IF(AD381=INT(AD381),TEXT(AD381,"0"),TEXT(AD381,"0.00")),"[PRICE PER PLAYER]")&amp;" a player. We handle booking, sign-ups and payments. Fancy "&amp;IF(ISNUMBER(SEARCH(LEFT(F381,1),"AEIOU")),"an ","a ")&amp;F381&amp;" team game? "&amp;IF(AL381&lt;&gt;"",AL381,IF(Offer!$C$5&lt;&gt;"",Offer!$C$5,"[NAME]")),LEFT("Hi"&amp;IF(O381&lt;&gt;""," "&amp;O381,"")&amp;","&amp;" FC Urban runs after-work football for "&amp;IF(D381="Canary Wharf","Canary Wharf","City")&amp;" teams: "&amp;AC381&amp;" at "&amp;X381&amp;", "&amp;Y381&amp;" min from your office, "&amp;IF(ISNUMBER(AB381),TEXT(AB381,"ddd d mmm")&amp;", "&amp;TEXT(AB381,"hh:mm"),"weekday evenings")&amp;", "&amp;IF(AD381&lt;&gt;"","£"&amp;IF(AD381=INT(AD381),TEXT(AD381,"0"),TEXT(AD381,"0.00")),"[PRICE PER PLAYER]")&amp;" pp. We handle booking and payments. Up for a team game? "&amp;IF(AL381&lt;&gt;"",AL381,IF(Offer!$C$5&lt;&gt;"",Offer!$C$5,"[NAME]")),300))</f>
        <v/>
      </c>
      <c r="AI381" s="14">
        <f>LEN(AH381)</f>
        <v/>
      </c>
      <c r="AJ381" s="14">
        <f>"Thanks for connecting"&amp;IF(O381&lt;&gt;"",", "&amp;O381,"")&amp;". "&amp;IF(ISNUMBER(AB381),"The "&amp;AC381&amp;" slot at "&amp;X381&amp;" is "&amp;IF(ISNUMBER(AB381),TEXT(AB381,"ddd d mmm")&amp;", "&amp;TEXT(AB381,"hh:mm"),"weekday evenings"),"We can book "&amp;AC381&amp;" at "&amp;X381&amp;" on a weekday evening that suits you")&amp;" and it's "&amp;IF(AD381&lt;&gt;"","£"&amp;IF(AD381=INT(AD381),TEXT(AD381,"0"),TEXT(AD381,"0.00")),"[PRICE PER PLAYER]")&amp;" a player, all booked and paid through one link. If football isn't your thing, who at "&amp;F381&amp;" would be the right person to organise a team game?"&amp;IF(Offer!$C$7&lt;&gt;""," Spots are held until "&amp;TEXT(Offer!$C$7,"dddd d mmmm")&amp;".","")&amp;" "&amp;IF(Offer!$C$6&lt;&gt;"",Offer!$C$6,"[JOINING LINK]")</f>
        <v/>
      </c>
      <c r="AK381" s="14">
        <f>IF(OR(ISNUMBER(SEARCH("[",AG381)),ISNUMBER(SEARCH("[",AJ381))),"Fill placeholders",IF(ISNUMBER(AB381),"Ready to send","Ready · no fixed slot"))</f>
        <v/>
      </c>
      <c r="AN381" s="17" t="n"/>
    </row>
    <row r="382">
      <c r="A382" s="11" t="n">
        <v>380</v>
      </c>
      <c r="B382" s="11" t="n">
        <v>3</v>
      </c>
      <c r="C382" s="11" t="inlineStr">
        <is>
          <t>Fund / asset manager</t>
        </is>
      </c>
      <c r="D382" s="11" t="inlineStr">
        <is>
          <t>City of London</t>
        </is>
      </c>
      <c r="E382" s="11" t="inlineStr">
        <is>
          <t>Swiss Re Investment Management Limited</t>
        </is>
      </c>
      <c r="F382" s="11" t="inlineStr">
        <is>
          <t>Swiss Re Investment Management</t>
        </is>
      </c>
      <c r="G382" s="11" t="inlineStr">
        <is>
          <t>02143137</t>
        </is>
      </c>
      <c r="H382" s="12" t="inlineStr">
        <is>
          <t>Open</t>
        </is>
      </c>
      <c r="I382" s="12" t="inlineStr">
        <is>
          <t>Search</t>
        </is>
      </c>
      <c r="J382" s="11" t="inlineStr">
        <is>
          <t>Full</t>
        </is>
      </c>
      <c r="K382" s="13" t="n">
        <v>31958</v>
      </c>
      <c r="L382" s="11" t="inlineStr">
        <is>
          <t>30 St Mary Axe, London</t>
        </is>
      </c>
      <c r="M382" s="11" t="inlineStr">
        <is>
          <t>EC3A 8EP</t>
        </is>
      </c>
      <c r="N382" s="11" t="inlineStr">
        <is>
          <t>Yes</t>
        </is>
      </c>
      <c r="U382" s="11" t="inlineStr">
        <is>
          <t>Liverpool St - Attlee Centre</t>
        </is>
      </c>
      <c r="V382" s="11" t="n">
        <v>10</v>
      </c>
      <c r="W382" s="11" t="inlineStr">
        <is>
          <t>Shoreditch Powerleague (16.8)</t>
        </is>
      </c>
      <c r="X382" s="11" t="inlineStr">
        <is>
          <t>Shoreditch Powerleague</t>
        </is>
      </c>
      <c r="Y382" s="11" t="n">
        <v>17</v>
      </c>
      <c r="Z382" s="14">
        <f>IFERROR(INDEX(Venues!$E$2:$E$15,MATCH(X382,Venues!$A$2:$A$15,0)),"Not checked")</f>
        <v/>
      </c>
      <c r="AA382" s="14">
        <f>IFERROR(INDEX(Venues!$F$2:$F$15,MATCH(X382,Venues!$A$2:$A$15,0)),0)</f>
        <v/>
      </c>
      <c r="AB382" s="15">
        <f>IFERROR(INDEX(Venues!$M$2:$M$15,MATCH(X382,Venues!$A$2:$A$15,0)),"")</f>
        <v/>
      </c>
      <c r="AC382" s="14">
        <f>IFERROR(INDEX(Venues!$N$2:$N$15,MATCH(X382,Venues!$A$2:$A$15,0)),"5-a-side")</f>
        <v/>
      </c>
      <c r="AD382" s="16">
        <f>IF(Offer!$C$4="","",Offer!$C$4)</f>
        <v/>
      </c>
      <c r="AE382" s="14">
        <f>X382&amp;" ("&amp;Y382&amp;" min walk) · "&amp;IF(ISNUMBER(AB382),TEXT(AB382,"ddd d mmm, hh:mm"),"slot to confirm with venue")&amp;" · "&amp;AC382&amp;" · "&amp;IF(AD382&lt;&gt;"","£"&amp;TEXT(AD382,"0.00")&amp;" pp","price TBC")</f>
        <v/>
      </c>
      <c r="AF382" s="14">
        <f>"After-work football for "&amp;F382&amp;" · "&amp;X382&amp;", "&amp;Y382&amp;" min from your office"</f>
        <v/>
      </c>
      <c r="AG382" s="14">
        <f>"Hi"&amp;IF(O382&lt;&gt;""," "&amp;O382,"")&amp;","&amp;CHAR(10)&amp;CHAR(10)&amp;"I'm "&amp;IF(AL382&lt;&gt;"",AL382,IF(Offer!$C$5&lt;&gt;"",Offer!$C$5,"[NAME]"))&amp;" from FC Urban. We organise after-work football for teams in the City and Canary Wharf."&amp;CHAR(10)&amp;CHAR(10)&amp;"We have a "&amp;AC382&amp;" pitch at "&amp;X382&amp;", "&amp;IF(OR(Y382=8,Y382=11,Y382=18),"an ","a ")&amp;Y382&amp;"-minute walk from your "&amp;M382&amp;" office, "&amp;IF(ISNUMBER(AB382),"on "&amp;TEXT(AB382,"dddd d mmmm")&amp;" at "&amp;TEXT(AB382,"hh:mm"),"on a weekday evening that suits your team")&amp;". It's "&amp;IF(AD382&lt;&gt;"","£"&amp;IF(AD382=INT(AD382),TEXT(AD382,"0"),TEXT(AD382,"0.00")),"[PRICE PER PLAYER]")&amp;" a player and we handle the pitch booking, sign-ups and payments, so all it takes is one person sharing a link with the team."&amp;CHAR(10)&amp;CHAR(10)&amp;"It works well as a team social or "&amp;IF(ISNUMBER(SEARCH(LEFT(F382,1),"AEIOU")),"an ","a ")&amp;F382&amp;"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LINK]")&amp;CHAR(10)&amp;CHAR(10)&amp;"Best,"&amp;CHAR(10)&amp;IF(AL382&lt;&gt;"",AL382,IF(Offer!$C$5&lt;&gt;"",Offer!$C$5,"[NAME]"))&amp;CHAR(10)&amp;"FC Urban"</f>
        <v/>
      </c>
      <c r="AH382" s="14">
        <f>IF(LEN("Hi"&amp;IF(O382&lt;&gt;""," "&amp;O382,"")&amp;","&amp;" FC Urban runs after-work football for "&amp;IF(D382="Canary Wharf","Canary Wharf","City")&amp;" teams. We have a "&amp;AC382&amp;" pitch at "&amp;X382&amp;", "&amp;Y382&amp;" min from your office, "&amp;IF(ISNUMBER(AB382),TEXT(AB382,"ddd d mmm")&amp;", "&amp;TEXT(AB382,"hh:mm"),"weekday evenings")&amp;", "&amp;IF(AD382&lt;&gt;"","£"&amp;IF(AD382=INT(AD382),TEXT(AD382,"0"),TEXT(AD382,"0.00")),"[PRICE PER PLAYER]")&amp;" a player. We handle booking, sign-ups and payments. Fancy "&amp;IF(ISNUMBER(SEARCH(LEFT(F382,1),"AEIOU")),"an ","a ")&amp;F382&amp;" team game? "&amp;IF(AL382&lt;&gt;"",AL382,IF(Offer!$C$5&lt;&gt;"",Offer!$C$5,"[NAME]")))&lt;=300,"Hi"&amp;IF(O382&lt;&gt;""," "&amp;O382,"")&amp;","&amp;" FC Urban runs after-work football for "&amp;IF(D382="Canary Wharf","Canary Wharf","City")&amp;" teams. We have a "&amp;AC382&amp;" pitch at "&amp;X382&amp;", "&amp;Y382&amp;" min from your office, "&amp;IF(ISNUMBER(AB382),TEXT(AB382,"ddd d mmm")&amp;", "&amp;TEXT(AB382,"hh:mm"),"weekday evenings")&amp;", "&amp;IF(AD382&lt;&gt;"","£"&amp;IF(AD382=INT(AD382),TEXT(AD382,"0"),TEXT(AD382,"0.00")),"[PRICE PER PLAYER]")&amp;" a player. We handle booking, sign-ups and payments. Fancy "&amp;IF(ISNUMBER(SEARCH(LEFT(F382,1),"AEIOU")),"an ","a ")&amp;F382&amp;" team game? "&amp;IF(AL382&lt;&gt;"",AL382,IF(Offer!$C$5&lt;&gt;"",Offer!$C$5,"[NAME]")),LEFT("Hi"&amp;IF(O382&lt;&gt;""," "&amp;O382,"")&amp;","&amp;" FC Urban runs after-work football for "&amp;IF(D382="Canary Wharf","Canary Wharf","City")&amp;" teams: "&amp;AC382&amp;" at "&amp;X382&amp;", "&amp;Y382&amp;" min from your office, "&amp;IF(ISNUMBER(AB382),TEXT(AB382,"ddd d mmm")&amp;", "&amp;TEXT(AB382,"hh:mm"),"weekday evenings")&amp;", "&amp;IF(AD382&lt;&gt;"","£"&amp;IF(AD382=INT(AD382),TEXT(AD382,"0"),TEXT(AD382,"0.00")),"[PRICE PER PLAYER]")&amp;" pp. We handle booking and payments. Up for a team game? "&amp;IF(AL382&lt;&gt;"",AL382,IF(Offer!$C$5&lt;&gt;"",Offer!$C$5,"[NAME]")),300))</f>
        <v/>
      </c>
      <c r="AI382" s="14">
        <f>LEN(AH382)</f>
        <v/>
      </c>
      <c r="AJ382" s="14">
        <f>"Thanks for connecting"&amp;IF(O382&lt;&gt;"",", "&amp;O382,"")&amp;". "&amp;IF(ISNUMBER(AB382),"The "&amp;AC382&amp;" slot at "&amp;X382&amp;" is "&amp;IF(ISNUMBER(AB382),TEXT(AB382,"ddd d mmm")&amp;", "&amp;TEXT(AB382,"hh:mm"),"weekday evenings"),"We can book "&amp;AC382&amp;" at "&amp;X382&amp;" on a weekday evening that suits you")&amp;" and it's "&amp;IF(AD382&lt;&gt;"","£"&amp;IF(AD382=INT(AD382),TEXT(AD382,"0"),TEXT(AD382,"0.00")),"[PRICE PER PLAYER]")&amp;" a player, all booked and paid through one link. If football isn't your thing, who at "&amp;F382&amp;" would be the right person to organise a team game?"&amp;IF(Offer!$C$7&lt;&gt;""," Spots are held until "&amp;TEXT(Offer!$C$7,"dddd d mmmm")&amp;".","")&amp;" "&amp;IF(Offer!$C$6&lt;&gt;"",Offer!$C$6,"[JOINING LINK]")</f>
        <v/>
      </c>
      <c r="AK382" s="14">
        <f>IF(OR(ISNUMBER(SEARCH("[",AG382)),ISNUMBER(SEARCH("[",AJ382))),"Fill placeholders",IF(ISNUMBER(AB382),"Ready to send","Ready · no fixed slot"))</f>
        <v/>
      </c>
      <c r="AN382" s="17" t="n"/>
    </row>
    <row r="383">
      <c r="A383" s="11" t="n">
        <v>381</v>
      </c>
      <c r="B383" s="11" t="n">
        <v>3</v>
      </c>
      <c r="C383" s="11" t="inlineStr">
        <is>
          <t>Fund / asset manager</t>
        </is>
      </c>
      <c r="D383" s="11" t="inlineStr">
        <is>
          <t>City of London</t>
        </is>
      </c>
      <c r="E383" s="11" t="inlineStr">
        <is>
          <t>Actis Africa Limited</t>
        </is>
      </c>
      <c r="F383" s="11" t="inlineStr">
        <is>
          <t>Actis Africa</t>
        </is>
      </c>
      <c r="G383" s="11" t="inlineStr">
        <is>
          <t>04910326</t>
        </is>
      </c>
      <c r="H383" s="12" t="inlineStr">
        <is>
          <t>Open</t>
        </is>
      </c>
      <c r="I383" s="12" t="inlineStr">
        <is>
          <t>Search</t>
        </is>
      </c>
      <c r="J383" s="11" t="inlineStr">
        <is>
          <t>Full</t>
        </is>
      </c>
      <c r="K383" s="13" t="n">
        <v>37888</v>
      </c>
      <c r="L383" s="11" t="inlineStr">
        <is>
          <t>2 More London Riverside, London</t>
        </is>
      </c>
      <c r="M383" s="11" t="inlineStr">
        <is>
          <t>SE1 2JT</t>
        </is>
      </c>
      <c r="N383" s="11" t="inlineStr">
        <is>
          <t>No</t>
        </is>
      </c>
      <c r="U383" s="11" t="inlineStr">
        <is>
          <t>Bermondsey Riverside</t>
        </is>
      </c>
      <c r="V383" s="11" t="n">
        <v>17</v>
      </c>
      <c r="W383" s="11" t="n"/>
      <c r="X383" s="11" t="inlineStr">
        <is>
          <t>Bermondsey Riverside</t>
        </is>
      </c>
      <c r="Y383" s="11" t="n">
        <v>17</v>
      </c>
      <c r="Z383" s="14">
        <f>IFERROR(INDEX(Venues!$E$2:$E$15,MATCH(X383,Venues!$A$2:$A$15,0)),"Not checked")</f>
        <v/>
      </c>
      <c r="AA383" s="14">
        <f>IFERROR(INDEX(Venues!$F$2:$F$15,MATCH(X383,Venues!$A$2:$A$15,0)),0)</f>
        <v/>
      </c>
      <c r="AB383" s="15">
        <f>IFERROR(INDEX(Venues!$M$2:$M$15,MATCH(X383,Venues!$A$2:$A$15,0)),"")</f>
        <v/>
      </c>
      <c r="AC383" s="14">
        <f>IFERROR(INDEX(Venues!$N$2:$N$15,MATCH(X383,Venues!$A$2:$A$15,0)),"5-a-side")</f>
        <v/>
      </c>
      <c r="AD383" s="16">
        <f>IF(Offer!$C$4="","",Offer!$C$4)</f>
        <v/>
      </c>
      <c r="AE383" s="14">
        <f>X383&amp;" ("&amp;Y383&amp;" min walk) · "&amp;IF(ISNUMBER(AB383),TEXT(AB383,"ddd d mmm, hh:mm"),"slot to confirm with venue")&amp;" · "&amp;AC383&amp;" · "&amp;IF(AD383&lt;&gt;"","£"&amp;TEXT(AD383,"0.00")&amp;" pp","price TBC")</f>
        <v/>
      </c>
      <c r="AF383" s="14">
        <f>"After-work football for "&amp;F383&amp;" · "&amp;X383&amp;", "&amp;Y383&amp;" min from your office"</f>
        <v/>
      </c>
      <c r="AG383" s="14">
        <f>"Hi"&amp;IF(O383&lt;&gt;""," "&amp;O383,"")&amp;","&amp;CHAR(10)&amp;CHAR(10)&amp;"I'm "&amp;IF(AL383&lt;&gt;"",AL383,IF(Offer!$C$5&lt;&gt;"",Offer!$C$5,"[NAME]"))&amp;" from FC Urban. We organise after-work football for teams in the City and Canary Wharf."&amp;CHAR(10)&amp;CHAR(10)&amp;"We have a "&amp;AC383&amp;" pitch at "&amp;X383&amp;", "&amp;IF(OR(Y383=8,Y383=11,Y383=18),"an ","a ")&amp;Y383&amp;"-minute walk from your "&amp;M383&amp;" office, "&amp;IF(ISNUMBER(AB383),"on "&amp;TEXT(AB383,"dddd d mmmm")&amp;" at "&amp;TEXT(AB383,"hh:mm"),"on a weekday evening that suits your team")&amp;". It's "&amp;IF(AD383&lt;&gt;"","£"&amp;IF(AD383=INT(AD383),TEXT(AD383,"0"),TEXT(AD383,"0.00")),"[PRICE PER PLAYER]")&amp;" a player and we handle the pitch booking, sign-ups and payments, so all it takes is one person sharing a link with the team."&amp;CHAR(10)&amp;CHAR(10)&amp;"It works well as a team social or "&amp;IF(ISNUMBER(SEARCH(LEFT(F383,1),"AEIOU")),"an ","a ")&amp;F383&amp;"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LINK]")&amp;CHAR(10)&amp;CHAR(10)&amp;"Best,"&amp;CHAR(10)&amp;IF(AL383&lt;&gt;"",AL383,IF(Offer!$C$5&lt;&gt;"",Offer!$C$5,"[NAME]"))&amp;CHAR(10)&amp;"FC Urban"</f>
        <v/>
      </c>
      <c r="AH383" s="14">
        <f>IF(LEN("Hi"&amp;IF(O383&lt;&gt;""," "&amp;O383,"")&amp;","&amp;" FC Urban runs after-work football for "&amp;IF(D383="Canary Wharf","Canary Wharf","City")&amp;" teams. We have a "&amp;AC383&amp;" pitch at "&amp;X383&amp;", "&amp;Y383&amp;" min from your office, "&amp;IF(ISNUMBER(AB383),TEXT(AB383,"ddd d mmm")&amp;", "&amp;TEXT(AB383,"hh:mm"),"weekday evenings")&amp;", "&amp;IF(AD383&lt;&gt;"","£"&amp;IF(AD383=INT(AD383),TEXT(AD383,"0"),TEXT(AD383,"0.00")),"[PRICE PER PLAYER]")&amp;" a player. We handle booking, sign-ups and payments. Fancy "&amp;IF(ISNUMBER(SEARCH(LEFT(F383,1),"AEIOU")),"an ","a ")&amp;F383&amp;" team game? "&amp;IF(AL383&lt;&gt;"",AL383,IF(Offer!$C$5&lt;&gt;"",Offer!$C$5,"[NAME]")))&lt;=300,"Hi"&amp;IF(O383&lt;&gt;""," "&amp;O383,"")&amp;","&amp;" FC Urban runs after-work football for "&amp;IF(D383="Canary Wharf","Canary Wharf","City")&amp;" teams. We have a "&amp;AC383&amp;" pitch at "&amp;X383&amp;", "&amp;Y383&amp;" min from your office, "&amp;IF(ISNUMBER(AB383),TEXT(AB383,"ddd d mmm")&amp;", "&amp;TEXT(AB383,"hh:mm"),"weekday evenings")&amp;", "&amp;IF(AD383&lt;&gt;"","£"&amp;IF(AD383=INT(AD383),TEXT(AD383,"0"),TEXT(AD383,"0.00")),"[PRICE PER PLAYER]")&amp;" a player. We handle booking, sign-ups and payments. Fancy "&amp;IF(ISNUMBER(SEARCH(LEFT(F383,1),"AEIOU")),"an ","a ")&amp;F383&amp;" team game? "&amp;IF(AL383&lt;&gt;"",AL383,IF(Offer!$C$5&lt;&gt;"",Offer!$C$5,"[NAME]")),LEFT("Hi"&amp;IF(O383&lt;&gt;""," "&amp;O383,"")&amp;","&amp;" FC Urban runs after-work football for "&amp;IF(D383="Canary Wharf","Canary Wharf","City")&amp;" teams: "&amp;AC383&amp;" at "&amp;X383&amp;", "&amp;Y383&amp;" min from your office, "&amp;IF(ISNUMBER(AB383),TEXT(AB383,"ddd d mmm")&amp;", "&amp;TEXT(AB383,"hh:mm"),"weekday evenings")&amp;", "&amp;IF(AD383&lt;&gt;"","£"&amp;IF(AD383=INT(AD383),TEXT(AD383,"0"),TEXT(AD383,"0.00")),"[PRICE PER PLAYER]")&amp;" pp. We handle booking and payments. Up for a team game? "&amp;IF(AL383&lt;&gt;"",AL383,IF(Offer!$C$5&lt;&gt;"",Offer!$C$5,"[NAME]")),300))</f>
        <v/>
      </c>
      <c r="AI383" s="14">
        <f>LEN(AH383)</f>
        <v/>
      </c>
      <c r="AJ383" s="14">
        <f>"Thanks for connecting"&amp;IF(O383&lt;&gt;"",", "&amp;O383,"")&amp;". "&amp;IF(ISNUMBER(AB383),"The "&amp;AC383&amp;" slot at "&amp;X383&amp;" is "&amp;IF(ISNUMBER(AB383),TEXT(AB383,"ddd d mmm")&amp;", "&amp;TEXT(AB383,"hh:mm"),"weekday evenings"),"We can book "&amp;AC383&amp;" at "&amp;X383&amp;" on a weekday evening that suits you")&amp;" and it's "&amp;IF(AD383&lt;&gt;"","£"&amp;IF(AD383=INT(AD383),TEXT(AD383,"0"),TEXT(AD383,"0.00")),"[PRICE PER PLAYER]")&amp;" a player, all booked and paid through one link. If football isn't your thing, who at "&amp;F383&amp;" would be the right person to organise a team game?"&amp;IF(Offer!$C$7&lt;&gt;""," Spots are held until "&amp;TEXT(Offer!$C$7,"dddd d mmmm")&amp;".","")&amp;" "&amp;IF(Offer!$C$6&lt;&gt;"",Offer!$C$6,"[JOINING LINK]")</f>
        <v/>
      </c>
      <c r="AK383" s="14">
        <f>IF(OR(ISNUMBER(SEARCH("[",AG383)),ISNUMBER(SEARCH("[",AJ383))),"Fill placeholders",IF(ISNUMBER(AB383),"Ready to send","Ready · no fixed slot"))</f>
        <v/>
      </c>
      <c r="AN383" s="17" t="n"/>
    </row>
    <row r="384">
      <c r="A384" s="11" t="n">
        <v>382</v>
      </c>
      <c r="B384" s="11" t="n">
        <v>3</v>
      </c>
      <c r="C384" s="11" t="inlineStr">
        <is>
          <t>Fund / asset manager</t>
        </is>
      </c>
      <c r="D384" s="11" t="inlineStr">
        <is>
          <t>City of London</t>
        </is>
      </c>
      <c r="E384" s="11" t="inlineStr">
        <is>
          <t>Ares Management Limited</t>
        </is>
      </c>
      <c r="F384" s="11" t="inlineStr">
        <is>
          <t>Ares Management</t>
        </is>
      </c>
      <c r="G384" s="11" t="inlineStr">
        <is>
          <t>05837428</t>
        </is>
      </c>
      <c r="H384" s="12" t="inlineStr">
        <is>
          <t>Open</t>
        </is>
      </c>
      <c r="I384" s="12" t="inlineStr">
        <is>
          <t>Search</t>
        </is>
      </c>
      <c r="J384" s="11" t="inlineStr">
        <is>
          <t>Full</t>
        </is>
      </c>
      <c r="K384" s="13" t="n">
        <v>38873</v>
      </c>
      <c r="L384" s="11" t="inlineStr">
        <is>
          <t>C/O Tmf Group, 13Th Floor, One Angel Court, London</t>
        </is>
      </c>
      <c r="M384" s="11" t="inlineStr">
        <is>
          <t>EC2R 7HJ</t>
        </is>
      </c>
      <c r="N384" s="11" t="inlineStr">
        <is>
          <t>No</t>
        </is>
      </c>
      <c r="U384" s="11" t="inlineStr">
        <is>
          <t>Liverpool St - Attlee Centre</t>
        </is>
      </c>
      <c r="V384" s="11" t="n">
        <v>17</v>
      </c>
      <c r="W384" s="11" t="n"/>
      <c r="X384" s="11" t="inlineStr">
        <is>
          <t>Liverpool St - Attlee Centre</t>
        </is>
      </c>
      <c r="Y384" s="11" t="n">
        <v>17</v>
      </c>
      <c r="Z384" s="14">
        <f>IFERROR(INDEX(Venues!$E$2:$E$15,MATCH(X384,Venues!$A$2:$A$15,0)),"Not checked")</f>
        <v/>
      </c>
      <c r="AA384" s="14">
        <f>IFERROR(INDEX(Venues!$F$2:$F$15,MATCH(X384,Venues!$A$2:$A$15,0)),0)</f>
        <v/>
      </c>
      <c r="AB384" s="15">
        <f>IFERROR(INDEX(Venues!$M$2:$M$15,MATCH(X384,Venues!$A$2:$A$15,0)),"")</f>
        <v/>
      </c>
      <c r="AC384" s="14">
        <f>IFERROR(INDEX(Venues!$N$2:$N$15,MATCH(X384,Venues!$A$2:$A$15,0)),"5-a-side")</f>
        <v/>
      </c>
      <c r="AD384" s="16">
        <f>IF(Offer!$C$4="","",Offer!$C$4)</f>
        <v/>
      </c>
      <c r="AE384" s="14">
        <f>X384&amp;" ("&amp;Y384&amp;" min walk) · "&amp;IF(ISNUMBER(AB384),TEXT(AB384,"ddd d mmm, hh:mm"),"slot to confirm with venue")&amp;" · "&amp;AC384&amp;" · "&amp;IF(AD384&lt;&gt;"","£"&amp;TEXT(AD384,"0.00")&amp;" pp","price TBC")</f>
        <v/>
      </c>
      <c r="AF384" s="14">
        <f>"After-work football for "&amp;F384&amp;" · "&amp;X384&amp;", "&amp;Y384&amp;" min from your office"</f>
        <v/>
      </c>
      <c r="AG384" s="14">
        <f>"Hi"&amp;IF(O384&lt;&gt;""," "&amp;O384,"")&amp;","&amp;CHAR(10)&amp;CHAR(10)&amp;"I'm "&amp;IF(AL384&lt;&gt;"",AL384,IF(Offer!$C$5&lt;&gt;"",Offer!$C$5,"[NAME]"))&amp;" from FC Urban. We organise after-work football for teams in the City and Canary Wharf."&amp;CHAR(10)&amp;CHAR(10)&amp;"We have a "&amp;AC384&amp;" pitch at "&amp;X384&amp;", "&amp;IF(OR(Y384=8,Y384=11,Y384=18),"an ","a ")&amp;Y384&amp;"-minute walk from your "&amp;M384&amp;" office, "&amp;IF(ISNUMBER(AB384),"on "&amp;TEXT(AB384,"dddd d mmmm")&amp;" at "&amp;TEXT(AB384,"hh:mm"),"on a weekday evening that suits your team")&amp;". It's "&amp;IF(AD384&lt;&gt;"","£"&amp;IF(AD384=INT(AD384),TEXT(AD384,"0"),TEXT(AD384,"0.00")),"[PRICE PER PLAYER]")&amp;" a player and we handle the pitch booking, sign-ups and payments, so all it takes is one person sharing a link with the team."&amp;CHAR(10)&amp;CHAR(10)&amp;"It works well as a team social or "&amp;IF(ISNUMBER(SEARCH(LEFT(F384,1),"AEIOU")),"an ","a ")&amp;F384&amp;"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LINK]")&amp;CHAR(10)&amp;CHAR(10)&amp;"Best,"&amp;CHAR(10)&amp;IF(AL384&lt;&gt;"",AL384,IF(Offer!$C$5&lt;&gt;"",Offer!$C$5,"[NAME]"))&amp;CHAR(10)&amp;"FC Urban"</f>
        <v/>
      </c>
      <c r="AH384" s="14">
        <f>IF(LEN("Hi"&amp;IF(O384&lt;&gt;""," "&amp;O384,"")&amp;","&amp;" FC Urban runs after-work football for "&amp;IF(D384="Canary Wharf","Canary Wharf","City")&amp;" teams. We have a "&amp;AC384&amp;" pitch at "&amp;X384&amp;", "&amp;Y384&amp;" min from your office, "&amp;IF(ISNUMBER(AB384),TEXT(AB384,"ddd d mmm")&amp;", "&amp;TEXT(AB384,"hh:mm"),"weekday evenings")&amp;", "&amp;IF(AD384&lt;&gt;"","£"&amp;IF(AD384=INT(AD384),TEXT(AD384,"0"),TEXT(AD384,"0.00")),"[PRICE PER PLAYER]")&amp;" a player. We handle booking, sign-ups and payments. Fancy "&amp;IF(ISNUMBER(SEARCH(LEFT(F384,1),"AEIOU")),"an ","a ")&amp;F384&amp;" team game? "&amp;IF(AL384&lt;&gt;"",AL384,IF(Offer!$C$5&lt;&gt;"",Offer!$C$5,"[NAME]")))&lt;=300,"Hi"&amp;IF(O384&lt;&gt;""," "&amp;O384,"")&amp;","&amp;" FC Urban runs after-work football for "&amp;IF(D384="Canary Wharf","Canary Wharf","City")&amp;" teams. We have a "&amp;AC384&amp;" pitch at "&amp;X384&amp;", "&amp;Y384&amp;" min from your office, "&amp;IF(ISNUMBER(AB384),TEXT(AB384,"ddd d mmm")&amp;", "&amp;TEXT(AB384,"hh:mm"),"weekday evenings")&amp;", "&amp;IF(AD384&lt;&gt;"","£"&amp;IF(AD384=INT(AD384),TEXT(AD384,"0"),TEXT(AD384,"0.00")),"[PRICE PER PLAYER]")&amp;" a player. We handle booking, sign-ups and payments. Fancy "&amp;IF(ISNUMBER(SEARCH(LEFT(F384,1),"AEIOU")),"an ","a ")&amp;F384&amp;" team game? "&amp;IF(AL384&lt;&gt;"",AL384,IF(Offer!$C$5&lt;&gt;"",Offer!$C$5,"[NAME]")),LEFT("Hi"&amp;IF(O384&lt;&gt;""," "&amp;O384,"")&amp;","&amp;" FC Urban runs after-work football for "&amp;IF(D384="Canary Wharf","Canary Wharf","City")&amp;" teams: "&amp;AC384&amp;" at "&amp;X384&amp;", "&amp;Y384&amp;" min from your office, "&amp;IF(ISNUMBER(AB384),TEXT(AB384,"ddd d mmm")&amp;", "&amp;TEXT(AB384,"hh:mm"),"weekday evenings")&amp;", "&amp;IF(AD384&lt;&gt;"","£"&amp;IF(AD384=INT(AD384),TEXT(AD384,"0"),TEXT(AD384,"0.00")),"[PRICE PER PLAYER]")&amp;" pp. We handle booking and payments. Up for a team game? "&amp;IF(AL384&lt;&gt;"",AL384,IF(Offer!$C$5&lt;&gt;"",Offer!$C$5,"[NAME]")),300))</f>
        <v/>
      </c>
      <c r="AI384" s="14">
        <f>LEN(AH384)</f>
        <v/>
      </c>
      <c r="AJ384" s="14">
        <f>"Thanks for connecting"&amp;IF(O384&lt;&gt;"",", "&amp;O384,"")&amp;". "&amp;IF(ISNUMBER(AB384),"The "&amp;AC384&amp;" slot at "&amp;X384&amp;" is "&amp;IF(ISNUMBER(AB384),TEXT(AB384,"ddd d mmm")&amp;", "&amp;TEXT(AB384,"hh:mm"),"weekday evenings"),"We can book "&amp;AC384&amp;" at "&amp;X384&amp;" on a weekday evening that suits you")&amp;" and it's "&amp;IF(AD384&lt;&gt;"","£"&amp;IF(AD384=INT(AD384),TEXT(AD384,"0"),TEXT(AD384,"0.00")),"[PRICE PER PLAYER]")&amp;" a player, all booked and paid through one link. If football isn't your thing, who at "&amp;F384&amp;" would be the right person to organise a team game?"&amp;IF(Offer!$C$7&lt;&gt;""," Spots are held until "&amp;TEXT(Offer!$C$7,"dddd d mmmm")&amp;".","")&amp;" "&amp;IF(Offer!$C$6&lt;&gt;"",Offer!$C$6,"[JOINING LINK]")</f>
        <v/>
      </c>
      <c r="AK384" s="14">
        <f>IF(OR(ISNUMBER(SEARCH("[",AG384)),ISNUMBER(SEARCH("[",AJ384))),"Fill placeholders",IF(ISNUMBER(AB384),"Ready to send","Ready · no fixed slot"))</f>
        <v/>
      </c>
      <c r="AN384" s="17" t="n"/>
    </row>
    <row r="385">
      <c r="A385" s="11" t="n">
        <v>383</v>
      </c>
      <c r="B385" s="11" t="n">
        <v>3</v>
      </c>
      <c r="C385" s="11" t="inlineStr">
        <is>
          <t>Fund / asset manager</t>
        </is>
      </c>
      <c r="D385" s="11" t="inlineStr">
        <is>
          <t>City of London</t>
        </is>
      </c>
      <c r="E385" s="11" t="inlineStr">
        <is>
          <t>First Trust Global Portfolios Limited</t>
        </is>
      </c>
      <c r="F385" s="11" t="inlineStr">
        <is>
          <t>First Trust Global Portfolios</t>
        </is>
      </c>
      <c r="G385" s="11" t="inlineStr">
        <is>
          <t>07874049</t>
        </is>
      </c>
      <c r="H385" s="12" t="inlineStr">
        <is>
          <t>Open</t>
        </is>
      </c>
      <c r="I385" s="12" t="inlineStr">
        <is>
          <t>Search</t>
        </is>
      </c>
      <c r="J385" s="11" t="inlineStr">
        <is>
          <t>Full</t>
        </is>
      </c>
      <c r="K385" s="13" t="n">
        <v>40884</v>
      </c>
      <c r="L385" s="11" t="inlineStr">
        <is>
          <t>Floor 2 8, Angel Court, London</t>
        </is>
      </c>
      <c r="M385" s="11" t="inlineStr">
        <is>
          <t>EC2R 7HJ</t>
        </is>
      </c>
      <c r="N385" s="11" t="inlineStr">
        <is>
          <t>Yes</t>
        </is>
      </c>
      <c r="U385" s="11" t="inlineStr">
        <is>
          <t>Liverpool St - Attlee Centre</t>
        </is>
      </c>
      <c r="V385" s="11" t="n">
        <v>17</v>
      </c>
      <c r="W385" s="11" t="n"/>
      <c r="X385" s="11" t="inlineStr">
        <is>
          <t>Liverpool St - Attlee Centre</t>
        </is>
      </c>
      <c r="Y385" s="11" t="n">
        <v>17</v>
      </c>
      <c r="Z385" s="14">
        <f>IFERROR(INDEX(Venues!$E$2:$E$15,MATCH(X385,Venues!$A$2:$A$15,0)),"Not checked")</f>
        <v/>
      </c>
      <c r="AA385" s="14">
        <f>IFERROR(INDEX(Venues!$F$2:$F$15,MATCH(X385,Venues!$A$2:$A$15,0)),0)</f>
        <v/>
      </c>
      <c r="AB385" s="15">
        <f>IFERROR(INDEX(Venues!$M$2:$M$15,MATCH(X385,Venues!$A$2:$A$15,0)),"")</f>
        <v/>
      </c>
      <c r="AC385" s="14">
        <f>IFERROR(INDEX(Venues!$N$2:$N$15,MATCH(X385,Venues!$A$2:$A$15,0)),"5-a-side")</f>
        <v/>
      </c>
      <c r="AD385" s="16">
        <f>IF(Offer!$C$4="","",Offer!$C$4)</f>
        <v/>
      </c>
      <c r="AE385" s="14">
        <f>X385&amp;" ("&amp;Y385&amp;" min walk) · "&amp;IF(ISNUMBER(AB385),TEXT(AB385,"ddd d mmm, hh:mm"),"slot to confirm with venue")&amp;" · "&amp;AC385&amp;" · "&amp;IF(AD385&lt;&gt;"","£"&amp;TEXT(AD385,"0.00")&amp;" pp","price TBC")</f>
        <v/>
      </c>
      <c r="AF385" s="14">
        <f>"After-work football for "&amp;F385&amp;" · "&amp;X385&amp;", "&amp;Y385&amp;" min from your office"</f>
        <v/>
      </c>
      <c r="AG385" s="14">
        <f>"Hi"&amp;IF(O385&lt;&gt;""," "&amp;O385,"")&amp;","&amp;CHAR(10)&amp;CHAR(10)&amp;"I'm "&amp;IF(AL385&lt;&gt;"",AL385,IF(Offer!$C$5&lt;&gt;"",Offer!$C$5,"[NAME]"))&amp;" from FC Urban. We organise after-work football for teams in the City and Canary Wharf."&amp;CHAR(10)&amp;CHAR(10)&amp;"We have a "&amp;AC385&amp;" pitch at "&amp;X385&amp;", "&amp;IF(OR(Y385=8,Y385=11,Y385=18),"an ","a ")&amp;Y385&amp;"-minute walk from your "&amp;M385&amp;" office, "&amp;IF(ISNUMBER(AB385),"on "&amp;TEXT(AB385,"dddd d mmmm")&amp;" at "&amp;TEXT(AB385,"hh:mm"),"on a weekday evening that suits your team")&amp;". It's "&amp;IF(AD385&lt;&gt;"","£"&amp;IF(AD385=INT(AD385),TEXT(AD385,"0"),TEXT(AD385,"0.00")),"[PRICE PER PLAYER]")&amp;" a player and we handle the pitch booking, sign-ups and payments, so all it takes is one person sharing a link with the team."&amp;CHAR(10)&amp;CHAR(10)&amp;"It works well as a team social or "&amp;IF(ISNUMBER(SEARCH(LEFT(F385,1),"AEIOU")),"an ","a ")&amp;F385&amp;"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LINK]")&amp;CHAR(10)&amp;CHAR(10)&amp;"Best,"&amp;CHAR(10)&amp;IF(AL385&lt;&gt;"",AL385,IF(Offer!$C$5&lt;&gt;"",Offer!$C$5,"[NAME]"))&amp;CHAR(10)&amp;"FC Urban"</f>
        <v/>
      </c>
      <c r="AH385" s="14">
        <f>IF(LEN("Hi"&amp;IF(O385&lt;&gt;""," "&amp;O385,"")&amp;","&amp;" FC Urban runs after-work football for "&amp;IF(D385="Canary Wharf","Canary Wharf","City")&amp;" teams. We have a "&amp;AC385&amp;" pitch at "&amp;X385&amp;", "&amp;Y385&amp;" min from your office, "&amp;IF(ISNUMBER(AB385),TEXT(AB385,"ddd d mmm")&amp;", "&amp;TEXT(AB385,"hh:mm"),"weekday evenings")&amp;", "&amp;IF(AD385&lt;&gt;"","£"&amp;IF(AD385=INT(AD385),TEXT(AD385,"0"),TEXT(AD385,"0.00")),"[PRICE PER PLAYER]")&amp;" a player. We handle booking, sign-ups and payments. Fancy "&amp;IF(ISNUMBER(SEARCH(LEFT(F385,1),"AEIOU")),"an ","a ")&amp;F385&amp;" team game? "&amp;IF(AL385&lt;&gt;"",AL385,IF(Offer!$C$5&lt;&gt;"",Offer!$C$5,"[NAME]")))&lt;=300,"Hi"&amp;IF(O385&lt;&gt;""," "&amp;O385,"")&amp;","&amp;" FC Urban runs after-work football for "&amp;IF(D385="Canary Wharf","Canary Wharf","City")&amp;" teams. We have a "&amp;AC385&amp;" pitch at "&amp;X385&amp;", "&amp;Y385&amp;" min from your office, "&amp;IF(ISNUMBER(AB385),TEXT(AB385,"ddd d mmm")&amp;", "&amp;TEXT(AB385,"hh:mm"),"weekday evenings")&amp;", "&amp;IF(AD385&lt;&gt;"","£"&amp;IF(AD385=INT(AD385),TEXT(AD385,"0"),TEXT(AD385,"0.00")),"[PRICE PER PLAYER]")&amp;" a player. We handle booking, sign-ups and payments. Fancy "&amp;IF(ISNUMBER(SEARCH(LEFT(F385,1),"AEIOU")),"an ","a ")&amp;F385&amp;" team game? "&amp;IF(AL385&lt;&gt;"",AL385,IF(Offer!$C$5&lt;&gt;"",Offer!$C$5,"[NAME]")),LEFT("Hi"&amp;IF(O385&lt;&gt;""," "&amp;O385,"")&amp;","&amp;" FC Urban runs after-work football for "&amp;IF(D385="Canary Wharf","Canary Wharf","City")&amp;" teams: "&amp;AC385&amp;" at "&amp;X385&amp;", "&amp;Y385&amp;" min from your office, "&amp;IF(ISNUMBER(AB385),TEXT(AB385,"ddd d mmm")&amp;", "&amp;TEXT(AB385,"hh:mm"),"weekday evenings")&amp;", "&amp;IF(AD385&lt;&gt;"","£"&amp;IF(AD385=INT(AD385),TEXT(AD385,"0"),TEXT(AD385,"0.00")),"[PRICE PER PLAYER]")&amp;" pp. We handle booking and payments. Up for a team game? "&amp;IF(AL385&lt;&gt;"",AL385,IF(Offer!$C$5&lt;&gt;"",Offer!$C$5,"[NAME]")),300))</f>
        <v/>
      </c>
      <c r="AI385" s="14">
        <f>LEN(AH385)</f>
        <v/>
      </c>
      <c r="AJ385" s="14">
        <f>"Thanks for connecting"&amp;IF(O385&lt;&gt;"",", "&amp;O385,"")&amp;". "&amp;IF(ISNUMBER(AB385),"The "&amp;AC385&amp;" slot at "&amp;X385&amp;" is "&amp;IF(ISNUMBER(AB385),TEXT(AB385,"ddd d mmm")&amp;", "&amp;TEXT(AB385,"hh:mm"),"weekday evenings"),"We can book "&amp;AC385&amp;" at "&amp;X385&amp;" on a weekday evening that suits you")&amp;" and it's "&amp;IF(AD385&lt;&gt;"","£"&amp;IF(AD385=INT(AD385),TEXT(AD385,"0"),TEXT(AD385,"0.00")),"[PRICE PER PLAYER]")&amp;" a player, all booked and paid through one link. If football isn't your thing, who at "&amp;F385&amp;" would be the right person to organise a team game?"&amp;IF(Offer!$C$7&lt;&gt;""," Spots are held until "&amp;TEXT(Offer!$C$7,"dddd d mmmm")&amp;".","")&amp;" "&amp;IF(Offer!$C$6&lt;&gt;"",Offer!$C$6,"[JOINING LINK]")</f>
        <v/>
      </c>
      <c r="AK385" s="14">
        <f>IF(OR(ISNUMBER(SEARCH("[",AG385)),ISNUMBER(SEARCH("[",AJ385))),"Fill placeholders",IF(ISNUMBER(AB385),"Ready to send","Ready · no fixed slot"))</f>
        <v/>
      </c>
      <c r="AN385" s="17" t="n"/>
    </row>
    <row r="386">
      <c r="A386" s="11" t="n">
        <v>384</v>
      </c>
      <c r="B386" s="11" t="n">
        <v>3</v>
      </c>
      <c r="C386" s="11" t="inlineStr">
        <is>
          <t>Fund / asset manager</t>
        </is>
      </c>
      <c r="D386" s="11" t="inlineStr">
        <is>
          <t>City of London</t>
        </is>
      </c>
      <c r="E386" s="11" t="inlineStr">
        <is>
          <t>Global Infrastructure Management LLP</t>
        </is>
      </c>
      <c r="F386" s="11" t="inlineStr">
        <is>
          <t>Global Infrastructure Management</t>
        </is>
      </c>
      <c r="G386" s="11" t="inlineStr">
        <is>
          <t>OC347017</t>
        </is>
      </c>
      <c r="H386" s="12" t="inlineStr">
        <is>
          <t>Open</t>
        </is>
      </c>
      <c r="I386" s="12" t="inlineStr">
        <is>
          <t>Search</t>
        </is>
      </c>
      <c r="J386" s="11" t="inlineStr">
        <is>
          <t>Full</t>
        </is>
      </c>
      <c r="K386" s="13" t="n">
        <v>40001</v>
      </c>
      <c r="L386" s="11" t="inlineStr">
        <is>
          <t>C/O Tmf Group, 13Th Floor, One Angel Court, London</t>
        </is>
      </c>
      <c r="M386" s="11" t="inlineStr">
        <is>
          <t>EC2R 7HJ</t>
        </is>
      </c>
      <c r="N386" s="11" t="inlineStr">
        <is>
          <t>No</t>
        </is>
      </c>
      <c r="U386" s="11" t="inlineStr">
        <is>
          <t>Liverpool St - Attlee Centre</t>
        </is>
      </c>
      <c r="V386" s="11" t="n">
        <v>17</v>
      </c>
      <c r="W386" s="11" t="n"/>
      <c r="X386" s="11" t="inlineStr">
        <is>
          <t>Liverpool St - Attlee Centre</t>
        </is>
      </c>
      <c r="Y386" s="11" t="n">
        <v>17</v>
      </c>
      <c r="Z386" s="14">
        <f>IFERROR(INDEX(Venues!$E$2:$E$15,MATCH(X386,Venues!$A$2:$A$15,0)),"Not checked")</f>
        <v/>
      </c>
      <c r="AA386" s="14">
        <f>IFERROR(INDEX(Venues!$F$2:$F$15,MATCH(X386,Venues!$A$2:$A$15,0)),0)</f>
        <v/>
      </c>
      <c r="AB386" s="15">
        <f>IFERROR(INDEX(Venues!$M$2:$M$15,MATCH(X386,Venues!$A$2:$A$15,0)),"")</f>
        <v/>
      </c>
      <c r="AC386" s="14">
        <f>IFERROR(INDEX(Venues!$N$2:$N$15,MATCH(X386,Venues!$A$2:$A$15,0)),"5-a-side")</f>
        <v/>
      </c>
      <c r="AD386" s="16">
        <f>IF(Offer!$C$4="","",Offer!$C$4)</f>
        <v/>
      </c>
      <c r="AE386" s="14">
        <f>X386&amp;" ("&amp;Y386&amp;" min walk) · "&amp;IF(ISNUMBER(AB386),TEXT(AB386,"ddd d mmm, hh:mm"),"slot to confirm with venue")&amp;" · "&amp;AC386&amp;" · "&amp;IF(AD386&lt;&gt;"","£"&amp;TEXT(AD386,"0.00")&amp;" pp","price TBC")</f>
        <v/>
      </c>
      <c r="AF386" s="14">
        <f>"After-work football for "&amp;F386&amp;" · "&amp;X386&amp;", "&amp;Y386&amp;" min from your office"</f>
        <v/>
      </c>
      <c r="AG386" s="14">
        <f>"Hi"&amp;IF(O386&lt;&gt;""," "&amp;O386,"")&amp;","&amp;CHAR(10)&amp;CHAR(10)&amp;"I'm "&amp;IF(AL386&lt;&gt;"",AL386,IF(Offer!$C$5&lt;&gt;"",Offer!$C$5,"[NAME]"))&amp;" from FC Urban. We organise after-work football for teams in the City and Canary Wharf."&amp;CHAR(10)&amp;CHAR(10)&amp;"We have a "&amp;AC386&amp;" pitch at "&amp;X386&amp;", "&amp;IF(OR(Y386=8,Y386=11,Y386=18),"an ","a ")&amp;Y386&amp;"-minute walk from your "&amp;M386&amp;" office, "&amp;IF(ISNUMBER(AB386),"on "&amp;TEXT(AB386,"dddd d mmmm")&amp;" at "&amp;TEXT(AB386,"hh:mm"),"on a weekday evening that suits your team")&amp;". It's "&amp;IF(AD386&lt;&gt;"","£"&amp;IF(AD386=INT(AD386),TEXT(AD386,"0"),TEXT(AD386,"0.00")),"[PRICE PER PLAYER]")&amp;" a player and we handle the pitch booking, sign-ups and payments, so all it takes is one person sharing a link with the team."&amp;CHAR(10)&amp;CHAR(10)&amp;"It works well as a team social or "&amp;IF(ISNUMBER(SEARCH(LEFT(F386,1),"AEIOU")),"an ","a ")&amp;F386&amp;"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LINK]")&amp;CHAR(10)&amp;CHAR(10)&amp;"Best,"&amp;CHAR(10)&amp;IF(AL386&lt;&gt;"",AL386,IF(Offer!$C$5&lt;&gt;"",Offer!$C$5,"[NAME]"))&amp;CHAR(10)&amp;"FC Urban"</f>
        <v/>
      </c>
      <c r="AH386" s="14">
        <f>IF(LEN("Hi"&amp;IF(O386&lt;&gt;""," "&amp;O386,"")&amp;","&amp;" FC Urban runs after-work football for "&amp;IF(D386="Canary Wharf","Canary Wharf","City")&amp;" teams. We have a "&amp;AC386&amp;" pitch at "&amp;X386&amp;", "&amp;Y386&amp;" min from your office, "&amp;IF(ISNUMBER(AB386),TEXT(AB386,"ddd d mmm")&amp;", "&amp;TEXT(AB386,"hh:mm"),"weekday evenings")&amp;", "&amp;IF(AD386&lt;&gt;"","£"&amp;IF(AD386=INT(AD386),TEXT(AD386,"0"),TEXT(AD386,"0.00")),"[PRICE PER PLAYER]")&amp;" a player. We handle booking, sign-ups and payments. Fancy "&amp;IF(ISNUMBER(SEARCH(LEFT(F386,1),"AEIOU")),"an ","a ")&amp;F386&amp;" team game? "&amp;IF(AL386&lt;&gt;"",AL386,IF(Offer!$C$5&lt;&gt;"",Offer!$C$5,"[NAME]")))&lt;=300,"Hi"&amp;IF(O386&lt;&gt;""," "&amp;O386,"")&amp;","&amp;" FC Urban runs after-work football for "&amp;IF(D386="Canary Wharf","Canary Wharf","City")&amp;" teams. We have a "&amp;AC386&amp;" pitch at "&amp;X386&amp;", "&amp;Y386&amp;" min from your office, "&amp;IF(ISNUMBER(AB386),TEXT(AB386,"ddd d mmm")&amp;", "&amp;TEXT(AB386,"hh:mm"),"weekday evenings")&amp;", "&amp;IF(AD386&lt;&gt;"","£"&amp;IF(AD386=INT(AD386),TEXT(AD386,"0"),TEXT(AD386,"0.00")),"[PRICE PER PLAYER]")&amp;" a player. We handle booking, sign-ups and payments. Fancy "&amp;IF(ISNUMBER(SEARCH(LEFT(F386,1),"AEIOU")),"an ","a ")&amp;F386&amp;" team game? "&amp;IF(AL386&lt;&gt;"",AL386,IF(Offer!$C$5&lt;&gt;"",Offer!$C$5,"[NAME]")),LEFT("Hi"&amp;IF(O386&lt;&gt;""," "&amp;O386,"")&amp;","&amp;" FC Urban runs after-work football for "&amp;IF(D386="Canary Wharf","Canary Wharf","City")&amp;" teams: "&amp;AC386&amp;" at "&amp;X386&amp;", "&amp;Y386&amp;" min from your office, "&amp;IF(ISNUMBER(AB386),TEXT(AB386,"ddd d mmm")&amp;", "&amp;TEXT(AB386,"hh:mm"),"weekday evenings")&amp;", "&amp;IF(AD386&lt;&gt;"","£"&amp;IF(AD386=INT(AD386),TEXT(AD386,"0"),TEXT(AD386,"0.00")),"[PRICE PER PLAYER]")&amp;" pp. We handle booking and payments. Up for a team game? "&amp;IF(AL386&lt;&gt;"",AL386,IF(Offer!$C$5&lt;&gt;"",Offer!$C$5,"[NAME]")),300))</f>
        <v/>
      </c>
      <c r="AI386" s="14">
        <f>LEN(AH386)</f>
        <v/>
      </c>
      <c r="AJ386" s="14">
        <f>"Thanks for connecting"&amp;IF(O386&lt;&gt;"",", "&amp;O386,"")&amp;". "&amp;IF(ISNUMBER(AB386),"The "&amp;AC386&amp;" slot at "&amp;X386&amp;" is "&amp;IF(ISNUMBER(AB386),TEXT(AB386,"ddd d mmm")&amp;", "&amp;TEXT(AB386,"hh:mm"),"weekday evenings"),"We can book "&amp;AC386&amp;" at "&amp;X386&amp;" on a weekday evening that suits you")&amp;" and it's "&amp;IF(AD386&lt;&gt;"","£"&amp;IF(AD386=INT(AD386),TEXT(AD386,"0"),TEXT(AD386,"0.00")),"[PRICE PER PLAYER]")&amp;" a player, all booked and paid through one link. If football isn't your thing, who at "&amp;F386&amp;" would be the right person to organise a team game?"&amp;IF(Offer!$C$7&lt;&gt;""," Spots are held until "&amp;TEXT(Offer!$C$7,"dddd d mmmm")&amp;".","")&amp;" "&amp;IF(Offer!$C$6&lt;&gt;"",Offer!$C$6,"[JOINING LINK]")</f>
        <v/>
      </c>
      <c r="AK386" s="14">
        <f>IF(OR(ISNUMBER(SEARCH("[",AG386)),ISNUMBER(SEARCH("[",AJ386))),"Fill placeholders",IF(ISNUMBER(AB386),"Ready to send","Ready · no fixed slot"))</f>
        <v/>
      </c>
      <c r="AN386" s="17" t="n"/>
    </row>
    <row r="387">
      <c r="A387" s="11" t="n">
        <v>385</v>
      </c>
      <c r="B387" s="11" t="n">
        <v>3</v>
      </c>
      <c r="C387" s="11" t="inlineStr">
        <is>
          <t>Fund / asset manager</t>
        </is>
      </c>
      <c r="D387" s="11" t="inlineStr">
        <is>
          <t>City of London</t>
        </is>
      </c>
      <c r="E387" s="11" t="inlineStr">
        <is>
          <t>Hidden Road Partners UK LLP</t>
        </is>
      </c>
      <c r="F387" s="11" t="inlineStr">
        <is>
          <t>Hidden Road Partners</t>
        </is>
      </c>
      <c r="G387" s="11" t="inlineStr">
        <is>
          <t>OC425449</t>
        </is>
      </c>
      <c r="H387" s="12" t="inlineStr">
        <is>
          <t>Open</t>
        </is>
      </c>
      <c r="I387" s="12" t="inlineStr">
        <is>
          <t>Search</t>
        </is>
      </c>
      <c r="J387" s="11" t="inlineStr">
        <is>
          <t>Full</t>
        </is>
      </c>
      <c r="K387" s="13" t="n">
        <v>43467</v>
      </c>
      <c r="L387" s="11" t="inlineStr">
        <is>
          <t>1 Angel Court, London</t>
        </is>
      </c>
      <c r="M387" s="11" t="inlineStr">
        <is>
          <t>EC2R 7HJ</t>
        </is>
      </c>
      <c r="N387" s="11" t="inlineStr">
        <is>
          <t>No</t>
        </is>
      </c>
      <c r="U387" s="11" t="inlineStr">
        <is>
          <t>Liverpool St - Attlee Centre</t>
        </is>
      </c>
      <c r="V387" s="11" t="n">
        <v>17</v>
      </c>
      <c r="W387" s="11" t="n"/>
      <c r="X387" s="11" t="inlineStr">
        <is>
          <t>Liverpool St - Attlee Centre</t>
        </is>
      </c>
      <c r="Y387" s="11" t="n">
        <v>17</v>
      </c>
      <c r="Z387" s="14">
        <f>IFERROR(INDEX(Venues!$E$2:$E$15,MATCH(X387,Venues!$A$2:$A$15,0)),"Not checked")</f>
        <v/>
      </c>
      <c r="AA387" s="14">
        <f>IFERROR(INDEX(Venues!$F$2:$F$15,MATCH(X387,Venues!$A$2:$A$15,0)),0)</f>
        <v/>
      </c>
      <c r="AB387" s="15">
        <f>IFERROR(INDEX(Venues!$M$2:$M$15,MATCH(X387,Venues!$A$2:$A$15,0)),"")</f>
        <v/>
      </c>
      <c r="AC387" s="14">
        <f>IFERROR(INDEX(Venues!$N$2:$N$15,MATCH(X387,Venues!$A$2:$A$15,0)),"5-a-side")</f>
        <v/>
      </c>
      <c r="AD387" s="16">
        <f>IF(Offer!$C$4="","",Offer!$C$4)</f>
        <v/>
      </c>
      <c r="AE387" s="14">
        <f>X387&amp;" ("&amp;Y387&amp;" min walk) · "&amp;IF(ISNUMBER(AB387),TEXT(AB387,"ddd d mmm, hh:mm"),"slot to confirm with venue")&amp;" · "&amp;AC387&amp;" · "&amp;IF(AD387&lt;&gt;"","£"&amp;TEXT(AD387,"0.00")&amp;" pp","price TBC")</f>
        <v/>
      </c>
      <c r="AF387" s="14">
        <f>"After-work football for "&amp;F387&amp;" · "&amp;X387&amp;", "&amp;Y387&amp;" min from your office"</f>
        <v/>
      </c>
      <c r="AG387" s="14">
        <f>"Hi"&amp;IF(O387&lt;&gt;""," "&amp;O387,"")&amp;","&amp;CHAR(10)&amp;CHAR(10)&amp;"I'm "&amp;IF(AL387&lt;&gt;"",AL387,IF(Offer!$C$5&lt;&gt;"",Offer!$C$5,"[NAME]"))&amp;" from FC Urban. We organise after-work football for teams in the City and Canary Wharf."&amp;CHAR(10)&amp;CHAR(10)&amp;"We have a "&amp;AC387&amp;" pitch at "&amp;X387&amp;", "&amp;IF(OR(Y387=8,Y387=11,Y387=18),"an ","a ")&amp;Y387&amp;"-minute walk from your "&amp;M387&amp;" office, "&amp;IF(ISNUMBER(AB387),"on "&amp;TEXT(AB387,"dddd d mmmm")&amp;" at "&amp;TEXT(AB387,"hh:mm"),"on a weekday evening that suits your team")&amp;". It's "&amp;IF(AD387&lt;&gt;"","£"&amp;IF(AD387=INT(AD387),TEXT(AD387,"0"),TEXT(AD387,"0.00")),"[PRICE PER PLAYER]")&amp;" a player and we handle the pitch booking, sign-ups and payments, so all it takes is one person sharing a link with the team."&amp;CHAR(10)&amp;CHAR(10)&amp;"It works well as a team social or "&amp;IF(ISNUMBER(SEARCH(LEFT(F387,1),"AEIOU")),"an ","a ")&amp;F387&amp;"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LINK]")&amp;CHAR(10)&amp;CHAR(10)&amp;"Best,"&amp;CHAR(10)&amp;IF(AL387&lt;&gt;"",AL387,IF(Offer!$C$5&lt;&gt;"",Offer!$C$5,"[NAME]"))&amp;CHAR(10)&amp;"FC Urban"</f>
        <v/>
      </c>
      <c r="AH387" s="14">
        <f>IF(LEN("Hi"&amp;IF(O387&lt;&gt;""," "&amp;O387,"")&amp;","&amp;" FC Urban runs after-work football for "&amp;IF(D387="Canary Wharf","Canary Wharf","City")&amp;" teams. We have a "&amp;AC387&amp;" pitch at "&amp;X387&amp;", "&amp;Y387&amp;" min from your office, "&amp;IF(ISNUMBER(AB387),TEXT(AB387,"ddd d mmm")&amp;", "&amp;TEXT(AB387,"hh:mm"),"weekday evenings")&amp;", "&amp;IF(AD387&lt;&gt;"","£"&amp;IF(AD387=INT(AD387),TEXT(AD387,"0"),TEXT(AD387,"0.00")),"[PRICE PER PLAYER]")&amp;" a player. We handle booking, sign-ups and payments. Fancy "&amp;IF(ISNUMBER(SEARCH(LEFT(F387,1),"AEIOU")),"an ","a ")&amp;F387&amp;" team game? "&amp;IF(AL387&lt;&gt;"",AL387,IF(Offer!$C$5&lt;&gt;"",Offer!$C$5,"[NAME]")))&lt;=300,"Hi"&amp;IF(O387&lt;&gt;""," "&amp;O387,"")&amp;","&amp;" FC Urban runs after-work football for "&amp;IF(D387="Canary Wharf","Canary Wharf","City")&amp;" teams. We have a "&amp;AC387&amp;" pitch at "&amp;X387&amp;", "&amp;Y387&amp;" min from your office, "&amp;IF(ISNUMBER(AB387),TEXT(AB387,"ddd d mmm")&amp;", "&amp;TEXT(AB387,"hh:mm"),"weekday evenings")&amp;", "&amp;IF(AD387&lt;&gt;"","£"&amp;IF(AD387=INT(AD387),TEXT(AD387,"0"),TEXT(AD387,"0.00")),"[PRICE PER PLAYER]")&amp;" a player. We handle booking, sign-ups and payments. Fancy "&amp;IF(ISNUMBER(SEARCH(LEFT(F387,1),"AEIOU")),"an ","a ")&amp;F387&amp;" team game? "&amp;IF(AL387&lt;&gt;"",AL387,IF(Offer!$C$5&lt;&gt;"",Offer!$C$5,"[NAME]")),LEFT("Hi"&amp;IF(O387&lt;&gt;""," "&amp;O387,"")&amp;","&amp;" FC Urban runs after-work football for "&amp;IF(D387="Canary Wharf","Canary Wharf","City")&amp;" teams: "&amp;AC387&amp;" at "&amp;X387&amp;", "&amp;Y387&amp;" min from your office, "&amp;IF(ISNUMBER(AB387),TEXT(AB387,"ddd d mmm")&amp;", "&amp;TEXT(AB387,"hh:mm"),"weekday evenings")&amp;", "&amp;IF(AD387&lt;&gt;"","£"&amp;IF(AD387=INT(AD387),TEXT(AD387,"0"),TEXT(AD387,"0.00")),"[PRICE PER PLAYER]")&amp;" pp. We handle booking and payments. Up for a team game? "&amp;IF(AL387&lt;&gt;"",AL387,IF(Offer!$C$5&lt;&gt;"",Offer!$C$5,"[NAME]")),300))</f>
        <v/>
      </c>
      <c r="AI387" s="14">
        <f>LEN(AH387)</f>
        <v/>
      </c>
      <c r="AJ387" s="14">
        <f>"Thanks for connecting"&amp;IF(O387&lt;&gt;"",", "&amp;O387,"")&amp;". "&amp;IF(ISNUMBER(AB387),"The "&amp;AC387&amp;" slot at "&amp;X387&amp;" is "&amp;IF(ISNUMBER(AB387),TEXT(AB387,"ddd d mmm")&amp;", "&amp;TEXT(AB387,"hh:mm"),"weekday evenings"),"We can book "&amp;AC387&amp;" at "&amp;X387&amp;" on a weekday evening that suits you")&amp;" and it's "&amp;IF(AD387&lt;&gt;"","£"&amp;IF(AD387=INT(AD387),TEXT(AD387,"0"),TEXT(AD387,"0.00")),"[PRICE PER PLAYER]")&amp;" a player, all booked and paid through one link. If football isn't your thing, who at "&amp;F387&amp;" would be the right person to organise a team game?"&amp;IF(Offer!$C$7&lt;&gt;""," Spots are held until "&amp;TEXT(Offer!$C$7,"dddd d mmmm")&amp;".","")&amp;" "&amp;IF(Offer!$C$6&lt;&gt;"",Offer!$C$6,"[JOINING LINK]")</f>
        <v/>
      </c>
      <c r="AK387" s="14">
        <f>IF(OR(ISNUMBER(SEARCH("[",AG387)),ISNUMBER(SEARCH("[",AJ387))),"Fill placeholders",IF(ISNUMBER(AB387),"Ready to send","Ready · no fixed slot"))</f>
        <v/>
      </c>
      <c r="AN387" s="17" t="n"/>
    </row>
    <row r="388">
      <c r="A388" s="11" t="n">
        <v>386</v>
      </c>
      <c r="B388" s="11" t="n">
        <v>3</v>
      </c>
      <c r="C388" s="11" t="inlineStr">
        <is>
          <t>Fund / asset manager</t>
        </is>
      </c>
      <c r="D388" s="11" t="inlineStr">
        <is>
          <t>City of London</t>
        </is>
      </c>
      <c r="E388" s="11" t="inlineStr">
        <is>
          <t>Metage Capital Limited</t>
        </is>
      </c>
      <c r="F388" s="11" t="inlineStr">
        <is>
          <t>Metage Capital</t>
        </is>
      </c>
      <c r="G388" s="11" t="inlineStr">
        <is>
          <t>03525123</t>
        </is>
      </c>
      <c r="H388" s="12" t="inlineStr">
        <is>
          <t>Open</t>
        </is>
      </c>
      <c r="I388" s="12" t="inlineStr">
        <is>
          <t>Search</t>
        </is>
      </c>
      <c r="J388" s="11" t="inlineStr">
        <is>
          <t>Full</t>
        </is>
      </c>
      <c r="K388" s="13" t="n">
        <v>35865</v>
      </c>
      <c r="L388" s="11" t="inlineStr">
        <is>
          <t>C/O Tmf Group, 13Th Floor, One Angel Court, London</t>
        </is>
      </c>
      <c r="M388" s="11" t="inlineStr">
        <is>
          <t>EC2R 7HJ</t>
        </is>
      </c>
      <c r="N388" s="11" t="inlineStr">
        <is>
          <t>No</t>
        </is>
      </c>
      <c r="U388" s="11" t="inlineStr">
        <is>
          <t>Liverpool St - Attlee Centre</t>
        </is>
      </c>
      <c r="V388" s="11" t="n">
        <v>17</v>
      </c>
      <c r="W388" s="11" t="n"/>
      <c r="X388" s="11" t="inlineStr">
        <is>
          <t>Liverpool St - Attlee Centre</t>
        </is>
      </c>
      <c r="Y388" s="11" t="n">
        <v>17</v>
      </c>
      <c r="Z388" s="14">
        <f>IFERROR(INDEX(Venues!$E$2:$E$15,MATCH(X388,Venues!$A$2:$A$15,0)),"Not checked")</f>
        <v/>
      </c>
      <c r="AA388" s="14">
        <f>IFERROR(INDEX(Venues!$F$2:$F$15,MATCH(X388,Venues!$A$2:$A$15,0)),0)</f>
        <v/>
      </c>
      <c r="AB388" s="15">
        <f>IFERROR(INDEX(Venues!$M$2:$M$15,MATCH(X388,Venues!$A$2:$A$15,0)),"")</f>
        <v/>
      </c>
      <c r="AC388" s="14">
        <f>IFERROR(INDEX(Venues!$N$2:$N$15,MATCH(X388,Venues!$A$2:$A$15,0)),"5-a-side")</f>
        <v/>
      </c>
      <c r="AD388" s="16">
        <f>IF(Offer!$C$4="","",Offer!$C$4)</f>
        <v/>
      </c>
      <c r="AE388" s="14">
        <f>X388&amp;" ("&amp;Y388&amp;" min walk) · "&amp;IF(ISNUMBER(AB388),TEXT(AB388,"ddd d mmm, hh:mm"),"slot to confirm with venue")&amp;" · "&amp;AC388&amp;" · "&amp;IF(AD388&lt;&gt;"","£"&amp;TEXT(AD388,"0.00")&amp;" pp","price TBC")</f>
        <v/>
      </c>
      <c r="AF388" s="14">
        <f>"After-work football for "&amp;F388&amp;" · "&amp;X388&amp;", "&amp;Y388&amp;" min from your office"</f>
        <v/>
      </c>
      <c r="AG388" s="14">
        <f>"Hi"&amp;IF(O388&lt;&gt;""," "&amp;O388,"")&amp;","&amp;CHAR(10)&amp;CHAR(10)&amp;"I'm "&amp;IF(AL388&lt;&gt;"",AL388,IF(Offer!$C$5&lt;&gt;"",Offer!$C$5,"[NAME]"))&amp;" from FC Urban. We organise after-work football for teams in the City and Canary Wharf."&amp;CHAR(10)&amp;CHAR(10)&amp;"We have a "&amp;AC388&amp;" pitch at "&amp;X388&amp;", "&amp;IF(OR(Y388=8,Y388=11,Y388=18),"an ","a ")&amp;Y388&amp;"-minute walk from your "&amp;M388&amp;" office, "&amp;IF(ISNUMBER(AB388),"on "&amp;TEXT(AB388,"dddd d mmmm")&amp;" at "&amp;TEXT(AB388,"hh:mm"),"on a weekday evening that suits your team")&amp;". It's "&amp;IF(AD388&lt;&gt;"","£"&amp;IF(AD388=INT(AD388),TEXT(AD388,"0"),TEXT(AD388,"0.00")),"[PRICE PER PLAYER]")&amp;" a player and we handle the pitch booking, sign-ups and payments, so all it takes is one person sharing a link with the team."&amp;CHAR(10)&amp;CHAR(10)&amp;"It works well as a team social or "&amp;IF(ISNUMBER(SEARCH(LEFT(F388,1),"AEIOU")),"an ","a ")&amp;F388&amp;"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LINK]")&amp;CHAR(10)&amp;CHAR(10)&amp;"Best,"&amp;CHAR(10)&amp;IF(AL388&lt;&gt;"",AL388,IF(Offer!$C$5&lt;&gt;"",Offer!$C$5,"[NAME]"))&amp;CHAR(10)&amp;"FC Urban"</f>
        <v/>
      </c>
      <c r="AH388" s="14">
        <f>IF(LEN("Hi"&amp;IF(O388&lt;&gt;""," "&amp;O388,"")&amp;","&amp;" FC Urban runs after-work football for "&amp;IF(D388="Canary Wharf","Canary Wharf","City")&amp;" teams. We have a "&amp;AC388&amp;" pitch at "&amp;X388&amp;", "&amp;Y388&amp;" min from your office, "&amp;IF(ISNUMBER(AB388),TEXT(AB388,"ddd d mmm")&amp;", "&amp;TEXT(AB388,"hh:mm"),"weekday evenings")&amp;", "&amp;IF(AD388&lt;&gt;"","£"&amp;IF(AD388=INT(AD388),TEXT(AD388,"0"),TEXT(AD388,"0.00")),"[PRICE PER PLAYER]")&amp;" a player. We handle booking, sign-ups and payments. Fancy "&amp;IF(ISNUMBER(SEARCH(LEFT(F388,1),"AEIOU")),"an ","a ")&amp;F388&amp;" team game? "&amp;IF(AL388&lt;&gt;"",AL388,IF(Offer!$C$5&lt;&gt;"",Offer!$C$5,"[NAME]")))&lt;=300,"Hi"&amp;IF(O388&lt;&gt;""," "&amp;O388,"")&amp;","&amp;" FC Urban runs after-work football for "&amp;IF(D388="Canary Wharf","Canary Wharf","City")&amp;" teams. We have a "&amp;AC388&amp;" pitch at "&amp;X388&amp;", "&amp;Y388&amp;" min from your office, "&amp;IF(ISNUMBER(AB388),TEXT(AB388,"ddd d mmm")&amp;", "&amp;TEXT(AB388,"hh:mm"),"weekday evenings")&amp;", "&amp;IF(AD388&lt;&gt;"","£"&amp;IF(AD388=INT(AD388),TEXT(AD388,"0"),TEXT(AD388,"0.00")),"[PRICE PER PLAYER]")&amp;" a player. We handle booking, sign-ups and payments. Fancy "&amp;IF(ISNUMBER(SEARCH(LEFT(F388,1),"AEIOU")),"an ","a ")&amp;F388&amp;" team game? "&amp;IF(AL388&lt;&gt;"",AL388,IF(Offer!$C$5&lt;&gt;"",Offer!$C$5,"[NAME]")),LEFT("Hi"&amp;IF(O388&lt;&gt;""," "&amp;O388,"")&amp;","&amp;" FC Urban runs after-work football for "&amp;IF(D388="Canary Wharf","Canary Wharf","City")&amp;" teams: "&amp;AC388&amp;" at "&amp;X388&amp;", "&amp;Y388&amp;" min from your office, "&amp;IF(ISNUMBER(AB388),TEXT(AB388,"ddd d mmm")&amp;", "&amp;TEXT(AB388,"hh:mm"),"weekday evenings")&amp;", "&amp;IF(AD388&lt;&gt;"","£"&amp;IF(AD388=INT(AD388),TEXT(AD388,"0"),TEXT(AD388,"0.00")),"[PRICE PER PLAYER]")&amp;" pp. We handle booking and payments. Up for a team game? "&amp;IF(AL388&lt;&gt;"",AL388,IF(Offer!$C$5&lt;&gt;"",Offer!$C$5,"[NAME]")),300))</f>
        <v/>
      </c>
      <c r="AI388" s="14">
        <f>LEN(AH388)</f>
        <v/>
      </c>
      <c r="AJ388" s="14">
        <f>"Thanks for connecting"&amp;IF(O388&lt;&gt;"",", "&amp;O388,"")&amp;". "&amp;IF(ISNUMBER(AB388),"The "&amp;AC388&amp;" slot at "&amp;X388&amp;" is "&amp;IF(ISNUMBER(AB388),TEXT(AB388,"ddd d mmm")&amp;", "&amp;TEXT(AB388,"hh:mm"),"weekday evenings"),"We can book "&amp;AC388&amp;" at "&amp;X388&amp;" on a weekday evening that suits you")&amp;" and it's "&amp;IF(AD388&lt;&gt;"","£"&amp;IF(AD388=INT(AD388),TEXT(AD388,"0"),TEXT(AD388,"0.00")),"[PRICE PER PLAYER]")&amp;" a player, all booked and paid through one link. If football isn't your thing, who at "&amp;F388&amp;" would be the right person to organise a team game?"&amp;IF(Offer!$C$7&lt;&gt;""," Spots are held until "&amp;TEXT(Offer!$C$7,"dddd d mmmm")&amp;".","")&amp;" "&amp;IF(Offer!$C$6&lt;&gt;"",Offer!$C$6,"[JOINING LINK]")</f>
        <v/>
      </c>
      <c r="AK388" s="14">
        <f>IF(OR(ISNUMBER(SEARCH("[",AG388)),ISNUMBER(SEARCH("[",AJ388))),"Fill placeholders",IF(ISNUMBER(AB388),"Ready to send","Ready · no fixed slot"))</f>
        <v/>
      </c>
      <c r="AN388" s="17" t="n"/>
    </row>
    <row r="389">
      <c r="A389" s="11" t="n">
        <v>387</v>
      </c>
      <c r="B389" s="11" t="n">
        <v>3</v>
      </c>
      <c r="C389" s="11" t="inlineStr">
        <is>
          <t>Fund / asset manager</t>
        </is>
      </c>
      <c r="D389" s="11" t="inlineStr">
        <is>
          <t>City of London</t>
        </is>
      </c>
      <c r="E389" s="11" t="inlineStr">
        <is>
          <t>Partners Wealth Management LLP</t>
        </is>
      </c>
      <c r="F389" s="11" t="inlineStr">
        <is>
          <t>Partners Wealth Management</t>
        </is>
      </c>
      <c r="G389" s="11" t="inlineStr">
        <is>
          <t>OC307751</t>
        </is>
      </c>
      <c r="H389" s="12" t="inlineStr">
        <is>
          <t>Open</t>
        </is>
      </c>
      <c r="I389" s="12" t="inlineStr">
        <is>
          <t>Search</t>
        </is>
      </c>
      <c r="J389" s="11" t="inlineStr">
        <is>
          <t>Full</t>
        </is>
      </c>
      <c r="K389" s="13" t="n">
        <v>38101</v>
      </c>
      <c r="L389" s="11" t="inlineStr">
        <is>
          <t>1 Angel Court, London</t>
        </is>
      </c>
      <c r="M389" s="11" t="inlineStr">
        <is>
          <t>EC2R 7HJ</t>
        </is>
      </c>
      <c r="N389" s="11" t="inlineStr">
        <is>
          <t>No</t>
        </is>
      </c>
      <c r="U389" s="11" t="inlineStr">
        <is>
          <t>Liverpool St - Attlee Centre</t>
        </is>
      </c>
      <c r="V389" s="11" t="n">
        <v>17</v>
      </c>
      <c r="W389" s="11" t="n"/>
      <c r="X389" s="11" t="inlineStr">
        <is>
          <t>Liverpool St - Attlee Centre</t>
        </is>
      </c>
      <c r="Y389" s="11" t="n">
        <v>17</v>
      </c>
      <c r="Z389" s="14">
        <f>IFERROR(INDEX(Venues!$E$2:$E$15,MATCH(X389,Venues!$A$2:$A$15,0)),"Not checked")</f>
        <v/>
      </c>
      <c r="AA389" s="14">
        <f>IFERROR(INDEX(Venues!$F$2:$F$15,MATCH(X389,Venues!$A$2:$A$15,0)),0)</f>
        <v/>
      </c>
      <c r="AB389" s="15">
        <f>IFERROR(INDEX(Venues!$M$2:$M$15,MATCH(X389,Venues!$A$2:$A$15,0)),"")</f>
        <v/>
      </c>
      <c r="AC389" s="14">
        <f>IFERROR(INDEX(Venues!$N$2:$N$15,MATCH(X389,Venues!$A$2:$A$15,0)),"5-a-side")</f>
        <v/>
      </c>
      <c r="AD389" s="16">
        <f>IF(Offer!$C$4="","",Offer!$C$4)</f>
        <v/>
      </c>
      <c r="AE389" s="14">
        <f>X389&amp;" ("&amp;Y389&amp;" min walk) · "&amp;IF(ISNUMBER(AB389),TEXT(AB389,"ddd d mmm, hh:mm"),"slot to confirm with venue")&amp;" · "&amp;AC389&amp;" · "&amp;IF(AD389&lt;&gt;"","£"&amp;TEXT(AD389,"0.00")&amp;" pp","price TBC")</f>
        <v/>
      </c>
      <c r="AF389" s="14">
        <f>"After-work football for "&amp;F389&amp;" · "&amp;X389&amp;", "&amp;Y389&amp;" min from your office"</f>
        <v/>
      </c>
      <c r="AG389" s="14">
        <f>"Hi"&amp;IF(O389&lt;&gt;""," "&amp;O389,"")&amp;","&amp;CHAR(10)&amp;CHAR(10)&amp;"I'm "&amp;IF(AL389&lt;&gt;"",AL389,IF(Offer!$C$5&lt;&gt;"",Offer!$C$5,"[NAME]"))&amp;" from FC Urban. We organise after-work football for teams in the City and Canary Wharf."&amp;CHAR(10)&amp;CHAR(10)&amp;"We have a "&amp;AC389&amp;" pitch at "&amp;X389&amp;", "&amp;IF(OR(Y389=8,Y389=11,Y389=18),"an ","a ")&amp;Y389&amp;"-minute walk from your "&amp;M389&amp;" office, "&amp;IF(ISNUMBER(AB389),"on "&amp;TEXT(AB389,"dddd d mmmm")&amp;" at "&amp;TEXT(AB389,"hh:mm"),"on a weekday evening that suits your team")&amp;". It's "&amp;IF(AD389&lt;&gt;"","£"&amp;IF(AD389=INT(AD389),TEXT(AD389,"0"),TEXT(AD389,"0.00")),"[PRICE PER PLAYER]")&amp;" a player and we handle the pitch booking, sign-ups and payments, so all it takes is one person sharing a link with the team."&amp;CHAR(10)&amp;CHAR(10)&amp;"It works well as a team social or "&amp;IF(ISNUMBER(SEARCH(LEFT(F389,1),"AEIOU")),"an ","a ")&amp;F389&amp;"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LINK]")&amp;CHAR(10)&amp;CHAR(10)&amp;"Best,"&amp;CHAR(10)&amp;IF(AL389&lt;&gt;"",AL389,IF(Offer!$C$5&lt;&gt;"",Offer!$C$5,"[NAME]"))&amp;CHAR(10)&amp;"FC Urban"</f>
        <v/>
      </c>
      <c r="AH389" s="14">
        <f>IF(LEN("Hi"&amp;IF(O389&lt;&gt;""," "&amp;O389,"")&amp;","&amp;" FC Urban runs after-work football for "&amp;IF(D389="Canary Wharf","Canary Wharf","City")&amp;" teams. We have a "&amp;AC389&amp;" pitch at "&amp;X389&amp;", "&amp;Y389&amp;" min from your office, "&amp;IF(ISNUMBER(AB389),TEXT(AB389,"ddd d mmm")&amp;", "&amp;TEXT(AB389,"hh:mm"),"weekday evenings")&amp;", "&amp;IF(AD389&lt;&gt;"","£"&amp;IF(AD389=INT(AD389),TEXT(AD389,"0"),TEXT(AD389,"0.00")),"[PRICE PER PLAYER]")&amp;" a player. We handle booking, sign-ups and payments. Fancy "&amp;IF(ISNUMBER(SEARCH(LEFT(F389,1),"AEIOU")),"an ","a ")&amp;F389&amp;" team game? "&amp;IF(AL389&lt;&gt;"",AL389,IF(Offer!$C$5&lt;&gt;"",Offer!$C$5,"[NAME]")))&lt;=300,"Hi"&amp;IF(O389&lt;&gt;""," "&amp;O389,"")&amp;","&amp;" FC Urban runs after-work football for "&amp;IF(D389="Canary Wharf","Canary Wharf","City")&amp;" teams. We have a "&amp;AC389&amp;" pitch at "&amp;X389&amp;", "&amp;Y389&amp;" min from your office, "&amp;IF(ISNUMBER(AB389),TEXT(AB389,"ddd d mmm")&amp;", "&amp;TEXT(AB389,"hh:mm"),"weekday evenings")&amp;", "&amp;IF(AD389&lt;&gt;"","£"&amp;IF(AD389=INT(AD389),TEXT(AD389,"0"),TEXT(AD389,"0.00")),"[PRICE PER PLAYER]")&amp;" a player. We handle booking, sign-ups and payments. Fancy "&amp;IF(ISNUMBER(SEARCH(LEFT(F389,1),"AEIOU")),"an ","a ")&amp;F389&amp;" team game? "&amp;IF(AL389&lt;&gt;"",AL389,IF(Offer!$C$5&lt;&gt;"",Offer!$C$5,"[NAME]")),LEFT("Hi"&amp;IF(O389&lt;&gt;""," "&amp;O389,"")&amp;","&amp;" FC Urban runs after-work football for "&amp;IF(D389="Canary Wharf","Canary Wharf","City")&amp;" teams: "&amp;AC389&amp;" at "&amp;X389&amp;", "&amp;Y389&amp;" min from your office, "&amp;IF(ISNUMBER(AB389),TEXT(AB389,"ddd d mmm")&amp;", "&amp;TEXT(AB389,"hh:mm"),"weekday evenings")&amp;", "&amp;IF(AD389&lt;&gt;"","£"&amp;IF(AD389=INT(AD389),TEXT(AD389,"0"),TEXT(AD389,"0.00")),"[PRICE PER PLAYER]")&amp;" pp. We handle booking and payments. Up for a team game? "&amp;IF(AL389&lt;&gt;"",AL389,IF(Offer!$C$5&lt;&gt;"",Offer!$C$5,"[NAME]")),300))</f>
        <v/>
      </c>
      <c r="AI389" s="14">
        <f>LEN(AH389)</f>
        <v/>
      </c>
      <c r="AJ389" s="14">
        <f>"Thanks for connecting"&amp;IF(O389&lt;&gt;"",", "&amp;O389,"")&amp;". "&amp;IF(ISNUMBER(AB389),"The "&amp;AC389&amp;" slot at "&amp;X389&amp;" is "&amp;IF(ISNUMBER(AB389),TEXT(AB389,"ddd d mmm")&amp;", "&amp;TEXT(AB389,"hh:mm"),"weekday evenings"),"We can book "&amp;AC389&amp;" at "&amp;X389&amp;" on a weekday evening that suits you")&amp;" and it's "&amp;IF(AD389&lt;&gt;"","£"&amp;IF(AD389=INT(AD389),TEXT(AD389,"0"),TEXT(AD389,"0.00")),"[PRICE PER PLAYER]")&amp;" a player, all booked and paid through one link. If football isn't your thing, who at "&amp;F389&amp;" would be the right person to organise a team game?"&amp;IF(Offer!$C$7&lt;&gt;""," Spots are held until "&amp;TEXT(Offer!$C$7,"dddd d mmmm")&amp;".","")&amp;" "&amp;IF(Offer!$C$6&lt;&gt;"",Offer!$C$6,"[JOINING LINK]")</f>
        <v/>
      </c>
      <c r="AK389" s="14">
        <f>IF(OR(ISNUMBER(SEARCH("[",AG389)),ISNUMBER(SEARCH("[",AJ389))),"Fill placeholders",IF(ISNUMBER(AB389),"Ready to send","Ready · no fixed slot"))</f>
        <v/>
      </c>
      <c r="AN389" s="17" t="n"/>
    </row>
    <row r="390">
      <c r="A390" s="11" t="n">
        <v>388</v>
      </c>
      <c r="B390" s="11" t="n">
        <v>3</v>
      </c>
      <c r="C390" s="11" t="inlineStr">
        <is>
          <t>Fund / asset manager</t>
        </is>
      </c>
      <c r="D390" s="11" t="inlineStr">
        <is>
          <t>City of London</t>
        </is>
      </c>
      <c r="E390" s="11" t="inlineStr">
        <is>
          <t>Rockhold Asset Management Limited</t>
        </is>
      </c>
      <c r="F390" s="11" t="inlineStr">
        <is>
          <t>Rockhold Asset Management</t>
        </is>
      </c>
      <c r="G390" s="11" t="inlineStr">
        <is>
          <t>02442391</t>
        </is>
      </c>
      <c r="H390" s="12" t="inlineStr">
        <is>
          <t>Open</t>
        </is>
      </c>
      <c r="I390" s="12" t="inlineStr">
        <is>
          <t>Search</t>
        </is>
      </c>
      <c r="J390" s="11" t="inlineStr">
        <is>
          <t>Full</t>
        </is>
      </c>
      <c r="K390" s="13" t="n">
        <v>32825</v>
      </c>
      <c r="L390" s="11" t="inlineStr">
        <is>
          <t>1 Angel Court, London</t>
        </is>
      </c>
      <c r="M390" s="11" t="inlineStr">
        <is>
          <t>EC2R 7HJ</t>
        </is>
      </c>
      <c r="N390" s="11" t="inlineStr">
        <is>
          <t>No</t>
        </is>
      </c>
      <c r="U390" s="11" t="inlineStr">
        <is>
          <t>Liverpool St - Attlee Centre</t>
        </is>
      </c>
      <c r="V390" s="11" t="n">
        <v>17</v>
      </c>
      <c r="W390" s="11" t="n"/>
      <c r="X390" s="11" t="inlineStr">
        <is>
          <t>Liverpool St - Attlee Centre</t>
        </is>
      </c>
      <c r="Y390" s="11" t="n">
        <v>17</v>
      </c>
      <c r="Z390" s="14">
        <f>IFERROR(INDEX(Venues!$E$2:$E$15,MATCH(X390,Venues!$A$2:$A$15,0)),"Not checked")</f>
        <v/>
      </c>
      <c r="AA390" s="14">
        <f>IFERROR(INDEX(Venues!$F$2:$F$15,MATCH(X390,Venues!$A$2:$A$15,0)),0)</f>
        <v/>
      </c>
      <c r="AB390" s="15">
        <f>IFERROR(INDEX(Venues!$M$2:$M$15,MATCH(X390,Venues!$A$2:$A$15,0)),"")</f>
        <v/>
      </c>
      <c r="AC390" s="14">
        <f>IFERROR(INDEX(Venues!$N$2:$N$15,MATCH(X390,Venues!$A$2:$A$15,0)),"5-a-side")</f>
        <v/>
      </c>
      <c r="AD390" s="16">
        <f>IF(Offer!$C$4="","",Offer!$C$4)</f>
        <v/>
      </c>
      <c r="AE390" s="14">
        <f>X390&amp;" ("&amp;Y390&amp;" min walk) · "&amp;IF(ISNUMBER(AB390),TEXT(AB390,"ddd d mmm, hh:mm"),"slot to confirm with venue")&amp;" · "&amp;AC390&amp;" · "&amp;IF(AD390&lt;&gt;"","£"&amp;TEXT(AD390,"0.00")&amp;" pp","price TBC")</f>
        <v/>
      </c>
      <c r="AF390" s="14">
        <f>"After-work football for "&amp;F390&amp;" · "&amp;X390&amp;", "&amp;Y390&amp;" min from your office"</f>
        <v/>
      </c>
      <c r="AG390" s="14">
        <f>"Hi"&amp;IF(O390&lt;&gt;""," "&amp;O390,"")&amp;","&amp;CHAR(10)&amp;CHAR(10)&amp;"I'm "&amp;IF(AL390&lt;&gt;"",AL390,IF(Offer!$C$5&lt;&gt;"",Offer!$C$5,"[NAME]"))&amp;" from FC Urban. We organise after-work football for teams in the City and Canary Wharf."&amp;CHAR(10)&amp;CHAR(10)&amp;"We have a "&amp;AC390&amp;" pitch at "&amp;X390&amp;", "&amp;IF(OR(Y390=8,Y390=11,Y390=18),"an ","a ")&amp;Y390&amp;"-minute walk from your "&amp;M390&amp;" office, "&amp;IF(ISNUMBER(AB390),"on "&amp;TEXT(AB390,"dddd d mmmm")&amp;" at "&amp;TEXT(AB390,"hh:mm"),"on a weekday evening that suits your team")&amp;". It's "&amp;IF(AD390&lt;&gt;"","£"&amp;IF(AD390=INT(AD390),TEXT(AD390,"0"),TEXT(AD390,"0.00")),"[PRICE PER PLAYER]")&amp;" a player and we handle the pitch booking, sign-ups and payments, so all it takes is one person sharing a link with the team."&amp;CHAR(10)&amp;CHAR(10)&amp;"It works well as a team social or "&amp;IF(ISNUMBER(SEARCH(LEFT(F390,1),"AEIOU")),"an ","a ")&amp;F390&amp;"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LINK]")&amp;CHAR(10)&amp;CHAR(10)&amp;"Best,"&amp;CHAR(10)&amp;IF(AL390&lt;&gt;"",AL390,IF(Offer!$C$5&lt;&gt;"",Offer!$C$5,"[NAME]"))&amp;CHAR(10)&amp;"FC Urban"</f>
        <v/>
      </c>
      <c r="AH390" s="14">
        <f>IF(LEN("Hi"&amp;IF(O390&lt;&gt;""," "&amp;O390,"")&amp;","&amp;" FC Urban runs after-work football for "&amp;IF(D390="Canary Wharf","Canary Wharf","City")&amp;" teams. We have a "&amp;AC390&amp;" pitch at "&amp;X390&amp;", "&amp;Y390&amp;" min from your office, "&amp;IF(ISNUMBER(AB390),TEXT(AB390,"ddd d mmm")&amp;", "&amp;TEXT(AB390,"hh:mm"),"weekday evenings")&amp;", "&amp;IF(AD390&lt;&gt;"","£"&amp;IF(AD390=INT(AD390),TEXT(AD390,"0"),TEXT(AD390,"0.00")),"[PRICE PER PLAYER]")&amp;" a player. We handle booking, sign-ups and payments. Fancy "&amp;IF(ISNUMBER(SEARCH(LEFT(F390,1),"AEIOU")),"an ","a ")&amp;F390&amp;" team game? "&amp;IF(AL390&lt;&gt;"",AL390,IF(Offer!$C$5&lt;&gt;"",Offer!$C$5,"[NAME]")))&lt;=300,"Hi"&amp;IF(O390&lt;&gt;""," "&amp;O390,"")&amp;","&amp;" FC Urban runs after-work football for "&amp;IF(D390="Canary Wharf","Canary Wharf","City")&amp;" teams. We have a "&amp;AC390&amp;" pitch at "&amp;X390&amp;", "&amp;Y390&amp;" min from your office, "&amp;IF(ISNUMBER(AB390),TEXT(AB390,"ddd d mmm")&amp;", "&amp;TEXT(AB390,"hh:mm"),"weekday evenings")&amp;", "&amp;IF(AD390&lt;&gt;"","£"&amp;IF(AD390=INT(AD390),TEXT(AD390,"0"),TEXT(AD390,"0.00")),"[PRICE PER PLAYER]")&amp;" a player. We handle booking, sign-ups and payments. Fancy "&amp;IF(ISNUMBER(SEARCH(LEFT(F390,1),"AEIOU")),"an ","a ")&amp;F390&amp;" team game? "&amp;IF(AL390&lt;&gt;"",AL390,IF(Offer!$C$5&lt;&gt;"",Offer!$C$5,"[NAME]")),LEFT("Hi"&amp;IF(O390&lt;&gt;""," "&amp;O390,"")&amp;","&amp;" FC Urban runs after-work football for "&amp;IF(D390="Canary Wharf","Canary Wharf","City")&amp;" teams: "&amp;AC390&amp;" at "&amp;X390&amp;", "&amp;Y390&amp;" min from your office, "&amp;IF(ISNUMBER(AB390),TEXT(AB390,"ddd d mmm")&amp;", "&amp;TEXT(AB390,"hh:mm"),"weekday evenings")&amp;", "&amp;IF(AD390&lt;&gt;"","£"&amp;IF(AD390=INT(AD390),TEXT(AD390,"0"),TEXT(AD390,"0.00")),"[PRICE PER PLAYER]")&amp;" pp. We handle booking and payments. Up for a team game? "&amp;IF(AL390&lt;&gt;"",AL390,IF(Offer!$C$5&lt;&gt;"",Offer!$C$5,"[NAME]")),300))</f>
        <v/>
      </c>
      <c r="AI390" s="14">
        <f>LEN(AH390)</f>
        <v/>
      </c>
      <c r="AJ390" s="14">
        <f>"Thanks for connecting"&amp;IF(O390&lt;&gt;"",", "&amp;O390,"")&amp;". "&amp;IF(ISNUMBER(AB390),"The "&amp;AC390&amp;" slot at "&amp;X390&amp;" is "&amp;IF(ISNUMBER(AB390),TEXT(AB390,"ddd d mmm")&amp;", "&amp;TEXT(AB390,"hh:mm"),"weekday evenings"),"We can book "&amp;AC390&amp;" at "&amp;X390&amp;" on a weekday evening that suits you")&amp;" and it's "&amp;IF(AD390&lt;&gt;"","£"&amp;IF(AD390=INT(AD390),TEXT(AD390,"0"),TEXT(AD390,"0.00")),"[PRICE PER PLAYER]")&amp;" a player, all booked and paid through one link. If football isn't your thing, who at "&amp;F390&amp;" would be the right person to organise a team game?"&amp;IF(Offer!$C$7&lt;&gt;""," Spots are held until "&amp;TEXT(Offer!$C$7,"dddd d mmmm")&amp;".","")&amp;" "&amp;IF(Offer!$C$6&lt;&gt;"",Offer!$C$6,"[JOINING LINK]")</f>
        <v/>
      </c>
      <c r="AK390" s="14">
        <f>IF(OR(ISNUMBER(SEARCH("[",AG390)),ISNUMBER(SEARCH("[",AJ390))),"Fill placeholders",IF(ISNUMBER(AB390),"Ready to send","Ready · no fixed slot"))</f>
        <v/>
      </c>
      <c r="AN390" s="17" t="n"/>
    </row>
    <row r="391">
      <c r="A391" s="11" t="n">
        <v>389</v>
      </c>
      <c r="B391" s="11" t="n">
        <v>3</v>
      </c>
      <c r="C391" s="11" t="inlineStr">
        <is>
          <t>Fund / asset manager</t>
        </is>
      </c>
      <c r="D391" s="11" t="inlineStr">
        <is>
          <t>City of London</t>
        </is>
      </c>
      <c r="E391" s="11" t="inlineStr">
        <is>
          <t>Seven Investment Management LLP</t>
        </is>
      </c>
      <c r="F391" s="11" t="inlineStr">
        <is>
          <t>Seven Investment Management</t>
        </is>
      </c>
      <c r="G391" s="11" t="inlineStr">
        <is>
          <t>OC378740</t>
        </is>
      </c>
      <c r="H391" s="12" t="inlineStr">
        <is>
          <t>Open</t>
        </is>
      </c>
      <c r="I391" s="12" t="inlineStr">
        <is>
          <t>Search</t>
        </is>
      </c>
      <c r="J391" s="11" t="inlineStr">
        <is>
          <t>Full</t>
        </is>
      </c>
      <c r="K391" s="13" t="n">
        <v>41176</v>
      </c>
      <c r="L391" s="11" t="inlineStr">
        <is>
          <t>1 Angel Court, London</t>
        </is>
      </c>
      <c r="M391" s="11" t="inlineStr">
        <is>
          <t>EC2R 7HJ</t>
        </is>
      </c>
      <c r="N391" s="11" t="inlineStr">
        <is>
          <t>No</t>
        </is>
      </c>
      <c r="U391" s="11" t="inlineStr">
        <is>
          <t>Liverpool St - Attlee Centre</t>
        </is>
      </c>
      <c r="V391" s="11" t="n">
        <v>17</v>
      </c>
      <c r="W391" s="11" t="n"/>
      <c r="X391" s="11" t="inlineStr">
        <is>
          <t>Liverpool St - Attlee Centre</t>
        </is>
      </c>
      <c r="Y391" s="11" t="n">
        <v>17</v>
      </c>
      <c r="Z391" s="14">
        <f>IFERROR(INDEX(Venues!$E$2:$E$15,MATCH(X391,Venues!$A$2:$A$15,0)),"Not checked")</f>
        <v/>
      </c>
      <c r="AA391" s="14">
        <f>IFERROR(INDEX(Venues!$F$2:$F$15,MATCH(X391,Venues!$A$2:$A$15,0)),0)</f>
        <v/>
      </c>
      <c r="AB391" s="15">
        <f>IFERROR(INDEX(Venues!$M$2:$M$15,MATCH(X391,Venues!$A$2:$A$15,0)),"")</f>
        <v/>
      </c>
      <c r="AC391" s="14">
        <f>IFERROR(INDEX(Venues!$N$2:$N$15,MATCH(X391,Venues!$A$2:$A$15,0)),"5-a-side")</f>
        <v/>
      </c>
      <c r="AD391" s="16">
        <f>IF(Offer!$C$4="","",Offer!$C$4)</f>
        <v/>
      </c>
      <c r="AE391" s="14">
        <f>X391&amp;" ("&amp;Y391&amp;" min walk) · "&amp;IF(ISNUMBER(AB391),TEXT(AB391,"ddd d mmm, hh:mm"),"slot to confirm with venue")&amp;" · "&amp;AC391&amp;" · "&amp;IF(AD391&lt;&gt;"","£"&amp;TEXT(AD391,"0.00")&amp;" pp","price TBC")</f>
        <v/>
      </c>
      <c r="AF391" s="14">
        <f>"After-work football for "&amp;F391&amp;" · "&amp;X391&amp;", "&amp;Y391&amp;" min from your office"</f>
        <v/>
      </c>
      <c r="AG391" s="14">
        <f>"Hi"&amp;IF(O391&lt;&gt;""," "&amp;O391,"")&amp;","&amp;CHAR(10)&amp;CHAR(10)&amp;"I'm "&amp;IF(AL391&lt;&gt;"",AL391,IF(Offer!$C$5&lt;&gt;"",Offer!$C$5,"[NAME]"))&amp;" from FC Urban. We organise after-work football for teams in the City and Canary Wharf."&amp;CHAR(10)&amp;CHAR(10)&amp;"We have a "&amp;AC391&amp;" pitch at "&amp;X391&amp;", "&amp;IF(OR(Y391=8,Y391=11,Y391=18),"an ","a ")&amp;Y391&amp;"-minute walk from your "&amp;M391&amp;" office, "&amp;IF(ISNUMBER(AB391),"on "&amp;TEXT(AB391,"dddd d mmmm")&amp;" at "&amp;TEXT(AB391,"hh:mm"),"on a weekday evening that suits your team")&amp;". It's "&amp;IF(AD391&lt;&gt;"","£"&amp;IF(AD391=INT(AD391),TEXT(AD391,"0"),TEXT(AD391,"0.00")),"[PRICE PER PLAYER]")&amp;" a player and we handle the pitch booking, sign-ups and payments, so all it takes is one person sharing a link with the team."&amp;CHAR(10)&amp;CHAR(10)&amp;"It works well as a team social or "&amp;IF(ISNUMBER(SEARCH(LEFT(F391,1),"AEIOU")),"an ","a ")&amp;F391&amp;"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LINK]")&amp;CHAR(10)&amp;CHAR(10)&amp;"Best,"&amp;CHAR(10)&amp;IF(AL391&lt;&gt;"",AL391,IF(Offer!$C$5&lt;&gt;"",Offer!$C$5,"[NAME]"))&amp;CHAR(10)&amp;"FC Urban"</f>
        <v/>
      </c>
      <c r="AH391" s="14">
        <f>IF(LEN("Hi"&amp;IF(O391&lt;&gt;""," "&amp;O391,"")&amp;","&amp;" FC Urban runs after-work football for "&amp;IF(D391="Canary Wharf","Canary Wharf","City")&amp;" teams. We have a "&amp;AC391&amp;" pitch at "&amp;X391&amp;", "&amp;Y391&amp;" min from your office, "&amp;IF(ISNUMBER(AB391),TEXT(AB391,"ddd d mmm")&amp;", "&amp;TEXT(AB391,"hh:mm"),"weekday evenings")&amp;", "&amp;IF(AD391&lt;&gt;"","£"&amp;IF(AD391=INT(AD391),TEXT(AD391,"0"),TEXT(AD391,"0.00")),"[PRICE PER PLAYER]")&amp;" a player. We handle booking, sign-ups and payments. Fancy "&amp;IF(ISNUMBER(SEARCH(LEFT(F391,1),"AEIOU")),"an ","a ")&amp;F391&amp;" team game? "&amp;IF(AL391&lt;&gt;"",AL391,IF(Offer!$C$5&lt;&gt;"",Offer!$C$5,"[NAME]")))&lt;=300,"Hi"&amp;IF(O391&lt;&gt;""," "&amp;O391,"")&amp;","&amp;" FC Urban runs after-work football for "&amp;IF(D391="Canary Wharf","Canary Wharf","City")&amp;" teams. We have a "&amp;AC391&amp;" pitch at "&amp;X391&amp;", "&amp;Y391&amp;" min from your office, "&amp;IF(ISNUMBER(AB391),TEXT(AB391,"ddd d mmm")&amp;", "&amp;TEXT(AB391,"hh:mm"),"weekday evenings")&amp;", "&amp;IF(AD391&lt;&gt;"","£"&amp;IF(AD391=INT(AD391),TEXT(AD391,"0"),TEXT(AD391,"0.00")),"[PRICE PER PLAYER]")&amp;" a player. We handle booking, sign-ups and payments. Fancy "&amp;IF(ISNUMBER(SEARCH(LEFT(F391,1),"AEIOU")),"an ","a ")&amp;F391&amp;" team game? "&amp;IF(AL391&lt;&gt;"",AL391,IF(Offer!$C$5&lt;&gt;"",Offer!$C$5,"[NAME]")),LEFT("Hi"&amp;IF(O391&lt;&gt;""," "&amp;O391,"")&amp;","&amp;" FC Urban runs after-work football for "&amp;IF(D391="Canary Wharf","Canary Wharf","City")&amp;" teams: "&amp;AC391&amp;" at "&amp;X391&amp;", "&amp;Y391&amp;" min from your office, "&amp;IF(ISNUMBER(AB391),TEXT(AB391,"ddd d mmm")&amp;", "&amp;TEXT(AB391,"hh:mm"),"weekday evenings")&amp;", "&amp;IF(AD391&lt;&gt;"","£"&amp;IF(AD391=INT(AD391),TEXT(AD391,"0"),TEXT(AD391,"0.00")),"[PRICE PER PLAYER]")&amp;" pp. We handle booking and payments. Up for a team game? "&amp;IF(AL391&lt;&gt;"",AL391,IF(Offer!$C$5&lt;&gt;"",Offer!$C$5,"[NAME]")),300))</f>
        <v/>
      </c>
      <c r="AI391" s="14">
        <f>LEN(AH391)</f>
        <v/>
      </c>
      <c r="AJ391" s="14">
        <f>"Thanks for connecting"&amp;IF(O391&lt;&gt;"",", "&amp;O391,"")&amp;". "&amp;IF(ISNUMBER(AB391),"The "&amp;AC391&amp;" slot at "&amp;X391&amp;" is "&amp;IF(ISNUMBER(AB391),TEXT(AB391,"ddd d mmm")&amp;", "&amp;TEXT(AB391,"hh:mm"),"weekday evenings"),"We can book "&amp;AC391&amp;" at "&amp;X391&amp;" on a weekday evening that suits you")&amp;" and it's "&amp;IF(AD391&lt;&gt;"","£"&amp;IF(AD391=INT(AD391),TEXT(AD391,"0"),TEXT(AD391,"0.00")),"[PRICE PER PLAYER]")&amp;" a player, all booked and paid through one link. If football isn't your thing, who at "&amp;F391&amp;" would be the right person to organise a team game?"&amp;IF(Offer!$C$7&lt;&gt;""," Spots are held until "&amp;TEXT(Offer!$C$7,"dddd d mmmm")&amp;".","")&amp;" "&amp;IF(Offer!$C$6&lt;&gt;"",Offer!$C$6,"[JOINING LINK]")</f>
        <v/>
      </c>
      <c r="AK391" s="14">
        <f>IF(OR(ISNUMBER(SEARCH("[",AG391)),ISNUMBER(SEARCH("[",AJ391))),"Fill placeholders",IF(ISNUMBER(AB391),"Ready to send","Ready · no fixed slot"))</f>
        <v/>
      </c>
      <c r="AN391" s="17" t="n"/>
    </row>
    <row r="392">
      <c r="A392" s="11" t="n">
        <v>390</v>
      </c>
      <c r="B392" s="11" t="n">
        <v>3</v>
      </c>
      <c r="C392" s="11" t="inlineStr">
        <is>
          <t>Fund / asset manager</t>
        </is>
      </c>
      <c r="D392" s="11" t="inlineStr">
        <is>
          <t>City of London</t>
        </is>
      </c>
      <c r="E392" s="11" t="inlineStr">
        <is>
          <t>Shard Capital Partners LLP</t>
        </is>
      </c>
      <c r="F392" s="11" t="inlineStr">
        <is>
          <t>Shard Capital Partners</t>
        </is>
      </c>
      <c r="G392" s="11" t="inlineStr">
        <is>
          <t>OC360394</t>
        </is>
      </c>
      <c r="H392" s="12" t="inlineStr">
        <is>
          <t>Open</t>
        </is>
      </c>
      <c r="I392" s="12" t="inlineStr">
        <is>
          <t>Search</t>
        </is>
      </c>
      <c r="J392" s="11" t="inlineStr">
        <is>
          <t>Full</t>
        </is>
      </c>
      <c r="K392" s="13" t="n">
        <v>40532</v>
      </c>
      <c r="L392" s="11" t="inlineStr">
        <is>
          <t>36-38 Cornhill, London</t>
        </is>
      </c>
      <c r="M392" s="11" t="inlineStr">
        <is>
          <t>EC3V 3NG</t>
        </is>
      </c>
      <c r="N392" s="11" t="inlineStr">
        <is>
          <t>No</t>
        </is>
      </c>
      <c r="U392" s="11" t="inlineStr">
        <is>
          <t>Liverpool St - Attlee Centre</t>
        </is>
      </c>
      <c r="V392" s="11" t="n">
        <v>17</v>
      </c>
      <c r="W392" s="11" t="n"/>
      <c r="X392" s="11" t="inlineStr">
        <is>
          <t>Liverpool St - Attlee Centre</t>
        </is>
      </c>
      <c r="Y392" s="11" t="n">
        <v>17</v>
      </c>
      <c r="Z392" s="14">
        <f>IFERROR(INDEX(Venues!$E$2:$E$15,MATCH(X392,Venues!$A$2:$A$15,0)),"Not checked")</f>
        <v/>
      </c>
      <c r="AA392" s="14">
        <f>IFERROR(INDEX(Venues!$F$2:$F$15,MATCH(X392,Venues!$A$2:$A$15,0)),0)</f>
        <v/>
      </c>
      <c r="AB392" s="15">
        <f>IFERROR(INDEX(Venues!$M$2:$M$15,MATCH(X392,Venues!$A$2:$A$15,0)),"")</f>
        <v/>
      </c>
      <c r="AC392" s="14">
        <f>IFERROR(INDEX(Venues!$N$2:$N$15,MATCH(X392,Venues!$A$2:$A$15,0)),"5-a-side")</f>
        <v/>
      </c>
      <c r="AD392" s="16">
        <f>IF(Offer!$C$4="","",Offer!$C$4)</f>
        <v/>
      </c>
      <c r="AE392" s="14">
        <f>X392&amp;" ("&amp;Y392&amp;" min walk) · "&amp;IF(ISNUMBER(AB392),TEXT(AB392,"ddd d mmm, hh:mm"),"slot to confirm with venue")&amp;" · "&amp;AC392&amp;" · "&amp;IF(AD392&lt;&gt;"","£"&amp;TEXT(AD392,"0.00")&amp;" pp","price TBC")</f>
        <v/>
      </c>
      <c r="AF392" s="14">
        <f>"After-work football for "&amp;F392&amp;" · "&amp;X392&amp;", "&amp;Y392&amp;" min from your office"</f>
        <v/>
      </c>
      <c r="AG392" s="14">
        <f>"Hi"&amp;IF(O392&lt;&gt;""," "&amp;O392,"")&amp;","&amp;CHAR(10)&amp;CHAR(10)&amp;"I'm "&amp;IF(AL392&lt;&gt;"",AL392,IF(Offer!$C$5&lt;&gt;"",Offer!$C$5,"[NAME]"))&amp;" from FC Urban. We organise after-work football for teams in the City and Canary Wharf."&amp;CHAR(10)&amp;CHAR(10)&amp;"We have a "&amp;AC392&amp;" pitch at "&amp;X392&amp;", "&amp;IF(OR(Y392=8,Y392=11,Y392=18),"an ","a ")&amp;Y392&amp;"-minute walk from your "&amp;M392&amp;" office, "&amp;IF(ISNUMBER(AB392),"on "&amp;TEXT(AB392,"dddd d mmmm")&amp;" at "&amp;TEXT(AB392,"hh:mm"),"on a weekday evening that suits your team")&amp;". It's "&amp;IF(AD392&lt;&gt;"","£"&amp;IF(AD392=INT(AD392),TEXT(AD392,"0"),TEXT(AD392,"0.00")),"[PRICE PER PLAYER]")&amp;" a player and we handle the pitch booking, sign-ups and payments, so all it takes is one person sharing a link with the team."&amp;CHAR(10)&amp;CHAR(10)&amp;"It works well as a team social or "&amp;IF(ISNUMBER(SEARCH(LEFT(F392,1),"AEIOU")),"an ","a ")&amp;F392&amp;"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LINK]")&amp;CHAR(10)&amp;CHAR(10)&amp;"Best,"&amp;CHAR(10)&amp;IF(AL392&lt;&gt;"",AL392,IF(Offer!$C$5&lt;&gt;"",Offer!$C$5,"[NAME]"))&amp;CHAR(10)&amp;"FC Urban"</f>
        <v/>
      </c>
      <c r="AH392" s="14">
        <f>IF(LEN("Hi"&amp;IF(O392&lt;&gt;""," "&amp;O392,"")&amp;","&amp;" FC Urban runs after-work football for "&amp;IF(D392="Canary Wharf","Canary Wharf","City")&amp;" teams. We have a "&amp;AC392&amp;" pitch at "&amp;X392&amp;", "&amp;Y392&amp;" min from your office, "&amp;IF(ISNUMBER(AB392),TEXT(AB392,"ddd d mmm")&amp;", "&amp;TEXT(AB392,"hh:mm"),"weekday evenings")&amp;", "&amp;IF(AD392&lt;&gt;"","£"&amp;IF(AD392=INT(AD392),TEXT(AD392,"0"),TEXT(AD392,"0.00")),"[PRICE PER PLAYER]")&amp;" a player. We handle booking, sign-ups and payments. Fancy "&amp;IF(ISNUMBER(SEARCH(LEFT(F392,1),"AEIOU")),"an ","a ")&amp;F392&amp;" team game? "&amp;IF(AL392&lt;&gt;"",AL392,IF(Offer!$C$5&lt;&gt;"",Offer!$C$5,"[NAME]")))&lt;=300,"Hi"&amp;IF(O392&lt;&gt;""," "&amp;O392,"")&amp;","&amp;" FC Urban runs after-work football for "&amp;IF(D392="Canary Wharf","Canary Wharf","City")&amp;" teams. We have a "&amp;AC392&amp;" pitch at "&amp;X392&amp;", "&amp;Y392&amp;" min from your office, "&amp;IF(ISNUMBER(AB392),TEXT(AB392,"ddd d mmm")&amp;", "&amp;TEXT(AB392,"hh:mm"),"weekday evenings")&amp;", "&amp;IF(AD392&lt;&gt;"","£"&amp;IF(AD392=INT(AD392),TEXT(AD392,"0"),TEXT(AD392,"0.00")),"[PRICE PER PLAYER]")&amp;" a player. We handle booking, sign-ups and payments. Fancy "&amp;IF(ISNUMBER(SEARCH(LEFT(F392,1),"AEIOU")),"an ","a ")&amp;F392&amp;" team game? "&amp;IF(AL392&lt;&gt;"",AL392,IF(Offer!$C$5&lt;&gt;"",Offer!$C$5,"[NAME]")),LEFT("Hi"&amp;IF(O392&lt;&gt;""," "&amp;O392,"")&amp;","&amp;" FC Urban runs after-work football for "&amp;IF(D392="Canary Wharf","Canary Wharf","City")&amp;" teams: "&amp;AC392&amp;" at "&amp;X392&amp;", "&amp;Y392&amp;" min from your office, "&amp;IF(ISNUMBER(AB392),TEXT(AB392,"ddd d mmm")&amp;", "&amp;TEXT(AB392,"hh:mm"),"weekday evenings")&amp;", "&amp;IF(AD392&lt;&gt;"","£"&amp;IF(AD392=INT(AD392),TEXT(AD392,"0"),TEXT(AD392,"0.00")),"[PRICE PER PLAYER]")&amp;" pp. We handle booking and payments. Up for a team game? "&amp;IF(AL392&lt;&gt;"",AL392,IF(Offer!$C$5&lt;&gt;"",Offer!$C$5,"[NAME]")),300))</f>
        <v/>
      </c>
      <c r="AI392" s="14">
        <f>LEN(AH392)</f>
        <v/>
      </c>
      <c r="AJ392" s="14">
        <f>"Thanks for connecting"&amp;IF(O392&lt;&gt;"",", "&amp;O392,"")&amp;". "&amp;IF(ISNUMBER(AB392),"The "&amp;AC392&amp;" slot at "&amp;X392&amp;" is "&amp;IF(ISNUMBER(AB392),TEXT(AB392,"ddd d mmm")&amp;", "&amp;TEXT(AB392,"hh:mm"),"weekday evenings"),"We can book "&amp;AC392&amp;" at "&amp;X392&amp;" on a weekday evening that suits you")&amp;" and it's "&amp;IF(AD392&lt;&gt;"","£"&amp;IF(AD392=INT(AD392),TEXT(AD392,"0"),TEXT(AD392,"0.00")),"[PRICE PER PLAYER]")&amp;" a player, all booked and paid through one link. If football isn't your thing, who at "&amp;F392&amp;" would be the right person to organise a team game?"&amp;IF(Offer!$C$7&lt;&gt;""," Spots are held until "&amp;TEXT(Offer!$C$7,"dddd d mmmm")&amp;".","")&amp;" "&amp;IF(Offer!$C$6&lt;&gt;"",Offer!$C$6,"[JOINING LINK]")</f>
        <v/>
      </c>
      <c r="AK392" s="14">
        <f>IF(OR(ISNUMBER(SEARCH("[",AG392)),ISNUMBER(SEARCH("[",AJ392))),"Fill placeholders",IF(ISNUMBER(AB392),"Ready to send","Ready · no fixed slot"))</f>
        <v/>
      </c>
      <c r="AN392" s="17" t="n"/>
    </row>
    <row r="393">
      <c r="A393" s="11" t="n">
        <v>391</v>
      </c>
      <c r="B393" s="11" t="n">
        <v>3</v>
      </c>
      <c r="C393" s="11" t="inlineStr">
        <is>
          <t>Fund / asset manager</t>
        </is>
      </c>
      <c r="D393" s="11" t="inlineStr">
        <is>
          <t>City of London</t>
        </is>
      </c>
      <c r="E393" s="11" t="inlineStr">
        <is>
          <t>Timeline Portfolios Ltd</t>
        </is>
      </c>
      <c r="F393" s="11" t="inlineStr">
        <is>
          <t>Timeline Portfolios</t>
        </is>
      </c>
      <c r="G393" s="11" t="inlineStr">
        <is>
          <t>11557205</t>
        </is>
      </c>
      <c r="H393" s="12" t="inlineStr">
        <is>
          <t>Open</t>
        </is>
      </c>
      <c r="I393" s="12" t="inlineStr">
        <is>
          <t>Search</t>
        </is>
      </c>
      <c r="J393" s="11" t="inlineStr">
        <is>
          <t>Full</t>
        </is>
      </c>
      <c r="K393" s="13" t="n">
        <v>43349</v>
      </c>
      <c r="L393" s="11" t="inlineStr">
        <is>
          <t>70 Gracechurch Street, London</t>
        </is>
      </c>
      <c r="M393" s="11" t="inlineStr">
        <is>
          <t>EC3V 0HR</t>
        </is>
      </c>
      <c r="N393" s="11" t="inlineStr">
        <is>
          <t>No</t>
        </is>
      </c>
      <c r="U393" s="11" t="inlineStr">
        <is>
          <t>Liverpool St - Attlee Centre</t>
        </is>
      </c>
      <c r="V393" s="11" t="n">
        <v>17</v>
      </c>
      <c r="W393" s="11" t="n"/>
      <c r="X393" s="11" t="inlineStr">
        <is>
          <t>Liverpool St - Attlee Centre</t>
        </is>
      </c>
      <c r="Y393" s="11" t="n">
        <v>17</v>
      </c>
      <c r="Z393" s="14">
        <f>IFERROR(INDEX(Venues!$E$2:$E$15,MATCH(X393,Venues!$A$2:$A$15,0)),"Not checked")</f>
        <v/>
      </c>
      <c r="AA393" s="14">
        <f>IFERROR(INDEX(Venues!$F$2:$F$15,MATCH(X393,Venues!$A$2:$A$15,0)),0)</f>
        <v/>
      </c>
      <c r="AB393" s="15">
        <f>IFERROR(INDEX(Venues!$M$2:$M$15,MATCH(X393,Venues!$A$2:$A$15,0)),"")</f>
        <v/>
      </c>
      <c r="AC393" s="14">
        <f>IFERROR(INDEX(Venues!$N$2:$N$15,MATCH(X393,Venues!$A$2:$A$15,0)),"5-a-side")</f>
        <v/>
      </c>
      <c r="AD393" s="16">
        <f>IF(Offer!$C$4="","",Offer!$C$4)</f>
        <v/>
      </c>
      <c r="AE393" s="14">
        <f>X393&amp;" ("&amp;Y393&amp;" min walk) · "&amp;IF(ISNUMBER(AB393),TEXT(AB393,"ddd d mmm, hh:mm"),"slot to confirm with venue")&amp;" · "&amp;AC393&amp;" · "&amp;IF(AD393&lt;&gt;"","£"&amp;TEXT(AD393,"0.00")&amp;" pp","price TBC")</f>
        <v/>
      </c>
      <c r="AF393" s="14">
        <f>"After-work football for "&amp;F393&amp;" · "&amp;X393&amp;", "&amp;Y393&amp;" min from your office"</f>
        <v/>
      </c>
      <c r="AG393" s="14">
        <f>"Hi"&amp;IF(O393&lt;&gt;""," "&amp;O393,"")&amp;","&amp;CHAR(10)&amp;CHAR(10)&amp;"I'm "&amp;IF(AL393&lt;&gt;"",AL393,IF(Offer!$C$5&lt;&gt;"",Offer!$C$5,"[NAME]"))&amp;" from FC Urban. We organise after-work football for teams in the City and Canary Wharf."&amp;CHAR(10)&amp;CHAR(10)&amp;"We have a "&amp;AC393&amp;" pitch at "&amp;X393&amp;", "&amp;IF(OR(Y393=8,Y393=11,Y393=18),"an ","a ")&amp;Y393&amp;"-minute walk from your "&amp;M393&amp;" office, "&amp;IF(ISNUMBER(AB393),"on "&amp;TEXT(AB393,"dddd d mmmm")&amp;" at "&amp;TEXT(AB393,"hh:mm"),"on a weekday evening that suits your team")&amp;". It's "&amp;IF(AD393&lt;&gt;"","£"&amp;IF(AD393=INT(AD393),TEXT(AD393,"0"),TEXT(AD393,"0.00")),"[PRICE PER PLAYER]")&amp;" a player and we handle the pitch booking, sign-ups and payments, so all it takes is one person sharing a link with the team."&amp;CHAR(10)&amp;CHAR(10)&amp;"It works well as a team social or "&amp;IF(ISNUMBER(SEARCH(LEFT(F393,1),"AEIOU")),"an ","a ")&amp;F393&amp;"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LINK]")&amp;CHAR(10)&amp;CHAR(10)&amp;"Best,"&amp;CHAR(10)&amp;IF(AL393&lt;&gt;"",AL393,IF(Offer!$C$5&lt;&gt;"",Offer!$C$5,"[NAME]"))&amp;CHAR(10)&amp;"FC Urban"</f>
        <v/>
      </c>
      <c r="AH393" s="14">
        <f>IF(LEN("Hi"&amp;IF(O393&lt;&gt;""," "&amp;O393,"")&amp;","&amp;" FC Urban runs after-work football for "&amp;IF(D393="Canary Wharf","Canary Wharf","City")&amp;" teams. We have a "&amp;AC393&amp;" pitch at "&amp;X393&amp;", "&amp;Y393&amp;" min from your office, "&amp;IF(ISNUMBER(AB393),TEXT(AB393,"ddd d mmm")&amp;", "&amp;TEXT(AB393,"hh:mm"),"weekday evenings")&amp;", "&amp;IF(AD393&lt;&gt;"","£"&amp;IF(AD393=INT(AD393),TEXT(AD393,"0"),TEXT(AD393,"0.00")),"[PRICE PER PLAYER]")&amp;" a player. We handle booking, sign-ups and payments. Fancy "&amp;IF(ISNUMBER(SEARCH(LEFT(F393,1),"AEIOU")),"an ","a ")&amp;F393&amp;" team game? "&amp;IF(AL393&lt;&gt;"",AL393,IF(Offer!$C$5&lt;&gt;"",Offer!$C$5,"[NAME]")))&lt;=300,"Hi"&amp;IF(O393&lt;&gt;""," "&amp;O393,"")&amp;","&amp;" FC Urban runs after-work football for "&amp;IF(D393="Canary Wharf","Canary Wharf","City")&amp;" teams. We have a "&amp;AC393&amp;" pitch at "&amp;X393&amp;", "&amp;Y393&amp;" min from your office, "&amp;IF(ISNUMBER(AB393),TEXT(AB393,"ddd d mmm")&amp;", "&amp;TEXT(AB393,"hh:mm"),"weekday evenings")&amp;", "&amp;IF(AD393&lt;&gt;"","£"&amp;IF(AD393=INT(AD393),TEXT(AD393,"0"),TEXT(AD393,"0.00")),"[PRICE PER PLAYER]")&amp;" a player. We handle booking, sign-ups and payments. Fancy "&amp;IF(ISNUMBER(SEARCH(LEFT(F393,1),"AEIOU")),"an ","a ")&amp;F393&amp;" team game? "&amp;IF(AL393&lt;&gt;"",AL393,IF(Offer!$C$5&lt;&gt;"",Offer!$C$5,"[NAME]")),LEFT("Hi"&amp;IF(O393&lt;&gt;""," "&amp;O393,"")&amp;","&amp;" FC Urban runs after-work football for "&amp;IF(D393="Canary Wharf","Canary Wharf","City")&amp;" teams: "&amp;AC393&amp;" at "&amp;X393&amp;", "&amp;Y393&amp;" min from your office, "&amp;IF(ISNUMBER(AB393),TEXT(AB393,"ddd d mmm")&amp;", "&amp;TEXT(AB393,"hh:mm"),"weekday evenings")&amp;", "&amp;IF(AD393&lt;&gt;"","£"&amp;IF(AD393=INT(AD393),TEXT(AD393,"0"),TEXT(AD393,"0.00")),"[PRICE PER PLAYER]")&amp;" pp. We handle booking and payments. Up for a team game? "&amp;IF(AL393&lt;&gt;"",AL393,IF(Offer!$C$5&lt;&gt;"",Offer!$C$5,"[NAME]")),300))</f>
        <v/>
      </c>
      <c r="AI393" s="14">
        <f>LEN(AH393)</f>
        <v/>
      </c>
      <c r="AJ393" s="14">
        <f>"Thanks for connecting"&amp;IF(O393&lt;&gt;"",", "&amp;O393,"")&amp;". "&amp;IF(ISNUMBER(AB393),"The "&amp;AC393&amp;" slot at "&amp;X393&amp;" is "&amp;IF(ISNUMBER(AB393),TEXT(AB393,"ddd d mmm")&amp;", "&amp;TEXT(AB393,"hh:mm"),"weekday evenings"),"We can book "&amp;AC393&amp;" at "&amp;X393&amp;" on a weekday evening that suits you")&amp;" and it's "&amp;IF(AD393&lt;&gt;"","£"&amp;IF(AD393=INT(AD393),TEXT(AD393,"0"),TEXT(AD393,"0.00")),"[PRICE PER PLAYER]")&amp;" a player, all booked and paid through one link. If football isn't your thing, who at "&amp;F393&amp;" would be the right person to organise a team game?"&amp;IF(Offer!$C$7&lt;&gt;""," Spots are held until "&amp;TEXT(Offer!$C$7,"dddd d mmmm")&amp;".","")&amp;" "&amp;IF(Offer!$C$6&lt;&gt;"",Offer!$C$6,"[JOINING LINK]")</f>
        <v/>
      </c>
      <c r="AK393" s="14">
        <f>IF(OR(ISNUMBER(SEARCH("[",AG393)),ISNUMBER(SEARCH("[",AJ393))),"Fill placeholders",IF(ISNUMBER(AB393),"Ready to send","Ready · no fixed slot"))</f>
        <v/>
      </c>
      <c r="AN393" s="17" t="n"/>
    </row>
    <row r="394">
      <c r="A394" s="11" t="n">
        <v>392</v>
      </c>
      <c r="B394" s="11" t="n">
        <v>3</v>
      </c>
      <c r="C394" s="11" t="inlineStr">
        <is>
          <t>Fund / asset manager</t>
        </is>
      </c>
      <c r="D394" s="11" t="inlineStr">
        <is>
          <t>City of London</t>
        </is>
      </c>
      <c r="E394" s="11" t="inlineStr">
        <is>
          <t>CarVal Investors GB LLP</t>
        </is>
      </c>
      <c r="F394" s="11" t="inlineStr">
        <is>
          <t>CarVal Investors GB</t>
        </is>
      </c>
      <c r="G394" s="11" t="inlineStr">
        <is>
          <t>OC383433</t>
        </is>
      </c>
      <c r="H394" s="12" t="inlineStr">
        <is>
          <t>Open</t>
        </is>
      </c>
      <c r="I394" s="12" t="inlineStr">
        <is>
          <t>Search</t>
        </is>
      </c>
      <c r="J394" s="11" t="inlineStr">
        <is>
          <t>Full</t>
        </is>
      </c>
      <c r="K394" s="13" t="n">
        <v>41348</v>
      </c>
      <c r="L394" s="11" t="inlineStr">
        <is>
          <t>60 London Wall, 5Th Floor, London</t>
        </is>
      </c>
      <c r="M394" s="11" t="inlineStr">
        <is>
          <t>EC2M 5SJ</t>
        </is>
      </c>
      <c r="N394" s="11" t="inlineStr">
        <is>
          <t>No</t>
        </is>
      </c>
      <c r="U394" s="11" t="inlineStr">
        <is>
          <t>Liverpool St - Attlee Centre</t>
        </is>
      </c>
      <c r="V394" s="11" t="n">
        <v>16</v>
      </c>
      <c r="W394" s="11" t="inlineStr">
        <is>
          <t>Shoreditch Powerleague (17.1)</t>
        </is>
      </c>
      <c r="X394" s="11" t="inlineStr">
        <is>
          <t>Shoreditch Powerleague</t>
        </is>
      </c>
      <c r="Y394" s="11" t="n">
        <v>17</v>
      </c>
      <c r="Z394" s="14">
        <f>IFERROR(INDEX(Venues!$E$2:$E$15,MATCH(X394,Venues!$A$2:$A$15,0)),"Not checked")</f>
        <v/>
      </c>
      <c r="AA394" s="14">
        <f>IFERROR(INDEX(Venues!$F$2:$F$15,MATCH(X394,Venues!$A$2:$A$15,0)),0)</f>
        <v/>
      </c>
      <c r="AB394" s="15">
        <f>IFERROR(INDEX(Venues!$M$2:$M$15,MATCH(X394,Venues!$A$2:$A$15,0)),"")</f>
        <v/>
      </c>
      <c r="AC394" s="14">
        <f>IFERROR(INDEX(Venues!$N$2:$N$15,MATCH(X394,Venues!$A$2:$A$15,0)),"5-a-side")</f>
        <v/>
      </c>
      <c r="AD394" s="16">
        <f>IF(Offer!$C$4="","",Offer!$C$4)</f>
        <v/>
      </c>
      <c r="AE394" s="14">
        <f>X394&amp;" ("&amp;Y394&amp;" min walk) · "&amp;IF(ISNUMBER(AB394),TEXT(AB394,"ddd d mmm, hh:mm"),"slot to confirm with venue")&amp;" · "&amp;AC394&amp;" · "&amp;IF(AD394&lt;&gt;"","£"&amp;TEXT(AD394,"0.00")&amp;" pp","price TBC")</f>
        <v/>
      </c>
      <c r="AF394" s="14">
        <f>"After-work football for "&amp;F394&amp;" · "&amp;X394&amp;", "&amp;Y394&amp;" min from your office"</f>
        <v/>
      </c>
      <c r="AG394" s="14">
        <f>"Hi"&amp;IF(O394&lt;&gt;""," "&amp;O394,"")&amp;","&amp;CHAR(10)&amp;CHAR(10)&amp;"I'm "&amp;IF(AL394&lt;&gt;"",AL394,IF(Offer!$C$5&lt;&gt;"",Offer!$C$5,"[NAME]"))&amp;" from FC Urban. We organise after-work football for teams in the City and Canary Wharf."&amp;CHAR(10)&amp;CHAR(10)&amp;"We have a "&amp;AC394&amp;" pitch at "&amp;X394&amp;", "&amp;IF(OR(Y394=8,Y394=11,Y394=18),"an ","a ")&amp;Y394&amp;"-minute walk from your "&amp;M394&amp;" office, "&amp;IF(ISNUMBER(AB394),"on "&amp;TEXT(AB394,"dddd d mmmm")&amp;" at "&amp;TEXT(AB394,"hh:mm"),"on a weekday evening that suits your team")&amp;". It's "&amp;IF(AD394&lt;&gt;"","£"&amp;IF(AD394=INT(AD394),TEXT(AD394,"0"),TEXT(AD394,"0.00")),"[PRICE PER PLAYER]")&amp;" a player and we handle the pitch booking, sign-ups and payments, so all it takes is one person sharing a link with the team."&amp;CHAR(10)&amp;CHAR(10)&amp;"It works well as a team social or "&amp;IF(ISNUMBER(SEARCH(LEFT(F394,1),"AEIOU")),"an ","a ")&amp;F394&amp;"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LINK]")&amp;CHAR(10)&amp;CHAR(10)&amp;"Best,"&amp;CHAR(10)&amp;IF(AL394&lt;&gt;"",AL394,IF(Offer!$C$5&lt;&gt;"",Offer!$C$5,"[NAME]"))&amp;CHAR(10)&amp;"FC Urban"</f>
        <v/>
      </c>
      <c r="AH394" s="14">
        <f>IF(LEN("Hi"&amp;IF(O394&lt;&gt;""," "&amp;O394,"")&amp;","&amp;" FC Urban runs after-work football for "&amp;IF(D394="Canary Wharf","Canary Wharf","City")&amp;" teams. We have a "&amp;AC394&amp;" pitch at "&amp;X394&amp;", "&amp;Y394&amp;" min from your office, "&amp;IF(ISNUMBER(AB394),TEXT(AB394,"ddd d mmm")&amp;", "&amp;TEXT(AB394,"hh:mm"),"weekday evenings")&amp;", "&amp;IF(AD394&lt;&gt;"","£"&amp;IF(AD394=INT(AD394),TEXT(AD394,"0"),TEXT(AD394,"0.00")),"[PRICE PER PLAYER]")&amp;" a player. We handle booking, sign-ups and payments. Fancy "&amp;IF(ISNUMBER(SEARCH(LEFT(F394,1),"AEIOU")),"an ","a ")&amp;F394&amp;" team game? "&amp;IF(AL394&lt;&gt;"",AL394,IF(Offer!$C$5&lt;&gt;"",Offer!$C$5,"[NAME]")))&lt;=300,"Hi"&amp;IF(O394&lt;&gt;""," "&amp;O394,"")&amp;","&amp;" FC Urban runs after-work football for "&amp;IF(D394="Canary Wharf","Canary Wharf","City")&amp;" teams. We have a "&amp;AC394&amp;" pitch at "&amp;X394&amp;", "&amp;Y394&amp;" min from your office, "&amp;IF(ISNUMBER(AB394),TEXT(AB394,"ddd d mmm")&amp;", "&amp;TEXT(AB394,"hh:mm"),"weekday evenings")&amp;", "&amp;IF(AD394&lt;&gt;"","£"&amp;IF(AD394=INT(AD394),TEXT(AD394,"0"),TEXT(AD394,"0.00")),"[PRICE PER PLAYER]")&amp;" a player. We handle booking, sign-ups and payments. Fancy "&amp;IF(ISNUMBER(SEARCH(LEFT(F394,1),"AEIOU")),"an ","a ")&amp;F394&amp;" team game? "&amp;IF(AL394&lt;&gt;"",AL394,IF(Offer!$C$5&lt;&gt;"",Offer!$C$5,"[NAME]")),LEFT("Hi"&amp;IF(O394&lt;&gt;""," "&amp;O394,"")&amp;","&amp;" FC Urban runs after-work football for "&amp;IF(D394="Canary Wharf","Canary Wharf","City")&amp;" teams: "&amp;AC394&amp;" at "&amp;X394&amp;", "&amp;Y394&amp;" min from your office, "&amp;IF(ISNUMBER(AB394),TEXT(AB394,"ddd d mmm")&amp;", "&amp;TEXT(AB394,"hh:mm"),"weekday evenings")&amp;", "&amp;IF(AD394&lt;&gt;"","£"&amp;IF(AD394=INT(AD394),TEXT(AD394,"0"),TEXT(AD394,"0.00")),"[PRICE PER PLAYER]")&amp;" pp. We handle booking and payments. Up for a team game? "&amp;IF(AL394&lt;&gt;"",AL394,IF(Offer!$C$5&lt;&gt;"",Offer!$C$5,"[NAME]")),300))</f>
        <v/>
      </c>
      <c r="AI394" s="14">
        <f>LEN(AH394)</f>
        <v/>
      </c>
      <c r="AJ394" s="14">
        <f>"Thanks for connecting"&amp;IF(O394&lt;&gt;"",", "&amp;O394,"")&amp;". "&amp;IF(ISNUMBER(AB394),"The "&amp;AC394&amp;" slot at "&amp;X394&amp;" is "&amp;IF(ISNUMBER(AB394),TEXT(AB394,"ddd d mmm")&amp;", "&amp;TEXT(AB394,"hh:mm"),"weekday evenings"),"We can book "&amp;AC394&amp;" at "&amp;X394&amp;" on a weekday evening that suits you")&amp;" and it's "&amp;IF(AD394&lt;&gt;"","£"&amp;IF(AD394=INT(AD394),TEXT(AD394,"0"),TEXT(AD394,"0.00")),"[PRICE PER PLAYER]")&amp;" a player, all booked and paid through one link. If football isn't your thing, who at "&amp;F394&amp;" would be the right person to organise a team game?"&amp;IF(Offer!$C$7&lt;&gt;""," Spots are held until "&amp;TEXT(Offer!$C$7,"dddd d mmmm")&amp;".","")&amp;" "&amp;IF(Offer!$C$6&lt;&gt;"",Offer!$C$6,"[JOINING LINK]")</f>
        <v/>
      </c>
      <c r="AK394" s="14">
        <f>IF(OR(ISNUMBER(SEARCH("[",AG394)),ISNUMBER(SEARCH("[",AJ394))),"Fill placeholders",IF(ISNUMBER(AB394),"Ready to send","Ready · no fixed slot"))</f>
        <v/>
      </c>
      <c r="AN394" s="17" t="n"/>
    </row>
    <row r="395">
      <c r="A395" s="11" t="n">
        <v>393</v>
      </c>
      <c r="B395" s="11" t="n">
        <v>3</v>
      </c>
      <c r="C395" s="11" t="inlineStr">
        <is>
          <t>Fund / asset manager</t>
        </is>
      </c>
      <c r="D395" s="11" t="inlineStr">
        <is>
          <t>City of London</t>
        </is>
      </c>
      <c r="E395" s="11" t="inlineStr">
        <is>
          <t>NYL Investments UK LLP</t>
        </is>
      </c>
      <c r="F395" s="11" t="inlineStr">
        <is>
          <t>NYL Investments</t>
        </is>
      </c>
      <c r="G395" s="11" t="inlineStr">
        <is>
          <t>OC380999</t>
        </is>
      </c>
      <c r="H395" s="12" t="inlineStr">
        <is>
          <t>Open</t>
        </is>
      </c>
      <c r="I395" s="12" t="inlineStr">
        <is>
          <t>Search</t>
        </is>
      </c>
      <c r="J395" s="11" t="inlineStr">
        <is>
          <t>Full</t>
        </is>
      </c>
      <c r="K395" s="13" t="n">
        <v>41256</v>
      </c>
      <c r="L395" s="11" t="inlineStr">
        <is>
          <t>Tower 42, 25 Old Broad Street, London</t>
        </is>
      </c>
      <c r="M395" s="11" t="inlineStr">
        <is>
          <t>EC2N 1HQ</t>
        </is>
      </c>
      <c r="N395" s="11" t="inlineStr">
        <is>
          <t>No</t>
        </is>
      </c>
      <c r="U395" s="11" t="inlineStr">
        <is>
          <t>Liverpool St - Attlee Centre</t>
        </is>
      </c>
      <c r="V395" s="11" t="n">
        <v>13</v>
      </c>
      <c r="W395" s="11" t="inlineStr">
        <is>
          <t>Shoreditch Powerleague (17.2)</t>
        </is>
      </c>
      <c r="X395" s="11" t="inlineStr">
        <is>
          <t>Shoreditch Powerleague</t>
        </is>
      </c>
      <c r="Y395" s="11" t="n">
        <v>17</v>
      </c>
      <c r="Z395" s="14">
        <f>IFERROR(INDEX(Venues!$E$2:$E$15,MATCH(X395,Venues!$A$2:$A$15,0)),"Not checked")</f>
        <v/>
      </c>
      <c r="AA395" s="14">
        <f>IFERROR(INDEX(Venues!$F$2:$F$15,MATCH(X395,Venues!$A$2:$A$15,0)),0)</f>
        <v/>
      </c>
      <c r="AB395" s="15">
        <f>IFERROR(INDEX(Venues!$M$2:$M$15,MATCH(X395,Venues!$A$2:$A$15,0)),"")</f>
        <v/>
      </c>
      <c r="AC395" s="14">
        <f>IFERROR(INDEX(Venues!$N$2:$N$15,MATCH(X395,Venues!$A$2:$A$15,0)),"5-a-side")</f>
        <v/>
      </c>
      <c r="AD395" s="16">
        <f>IF(Offer!$C$4="","",Offer!$C$4)</f>
        <v/>
      </c>
      <c r="AE395" s="14">
        <f>X395&amp;" ("&amp;Y395&amp;" min walk) · "&amp;IF(ISNUMBER(AB395),TEXT(AB395,"ddd d mmm, hh:mm"),"slot to confirm with venue")&amp;" · "&amp;AC395&amp;" · "&amp;IF(AD395&lt;&gt;"","£"&amp;TEXT(AD395,"0.00")&amp;" pp","price TBC")</f>
        <v/>
      </c>
      <c r="AF395" s="14">
        <f>"After-work football for "&amp;F395&amp;" · "&amp;X395&amp;", "&amp;Y395&amp;" min from your office"</f>
        <v/>
      </c>
      <c r="AG395" s="14">
        <f>"Hi"&amp;IF(O395&lt;&gt;""," "&amp;O395,"")&amp;","&amp;CHAR(10)&amp;CHAR(10)&amp;"I'm "&amp;IF(AL395&lt;&gt;"",AL395,IF(Offer!$C$5&lt;&gt;"",Offer!$C$5,"[NAME]"))&amp;" from FC Urban. We organise after-work football for teams in the City and Canary Wharf."&amp;CHAR(10)&amp;CHAR(10)&amp;"We have a "&amp;AC395&amp;" pitch at "&amp;X395&amp;", "&amp;IF(OR(Y395=8,Y395=11,Y395=18),"an ","a ")&amp;Y395&amp;"-minute walk from your "&amp;M395&amp;" office, "&amp;IF(ISNUMBER(AB395),"on "&amp;TEXT(AB395,"dddd d mmmm")&amp;" at "&amp;TEXT(AB395,"hh:mm"),"on a weekday evening that suits your team")&amp;". It's "&amp;IF(AD395&lt;&gt;"","£"&amp;IF(AD395=INT(AD395),TEXT(AD395,"0"),TEXT(AD395,"0.00")),"[PRICE PER PLAYER]")&amp;" a player and we handle the pitch booking, sign-ups and payments, so all it takes is one person sharing a link with the team."&amp;CHAR(10)&amp;CHAR(10)&amp;"It works well as a team social or "&amp;IF(ISNUMBER(SEARCH(LEFT(F395,1),"AEIOU")),"an ","a ")&amp;F395&amp;"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LINK]")&amp;CHAR(10)&amp;CHAR(10)&amp;"Best,"&amp;CHAR(10)&amp;IF(AL395&lt;&gt;"",AL395,IF(Offer!$C$5&lt;&gt;"",Offer!$C$5,"[NAME]"))&amp;CHAR(10)&amp;"FC Urban"</f>
        <v/>
      </c>
      <c r="AH395" s="14">
        <f>IF(LEN("Hi"&amp;IF(O395&lt;&gt;""," "&amp;O395,"")&amp;","&amp;" FC Urban runs after-work football for "&amp;IF(D395="Canary Wharf","Canary Wharf","City")&amp;" teams. We have a "&amp;AC395&amp;" pitch at "&amp;X395&amp;", "&amp;Y395&amp;" min from your office, "&amp;IF(ISNUMBER(AB395),TEXT(AB395,"ddd d mmm")&amp;", "&amp;TEXT(AB395,"hh:mm"),"weekday evenings")&amp;", "&amp;IF(AD395&lt;&gt;"","£"&amp;IF(AD395=INT(AD395),TEXT(AD395,"0"),TEXT(AD395,"0.00")),"[PRICE PER PLAYER]")&amp;" a player. We handle booking, sign-ups and payments. Fancy "&amp;IF(ISNUMBER(SEARCH(LEFT(F395,1),"AEIOU")),"an ","a ")&amp;F395&amp;" team game? "&amp;IF(AL395&lt;&gt;"",AL395,IF(Offer!$C$5&lt;&gt;"",Offer!$C$5,"[NAME]")))&lt;=300,"Hi"&amp;IF(O395&lt;&gt;""," "&amp;O395,"")&amp;","&amp;" FC Urban runs after-work football for "&amp;IF(D395="Canary Wharf","Canary Wharf","City")&amp;" teams. We have a "&amp;AC395&amp;" pitch at "&amp;X395&amp;", "&amp;Y395&amp;" min from your office, "&amp;IF(ISNUMBER(AB395),TEXT(AB395,"ddd d mmm")&amp;", "&amp;TEXT(AB395,"hh:mm"),"weekday evenings")&amp;", "&amp;IF(AD395&lt;&gt;"","£"&amp;IF(AD395=INT(AD395),TEXT(AD395,"0"),TEXT(AD395,"0.00")),"[PRICE PER PLAYER]")&amp;" a player. We handle booking, sign-ups and payments. Fancy "&amp;IF(ISNUMBER(SEARCH(LEFT(F395,1),"AEIOU")),"an ","a ")&amp;F395&amp;" team game? "&amp;IF(AL395&lt;&gt;"",AL395,IF(Offer!$C$5&lt;&gt;"",Offer!$C$5,"[NAME]")),LEFT("Hi"&amp;IF(O395&lt;&gt;""," "&amp;O395,"")&amp;","&amp;" FC Urban runs after-work football for "&amp;IF(D395="Canary Wharf","Canary Wharf","City")&amp;" teams: "&amp;AC395&amp;" at "&amp;X395&amp;", "&amp;Y395&amp;" min from your office, "&amp;IF(ISNUMBER(AB395),TEXT(AB395,"ddd d mmm")&amp;", "&amp;TEXT(AB395,"hh:mm"),"weekday evenings")&amp;", "&amp;IF(AD395&lt;&gt;"","£"&amp;IF(AD395=INT(AD395),TEXT(AD395,"0"),TEXT(AD395,"0.00")),"[PRICE PER PLAYER]")&amp;" pp. We handle booking and payments. Up for a team game? "&amp;IF(AL395&lt;&gt;"",AL395,IF(Offer!$C$5&lt;&gt;"",Offer!$C$5,"[NAME]")),300))</f>
        <v/>
      </c>
      <c r="AI395" s="14">
        <f>LEN(AH395)</f>
        <v/>
      </c>
      <c r="AJ395" s="14">
        <f>"Thanks for connecting"&amp;IF(O395&lt;&gt;"",", "&amp;O395,"")&amp;". "&amp;IF(ISNUMBER(AB395),"The "&amp;AC395&amp;" slot at "&amp;X395&amp;" is "&amp;IF(ISNUMBER(AB395),TEXT(AB395,"ddd d mmm")&amp;", "&amp;TEXT(AB395,"hh:mm"),"weekday evenings"),"We can book "&amp;AC395&amp;" at "&amp;X395&amp;" on a weekday evening that suits you")&amp;" and it's "&amp;IF(AD395&lt;&gt;"","£"&amp;IF(AD395=INT(AD395),TEXT(AD395,"0"),TEXT(AD395,"0.00")),"[PRICE PER PLAYER]")&amp;" a player, all booked and paid through one link. If football isn't your thing, who at "&amp;F395&amp;" would be the right person to organise a team game?"&amp;IF(Offer!$C$7&lt;&gt;""," Spots are held until "&amp;TEXT(Offer!$C$7,"dddd d mmmm")&amp;".","")&amp;" "&amp;IF(Offer!$C$6&lt;&gt;"",Offer!$C$6,"[JOINING LINK]")</f>
        <v/>
      </c>
      <c r="AK395" s="14">
        <f>IF(OR(ISNUMBER(SEARCH("[",AG395)),ISNUMBER(SEARCH("[",AJ395))),"Fill placeholders",IF(ISNUMBER(AB395),"Ready to send","Ready · no fixed slot"))</f>
        <v/>
      </c>
      <c r="AN395" s="17" t="n"/>
    </row>
    <row r="396">
      <c r="A396" s="11" t="n">
        <v>394</v>
      </c>
      <c r="B396" s="11" t="n">
        <v>3</v>
      </c>
      <c r="C396" s="11" t="inlineStr">
        <is>
          <t>Fund / asset manager</t>
        </is>
      </c>
      <c r="D396" s="11" t="inlineStr">
        <is>
          <t>City of London</t>
        </is>
      </c>
      <c r="E396" s="11" t="inlineStr">
        <is>
          <t>Dexia Management Services Limited</t>
        </is>
      </c>
      <c r="F396" s="11" t="inlineStr">
        <is>
          <t>Dexia Management</t>
        </is>
      </c>
      <c r="G396" s="11" t="inlineStr">
        <is>
          <t>01935154</t>
        </is>
      </c>
      <c r="H396" s="12" t="inlineStr">
        <is>
          <t>Open</t>
        </is>
      </c>
      <c r="I396" s="12" t="inlineStr">
        <is>
          <t>Search</t>
        </is>
      </c>
      <c r="J396" s="11" t="inlineStr">
        <is>
          <t>Full</t>
        </is>
      </c>
      <c r="K396" s="13" t="n">
        <v>31260</v>
      </c>
      <c r="L396" s="11" t="inlineStr">
        <is>
          <t>6Th Floor, Salisbury House, London Wall, London</t>
        </is>
      </c>
      <c r="M396" s="11" t="inlineStr">
        <is>
          <t>EC2M 5QQ</t>
        </is>
      </c>
      <c r="N396" s="11" t="inlineStr">
        <is>
          <t>Yes</t>
        </is>
      </c>
      <c r="U396" s="11" t="inlineStr">
        <is>
          <t>Liverpool St - Attlee Centre</t>
        </is>
      </c>
      <c r="V396" s="11" t="n">
        <v>16</v>
      </c>
      <c r="W396" s="11" t="inlineStr">
        <is>
          <t>Shoreditch Powerleague (17.3)</t>
        </is>
      </c>
      <c r="X396" s="11" t="inlineStr">
        <is>
          <t>Shoreditch Powerleague</t>
        </is>
      </c>
      <c r="Y396" s="11" t="n">
        <v>17</v>
      </c>
      <c r="Z396" s="14">
        <f>IFERROR(INDEX(Venues!$E$2:$E$15,MATCH(X396,Venues!$A$2:$A$15,0)),"Not checked")</f>
        <v/>
      </c>
      <c r="AA396" s="14">
        <f>IFERROR(INDEX(Venues!$F$2:$F$15,MATCH(X396,Venues!$A$2:$A$15,0)),0)</f>
        <v/>
      </c>
      <c r="AB396" s="15">
        <f>IFERROR(INDEX(Venues!$M$2:$M$15,MATCH(X396,Venues!$A$2:$A$15,0)),"")</f>
        <v/>
      </c>
      <c r="AC396" s="14">
        <f>IFERROR(INDEX(Venues!$N$2:$N$15,MATCH(X396,Venues!$A$2:$A$15,0)),"5-a-side")</f>
        <v/>
      </c>
      <c r="AD396" s="16">
        <f>IF(Offer!$C$4="","",Offer!$C$4)</f>
        <v/>
      </c>
      <c r="AE396" s="14">
        <f>X396&amp;" ("&amp;Y396&amp;" min walk) · "&amp;IF(ISNUMBER(AB396),TEXT(AB396,"ddd d mmm, hh:mm"),"slot to confirm with venue")&amp;" · "&amp;AC396&amp;" · "&amp;IF(AD396&lt;&gt;"","£"&amp;TEXT(AD396,"0.00")&amp;" pp","price TBC")</f>
        <v/>
      </c>
      <c r="AF396" s="14">
        <f>"After-work football for "&amp;F396&amp;" · "&amp;X396&amp;", "&amp;Y396&amp;" min from your office"</f>
        <v/>
      </c>
      <c r="AG396" s="14">
        <f>"Hi"&amp;IF(O396&lt;&gt;""," "&amp;O396,"")&amp;","&amp;CHAR(10)&amp;CHAR(10)&amp;"I'm "&amp;IF(AL396&lt;&gt;"",AL396,IF(Offer!$C$5&lt;&gt;"",Offer!$C$5,"[NAME]"))&amp;" from FC Urban. We organise after-work football for teams in the City and Canary Wharf."&amp;CHAR(10)&amp;CHAR(10)&amp;"We have a "&amp;AC396&amp;" pitch at "&amp;X396&amp;", "&amp;IF(OR(Y396=8,Y396=11,Y396=18),"an ","a ")&amp;Y396&amp;"-minute walk from your "&amp;M396&amp;" office, "&amp;IF(ISNUMBER(AB396),"on "&amp;TEXT(AB396,"dddd d mmmm")&amp;" at "&amp;TEXT(AB396,"hh:mm"),"on a weekday evening that suits your team")&amp;". It's "&amp;IF(AD396&lt;&gt;"","£"&amp;IF(AD396=INT(AD396),TEXT(AD396,"0"),TEXT(AD396,"0.00")),"[PRICE PER PLAYER]")&amp;" a player and we handle the pitch booking, sign-ups and payments, so all it takes is one person sharing a link with the team."&amp;CHAR(10)&amp;CHAR(10)&amp;"It works well as a team social or "&amp;IF(ISNUMBER(SEARCH(LEFT(F396,1),"AEIOU")),"an ","a ")&amp;F396&amp;"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LINK]")&amp;CHAR(10)&amp;CHAR(10)&amp;"Best,"&amp;CHAR(10)&amp;IF(AL396&lt;&gt;"",AL396,IF(Offer!$C$5&lt;&gt;"",Offer!$C$5,"[NAME]"))&amp;CHAR(10)&amp;"FC Urban"</f>
        <v/>
      </c>
      <c r="AH396" s="14">
        <f>IF(LEN("Hi"&amp;IF(O396&lt;&gt;""," "&amp;O396,"")&amp;","&amp;" FC Urban runs after-work football for "&amp;IF(D396="Canary Wharf","Canary Wharf","City")&amp;" teams. We have a "&amp;AC396&amp;" pitch at "&amp;X396&amp;", "&amp;Y396&amp;" min from your office, "&amp;IF(ISNUMBER(AB396),TEXT(AB396,"ddd d mmm")&amp;", "&amp;TEXT(AB396,"hh:mm"),"weekday evenings")&amp;", "&amp;IF(AD396&lt;&gt;"","£"&amp;IF(AD396=INT(AD396),TEXT(AD396,"0"),TEXT(AD396,"0.00")),"[PRICE PER PLAYER]")&amp;" a player. We handle booking, sign-ups and payments. Fancy "&amp;IF(ISNUMBER(SEARCH(LEFT(F396,1),"AEIOU")),"an ","a ")&amp;F396&amp;" team game? "&amp;IF(AL396&lt;&gt;"",AL396,IF(Offer!$C$5&lt;&gt;"",Offer!$C$5,"[NAME]")))&lt;=300,"Hi"&amp;IF(O396&lt;&gt;""," "&amp;O396,"")&amp;","&amp;" FC Urban runs after-work football for "&amp;IF(D396="Canary Wharf","Canary Wharf","City")&amp;" teams. We have a "&amp;AC396&amp;" pitch at "&amp;X396&amp;", "&amp;Y396&amp;" min from your office, "&amp;IF(ISNUMBER(AB396),TEXT(AB396,"ddd d mmm")&amp;", "&amp;TEXT(AB396,"hh:mm"),"weekday evenings")&amp;", "&amp;IF(AD396&lt;&gt;"","£"&amp;IF(AD396=INT(AD396),TEXT(AD396,"0"),TEXT(AD396,"0.00")),"[PRICE PER PLAYER]")&amp;" a player. We handle booking, sign-ups and payments. Fancy "&amp;IF(ISNUMBER(SEARCH(LEFT(F396,1),"AEIOU")),"an ","a ")&amp;F396&amp;" team game? "&amp;IF(AL396&lt;&gt;"",AL396,IF(Offer!$C$5&lt;&gt;"",Offer!$C$5,"[NAME]")),LEFT("Hi"&amp;IF(O396&lt;&gt;""," "&amp;O396,"")&amp;","&amp;" FC Urban runs after-work football for "&amp;IF(D396="Canary Wharf","Canary Wharf","City")&amp;" teams: "&amp;AC396&amp;" at "&amp;X396&amp;", "&amp;Y396&amp;" min from your office, "&amp;IF(ISNUMBER(AB396),TEXT(AB396,"ddd d mmm")&amp;", "&amp;TEXT(AB396,"hh:mm"),"weekday evenings")&amp;", "&amp;IF(AD396&lt;&gt;"","£"&amp;IF(AD396=INT(AD396),TEXT(AD396,"0"),TEXT(AD396,"0.00")),"[PRICE PER PLAYER]")&amp;" pp. We handle booking and payments. Up for a team game? "&amp;IF(AL396&lt;&gt;"",AL396,IF(Offer!$C$5&lt;&gt;"",Offer!$C$5,"[NAME]")),300))</f>
        <v/>
      </c>
      <c r="AI396" s="14">
        <f>LEN(AH396)</f>
        <v/>
      </c>
      <c r="AJ396" s="14">
        <f>"Thanks for connecting"&amp;IF(O396&lt;&gt;"",", "&amp;O396,"")&amp;". "&amp;IF(ISNUMBER(AB396),"The "&amp;AC396&amp;" slot at "&amp;X396&amp;" is "&amp;IF(ISNUMBER(AB396),TEXT(AB396,"ddd d mmm")&amp;", "&amp;TEXT(AB396,"hh:mm"),"weekday evenings"),"We can book "&amp;AC396&amp;" at "&amp;X396&amp;" on a weekday evening that suits you")&amp;" and it's "&amp;IF(AD396&lt;&gt;"","£"&amp;IF(AD396=INT(AD396),TEXT(AD396,"0"),TEXT(AD396,"0.00")),"[PRICE PER PLAYER]")&amp;" a player, all booked and paid through one link. If football isn't your thing, who at "&amp;F396&amp;" would be the right person to organise a team game?"&amp;IF(Offer!$C$7&lt;&gt;""," Spots are held until "&amp;TEXT(Offer!$C$7,"dddd d mmmm")&amp;".","")&amp;" "&amp;IF(Offer!$C$6&lt;&gt;"",Offer!$C$6,"[JOINING LINK]")</f>
        <v/>
      </c>
      <c r="AK396" s="14">
        <f>IF(OR(ISNUMBER(SEARCH("[",AG396)),ISNUMBER(SEARCH("[",AJ396))),"Fill placeholders",IF(ISNUMBER(AB396),"Ready to send","Ready · no fixed slot"))</f>
        <v/>
      </c>
      <c r="AN396" s="17" t="n"/>
    </row>
    <row r="397">
      <c r="A397" s="11" t="n">
        <v>395</v>
      </c>
      <c r="B397" s="11" t="n">
        <v>3</v>
      </c>
      <c r="C397" s="11" t="inlineStr">
        <is>
          <t>Fund / asset manager</t>
        </is>
      </c>
      <c r="D397" s="11" t="inlineStr">
        <is>
          <t>City of London</t>
        </is>
      </c>
      <c r="E397" s="11" t="inlineStr">
        <is>
          <t>Francisco Partners Operations LLP</t>
        </is>
      </c>
      <c r="F397" s="11" t="inlineStr">
        <is>
          <t>Francisco Partners Operations</t>
        </is>
      </c>
      <c r="G397" s="11" t="inlineStr">
        <is>
          <t>OC362112</t>
        </is>
      </c>
      <c r="H397" s="12" t="inlineStr">
        <is>
          <t>Open</t>
        </is>
      </c>
      <c r="I397" s="12" t="inlineStr">
        <is>
          <t>Search</t>
        </is>
      </c>
      <c r="J397" s="11" t="inlineStr">
        <is>
          <t>Full</t>
        </is>
      </c>
      <c r="K397" s="13" t="n">
        <v>40597</v>
      </c>
      <c r="L397" s="11" t="inlineStr">
        <is>
          <t>Birchin Court 5Th Floor, 19-25 Birchin Lane, London</t>
        </is>
      </c>
      <c r="M397" s="11" t="inlineStr">
        <is>
          <t>EC3V 9DU</t>
        </is>
      </c>
      <c r="N397" s="11" t="inlineStr">
        <is>
          <t>No</t>
        </is>
      </c>
      <c r="U397" s="11" t="inlineStr">
        <is>
          <t>Liverpool St - Attlee Centre</t>
        </is>
      </c>
      <c r="V397" s="11" t="n">
        <v>18</v>
      </c>
      <c r="W397" s="11" t="n"/>
      <c r="X397" s="11" t="inlineStr">
        <is>
          <t>Liverpool St - Attlee Centre</t>
        </is>
      </c>
      <c r="Y397" s="11" t="n">
        <v>18</v>
      </c>
      <c r="Z397" s="14">
        <f>IFERROR(INDEX(Venues!$E$2:$E$15,MATCH(X397,Venues!$A$2:$A$15,0)),"Not checked")</f>
        <v/>
      </c>
      <c r="AA397" s="14">
        <f>IFERROR(INDEX(Venues!$F$2:$F$15,MATCH(X397,Venues!$A$2:$A$15,0)),0)</f>
        <v/>
      </c>
      <c r="AB397" s="15">
        <f>IFERROR(INDEX(Venues!$M$2:$M$15,MATCH(X397,Venues!$A$2:$A$15,0)),"")</f>
        <v/>
      </c>
      <c r="AC397" s="14">
        <f>IFERROR(INDEX(Venues!$N$2:$N$15,MATCH(X397,Venues!$A$2:$A$15,0)),"5-a-side")</f>
        <v/>
      </c>
      <c r="AD397" s="16">
        <f>IF(Offer!$C$4="","",Offer!$C$4)</f>
        <v/>
      </c>
      <c r="AE397" s="14">
        <f>X397&amp;" ("&amp;Y397&amp;" min walk) · "&amp;IF(ISNUMBER(AB397),TEXT(AB397,"ddd d mmm, hh:mm"),"slot to confirm with venue")&amp;" · "&amp;AC397&amp;" · "&amp;IF(AD397&lt;&gt;"","£"&amp;TEXT(AD397,"0.00")&amp;" pp","price TBC")</f>
        <v/>
      </c>
      <c r="AF397" s="14">
        <f>"After-work football for "&amp;F397&amp;" · "&amp;X397&amp;", "&amp;Y397&amp;" min from your office"</f>
        <v/>
      </c>
      <c r="AG397" s="14">
        <f>"Hi"&amp;IF(O397&lt;&gt;""," "&amp;O397,"")&amp;","&amp;CHAR(10)&amp;CHAR(10)&amp;"I'm "&amp;IF(AL397&lt;&gt;"",AL397,IF(Offer!$C$5&lt;&gt;"",Offer!$C$5,"[NAME]"))&amp;" from FC Urban. We organise after-work football for teams in the City and Canary Wharf."&amp;CHAR(10)&amp;CHAR(10)&amp;"We have a "&amp;AC397&amp;" pitch at "&amp;X397&amp;", "&amp;IF(OR(Y397=8,Y397=11,Y397=18),"an ","a ")&amp;Y397&amp;"-minute walk from your "&amp;M397&amp;" office, "&amp;IF(ISNUMBER(AB397),"on "&amp;TEXT(AB397,"dddd d mmmm")&amp;" at "&amp;TEXT(AB397,"hh:mm"),"on a weekday evening that suits your team")&amp;". It's "&amp;IF(AD397&lt;&gt;"","£"&amp;IF(AD397=INT(AD397),TEXT(AD397,"0"),TEXT(AD397,"0.00")),"[PRICE PER PLAYER]")&amp;" a player and we handle the pitch booking, sign-ups and payments, so all it takes is one person sharing a link with the team."&amp;CHAR(10)&amp;CHAR(10)&amp;"It works well as a team social or "&amp;IF(ISNUMBER(SEARCH(LEFT(F397,1),"AEIOU")),"an ","a ")&amp;F397&amp;"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LINK]")&amp;CHAR(10)&amp;CHAR(10)&amp;"Best,"&amp;CHAR(10)&amp;IF(AL397&lt;&gt;"",AL397,IF(Offer!$C$5&lt;&gt;"",Offer!$C$5,"[NAME]"))&amp;CHAR(10)&amp;"FC Urban"</f>
        <v/>
      </c>
      <c r="AH397" s="14">
        <f>IF(LEN("Hi"&amp;IF(O397&lt;&gt;""," "&amp;O397,"")&amp;","&amp;" FC Urban runs after-work football for "&amp;IF(D397="Canary Wharf","Canary Wharf","City")&amp;" teams. We have a "&amp;AC397&amp;" pitch at "&amp;X397&amp;", "&amp;Y397&amp;" min from your office, "&amp;IF(ISNUMBER(AB397),TEXT(AB397,"ddd d mmm")&amp;", "&amp;TEXT(AB397,"hh:mm"),"weekday evenings")&amp;", "&amp;IF(AD397&lt;&gt;"","£"&amp;IF(AD397=INT(AD397),TEXT(AD397,"0"),TEXT(AD397,"0.00")),"[PRICE PER PLAYER]")&amp;" a player. We handle booking, sign-ups and payments. Fancy "&amp;IF(ISNUMBER(SEARCH(LEFT(F397,1),"AEIOU")),"an ","a ")&amp;F397&amp;" team game? "&amp;IF(AL397&lt;&gt;"",AL397,IF(Offer!$C$5&lt;&gt;"",Offer!$C$5,"[NAME]")))&lt;=300,"Hi"&amp;IF(O397&lt;&gt;""," "&amp;O397,"")&amp;","&amp;" FC Urban runs after-work football for "&amp;IF(D397="Canary Wharf","Canary Wharf","City")&amp;" teams. We have a "&amp;AC397&amp;" pitch at "&amp;X397&amp;", "&amp;Y397&amp;" min from your office, "&amp;IF(ISNUMBER(AB397),TEXT(AB397,"ddd d mmm")&amp;", "&amp;TEXT(AB397,"hh:mm"),"weekday evenings")&amp;", "&amp;IF(AD397&lt;&gt;"","£"&amp;IF(AD397=INT(AD397),TEXT(AD397,"0"),TEXT(AD397,"0.00")),"[PRICE PER PLAYER]")&amp;" a player. We handle booking, sign-ups and payments. Fancy "&amp;IF(ISNUMBER(SEARCH(LEFT(F397,1),"AEIOU")),"an ","a ")&amp;F397&amp;" team game? "&amp;IF(AL397&lt;&gt;"",AL397,IF(Offer!$C$5&lt;&gt;"",Offer!$C$5,"[NAME]")),LEFT("Hi"&amp;IF(O397&lt;&gt;""," "&amp;O397,"")&amp;","&amp;" FC Urban runs after-work football for "&amp;IF(D397="Canary Wharf","Canary Wharf","City")&amp;" teams: "&amp;AC397&amp;" at "&amp;X397&amp;", "&amp;Y397&amp;" min from your office, "&amp;IF(ISNUMBER(AB397),TEXT(AB397,"ddd d mmm")&amp;", "&amp;TEXT(AB397,"hh:mm"),"weekday evenings")&amp;", "&amp;IF(AD397&lt;&gt;"","£"&amp;IF(AD397=INT(AD397),TEXT(AD397,"0"),TEXT(AD397,"0.00")),"[PRICE PER PLAYER]")&amp;" pp. We handle booking and payments. Up for a team game? "&amp;IF(AL397&lt;&gt;"",AL397,IF(Offer!$C$5&lt;&gt;"",Offer!$C$5,"[NAME]")),300))</f>
        <v/>
      </c>
      <c r="AI397" s="14">
        <f>LEN(AH397)</f>
        <v/>
      </c>
      <c r="AJ397" s="14">
        <f>"Thanks for connecting"&amp;IF(O397&lt;&gt;"",", "&amp;O397,"")&amp;". "&amp;IF(ISNUMBER(AB397),"The "&amp;AC397&amp;" slot at "&amp;X397&amp;" is "&amp;IF(ISNUMBER(AB397),TEXT(AB397,"ddd d mmm")&amp;", "&amp;TEXT(AB397,"hh:mm"),"weekday evenings"),"We can book "&amp;AC397&amp;" at "&amp;X397&amp;" on a weekday evening that suits you")&amp;" and it's "&amp;IF(AD397&lt;&gt;"","£"&amp;IF(AD397=INT(AD397),TEXT(AD397,"0"),TEXT(AD397,"0.00")),"[PRICE PER PLAYER]")&amp;" a player, all booked and paid through one link. If football isn't your thing, who at "&amp;F397&amp;" would be the right person to organise a team game?"&amp;IF(Offer!$C$7&lt;&gt;""," Spots are held until "&amp;TEXT(Offer!$C$7,"dddd d mmmm")&amp;".","")&amp;" "&amp;IF(Offer!$C$6&lt;&gt;"",Offer!$C$6,"[JOINING LINK]")</f>
        <v/>
      </c>
      <c r="AK397" s="14">
        <f>IF(OR(ISNUMBER(SEARCH("[",AG397)),ISNUMBER(SEARCH("[",AJ397))),"Fill placeholders",IF(ISNUMBER(AB397),"Ready to send","Ready · no fixed slot"))</f>
        <v/>
      </c>
      <c r="AN397" s="17" t="n"/>
    </row>
    <row r="398">
      <c r="A398" s="11" t="n">
        <v>396</v>
      </c>
      <c r="B398" s="11" t="n">
        <v>3</v>
      </c>
      <c r="C398" s="11" t="inlineStr">
        <is>
          <t>Fund / asset manager</t>
        </is>
      </c>
      <c r="D398" s="11" t="inlineStr">
        <is>
          <t>City of London</t>
        </is>
      </c>
      <c r="E398" s="11" t="inlineStr">
        <is>
          <t>Thornbridge Investment Management LLP</t>
        </is>
      </c>
      <c r="F398" s="11" t="inlineStr">
        <is>
          <t>Thornbridge Investment Management</t>
        </is>
      </c>
      <c r="G398" s="11" t="inlineStr">
        <is>
          <t>OC398922</t>
        </is>
      </c>
      <c r="H398" s="12" t="inlineStr">
        <is>
          <t>Open</t>
        </is>
      </c>
      <c r="I398" s="12" t="inlineStr">
        <is>
          <t>Search</t>
        </is>
      </c>
      <c r="J398" s="11" t="inlineStr">
        <is>
          <t>Full</t>
        </is>
      </c>
      <c r="K398" s="13" t="n">
        <v>42081</v>
      </c>
      <c r="L398" s="11" t="inlineStr">
        <is>
          <t>13 Austin Friars, London</t>
        </is>
      </c>
      <c r="M398" s="11" t="inlineStr">
        <is>
          <t>EC2N 2HE</t>
        </is>
      </c>
      <c r="N398" s="11" t="inlineStr">
        <is>
          <t>No</t>
        </is>
      </c>
      <c r="U398" s="11" t="inlineStr">
        <is>
          <t>Liverpool St - Attlee Centre</t>
        </is>
      </c>
      <c r="V398" s="11" t="n">
        <v>15</v>
      </c>
      <c r="W398" s="11" t="inlineStr">
        <is>
          <t>Shoreditch Powerleague (17.5)</t>
        </is>
      </c>
      <c r="X398" s="11" t="inlineStr">
        <is>
          <t>Shoreditch Powerleague</t>
        </is>
      </c>
      <c r="Y398" s="11" t="n">
        <v>18</v>
      </c>
      <c r="Z398" s="14">
        <f>IFERROR(INDEX(Venues!$E$2:$E$15,MATCH(X398,Venues!$A$2:$A$15,0)),"Not checked")</f>
        <v/>
      </c>
      <c r="AA398" s="14">
        <f>IFERROR(INDEX(Venues!$F$2:$F$15,MATCH(X398,Venues!$A$2:$A$15,0)),0)</f>
        <v/>
      </c>
      <c r="AB398" s="15">
        <f>IFERROR(INDEX(Venues!$M$2:$M$15,MATCH(X398,Venues!$A$2:$A$15,0)),"")</f>
        <v/>
      </c>
      <c r="AC398" s="14">
        <f>IFERROR(INDEX(Venues!$N$2:$N$15,MATCH(X398,Venues!$A$2:$A$15,0)),"5-a-side")</f>
        <v/>
      </c>
      <c r="AD398" s="16">
        <f>IF(Offer!$C$4="","",Offer!$C$4)</f>
        <v/>
      </c>
      <c r="AE398" s="14">
        <f>X398&amp;" ("&amp;Y398&amp;" min walk) · "&amp;IF(ISNUMBER(AB398),TEXT(AB398,"ddd d mmm, hh:mm"),"slot to confirm with venue")&amp;" · "&amp;AC398&amp;" · "&amp;IF(AD398&lt;&gt;"","£"&amp;TEXT(AD398,"0.00")&amp;" pp","price TBC")</f>
        <v/>
      </c>
      <c r="AF398" s="14">
        <f>"After-work football for "&amp;F398&amp;" · "&amp;X398&amp;", "&amp;Y398&amp;" min from your office"</f>
        <v/>
      </c>
      <c r="AG398" s="14">
        <f>"Hi"&amp;IF(O398&lt;&gt;""," "&amp;O398,"")&amp;","&amp;CHAR(10)&amp;CHAR(10)&amp;"I'm "&amp;IF(AL398&lt;&gt;"",AL398,IF(Offer!$C$5&lt;&gt;"",Offer!$C$5,"[NAME]"))&amp;" from FC Urban. We organise after-work football for teams in the City and Canary Wharf."&amp;CHAR(10)&amp;CHAR(10)&amp;"We have a "&amp;AC398&amp;" pitch at "&amp;X398&amp;", "&amp;IF(OR(Y398=8,Y398=11,Y398=18),"an ","a ")&amp;Y398&amp;"-minute walk from your "&amp;M398&amp;" office, "&amp;IF(ISNUMBER(AB398),"on "&amp;TEXT(AB398,"dddd d mmmm")&amp;" at "&amp;TEXT(AB398,"hh:mm"),"on a weekday evening that suits your team")&amp;". It's "&amp;IF(AD398&lt;&gt;"","£"&amp;IF(AD398=INT(AD398),TEXT(AD398,"0"),TEXT(AD398,"0.00")),"[PRICE PER PLAYER]")&amp;" a player and we handle the pitch booking, sign-ups and payments, so all it takes is one person sharing a link with the team."&amp;CHAR(10)&amp;CHAR(10)&amp;"It works well as a team social or "&amp;IF(ISNUMBER(SEARCH(LEFT(F398,1),"AEIOU")),"an ","a ")&amp;F398&amp;"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LINK]")&amp;CHAR(10)&amp;CHAR(10)&amp;"Best,"&amp;CHAR(10)&amp;IF(AL398&lt;&gt;"",AL398,IF(Offer!$C$5&lt;&gt;"",Offer!$C$5,"[NAME]"))&amp;CHAR(10)&amp;"FC Urban"</f>
        <v/>
      </c>
      <c r="AH398" s="14">
        <f>IF(LEN("Hi"&amp;IF(O398&lt;&gt;""," "&amp;O398,"")&amp;","&amp;" FC Urban runs after-work football for "&amp;IF(D398="Canary Wharf","Canary Wharf","City")&amp;" teams. We have a "&amp;AC398&amp;" pitch at "&amp;X398&amp;", "&amp;Y398&amp;" min from your office, "&amp;IF(ISNUMBER(AB398),TEXT(AB398,"ddd d mmm")&amp;", "&amp;TEXT(AB398,"hh:mm"),"weekday evenings")&amp;", "&amp;IF(AD398&lt;&gt;"","£"&amp;IF(AD398=INT(AD398),TEXT(AD398,"0"),TEXT(AD398,"0.00")),"[PRICE PER PLAYER]")&amp;" a player. We handle booking, sign-ups and payments. Fancy "&amp;IF(ISNUMBER(SEARCH(LEFT(F398,1),"AEIOU")),"an ","a ")&amp;F398&amp;" team game? "&amp;IF(AL398&lt;&gt;"",AL398,IF(Offer!$C$5&lt;&gt;"",Offer!$C$5,"[NAME]")))&lt;=300,"Hi"&amp;IF(O398&lt;&gt;""," "&amp;O398,"")&amp;","&amp;" FC Urban runs after-work football for "&amp;IF(D398="Canary Wharf","Canary Wharf","City")&amp;" teams. We have a "&amp;AC398&amp;" pitch at "&amp;X398&amp;", "&amp;Y398&amp;" min from your office, "&amp;IF(ISNUMBER(AB398),TEXT(AB398,"ddd d mmm")&amp;", "&amp;TEXT(AB398,"hh:mm"),"weekday evenings")&amp;", "&amp;IF(AD398&lt;&gt;"","£"&amp;IF(AD398=INT(AD398),TEXT(AD398,"0"),TEXT(AD398,"0.00")),"[PRICE PER PLAYER]")&amp;" a player. We handle booking, sign-ups and payments. Fancy "&amp;IF(ISNUMBER(SEARCH(LEFT(F398,1),"AEIOU")),"an ","a ")&amp;F398&amp;" team game? "&amp;IF(AL398&lt;&gt;"",AL398,IF(Offer!$C$5&lt;&gt;"",Offer!$C$5,"[NAME]")),LEFT("Hi"&amp;IF(O398&lt;&gt;""," "&amp;O398,"")&amp;","&amp;" FC Urban runs after-work football for "&amp;IF(D398="Canary Wharf","Canary Wharf","City")&amp;" teams: "&amp;AC398&amp;" at "&amp;X398&amp;", "&amp;Y398&amp;" min from your office, "&amp;IF(ISNUMBER(AB398),TEXT(AB398,"ddd d mmm")&amp;", "&amp;TEXT(AB398,"hh:mm"),"weekday evenings")&amp;", "&amp;IF(AD398&lt;&gt;"","£"&amp;IF(AD398=INT(AD398),TEXT(AD398,"0"),TEXT(AD398,"0.00")),"[PRICE PER PLAYER]")&amp;" pp. We handle booking and payments. Up for a team game? "&amp;IF(AL398&lt;&gt;"",AL398,IF(Offer!$C$5&lt;&gt;"",Offer!$C$5,"[NAME]")),300))</f>
        <v/>
      </c>
      <c r="AI398" s="14">
        <f>LEN(AH398)</f>
        <v/>
      </c>
      <c r="AJ398" s="14">
        <f>"Thanks for connecting"&amp;IF(O398&lt;&gt;"",", "&amp;O398,"")&amp;". "&amp;IF(ISNUMBER(AB398),"The "&amp;AC398&amp;" slot at "&amp;X398&amp;" is "&amp;IF(ISNUMBER(AB398),TEXT(AB398,"ddd d mmm")&amp;", "&amp;TEXT(AB398,"hh:mm"),"weekday evenings"),"We can book "&amp;AC398&amp;" at "&amp;X398&amp;" on a weekday evening that suits you")&amp;" and it's "&amp;IF(AD398&lt;&gt;"","£"&amp;IF(AD398=INT(AD398),TEXT(AD398,"0"),TEXT(AD398,"0.00")),"[PRICE PER PLAYER]")&amp;" a player, all booked and paid through one link. If football isn't your thing, who at "&amp;F398&amp;" would be the right person to organise a team game?"&amp;IF(Offer!$C$7&lt;&gt;""," Spots are held until "&amp;TEXT(Offer!$C$7,"dddd d mmmm")&amp;".","")&amp;" "&amp;IF(Offer!$C$6&lt;&gt;"",Offer!$C$6,"[JOINING LINK]")</f>
        <v/>
      </c>
      <c r="AK398" s="14">
        <f>IF(OR(ISNUMBER(SEARCH("[",AG398)),ISNUMBER(SEARCH("[",AJ398))),"Fill placeholders",IF(ISNUMBER(AB398),"Ready to send","Ready · no fixed slot"))</f>
        <v/>
      </c>
      <c r="AN398" s="17" t="n"/>
    </row>
    <row r="399">
      <c r="A399" s="11" t="n">
        <v>397</v>
      </c>
      <c r="B399" s="11" t="n">
        <v>3</v>
      </c>
      <c r="C399" s="11" t="inlineStr">
        <is>
          <t>Advisory / accountancy</t>
        </is>
      </c>
      <c r="D399" s="11" t="inlineStr">
        <is>
          <t>City of London</t>
        </is>
      </c>
      <c r="E399" s="11" t="inlineStr">
        <is>
          <t>Dr J H Burgoyne &amp; Partners Limited Liability Partnership</t>
        </is>
      </c>
      <c r="F399" s="11" t="inlineStr">
        <is>
          <t>Dr J H Burgoyne &amp; Partners</t>
        </is>
      </c>
      <c r="G399" s="11" t="inlineStr">
        <is>
          <t>OC300263</t>
        </is>
      </c>
      <c r="H399" s="12" t="inlineStr">
        <is>
          <t>Open</t>
        </is>
      </c>
      <c r="I399" s="12" t="inlineStr">
        <is>
          <t>Search</t>
        </is>
      </c>
      <c r="J399" s="11" t="inlineStr">
        <is>
          <t>Full</t>
        </is>
      </c>
      <c r="K399" s="13" t="n">
        <v>37060</v>
      </c>
      <c r="L399" s="11" t="inlineStr">
        <is>
          <t>11-12 Half Moon Court, Bartholomew Close, London</t>
        </is>
      </c>
      <c r="M399" s="11" t="inlineStr">
        <is>
          <t>EC1A 7HF</t>
        </is>
      </c>
      <c r="N399" s="11" t="inlineStr">
        <is>
          <t>No</t>
        </is>
      </c>
      <c r="U399" s="11" t="inlineStr">
        <is>
          <t>Old St - Moreland Primary School</t>
        </is>
      </c>
      <c r="V399" s="11" t="n">
        <v>18</v>
      </c>
      <c r="W399" s="11" t="n"/>
      <c r="X399" s="11" t="inlineStr">
        <is>
          <t>Old St - Moreland Primary School</t>
        </is>
      </c>
      <c r="Y399" s="11" t="n">
        <v>18</v>
      </c>
      <c r="Z399" s="14">
        <f>IFERROR(INDEX(Venues!$E$2:$E$15,MATCH(X399,Venues!$A$2:$A$15,0)),"Not checked")</f>
        <v/>
      </c>
      <c r="AA399" s="14">
        <f>IFERROR(INDEX(Venues!$F$2:$F$15,MATCH(X399,Venues!$A$2:$A$15,0)),0)</f>
        <v/>
      </c>
      <c r="AB399" s="15">
        <f>IFERROR(INDEX(Venues!$M$2:$M$15,MATCH(X399,Venues!$A$2:$A$15,0)),"")</f>
        <v/>
      </c>
      <c r="AC399" s="14">
        <f>IFERROR(INDEX(Venues!$N$2:$N$15,MATCH(X399,Venues!$A$2:$A$15,0)),"5-a-side")</f>
        <v/>
      </c>
      <c r="AD399" s="16">
        <f>IF(Offer!$C$4="","",Offer!$C$4)</f>
        <v/>
      </c>
      <c r="AE399" s="14">
        <f>X399&amp;" ("&amp;Y399&amp;" min walk) · "&amp;IF(ISNUMBER(AB399),TEXT(AB399,"ddd d mmm, hh:mm"),"slot to confirm with venue")&amp;" · "&amp;AC399&amp;" · "&amp;IF(AD399&lt;&gt;"","£"&amp;TEXT(AD399,"0.00")&amp;" pp","price TBC")</f>
        <v/>
      </c>
      <c r="AF399" s="14">
        <f>"After-work football for "&amp;F399&amp;" · "&amp;X399&amp;", "&amp;Y399&amp;" min from your office"</f>
        <v/>
      </c>
      <c r="AG399" s="14">
        <f>"Hi"&amp;IF(O399&lt;&gt;""," "&amp;O399,"")&amp;","&amp;CHAR(10)&amp;CHAR(10)&amp;"I'm "&amp;IF(AL399&lt;&gt;"",AL399,IF(Offer!$C$5&lt;&gt;"",Offer!$C$5,"[NAME]"))&amp;" from FC Urban. We organise after-work football for teams in the City and Canary Wharf."&amp;CHAR(10)&amp;CHAR(10)&amp;"We have a "&amp;AC399&amp;" pitch at "&amp;X399&amp;", "&amp;IF(OR(Y399=8,Y399=11,Y399=18),"an ","a ")&amp;Y399&amp;"-minute walk from your "&amp;M399&amp;" office, "&amp;IF(ISNUMBER(AB399),"on "&amp;TEXT(AB399,"dddd d mmmm")&amp;" at "&amp;TEXT(AB399,"hh:mm"),"on a weekday evening that suits your team")&amp;". It's "&amp;IF(AD399&lt;&gt;"","£"&amp;IF(AD399=INT(AD399),TEXT(AD399,"0"),TEXT(AD399,"0.00")),"[PRICE PER PLAYER]")&amp;" a player and we handle the pitch booking, sign-ups and payments, so all it takes is one person sharing a link with the team."&amp;CHAR(10)&amp;CHAR(10)&amp;"It works well as a team social or "&amp;IF(ISNUMBER(SEARCH(LEFT(F399,1),"AEIOU")),"an ","a ")&amp;F399&amp;"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LINK]")&amp;CHAR(10)&amp;CHAR(10)&amp;"Best,"&amp;CHAR(10)&amp;IF(AL399&lt;&gt;"",AL399,IF(Offer!$C$5&lt;&gt;"",Offer!$C$5,"[NAME]"))&amp;CHAR(10)&amp;"FC Urban"</f>
        <v/>
      </c>
      <c r="AH399" s="14">
        <f>IF(LEN("Hi"&amp;IF(O399&lt;&gt;""," "&amp;O399,"")&amp;","&amp;" FC Urban runs after-work football for "&amp;IF(D399="Canary Wharf","Canary Wharf","City")&amp;" teams. We have a "&amp;AC399&amp;" pitch at "&amp;X399&amp;", "&amp;Y399&amp;" min from your office, "&amp;IF(ISNUMBER(AB399),TEXT(AB399,"ddd d mmm")&amp;", "&amp;TEXT(AB399,"hh:mm"),"weekday evenings")&amp;", "&amp;IF(AD399&lt;&gt;"","£"&amp;IF(AD399=INT(AD399),TEXT(AD399,"0"),TEXT(AD399,"0.00")),"[PRICE PER PLAYER]")&amp;" a player. We handle booking, sign-ups and payments. Fancy "&amp;IF(ISNUMBER(SEARCH(LEFT(F399,1),"AEIOU")),"an ","a ")&amp;F399&amp;" team game? "&amp;IF(AL399&lt;&gt;"",AL399,IF(Offer!$C$5&lt;&gt;"",Offer!$C$5,"[NAME]")))&lt;=300,"Hi"&amp;IF(O399&lt;&gt;""," "&amp;O399,"")&amp;","&amp;" FC Urban runs after-work football for "&amp;IF(D399="Canary Wharf","Canary Wharf","City")&amp;" teams. We have a "&amp;AC399&amp;" pitch at "&amp;X399&amp;", "&amp;Y399&amp;" min from your office, "&amp;IF(ISNUMBER(AB399),TEXT(AB399,"ddd d mmm")&amp;", "&amp;TEXT(AB399,"hh:mm"),"weekday evenings")&amp;", "&amp;IF(AD399&lt;&gt;"","£"&amp;IF(AD399=INT(AD399),TEXT(AD399,"0"),TEXT(AD399,"0.00")),"[PRICE PER PLAYER]")&amp;" a player. We handle booking, sign-ups and payments. Fancy "&amp;IF(ISNUMBER(SEARCH(LEFT(F399,1),"AEIOU")),"an ","a ")&amp;F399&amp;" team game? "&amp;IF(AL399&lt;&gt;"",AL399,IF(Offer!$C$5&lt;&gt;"",Offer!$C$5,"[NAME]")),LEFT("Hi"&amp;IF(O399&lt;&gt;""," "&amp;O399,"")&amp;","&amp;" FC Urban runs after-work football for "&amp;IF(D399="Canary Wharf","Canary Wharf","City")&amp;" teams: "&amp;AC399&amp;" at "&amp;X399&amp;", "&amp;Y399&amp;" min from your office, "&amp;IF(ISNUMBER(AB399),TEXT(AB399,"ddd d mmm")&amp;", "&amp;TEXT(AB399,"hh:mm"),"weekday evenings")&amp;", "&amp;IF(AD399&lt;&gt;"","£"&amp;IF(AD399=INT(AD399),TEXT(AD399,"0"),TEXT(AD399,"0.00")),"[PRICE PER PLAYER]")&amp;" pp. We handle booking and payments. Up for a team game? "&amp;IF(AL399&lt;&gt;"",AL399,IF(Offer!$C$5&lt;&gt;"",Offer!$C$5,"[NAME]")),300))</f>
        <v/>
      </c>
      <c r="AI399" s="14">
        <f>LEN(AH399)</f>
        <v/>
      </c>
      <c r="AJ399" s="14">
        <f>"Thanks for connecting"&amp;IF(O399&lt;&gt;"",", "&amp;O399,"")&amp;". "&amp;IF(ISNUMBER(AB399),"The "&amp;AC399&amp;" slot at "&amp;X399&amp;" is "&amp;IF(ISNUMBER(AB399),TEXT(AB399,"ddd d mmm")&amp;", "&amp;TEXT(AB399,"hh:mm"),"weekday evenings"),"We can book "&amp;AC399&amp;" at "&amp;X399&amp;" on a weekday evening that suits you")&amp;" and it's "&amp;IF(AD399&lt;&gt;"","£"&amp;IF(AD399=INT(AD399),TEXT(AD399,"0"),TEXT(AD399,"0.00")),"[PRICE PER PLAYER]")&amp;" a player, all booked and paid through one link. If football isn't your thing, who at "&amp;F399&amp;" would be the right person to organise a team game?"&amp;IF(Offer!$C$7&lt;&gt;""," Spots are held until "&amp;TEXT(Offer!$C$7,"dddd d mmmm")&amp;".","")&amp;" "&amp;IF(Offer!$C$6&lt;&gt;"",Offer!$C$6,"[JOINING LINK]")</f>
        <v/>
      </c>
      <c r="AK399" s="14">
        <f>IF(OR(ISNUMBER(SEARCH("[",AG399)),ISNUMBER(SEARCH("[",AJ399))),"Fill placeholders",IF(ISNUMBER(AB399),"Ready to send","Ready · no fixed slot"))</f>
        <v/>
      </c>
      <c r="AN399" s="17" t="n"/>
    </row>
    <row r="400">
      <c r="A400" s="11" t="n">
        <v>398</v>
      </c>
      <c r="B400" s="11" t="n">
        <v>3</v>
      </c>
      <c r="C400" s="11" t="inlineStr">
        <is>
          <t>Fund / asset manager</t>
        </is>
      </c>
      <c r="D400" s="11" t="inlineStr">
        <is>
          <t>City of London</t>
        </is>
      </c>
      <c r="E400" s="11" t="inlineStr">
        <is>
          <t>Clearance Capital Limited</t>
        </is>
      </c>
      <c r="F400" s="11" t="inlineStr">
        <is>
          <t>Clearance Capital</t>
        </is>
      </c>
      <c r="G400" s="11" t="inlineStr">
        <is>
          <t>06760235</t>
        </is>
      </c>
      <c r="H400" s="12" t="inlineStr">
        <is>
          <t>Open</t>
        </is>
      </c>
      <c r="I400" s="12" t="inlineStr">
        <is>
          <t>Search</t>
        </is>
      </c>
      <c r="J400" s="11" t="inlineStr">
        <is>
          <t>Full</t>
        </is>
      </c>
      <c r="K400" s="13" t="n">
        <v>39779</v>
      </c>
      <c r="L400" s="11" t="inlineStr">
        <is>
          <t>3 Copthall Avenue, London</t>
        </is>
      </c>
      <c r="M400" s="11" t="inlineStr">
        <is>
          <t>EC2R 7BH</t>
        </is>
      </c>
      <c r="N400" s="11" t="inlineStr">
        <is>
          <t>No</t>
        </is>
      </c>
      <c r="U400" s="11" t="inlineStr">
        <is>
          <t>Liverpool St - Attlee Centre</t>
        </is>
      </c>
      <c r="V400" s="11" t="n">
        <v>18</v>
      </c>
      <c r="W400" s="11" t="n"/>
      <c r="X400" s="11" t="inlineStr">
        <is>
          <t>Liverpool St - Attlee Centre</t>
        </is>
      </c>
      <c r="Y400" s="11" t="n">
        <v>18</v>
      </c>
      <c r="Z400" s="14">
        <f>IFERROR(INDEX(Venues!$E$2:$E$15,MATCH(X400,Venues!$A$2:$A$15,0)),"Not checked")</f>
        <v/>
      </c>
      <c r="AA400" s="14">
        <f>IFERROR(INDEX(Venues!$F$2:$F$15,MATCH(X400,Venues!$A$2:$A$15,0)),0)</f>
        <v/>
      </c>
      <c r="AB400" s="15">
        <f>IFERROR(INDEX(Venues!$M$2:$M$15,MATCH(X400,Venues!$A$2:$A$15,0)),"")</f>
        <v/>
      </c>
      <c r="AC400" s="14">
        <f>IFERROR(INDEX(Venues!$N$2:$N$15,MATCH(X400,Venues!$A$2:$A$15,0)),"5-a-side")</f>
        <v/>
      </c>
      <c r="AD400" s="16">
        <f>IF(Offer!$C$4="","",Offer!$C$4)</f>
        <v/>
      </c>
      <c r="AE400" s="14">
        <f>X400&amp;" ("&amp;Y400&amp;" min walk) · "&amp;IF(ISNUMBER(AB400),TEXT(AB400,"ddd d mmm, hh:mm"),"slot to confirm with venue")&amp;" · "&amp;AC400&amp;" · "&amp;IF(AD400&lt;&gt;"","£"&amp;TEXT(AD400,"0.00")&amp;" pp","price TBC")</f>
        <v/>
      </c>
      <c r="AF400" s="14">
        <f>"After-work football for "&amp;F400&amp;" · "&amp;X400&amp;", "&amp;Y400&amp;" min from your office"</f>
        <v/>
      </c>
      <c r="AG400" s="14">
        <f>"Hi"&amp;IF(O400&lt;&gt;""," "&amp;O400,"")&amp;","&amp;CHAR(10)&amp;CHAR(10)&amp;"I'm "&amp;IF(AL400&lt;&gt;"",AL400,IF(Offer!$C$5&lt;&gt;"",Offer!$C$5,"[NAME]"))&amp;" from FC Urban. We organise after-work football for teams in the City and Canary Wharf."&amp;CHAR(10)&amp;CHAR(10)&amp;"We have a "&amp;AC400&amp;" pitch at "&amp;X400&amp;", "&amp;IF(OR(Y400=8,Y400=11,Y400=18),"an ","a ")&amp;Y400&amp;"-minute walk from your "&amp;M400&amp;" office, "&amp;IF(ISNUMBER(AB400),"on "&amp;TEXT(AB400,"dddd d mmmm")&amp;" at "&amp;TEXT(AB400,"hh:mm"),"on a weekday evening that suits your team")&amp;". It's "&amp;IF(AD400&lt;&gt;"","£"&amp;IF(AD400=INT(AD400),TEXT(AD400,"0"),TEXT(AD400,"0.00")),"[PRICE PER PLAYER]")&amp;" a player and we handle the pitch booking, sign-ups and payments, so all it takes is one person sharing a link with the team."&amp;CHAR(10)&amp;CHAR(10)&amp;"It works well as a team social or "&amp;IF(ISNUMBER(SEARCH(LEFT(F400,1),"AEIOU")),"an ","a ")&amp;F400&amp;"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LINK]")&amp;CHAR(10)&amp;CHAR(10)&amp;"Best,"&amp;CHAR(10)&amp;IF(AL400&lt;&gt;"",AL400,IF(Offer!$C$5&lt;&gt;"",Offer!$C$5,"[NAME]"))&amp;CHAR(10)&amp;"FC Urban"</f>
        <v/>
      </c>
      <c r="AH400" s="14">
        <f>IF(LEN("Hi"&amp;IF(O400&lt;&gt;""," "&amp;O400,"")&amp;","&amp;" FC Urban runs after-work football for "&amp;IF(D400="Canary Wharf","Canary Wharf","City")&amp;" teams. We have a "&amp;AC400&amp;" pitch at "&amp;X400&amp;", "&amp;Y400&amp;" min from your office, "&amp;IF(ISNUMBER(AB400),TEXT(AB400,"ddd d mmm")&amp;", "&amp;TEXT(AB400,"hh:mm"),"weekday evenings")&amp;", "&amp;IF(AD400&lt;&gt;"","£"&amp;IF(AD400=INT(AD400),TEXT(AD400,"0"),TEXT(AD400,"0.00")),"[PRICE PER PLAYER]")&amp;" a player. We handle booking, sign-ups and payments. Fancy "&amp;IF(ISNUMBER(SEARCH(LEFT(F400,1),"AEIOU")),"an ","a ")&amp;F400&amp;" team game? "&amp;IF(AL400&lt;&gt;"",AL400,IF(Offer!$C$5&lt;&gt;"",Offer!$C$5,"[NAME]")))&lt;=300,"Hi"&amp;IF(O400&lt;&gt;""," "&amp;O400,"")&amp;","&amp;" FC Urban runs after-work football for "&amp;IF(D400="Canary Wharf","Canary Wharf","City")&amp;" teams. We have a "&amp;AC400&amp;" pitch at "&amp;X400&amp;", "&amp;Y400&amp;" min from your office, "&amp;IF(ISNUMBER(AB400),TEXT(AB400,"ddd d mmm")&amp;", "&amp;TEXT(AB400,"hh:mm"),"weekday evenings")&amp;", "&amp;IF(AD400&lt;&gt;"","£"&amp;IF(AD400=INT(AD400),TEXT(AD400,"0"),TEXT(AD400,"0.00")),"[PRICE PER PLAYER]")&amp;" a player. We handle booking, sign-ups and payments. Fancy "&amp;IF(ISNUMBER(SEARCH(LEFT(F400,1),"AEIOU")),"an ","a ")&amp;F400&amp;" team game? "&amp;IF(AL400&lt;&gt;"",AL400,IF(Offer!$C$5&lt;&gt;"",Offer!$C$5,"[NAME]")),LEFT("Hi"&amp;IF(O400&lt;&gt;""," "&amp;O400,"")&amp;","&amp;" FC Urban runs after-work football for "&amp;IF(D400="Canary Wharf","Canary Wharf","City")&amp;" teams: "&amp;AC400&amp;" at "&amp;X400&amp;", "&amp;Y400&amp;" min from your office, "&amp;IF(ISNUMBER(AB400),TEXT(AB400,"ddd d mmm")&amp;", "&amp;TEXT(AB400,"hh:mm"),"weekday evenings")&amp;", "&amp;IF(AD400&lt;&gt;"","£"&amp;IF(AD400=INT(AD400),TEXT(AD400,"0"),TEXT(AD400,"0.00")),"[PRICE PER PLAYER]")&amp;" pp. We handle booking and payments. Up for a team game? "&amp;IF(AL400&lt;&gt;"",AL400,IF(Offer!$C$5&lt;&gt;"",Offer!$C$5,"[NAME]")),300))</f>
        <v/>
      </c>
      <c r="AI400" s="14">
        <f>LEN(AH400)</f>
        <v/>
      </c>
      <c r="AJ400" s="14">
        <f>"Thanks for connecting"&amp;IF(O400&lt;&gt;"",", "&amp;O400,"")&amp;". "&amp;IF(ISNUMBER(AB400),"The "&amp;AC400&amp;" slot at "&amp;X400&amp;" is "&amp;IF(ISNUMBER(AB400),TEXT(AB400,"ddd d mmm")&amp;", "&amp;TEXT(AB400,"hh:mm"),"weekday evenings"),"We can book "&amp;AC400&amp;" at "&amp;X400&amp;" on a weekday evening that suits you")&amp;" and it's "&amp;IF(AD400&lt;&gt;"","£"&amp;IF(AD400=INT(AD400),TEXT(AD400,"0"),TEXT(AD400,"0.00")),"[PRICE PER PLAYER]")&amp;" a player, all booked and paid through one link. If football isn't your thing, who at "&amp;F400&amp;" would be the right person to organise a team game?"&amp;IF(Offer!$C$7&lt;&gt;""," Spots are held until "&amp;TEXT(Offer!$C$7,"dddd d mmmm")&amp;".","")&amp;" "&amp;IF(Offer!$C$6&lt;&gt;"",Offer!$C$6,"[JOINING LINK]")</f>
        <v/>
      </c>
      <c r="AK400" s="14">
        <f>IF(OR(ISNUMBER(SEARCH("[",AG400)),ISNUMBER(SEARCH("[",AJ400))),"Fill placeholders",IF(ISNUMBER(AB400),"Ready to send","Ready · no fixed slot"))</f>
        <v/>
      </c>
      <c r="AN400" s="17" t="n"/>
    </row>
    <row r="401">
      <c r="A401" s="11" t="n">
        <v>399</v>
      </c>
      <c r="B401" s="11" t="n">
        <v>3</v>
      </c>
      <c r="C401" s="11" t="inlineStr">
        <is>
          <t>Fund / asset manager</t>
        </is>
      </c>
      <c r="D401" s="11" t="inlineStr">
        <is>
          <t>City of London</t>
        </is>
      </c>
      <c r="E401" s="11" t="inlineStr">
        <is>
          <t>DB Investment Partners Limited</t>
        </is>
      </c>
      <c r="F401" s="11" t="inlineStr">
        <is>
          <t>DB Investment Partners</t>
        </is>
      </c>
      <c r="G401" s="11" t="inlineStr">
        <is>
          <t>13679854</t>
        </is>
      </c>
      <c r="H401" s="12" t="inlineStr">
        <is>
          <t>Open</t>
        </is>
      </c>
      <c r="I401" s="12" t="inlineStr">
        <is>
          <t>Search</t>
        </is>
      </c>
      <c r="J401" s="11" t="inlineStr">
        <is>
          <t>Full</t>
        </is>
      </c>
      <c r="K401" s="13" t="n">
        <v>44483</v>
      </c>
      <c r="L401" s="11" t="inlineStr">
        <is>
          <t>21 Moorfields, London</t>
        </is>
      </c>
      <c r="M401" s="11" t="inlineStr">
        <is>
          <t>EC2Y 9DB</t>
        </is>
      </c>
      <c r="N401" s="11" t="inlineStr">
        <is>
          <t>No</t>
        </is>
      </c>
      <c r="U401" s="11" t="inlineStr">
        <is>
          <t>Shoreditch Powerleague</t>
        </is>
      </c>
      <c r="V401" s="11" t="n">
        <v>18</v>
      </c>
      <c r="W401" s="11" t="inlineStr">
        <is>
          <t>Liverpool St - Attlee Centre (18.3)</t>
        </is>
      </c>
      <c r="X401" s="11" t="inlineStr">
        <is>
          <t>Shoreditch Powerleague</t>
        </is>
      </c>
      <c r="Y401" s="11" t="n">
        <v>18</v>
      </c>
      <c r="Z401" s="14">
        <f>IFERROR(INDEX(Venues!$E$2:$E$15,MATCH(X401,Venues!$A$2:$A$15,0)),"Not checked")</f>
        <v/>
      </c>
      <c r="AA401" s="14">
        <f>IFERROR(INDEX(Venues!$F$2:$F$15,MATCH(X401,Venues!$A$2:$A$15,0)),0)</f>
        <v/>
      </c>
      <c r="AB401" s="15">
        <f>IFERROR(INDEX(Venues!$M$2:$M$15,MATCH(X401,Venues!$A$2:$A$15,0)),"")</f>
        <v/>
      </c>
      <c r="AC401" s="14">
        <f>IFERROR(INDEX(Venues!$N$2:$N$15,MATCH(X401,Venues!$A$2:$A$15,0)),"5-a-side")</f>
        <v/>
      </c>
      <c r="AD401" s="16">
        <f>IF(Offer!$C$4="","",Offer!$C$4)</f>
        <v/>
      </c>
      <c r="AE401" s="14">
        <f>X401&amp;" ("&amp;Y401&amp;" min walk) · "&amp;IF(ISNUMBER(AB401),TEXT(AB401,"ddd d mmm, hh:mm"),"slot to confirm with venue")&amp;" · "&amp;AC401&amp;" · "&amp;IF(AD401&lt;&gt;"","£"&amp;TEXT(AD401,"0.00")&amp;" pp","price TBC")</f>
        <v/>
      </c>
      <c r="AF401" s="14">
        <f>"After-work football for "&amp;F401&amp;" · "&amp;X401&amp;", "&amp;Y401&amp;" min from your office"</f>
        <v/>
      </c>
      <c r="AG401" s="14">
        <f>"Hi"&amp;IF(O401&lt;&gt;""," "&amp;O401,"")&amp;","&amp;CHAR(10)&amp;CHAR(10)&amp;"I'm "&amp;IF(AL401&lt;&gt;"",AL401,IF(Offer!$C$5&lt;&gt;"",Offer!$C$5,"[NAME]"))&amp;" from FC Urban. We organise after-work football for teams in the City and Canary Wharf."&amp;CHAR(10)&amp;CHAR(10)&amp;"We have a "&amp;AC401&amp;" pitch at "&amp;X401&amp;", "&amp;IF(OR(Y401=8,Y401=11,Y401=18),"an ","a ")&amp;Y401&amp;"-minute walk from your "&amp;M401&amp;" office, "&amp;IF(ISNUMBER(AB401),"on "&amp;TEXT(AB401,"dddd d mmmm")&amp;" at "&amp;TEXT(AB401,"hh:mm"),"on a weekday evening that suits your team")&amp;". It's "&amp;IF(AD401&lt;&gt;"","£"&amp;IF(AD401=INT(AD401),TEXT(AD401,"0"),TEXT(AD401,"0.00")),"[PRICE PER PLAYER]")&amp;" a player and we handle the pitch booking, sign-ups and payments, so all it takes is one person sharing a link with the team."&amp;CHAR(10)&amp;CHAR(10)&amp;"It works well as a team social or "&amp;IF(ISNUMBER(SEARCH(LEFT(F401,1),"AEIOU")),"an ","a ")&amp;F401&amp;"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LINK]")&amp;CHAR(10)&amp;CHAR(10)&amp;"Best,"&amp;CHAR(10)&amp;IF(AL401&lt;&gt;"",AL401,IF(Offer!$C$5&lt;&gt;"",Offer!$C$5,"[NAME]"))&amp;CHAR(10)&amp;"FC Urban"</f>
        <v/>
      </c>
      <c r="AH401" s="14">
        <f>IF(LEN("Hi"&amp;IF(O401&lt;&gt;""," "&amp;O401,"")&amp;","&amp;" FC Urban runs after-work football for "&amp;IF(D401="Canary Wharf","Canary Wharf","City")&amp;" teams. We have a "&amp;AC401&amp;" pitch at "&amp;X401&amp;", "&amp;Y401&amp;" min from your office, "&amp;IF(ISNUMBER(AB401),TEXT(AB401,"ddd d mmm")&amp;", "&amp;TEXT(AB401,"hh:mm"),"weekday evenings")&amp;", "&amp;IF(AD401&lt;&gt;"","£"&amp;IF(AD401=INT(AD401),TEXT(AD401,"0"),TEXT(AD401,"0.00")),"[PRICE PER PLAYER]")&amp;" a player. We handle booking, sign-ups and payments. Fancy "&amp;IF(ISNUMBER(SEARCH(LEFT(F401,1),"AEIOU")),"an ","a ")&amp;F401&amp;" team game? "&amp;IF(AL401&lt;&gt;"",AL401,IF(Offer!$C$5&lt;&gt;"",Offer!$C$5,"[NAME]")))&lt;=300,"Hi"&amp;IF(O401&lt;&gt;""," "&amp;O401,"")&amp;","&amp;" FC Urban runs after-work football for "&amp;IF(D401="Canary Wharf","Canary Wharf","City")&amp;" teams. We have a "&amp;AC401&amp;" pitch at "&amp;X401&amp;", "&amp;Y401&amp;" min from your office, "&amp;IF(ISNUMBER(AB401),TEXT(AB401,"ddd d mmm")&amp;", "&amp;TEXT(AB401,"hh:mm"),"weekday evenings")&amp;", "&amp;IF(AD401&lt;&gt;"","£"&amp;IF(AD401=INT(AD401),TEXT(AD401,"0"),TEXT(AD401,"0.00")),"[PRICE PER PLAYER]")&amp;" a player. We handle booking, sign-ups and payments. Fancy "&amp;IF(ISNUMBER(SEARCH(LEFT(F401,1),"AEIOU")),"an ","a ")&amp;F401&amp;" team game? "&amp;IF(AL401&lt;&gt;"",AL401,IF(Offer!$C$5&lt;&gt;"",Offer!$C$5,"[NAME]")),LEFT("Hi"&amp;IF(O401&lt;&gt;""," "&amp;O401,"")&amp;","&amp;" FC Urban runs after-work football for "&amp;IF(D401="Canary Wharf","Canary Wharf","City")&amp;" teams: "&amp;AC401&amp;" at "&amp;X401&amp;", "&amp;Y401&amp;" min from your office, "&amp;IF(ISNUMBER(AB401),TEXT(AB401,"ddd d mmm")&amp;", "&amp;TEXT(AB401,"hh:mm"),"weekday evenings")&amp;", "&amp;IF(AD401&lt;&gt;"","£"&amp;IF(AD401=INT(AD401),TEXT(AD401,"0"),TEXT(AD401,"0.00")),"[PRICE PER PLAYER]")&amp;" pp. We handle booking and payments. Up for a team game? "&amp;IF(AL401&lt;&gt;"",AL401,IF(Offer!$C$5&lt;&gt;"",Offer!$C$5,"[NAME]")),300))</f>
        <v/>
      </c>
      <c r="AI401" s="14">
        <f>LEN(AH401)</f>
        <v/>
      </c>
      <c r="AJ401" s="14">
        <f>"Thanks for connecting"&amp;IF(O401&lt;&gt;"",", "&amp;O401,"")&amp;". "&amp;IF(ISNUMBER(AB401),"The "&amp;AC401&amp;" slot at "&amp;X401&amp;" is "&amp;IF(ISNUMBER(AB401),TEXT(AB401,"ddd d mmm")&amp;", "&amp;TEXT(AB401,"hh:mm"),"weekday evenings"),"We can book "&amp;AC401&amp;" at "&amp;X401&amp;" on a weekday evening that suits you")&amp;" and it's "&amp;IF(AD401&lt;&gt;"","£"&amp;IF(AD401=INT(AD401),TEXT(AD401,"0"),TEXT(AD401,"0.00")),"[PRICE PER PLAYER]")&amp;" a player, all booked and paid through one link. If football isn't your thing, who at "&amp;F401&amp;" would be the right person to organise a team game?"&amp;IF(Offer!$C$7&lt;&gt;""," Spots are held until "&amp;TEXT(Offer!$C$7,"dddd d mmmm")&amp;".","")&amp;" "&amp;IF(Offer!$C$6&lt;&gt;"",Offer!$C$6,"[JOINING LINK]")</f>
        <v/>
      </c>
      <c r="AK401" s="14">
        <f>IF(OR(ISNUMBER(SEARCH("[",AG401)),ISNUMBER(SEARCH("[",AJ401))),"Fill placeholders",IF(ISNUMBER(AB401),"Ready to send","Ready · no fixed slot"))</f>
        <v/>
      </c>
      <c r="AN401" s="17" t="n"/>
    </row>
    <row r="402">
      <c r="A402" s="11" t="n">
        <v>400</v>
      </c>
      <c r="B402" s="11" t="n">
        <v>3</v>
      </c>
      <c r="C402" s="11" t="inlineStr">
        <is>
          <t>Advisory / accountancy</t>
        </is>
      </c>
      <c r="D402" s="11" t="inlineStr">
        <is>
          <t>City of London</t>
        </is>
      </c>
      <c r="E402" s="11" t="inlineStr">
        <is>
          <t>EY Advisory Netherlands LLP</t>
        </is>
      </c>
      <c r="F402" s="11" t="inlineStr">
        <is>
          <t>EY Advisory Netherlands</t>
        </is>
      </c>
      <c r="G402" s="11" t="inlineStr">
        <is>
          <t>OC425442</t>
        </is>
      </c>
      <c r="H402" s="12" t="inlineStr">
        <is>
          <t>Open</t>
        </is>
      </c>
      <c r="I402" s="12" t="inlineStr">
        <is>
          <t>Search</t>
        </is>
      </c>
      <c r="J402" s="11" t="inlineStr">
        <is>
          <t>Full</t>
        </is>
      </c>
      <c r="K402" s="13" t="n">
        <v>43467</v>
      </c>
      <c r="L402" s="11" t="inlineStr">
        <is>
          <t>1 More London Place, London</t>
        </is>
      </c>
      <c r="M402" s="11" t="inlineStr">
        <is>
          <t>SE1 2AF</t>
        </is>
      </c>
      <c r="N402" s="11" t="inlineStr">
        <is>
          <t>No</t>
        </is>
      </c>
      <c r="U402" s="11" t="inlineStr">
        <is>
          <t>Bermondsey Riverside</t>
        </is>
      </c>
      <c r="V402" s="11" t="n">
        <v>18</v>
      </c>
      <c r="W402" s="11" t="n"/>
      <c r="X402" s="11" t="inlineStr">
        <is>
          <t>Bermondsey Riverside</t>
        </is>
      </c>
      <c r="Y402" s="11" t="n">
        <v>18</v>
      </c>
      <c r="Z402" s="14">
        <f>IFERROR(INDEX(Venues!$E$2:$E$15,MATCH(X402,Venues!$A$2:$A$15,0)),"Not checked")</f>
        <v/>
      </c>
      <c r="AA402" s="14">
        <f>IFERROR(INDEX(Venues!$F$2:$F$15,MATCH(X402,Venues!$A$2:$A$15,0)),0)</f>
        <v/>
      </c>
      <c r="AB402" s="15">
        <f>IFERROR(INDEX(Venues!$M$2:$M$15,MATCH(X402,Venues!$A$2:$A$15,0)),"")</f>
        <v/>
      </c>
      <c r="AC402" s="14">
        <f>IFERROR(INDEX(Venues!$N$2:$N$15,MATCH(X402,Venues!$A$2:$A$15,0)),"5-a-side")</f>
        <v/>
      </c>
      <c r="AD402" s="16">
        <f>IF(Offer!$C$4="","",Offer!$C$4)</f>
        <v/>
      </c>
      <c r="AE402" s="14">
        <f>X402&amp;" ("&amp;Y402&amp;" min walk) · "&amp;IF(ISNUMBER(AB402),TEXT(AB402,"ddd d mmm, hh:mm"),"slot to confirm with venue")&amp;" · "&amp;AC402&amp;" · "&amp;IF(AD402&lt;&gt;"","£"&amp;TEXT(AD402,"0.00")&amp;" pp","price TBC")</f>
        <v/>
      </c>
      <c r="AF402" s="14">
        <f>"After-work football for "&amp;F402&amp;" · "&amp;X402&amp;", "&amp;Y402&amp;" min from your office"</f>
        <v/>
      </c>
      <c r="AG402" s="14">
        <f>"Hi"&amp;IF(O402&lt;&gt;""," "&amp;O402,"")&amp;","&amp;CHAR(10)&amp;CHAR(10)&amp;"I'm "&amp;IF(AL402&lt;&gt;"",AL402,IF(Offer!$C$5&lt;&gt;"",Offer!$C$5,"[NAME]"))&amp;" from FC Urban. We organise after-work football for teams in the City and Canary Wharf."&amp;CHAR(10)&amp;CHAR(10)&amp;"We have a "&amp;AC402&amp;" pitch at "&amp;X402&amp;", "&amp;IF(OR(Y402=8,Y402=11,Y402=18),"an ","a ")&amp;Y402&amp;"-minute walk from your "&amp;M402&amp;" office, "&amp;IF(ISNUMBER(AB402),"on "&amp;TEXT(AB402,"dddd d mmmm")&amp;" at "&amp;TEXT(AB402,"hh:mm"),"on a weekday evening that suits your team")&amp;". It's "&amp;IF(AD402&lt;&gt;"","£"&amp;IF(AD402=INT(AD402),TEXT(AD402,"0"),TEXT(AD402,"0.00")),"[PRICE PER PLAYER]")&amp;" a player and we handle the pitch booking, sign-ups and payments, so all it takes is one person sharing a link with the team."&amp;CHAR(10)&amp;CHAR(10)&amp;"It works well as a team social or "&amp;IF(ISNUMBER(SEARCH(LEFT(F402,1),"AEIOU")),"an ","a ")&amp;F402&amp;" vs clients game. Would your team be up for it, or is there someone who'd enjoy organising it?"&amp;IF(Offer!$C$7&lt;&gt;""," Spots are held until "&amp;TEXT(Offer!$C$7,"dddd d mmmm")&amp;".","")&amp;" "&amp;IF(Offer!$C$6&lt;&gt;"",Offer!$C$6,"[JOINING LINK]")&amp;CHAR(10)&amp;CHAR(10)&amp;"Best,"&amp;CHAR(10)&amp;IF(AL402&lt;&gt;"",AL402,IF(Offer!$C$5&lt;&gt;"",Offer!$C$5,"[NAME]"))&amp;CHAR(10)&amp;"FC Urban"</f>
        <v/>
      </c>
      <c r="AH402" s="14">
        <f>IF(LEN("Hi"&amp;IF(O402&lt;&gt;""," "&amp;O402,"")&amp;","&amp;" FC Urban runs after-work football for "&amp;IF(D402="Canary Wharf","Canary Wharf","City")&amp;" teams. We have a "&amp;AC402&amp;" pitch at "&amp;X402&amp;", "&amp;Y402&amp;" min from your office, "&amp;IF(ISNUMBER(AB402),TEXT(AB402,"ddd d mmm")&amp;", "&amp;TEXT(AB402,"hh:mm"),"weekday evenings")&amp;", "&amp;IF(AD402&lt;&gt;"","£"&amp;IF(AD402=INT(AD402),TEXT(AD402,"0"),TEXT(AD402,"0.00")),"[PRICE PER PLAYER]")&amp;" a player. We handle booking, sign-ups and payments. Fancy "&amp;IF(ISNUMBER(SEARCH(LEFT(F402,1),"AEIOU")),"an ","a ")&amp;F402&amp;" team game? "&amp;IF(AL402&lt;&gt;"",AL402,IF(Offer!$C$5&lt;&gt;"",Offer!$C$5,"[NAME]")))&lt;=300,"Hi"&amp;IF(O402&lt;&gt;""," "&amp;O402,"")&amp;","&amp;" FC Urban runs after-work football for "&amp;IF(D402="Canary Wharf","Canary Wharf","City")&amp;" teams. We have a "&amp;AC402&amp;" pitch at "&amp;X402&amp;", "&amp;Y402&amp;" min from your office, "&amp;IF(ISNUMBER(AB402),TEXT(AB402,"ddd d mmm")&amp;", "&amp;TEXT(AB402,"hh:mm"),"weekday evenings")&amp;", "&amp;IF(AD402&lt;&gt;"","£"&amp;IF(AD402=INT(AD402),TEXT(AD402,"0"),TEXT(AD402,"0.00")),"[PRICE PER PLAYER]")&amp;" a player. We handle booking, sign-ups and payments. Fancy "&amp;IF(ISNUMBER(SEARCH(LEFT(F402,1),"AEIOU")),"an ","a ")&amp;F402&amp;" team game? "&amp;IF(AL402&lt;&gt;"",AL402,IF(Offer!$C$5&lt;&gt;"",Offer!$C$5,"[NAME]")),LEFT("Hi"&amp;IF(O402&lt;&gt;""," "&amp;O402,"")&amp;","&amp;" FC Urban runs after-work football for "&amp;IF(D402="Canary Wharf","Canary Wharf","City")&amp;" teams: "&amp;AC402&amp;" at "&amp;X402&amp;", "&amp;Y402&amp;" min from your office, "&amp;IF(ISNUMBER(AB402),TEXT(AB402,"ddd d mmm")&amp;", "&amp;TEXT(AB402,"hh:mm"),"weekday evenings")&amp;", "&amp;IF(AD402&lt;&gt;"","£"&amp;IF(AD402=INT(AD402),TEXT(AD402,"0"),TEXT(AD402,"0.00")),"[PRICE PER PLAYER]")&amp;" pp. We handle booking and payments. Up for a team game? "&amp;IF(AL402&lt;&gt;"",AL402,IF(Offer!$C$5&lt;&gt;"",Offer!$C$5,"[NAME]")),300))</f>
        <v/>
      </c>
      <c r="AI402" s="14">
        <f>LEN(AH402)</f>
        <v/>
      </c>
      <c r="AJ402" s="14">
        <f>"Thanks for connecting"&amp;IF(O402&lt;&gt;"",", "&amp;O402,"")&amp;". "&amp;IF(ISNUMBER(AB402),"The "&amp;AC402&amp;" slot at "&amp;X402&amp;" is "&amp;IF(ISNUMBER(AB402),TEXT(AB402,"ddd d mmm")&amp;", "&amp;TEXT(AB402,"hh:mm"),"weekday evenings"),"We can book "&amp;AC402&amp;" at "&amp;X402&amp;" on a weekday evening that suits you")&amp;" and it's "&amp;IF(AD402&lt;&gt;"","£"&amp;IF(AD402=INT(AD402),TEXT(AD402,"0"),TEXT(AD402,"0.00")),"[PRICE PER PLAYER]")&amp;" a player, all booked and paid through one link. If football isn't your thing, who at "&amp;F402&amp;" would be the right person to organise a team game?"&amp;IF(Offer!$C$7&lt;&gt;""," Spots are held until "&amp;TEXT(Offer!$C$7,"dddd d mmmm")&amp;".","")&amp;" "&amp;IF(Offer!$C$6&lt;&gt;"",Offer!$C$6,"[JOINING LINK]")</f>
        <v/>
      </c>
      <c r="AK402" s="14">
        <f>IF(OR(ISNUMBER(SEARCH("[",AG402)),ISNUMBER(SEARCH("[",AJ402))),"Fill placeholders",IF(ISNUMBER(AB402),"Ready to send","Ready · no fixed slot"))</f>
        <v/>
      </c>
      <c r="AN402" s="17" t="n"/>
    </row>
  </sheetData>
  <autoFilter ref="A2:AW402"/>
  <mergeCells count="5">
    <mergeCell ref="O1:T1"/>
    <mergeCell ref="U1:W1"/>
    <mergeCell ref="AL1:AW1"/>
    <mergeCell ref="X1:AK1"/>
    <mergeCell ref="A1:N1"/>
  </mergeCells>
  <dataValidations count="9">
    <dataValidation sqref="AL3:AL1000" showDropDown="0" showInputMessage="0" showErrorMessage="0" allowBlank="1" type="list">
      <formula1>"Joep,Luuk,Brian,Stan,Nero,Nicky"</formula1>
    </dataValidation>
    <dataValidation sqref="AM3:AM1000" showDropDown="0" showInputMessage="0" showErrorMessage="0" allowBlank="1" type="list">
      <formula1>"LinkedIn,Email,InMail,Phone,Walk-in,Other"</formula1>
    </dataValidation>
    <dataValidation sqref="AO3:AO1000" showDropDown="0" showInputMessage="0" showErrorMessage="0" allowBlank="1" type="list">
      <formula1>"Yes,No"</formula1>
    </dataValidation>
    <dataValidation sqref="AP3:AP1000" showDropDown="0" showInputMessage="0" showErrorMessage="0" allowBlank="1" type="list">
      <formula1>"Yes,No"</formula1>
    </dataValidation>
    <dataValidation sqref="AQ3:AQ1000" showDropDown="0" showInputMessage="0" showErrorMessage="0" allowBlank="1" type="list">
      <formula1>"Yes,No"</formula1>
    </dataValidation>
    <dataValidation sqref="AR3:AR1000" showDropDown="0" showInputMessage="0" showErrorMessage="0" allowBlank="1" type="list">
      <formula1>"Yes,No"</formula1>
    </dataValidation>
    <dataValidation sqref="AS3:AS1000" showDropDown="0" showInputMessage="0" showErrorMessage="0" allowBlank="1" type="list">
      <formula1>"Yes,No"</formula1>
    </dataValidation>
    <dataValidation sqref="AT3:AT1000" showDropDown="0" showInputMessage="0" showErrorMessage="0" allowBlank="1" type="list">
      <formula1>"Yes,No"</formula1>
    </dataValidation>
    <dataValidation sqref="AN3:AN1000" showDropDown="0" showInputMessage="0" showErrorMessage="0" allowBlank="1" type="date"/>
  </dataValidations>
  <hyperlinks>
    <hyperlink xmlns:r="http://schemas.openxmlformats.org/officeDocument/2006/relationships" ref="H3" r:id="rId1"/>
    <hyperlink xmlns:r="http://schemas.openxmlformats.org/officeDocument/2006/relationships" ref="I3" r:id="rId2"/>
    <hyperlink xmlns:r="http://schemas.openxmlformats.org/officeDocument/2006/relationships" ref="H4" r:id="rId3"/>
    <hyperlink xmlns:r="http://schemas.openxmlformats.org/officeDocument/2006/relationships" ref="I4" r:id="rId4"/>
    <hyperlink xmlns:r="http://schemas.openxmlformats.org/officeDocument/2006/relationships" ref="H5" r:id="rId5"/>
    <hyperlink xmlns:r="http://schemas.openxmlformats.org/officeDocument/2006/relationships" ref="I5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H7" r:id="rId9"/>
    <hyperlink xmlns:r="http://schemas.openxmlformats.org/officeDocument/2006/relationships" ref="I7" r:id="rId10"/>
    <hyperlink xmlns:r="http://schemas.openxmlformats.org/officeDocument/2006/relationships" ref="H8" r:id="rId11"/>
    <hyperlink xmlns:r="http://schemas.openxmlformats.org/officeDocument/2006/relationships" ref="I8" r:id="rId12"/>
    <hyperlink xmlns:r="http://schemas.openxmlformats.org/officeDocument/2006/relationships" ref="H9" r:id="rId13"/>
    <hyperlink xmlns:r="http://schemas.openxmlformats.org/officeDocument/2006/relationships" ref="I9" r:id="rId14"/>
    <hyperlink xmlns:r="http://schemas.openxmlformats.org/officeDocument/2006/relationships" ref="H10" r:id="rId15"/>
    <hyperlink xmlns:r="http://schemas.openxmlformats.org/officeDocument/2006/relationships" ref="I10" r:id="rId16"/>
    <hyperlink xmlns:r="http://schemas.openxmlformats.org/officeDocument/2006/relationships" ref="H11" r:id="rId17"/>
    <hyperlink xmlns:r="http://schemas.openxmlformats.org/officeDocument/2006/relationships" ref="I11" r:id="rId18"/>
    <hyperlink xmlns:r="http://schemas.openxmlformats.org/officeDocument/2006/relationships" ref="H12" r:id="rId19"/>
    <hyperlink xmlns:r="http://schemas.openxmlformats.org/officeDocument/2006/relationships" ref="I12" r:id="rId20"/>
    <hyperlink xmlns:r="http://schemas.openxmlformats.org/officeDocument/2006/relationships" ref="H13" r:id="rId21"/>
    <hyperlink xmlns:r="http://schemas.openxmlformats.org/officeDocument/2006/relationships" ref="I13" r:id="rId22"/>
    <hyperlink xmlns:r="http://schemas.openxmlformats.org/officeDocument/2006/relationships" ref="H14" r:id="rId23"/>
    <hyperlink xmlns:r="http://schemas.openxmlformats.org/officeDocument/2006/relationships" ref="I14" r:id="rId24"/>
    <hyperlink xmlns:r="http://schemas.openxmlformats.org/officeDocument/2006/relationships" ref="H15" r:id="rId25"/>
    <hyperlink xmlns:r="http://schemas.openxmlformats.org/officeDocument/2006/relationships" ref="I15" r:id="rId26"/>
    <hyperlink xmlns:r="http://schemas.openxmlformats.org/officeDocument/2006/relationships" ref="H16" r:id="rId27"/>
    <hyperlink xmlns:r="http://schemas.openxmlformats.org/officeDocument/2006/relationships" ref="I16" r:id="rId28"/>
    <hyperlink xmlns:r="http://schemas.openxmlformats.org/officeDocument/2006/relationships" ref="H17" r:id="rId29"/>
    <hyperlink xmlns:r="http://schemas.openxmlformats.org/officeDocument/2006/relationships" ref="I17" r:id="rId30"/>
    <hyperlink xmlns:r="http://schemas.openxmlformats.org/officeDocument/2006/relationships" ref="H18" r:id="rId31"/>
    <hyperlink xmlns:r="http://schemas.openxmlformats.org/officeDocument/2006/relationships" ref="I18" r:id="rId32"/>
    <hyperlink xmlns:r="http://schemas.openxmlformats.org/officeDocument/2006/relationships" ref="H19" r:id="rId33"/>
    <hyperlink xmlns:r="http://schemas.openxmlformats.org/officeDocument/2006/relationships" ref="I19" r:id="rId34"/>
    <hyperlink xmlns:r="http://schemas.openxmlformats.org/officeDocument/2006/relationships" ref="H20" r:id="rId35"/>
    <hyperlink xmlns:r="http://schemas.openxmlformats.org/officeDocument/2006/relationships" ref="I20" r:id="rId36"/>
    <hyperlink xmlns:r="http://schemas.openxmlformats.org/officeDocument/2006/relationships" ref="H21" r:id="rId37"/>
    <hyperlink xmlns:r="http://schemas.openxmlformats.org/officeDocument/2006/relationships" ref="I21" r:id="rId38"/>
    <hyperlink xmlns:r="http://schemas.openxmlformats.org/officeDocument/2006/relationships" ref="H22" r:id="rId39"/>
    <hyperlink xmlns:r="http://schemas.openxmlformats.org/officeDocument/2006/relationships" ref="I22" r:id="rId40"/>
    <hyperlink xmlns:r="http://schemas.openxmlformats.org/officeDocument/2006/relationships" ref="H23" r:id="rId41"/>
    <hyperlink xmlns:r="http://schemas.openxmlformats.org/officeDocument/2006/relationships" ref="I23" r:id="rId42"/>
    <hyperlink xmlns:r="http://schemas.openxmlformats.org/officeDocument/2006/relationships" ref="H24" r:id="rId43"/>
    <hyperlink xmlns:r="http://schemas.openxmlformats.org/officeDocument/2006/relationships" ref="I24" r:id="rId44"/>
    <hyperlink xmlns:r="http://schemas.openxmlformats.org/officeDocument/2006/relationships" ref="H25" r:id="rId45"/>
    <hyperlink xmlns:r="http://schemas.openxmlformats.org/officeDocument/2006/relationships" ref="I25" r:id="rId46"/>
    <hyperlink xmlns:r="http://schemas.openxmlformats.org/officeDocument/2006/relationships" ref="H26" r:id="rId47"/>
    <hyperlink xmlns:r="http://schemas.openxmlformats.org/officeDocument/2006/relationships" ref="I26" r:id="rId48"/>
    <hyperlink xmlns:r="http://schemas.openxmlformats.org/officeDocument/2006/relationships" ref="H27" r:id="rId49"/>
    <hyperlink xmlns:r="http://schemas.openxmlformats.org/officeDocument/2006/relationships" ref="I27" r:id="rId50"/>
    <hyperlink xmlns:r="http://schemas.openxmlformats.org/officeDocument/2006/relationships" ref="H28" r:id="rId51"/>
    <hyperlink xmlns:r="http://schemas.openxmlformats.org/officeDocument/2006/relationships" ref="I28" r:id="rId52"/>
    <hyperlink xmlns:r="http://schemas.openxmlformats.org/officeDocument/2006/relationships" ref="H29" r:id="rId53"/>
    <hyperlink xmlns:r="http://schemas.openxmlformats.org/officeDocument/2006/relationships" ref="I29" r:id="rId54"/>
    <hyperlink xmlns:r="http://schemas.openxmlformats.org/officeDocument/2006/relationships" ref="H30" r:id="rId55"/>
    <hyperlink xmlns:r="http://schemas.openxmlformats.org/officeDocument/2006/relationships" ref="I30" r:id="rId56"/>
    <hyperlink xmlns:r="http://schemas.openxmlformats.org/officeDocument/2006/relationships" ref="I31" r:id="rId57"/>
    <hyperlink xmlns:r="http://schemas.openxmlformats.org/officeDocument/2006/relationships" ref="H32" r:id="rId58"/>
    <hyperlink xmlns:r="http://schemas.openxmlformats.org/officeDocument/2006/relationships" ref="I32" r:id="rId59"/>
    <hyperlink xmlns:r="http://schemas.openxmlformats.org/officeDocument/2006/relationships" ref="H33" r:id="rId60"/>
    <hyperlink xmlns:r="http://schemas.openxmlformats.org/officeDocument/2006/relationships" ref="I33" r:id="rId61"/>
    <hyperlink xmlns:r="http://schemas.openxmlformats.org/officeDocument/2006/relationships" ref="H34" r:id="rId62"/>
    <hyperlink xmlns:r="http://schemas.openxmlformats.org/officeDocument/2006/relationships" ref="I34" r:id="rId63"/>
    <hyperlink xmlns:r="http://schemas.openxmlformats.org/officeDocument/2006/relationships" ref="H35" r:id="rId64"/>
    <hyperlink xmlns:r="http://schemas.openxmlformats.org/officeDocument/2006/relationships" ref="I35" r:id="rId65"/>
    <hyperlink xmlns:r="http://schemas.openxmlformats.org/officeDocument/2006/relationships" ref="H36" r:id="rId66"/>
    <hyperlink xmlns:r="http://schemas.openxmlformats.org/officeDocument/2006/relationships" ref="I36" r:id="rId67"/>
    <hyperlink xmlns:r="http://schemas.openxmlformats.org/officeDocument/2006/relationships" ref="H37" r:id="rId68"/>
    <hyperlink xmlns:r="http://schemas.openxmlformats.org/officeDocument/2006/relationships" ref="I37" r:id="rId69"/>
    <hyperlink xmlns:r="http://schemas.openxmlformats.org/officeDocument/2006/relationships" ref="H38" r:id="rId70"/>
    <hyperlink xmlns:r="http://schemas.openxmlformats.org/officeDocument/2006/relationships" ref="I38" r:id="rId71"/>
    <hyperlink xmlns:r="http://schemas.openxmlformats.org/officeDocument/2006/relationships" ref="H39" r:id="rId72"/>
    <hyperlink xmlns:r="http://schemas.openxmlformats.org/officeDocument/2006/relationships" ref="I39" r:id="rId73"/>
    <hyperlink xmlns:r="http://schemas.openxmlformats.org/officeDocument/2006/relationships" ref="H40" r:id="rId74"/>
    <hyperlink xmlns:r="http://schemas.openxmlformats.org/officeDocument/2006/relationships" ref="I40" r:id="rId75"/>
    <hyperlink xmlns:r="http://schemas.openxmlformats.org/officeDocument/2006/relationships" ref="H41" r:id="rId76"/>
    <hyperlink xmlns:r="http://schemas.openxmlformats.org/officeDocument/2006/relationships" ref="I41" r:id="rId77"/>
    <hyperlink xmlns:r="http://schemas.openxmlformats.org/officeDocument/2006/relationships" ref="H42" r:id="rId78"/>
    <hyperlink xmlns:r="http://schemas.openxmlformats.org/officeDocument/2006/relationships" ref="I42" r:id="rId79"/>
    <hyperlink xmlns:r="http://schemas.openxmlformats.org/officeDocument/2006/relationships" ref="H43" r:id="rId80"/>
    <hyperlink xmlns:r="http://schemas.openxmlformats.org/officeDocument/2006/relationships" ref="I43" r:id="rId81"/>
    <hyperlink xmlns:r="http://schemas.openxmlformats.org/officeDocument/2006/relationships" ref="H44" r:id="rId82"/>
    <hyperlink xmlns:r="http://schemas.openxmlformats.org/officeDocument/2006/relationships" ref="I44" r:id="rId83"/>
    <hyperlink xmlns:r="http://schemas.openxmlformats.org/officeDocument/2006/relationships" ref="H45" r:id="rId84"/>
    <hyperlink xmlns:r="http://schemas.openxmlformats.org/officeDocument/2006/relationships" ref="I45" r:id="rId85"/>
    <hyperlink xmlns:r="http://schemas.openxmlformats.org/officeDocument/2006/relationships" ref="H46" r:id="rId86"/>
    <hyperlink xmlns:r="http://schemas.openxmlformats.org/officeDocument/2006/relationships" ref="I46" r:id="rId87"/>
    <hyperlink xmlns:r="http://schemas.openxmlformats.org/officeDocument/2006/relationships" ref="H47" r:id="rId88"/>
    <hyperlink xmlns:r="http://schemas.openxmlformats.org/officeDocument/2006/relationships" ref="I47" r:id="rId89"/>
    <hyperlink xmlns:r="http://schemas.openxmlformats.org/officeDocument/2006/relationships" ref="H48" r:id="rId90"/>
    <hyperlink xmlns:r="http://schemas.openxmlformats.org/officeDocument/2006/relationships" ref="I48" r:id="rId91"/>
    <hyperlink xmlns:r="http://schemas.openxmlformats.org/officeDocument/2006/relationships" ref="H49" r:id="rId92"/>
    <hyperlink xmlns:r="http://schemas.openxmlformats.org/officeDocument/2006/relationships" ref="I49" r:id="rId93"/>
    <hyperlink xmlns:r="http://schemas.openxmlformats.org/officeDocument/2006/relationships" ref="H50" r:id="rId94"/>
    <hyperlink xmlns:r="http://schemas.openxmlformats.org/officeDocument/2006/relationships" ref="I50" r:id="rId95"/>
    <hyperlink xmlns:r="http://schemas.openxmlformats.org/officeDocument/2006/relationships" ref="H51" r:id="rId96"/>
    <hyperlink xmlns:r="http://schemas.openxmlformats.org/officeDocument/2006/relationships" ref="I51" r:id="rId97"/>
    <hyperlink xmlns:r="http://schemas.openxmlformats.org/officeDocument/2006/relationships" ref="H52" r:id="rId98"/>
    <hyperlink xmlns:r="http://schemas.openxmlformats.org/officeDocument/2006/relationships" ref="I52" r:id="rId99"/>
    <hyperlink xmlns:r="http://schemas.openxmlformats.org/officeDocument/2006/relationships" ref="H53" r:id="rId100"/>
    <hyperlink xmlns:r="http://schemas.openxmlformats.org/officeDocument/2006/relationships" ref="I53" r:id="rId101"/>
    <hyperlink xmlns:r="http://schemas.openxmlformats.org/officeDocument/2006/relationships" ref="H54" r:id="rId102"/>
    <hyperlink xmlns:r="http://schemas.openxmlformats.org/officeDocument/2006/relationships" ref="I54" r:id="rId103"/>
    <hyperlink xmlns:r="http://schemas.openxmlformats.org/officeDocument/2006/relationships" ref="H55" r:id="rId104"/>
    <hyperlink xmlns:r="http://schemas.openxmlformats.org/officeDocument/2006/relationships" ref="I55" r:id="rId105"/>
    <hyperlink xmlns:r="http://schemas.openxmlformats.org/officeDocument/2006/relationships" ref="H56" r:id="rId106"/>
    <hyperlink xmlns:r="http://schemas.openxmlformats.org/officeDocument/2006/relationships" ref="I56" r:id="rId107"/>
    <hyperlink xmlns:r="http://schemas.openxmlformats.org/officeDocument/2006/relationships" ref="H57" r:id="rId108"/>
    <hyperlink xmlns:r="http://schemas.openxmlformats.org/officeDocument/2006/relationships" ref="I57" r:id="rId109"/>
    <hyperlink xmlns:r="http://schemas.openxmlformats.org/officeDocument/2006/relationships" ref="H58" r:id="rId110"/>
    <hyperlink xmlns:r="http://schemas.openxmlformats.org/officeDocument/2006/relationships" ref="I58" r:id="rId111"/>
    <hyperlink xmlns:r="http://schemas.openxmlformats.org/officeDocument/2006/relationships" ref="H59" r:id="rId112"/>
    <hyperlink xmlns:r="http://schemas.openxmlformats.org/officeDocument/2006/relationships" ref="I59" r:id="rId113"/>
    <hyperlink xmlns:r="http://schemas.openxmlformats.org/officeDocument/2006/relationships" ref="H60" r:id="rId114"/>
    <hyperlink xmlns:r="http://schemas.openxmlformats.org/officeDocument/2006/relationships" ref="I60" r:id="rId115"/>
    <hyperlink xmlns:r="http://schemas.openxmlformats.org/officeDocument/2006/relationships" ref="H61" r:id="rId116"/>
    <hyperlink xmlns:r="http://schemas.openxmlformats.org/officeDocument/2006/relationships" ref="I61" r:id="rId117"/>
    <hyperlink xmlns:r="http://schemas.openxmlformats.org/officeDocument/2006/relationships" ref="H62" r:id="rId118"/>
    <hyperlink xmlns:r="http://schemas.openxmlformats.org/officeDocument/2006/relationships" ref="I62" r:id="rId119"/>
    <hyperlink xmlns:r="http://schemas.openxmlformats.org/officeDocument/2006/relationships" ref="H63" r:id="rId120"/>
    <hyperlink xmlns:r="http://schemas.openxmlformats.org/officeDocument/2006/relationships" ref="I63" r:id="rId121"/>
    <hyperlink xmlns:r="http://schemas.openxmlformats.org/officeDocument/2006/relationships" ref="H64" r:id="rId122"/>
    <hyperlink xmlns:r="http://schemas.openxmlformats.org/officeDocument/2006/relationships" ref="I64" r:id="rId123"/>
    <hyperlink xmlns:r="http://schemas.openxmlformats.org/officeDocument/2006/relationships" ref="H65" r:id="rId124"/>
    <hyperlink xmlns:r="http://schemas.openxmlformats.org/officeDocument/2006/relationships" ref="I65" r:id="rId125"/>
    <hyperlink xmlns:r="http://schemas.openxmlformats.org/officeDocument/2006/relationships" ref="H66" r:id="rId126"/>
    <hyperlink xmlns:r="http://schemas.openxmlformats.org/officeDocument/2006/relationships" ref="I66" r:id="rId127"/>
    <hyperlink xmlns:r="http://schemas.openxmlformats.org/officeDocument/2006/relationships" ref="H67" r:id="rId128"/>
    <hyperlink xmlns:r="http://schemas.openxmlformats.org/officeDocument/2006/relationships" ref="I67" r:id="rId129"/>
    <hyperlink xmlns:r="http://schemas.openxmlformats.org/officeDocument/2006/relationships" ref="H68" r:id="rId130"/>
    <hyperlink xmlns:r="http://schemas.openxmlformats.org/officeDocument/2006/relationships" ref="I68" r:id="rId131"/>
    <hyperlink xmlns:r="http://schemas.openxmlformats.org/officeDocument/2006/relationships" ref="H69" r:id="rId132"/>
    <hyperlink xmlns:r="http://schemas.openxmlformats.org/officeDocument/2006/relationships" ref="I69" r:id="rId133"/>
    <hyperlink xmlns:r="http://schemas.openxmlformats.org/officeDocument/2006/relationships" ref="H70" r:id="rId134"/>
    <hyperlink xmlns:r="http://schemas.openxmlformats.org/officeDocument/2006/relationships" ref="I70" r:id="rId135"/>
    <hyperlink xmlns:r="http://schemas.openxmlformats.org/officeDocument/2006/relationships" ref="H71" r:id="rId136"/>
    <hyperlink xmlns:r="http://schemas.openxmlformats.org/officeDocument/2006/relationships" ref="I71" r:id="rId137"/>
    <hyperlink xmlns:r="http://schemas.openxmlformats.org/officeDocument/2006/relationships" ref="H72" r:id="rId138"/>
    <hyperlink xmlns:r="http://schemas.openxmlformats.org/officeDocument/2006/relationships" ref="I72" r:id="rId139"/>
    <hyperlink xmlns:r="http://schemas.openxmlformats.org/officeDocument/2006/relationships" ref="H73" r:id="rId140"/>
    <hyperlink xmlns:r="http://schemas.openxmlformats.org/officeDocument/2006/relationships" ref="I73" r:id="rId141"/>
    <hyperlink xmlns:r="http://schemas.openxmlformats.org/officeDocument/2006/relationships" ref="H74" r:id="rId142"/>
    <hyperlink xmlns:r="http://schemas.openxmlformats.org/officeDocument/2006/relationships" ref="I74" r:id="rId143"/>
    <hyperlink xmlns:r="http://schemas.openxmlformats.org/officeDocument/2006/relationships" ref="H75" r:id="rId144"/>
    <hyperlink xmlns:r="http://schemas.openxmlformats.org/officeDocument/2006/relationships" ref="I75" r:id="rId145"/>
    <hyperlink xmlns:r="http://schemas.openxmlformats.org/officeDocument/2006/relationships" ref="H76" r:id="rId146"/>
    <hyperlink xmlns:r="http://schemas.openxmlformats.org/officeDocument/2006/relationships" ref="I76" r:id="rId147"/>
    <hyperlink xmlns:r="http://schemas.openxmlformats.org/officeDocument/2006/relationships" ref="H77" r:id="rId148"/>
    <hyperlink xmlns:r="http://schemas.openxmlformats.org/officeDocument/2006/relationships" ref="I77" r:id="rId149"/>
    <hyperlink xmlns:r="http://schemas.openxmlformats.org/officeDocument/2006/relationships" ref="H78" r:id="rId150"/>
    <hyperlink xmlns:r="http://schemas.openxmlformats.org/officeDocument/2006/relationships" ref="I78" r:id="rId151"/>
    <hyperlink xmlns:r="http://schemas.openxmlformats.org/officeDocument/2006/relationships" ref="H79" r:id="rId152"/>
    <hyperlink xmlns:r="http://schemas.openxmlformats.org/officeDocument/2006/relationships" ref="I79" r:id="rId153"/>
    <hyperlink xmlns:r="http://schemas.openxmlformats.org/officeDocument/2006/relationships" ref="H80" r:id="rId154"/>
    <hyperlink xmlns:r="http://schemas.openxmlformats.org/officeDocument/2006/relationships" ref="I80" r:id="rId155"/>
    <hyperlink xmlns:r="http://schemas.openxmlformats.org/officeDocument/2006/relationships" ref="H81" r:id="rId156"/>
    <hyperlink xmlns:r="http://schemas.openxmlformats.org/officeDocument/2006/relationships" ref="I81" r:id="rId157"/>
    <hyperlink xmlns:r="http://schemas.openxmlformats.org/officeDocument/2006/relationships" ref="H82" r:id="rId158"/>
    <hyperlink xmlns:r="http://schemas.openxmlformats.org/officeDocument/2006/relationships" ref="I82" r:id="rId159"/>
    <hyperlink xmlns:r="http://schemas.openxmlformats.org/officeDocument/2006/relationships" ref="H83" r:id="rId160"/>
    <hyperlink xmlns:r="http://schemas.openxmlformats.org/officeDocument/2006/relationships" ref="I83" r:id="rId161"/>
    <hyperlink xmlns:r="http://schemas.openxmlformats.org/officeDocument/2006/relationships" ref="H84" r:id="rId162"/>
    <hyperlink xmlns:r="http://schemas.openxmlformats.org/officeDocument/2006/relationships" ref="I84" r:id="rId163"/>
    <hyperlink xmlns:r="http://schemas.openxmlformats.org/officeDocument/2006/relationships" ref="H85" r:id="rId164"/>
    <hyperlink xmlns:r="http://schemas.openxmlformats.org/officeDocument/2006/relationships" ref="I85" r:id="rId165"/>
    <hyperlink xmlns:r="http://schemas.openxmlformats.org/officeDocument/2006/relationships" ref="H86" r:id="rId166"/>
    <hyperlink xmlns:r="http://schemas.openxmlformats.org/officeDocument/2006/relationships" ref="I86" r:id="rId167"/>
    <hyperlink xmlns:r="http://schemas.openxmlformats.org/officeDocument/2006/relationships" ref="H87" r:id="rId168"/>
    <hyperlink xmlns:r="http://schemas.openxmlformats.org/officeDocument/2006/relationships" ref="I87" r:id="rId169"/>
    <hyperlink xmlns:r="http://schemas.openxmlformats.org/officeDocument/2006/relationships" ref="H88" r:id="rId170"/>
    <hyperlink xmlns:r="http://schemas.openxmlformats.org/officeDocument/2006/relationships" ref="I88" r:id="rId171"/>
    <hyperlink xmlns:r="http://schemas.openxmlformats.org/officeDocument/2006/relationships" ref="H89" r:id="rId172"/>
    <hyperlink xmlns:r="http://schemas.openxmlformats.org/officeDocument/2006/relationships" ref="I89" r:id="rId173"/>
    <hyperlink xmlns:r="http://schemas.openxmlformats.org/officeDocument/2006/relationships" ref="H90" r:id="rId174"/>
    <hyperlink xmlns:r="http://schemas.openxmlformats.org/officeDocument/2006/relationships" ref="I90" r:id="rId175"/>
    <hyperlink xmlns:r="http://schemas.openxmlformats.org/officeDocument/2006/relationships" ref="H91" r:id="rId176"/>
    <hyperlink xmlns:r="http://schemas.openxmlformats.org/officeDocument/2006/relationships" ref="I91" r:id="rId177"/>
    <hyperlink xmlns:r="http://schemas.openxmlformats.org/officeDocument/2006/relationships" ref="H92" r:id="rId178"/>
    <hyperlink xmlns:r="http://schemas.openxmlformats.org/officeDocument/2006/relationships" ref="I92" r:id="rId179"/>
    <hyperlink xmlns:r="http://schemas.openxmlformats.org/officeDocument/2006/relationships" ref="H93" r:id="rId180"/>
    <hyperlink xmlns:r="http://schemas.openxmlformats.org/officeDocument/2006/relationships" ref="I93" r:id="rId181"/>
    <hyperlink xmlns:r="http://schemas.openxmlformats.org/officeDocument/2006/relationships" ref="H94" r:id="rId182"/>
    <hyperlink xmlns:r="http://schemas.openxmlformats.org/officeDocument/2006/relationships" ref="I94" r:id="rId183"/>
    <hyperlink xmlns:r="http://schemas.openxmlformats.org/officeDocument/2006/relationships" ref="H95" r:id="rId184"/>
    <hyperlink xmlns:r="http://schemas.openxmlformats.org/officeDocument/2006/relationships" ref="I95" r:id="rId185"/>
    <hyperlink xmlns:r="http://schemas.openxmlformats.org/officeDocument/2006/relationships" ref="H96" r:id="rId186"/>
    <hyperlink xmlns:r="http://schemas.openxmlformats.org/officeDocument/2006/relationships" ref="I96" r:id="rId187"/>
    <hyperlink xmlns:r="http://schemas.openxmlformats.org/officeDocument/2006/relationships" ref="H97" r:id="rId188"/>
    <hyperlink xmlns:r="http://schemas.openxmlformats.org/officeDocument/2006/relationships" ref="I97" r:id="rId189"/>
    <hyperlink xmlns:r="http://schemas.openxmlformats.org/officeDocument/2006/relationships" ref="H98" r:id="rId190"/>
    <hyperlink xmlns:r="http://schemas.openxmlformats.org/officeDocument/2006/relationships" ref="I98" r:id="rId191"/>
    <hyperlink xmlns:r="http://schemas.openxmlformats.org/officeDocument/2006/relationships" ref="H99" r:id="rId192"/>
    <hyperlink xmlns:r="http://schemas.openxmlformats.org/officeDocument/2006/relationships" ref="I99" r:id="rId193"/>
    <hyperlink xmlns:r="http://schemas.openxmlformats.org/officeDocument/2006/relationships" ref="H100" r:id="rId194"/>
    <hyperlink xmlns:r="http://schemas.openxmlformats.org/officeDocument/2006/relationships" ref="I100" r:id="rId195"/>
    <hyperlink xmlns:r="http://schemas.openxmlformats.org/officeDocument/2006/relationships" ref="H101" r:id="rId196"/>
    <hyperlink xmlns:r="http://schemas.openxmlformats.org/officeDocument/2006/relationships" ref="I101" r:id="rId197"/>
    <hyperlink xmlns:r="http://schemas.openxmlformats.org/officeDocument/2006/relationships" ref="H102" r:id="rId198"/>
    <hyperlink xmlns:r="http://schemas.openxmlformats.org/officeDocument/2006/relationships" ref="I102" r:id="rId199"/>
    <hyperlink xmlns:r="http://schemas.openxmlformats.org/officeDocument/2006/relationships" ref="H103" r:id="rId200"/>
    <hyperlink xmlns:r="http://schemas.openxmlformats.org/officeDocument/2006/relationships" ref="I103" r:id="rId201"/>
    <hyperlink xmlns:r="http://schemas.openxmlformats.org/officeDocument/2006/relationships" ref="H104" r:id="rId202"/>
    <hyperlink xmlns:r="http://schemas.openxmlformats.org/officeDocument/2006/relationships" ref="I104" r:id="rId203"/>
    <hyperlink xmlns:r="http://schemas.openxmlformats.org/officeDocument/2006/relationships" ref="H105" r:id="rId204"/>
    <hyperlink xmlns:r="http://schemas.openxmlformats.org/officeDocument/2006/relationships" ref="I105" r:id="rId205"/>
    <hyperlink xmlns:r="http://schemas.openxmlformats.org/officeDocument/2006/relationships" ref="H106" r:id="rId206"/>
    <hyperlink xmlns:r="http://schemas.openxmlformats.org/officeDocument/2006/relationships" ref="I106" r:id="rId207"/>
    <hyperlink xmlns:r="http://schemas.openxmlformats.org/officeDocument/2006/relationships" ref="H107" r:id="rId208"/>
    <hyperlink xmlns:r="http://schemas.openxmlformats.org/officeDocument/2006/relationships" ref="I107" r:id="rId209"/>
    <hyperlink xmlns:r="http://schemas.openxmlformats.org/officeDocument/2006/relationships" ref="H108" r:id="rId210"/>
    <hyperlink xmlns:r="http://schemas.openxmlformats.org/officeDocument/2006/relationships" ref="I108" r:id="rId211"/>
    <hyperlink xmlns:r="http://schemas.openxmlformats.org/officeDocument/2006/relationships" ref="H109" r:id="rId212"/>
    <hyperlink xmlns:r="http://schemas.openxmlformats.org/officeDocument/2006/relationships" ref="I109" r:id="rId213"/>
    <hyperlink xmlns:r="http://schemas.openxmlformats.org/officeDocument/2006/relationships" ref="H110" r:id="rId214"/>
    <hyperlink xmlns:r="http://schemas.openxmlformats.org/officeDocument/2006/relationships" ref="I110" r:id="rId215"/>
    <hyperlink xmlns:r="http://schemas.openxmlformats.org/officeDocument/2006/relationships" ref="H111" r:id="rId216"/>
    <hyperlink xmlns:r="http://schemas.openxmlformats.org/officeDocument/2006/relationships" ref="I111" r:id="rId217"/>
    <hyperlink xmlns:r="http://schemas.openxmlformats.org/officeDocument/2006/relationships" ref="H112" r:id="rId218"/>
    <hyperlink xmlns:r="http://schemas.openxmlformats.org/officeDocument/2006/relationships" ref="I112" r:id="rId219"/>
    <hyperlink xmlns:r="http://schemas.openxmlformats.org/officeDocument/2006/relationships" ref="H113" r:id="rId220"/>
    <hyperlink xmlns:r="http://schemas.openxmlformats.org/officeDocument/2006/relationships" ref="I113" r:id="rId221"/>
    <hyperlink xmlns:r="http://schemas.openxmlformats.org/officeDocument/2006/relationships" ref="H114" r:id="rId222"/>
    <hyperlink xmlns:r="http://schemas.openxmlformats.org/officeDocument/2006/relationships" ref="I114" r:id="rId223"/>
    <hyperlink xmlns:r="http://schemas.openxmlformats.org/officeDocument/2006/relationships" ref="H115" r:id="rId224"/>
    <hyperlink xmlns:r="http://schemas.openxmlformats.org/officeDocument/2006/relationships" ref="I115" r:id="rId225"/>
    <hyperlink xmlns:r="http://schemas.openxmlformats.org/officeDocument/2006/relationships" ref="H116" r:id="rId226"/>
    <hyperlink xmlns:r="http://schemas.openxmlformats.org/officeDocument/2006/relationships" ref="I116" r:id="rId227"/>
    <hyperlink xmlns:r="http://schemas.openxmlformats.org/officeDocument/2006/relationships" ref="H117" r:id="rId228"/>
    <hyperlink xmlns:r="http://schemas.openxmlformats.org/officeDocument/2006/relationships" ref="I117" r:id="rId229"/>
    <hyperlink xmlns:r="http://schemas.openxmlformats.org/officeDocument/2006/relationships" ref="H118" r:id="rId230"/>
    <hyperlink xmlns:r="http://schemas.openxmlformats.org/officeDocument/2006/relationships" ref="I118" r:id="rId231"/>
    <hyperlink xmlns:r="http://schemas.openxmlformats.org/officeDocument/2006/relationships" ref="H119" r:id="rId232"/>
    <hyperlink xmlns:r="http://schemas.openxmlformats.org/officeDocument/2006/relationships" ref="I119" r:id="rId233"/>
    <hyperlink xmlns:r="http://schemas.openxmlformats.org/officeDocument/2006/relationships" ref="H120" r:id="rId234"/>
    <hyperlink xmlns:r="http://schemas.openxmlformats.org/officeDocument/2006/relationships" ref="I120" r:id="rId235"/>
    <hyperlink xmlns:r="http://schemas.openxmlformats.org/officeDocument/2006/relationships" ref="H121" r:id="rId236"/>
    <hyperlink xmlns:r="http://schemas.openxmlformats.org/officeDocument/2006/relationships" ref="I121" r:id="rId237"/>
    <hyperlink xmlns:r="http://schemas.openxmlformats.org/officeDocument/2006/relationships" ref="H122" r:id="rId238"/>
    <hyperlink xmlns:r="http://schemas.openxmlformats.org/officeDocument/2006/relationships" ref="I122" r:id="rId239"/>
    <hyperlink xmlns:r="http://schemas.openxmlformats.org/officeDocument/2006/relationships" ref="H123" r:id="rId240"/>
    <hyperlink xmlns:r="http://schemas.openxmlformats.org/officeDocument/2006/relationships" ref="I123" r:id="rId241"/>
    <hyperlink xmlns:r="http://schemas.openxmlformats.org/officeDocument/2006/relationships" ref="H124" r:id="rId242"/>
    <hyperlink xmlns:r="http://schemas.openxmlformats.org/officeDocument/2006/relationships" ref="I124" r:id="rId243"/>
    <hyperlink xmlns:r="http://schemas.openxmlformats.org/officeDocument/2006/relationships" ref="H125" r:id="rId244"/>
    <hyperlink xmlns:r="http://schemas.openxmlformats.org/officeDocument/2006/relationships" ref="I125" r:id="rId245"/>
    <hyperlink xmlns:r="http://schemas.openxmlformats.org/officeDocument/2006/relationships" ref="H126" r:id="rId246"/>
    <hyperlink xmlns:r="http://schemas.openxmlformats.org/officeDocument/2006/relationships" ref="I126" r:id="rId247"/>
    <hyperlink xmlns:r="http://schemas.openxmlformats.org/officeDocument/2006/relationships" ref="H127" r:id="rId248"/>
    <hyperlink xmlns:r="http://schemas.openxmlformats.org/officeDocument/2006/relationships" ref="I127" r:id="rId249"/>
    <hyperlink xmlns:r="http://schemas.openxmlformats.org/officeDocument/2006/relationships" ref="H128" r:id="rId250"/>
    <hyperlink xmlns:r="http://schemas.openxmlformats.org/officeDocument/2006/relationships" ref="I128" r:id="rId251"/>
    <hyperlink xmlns:r="http://schemas.openxmlformats.org/officeDocument/2006/relationships" ref="H129" r:id="rId252"/>
    <hyperlink xmlns:r="http://schemas.openxmlformats.org/officeDocument/2006/relationships" ref="I129" r:id="rId253"/>
    <hyperlink xmlns:r="http://schemas.openxmlformats.org/officeDocument/2006/relationships" ref="H130" r:id="rId254"/>
    <hyperlink xmlns:r="http://schemas.openxmlformats.org/officeDocument/2006/relationships" ref="I130" r:id="rId255"/>
    <hyperlink xmlns:r="http://schemas.openxmlformats.org/officeDocument/2006/relationships" ref="H131" r:id="rId256"/>
    <hyperlink xmlns:r="http://schemas.openxmlformats.org/officeDocument/2006/relationships" ref="I131" r:id="rId257"/>
    <hyperlink xmlns:r="http://schemas.openxmlformats.org/officeDocument/2006/relationships" ref="H132" r:id="rId258"/>
    <hyperlink xmlns:r="http://schemas.openxmlformats.org/officeDocument/2006/relationships" ref="I132" r:id="rId259"/>
    <hyperlink xmlns:r="http://schemas.openxmlformats.org/officeDocument/2006/relationships" ref="H133" r:id="rId260"/>
    <hyperlink xmlns:r="http://schemas.openxmlformats.org/officeDocument/2006/relationships" ref="I133" r:id="rId261"/>
    <hyperlink xmlns:r="http://schemas.openxmlformats.org/officeDocument/2006/relationships" ref="H134" r:id="rId262"/>
    <hyperlink xmlns:r="http://schemas.openxmlformats.org/officeDocument/2006/relationships" ref="I134" r:id="rId263"/>
    <hyperlink xmlns:r="http://schemas.openxmlformats.org/officeDocument/2006/relationships" ref="H135" r:id="rId264"/>
    <hyperlink xmlns:r="http://schemas.openxmlformats.org/officeDocument/2006/relationships" ref="I135" r:id="rId265"/>
    <hyperlink xmlns:r="http://schemas.openxmlformats.org/officeDocument/2006/relationships" ref="H136" r:id="rId266"/>
    <hyperlink xmlns:r="http://schemas.openxmlformats.org/officeDocument/2006/relationships" ref="I136" r:id="rId267"/>
    <hyperlink xmlns:r="http://schemas.openxmlformats.org/officeDocument/2006/relationships" ref="H137" r:id="rId268"/>
    <hyperlink xmlns:r="http://schemas.openxmlformats.org/officeDocument/2006/relationships" ref="I137" r:id="rId269"/>
    <hyperlink xmlns:r="http://schemas.openxmlformats.org/officeDocument/2006/relationships" ref="H138" r:id="rId270"/>
    <hyperlink xmlns:r="http://schemas.openxmlformats.org/officeDocument/2006/relationships" ref="I138" r:id="rId271"/>
    <hyperlink xmlns:r="http://schemas.openxmlformats.org/officeDocument/2006/relationships" ref="H139" r:id="rId272"/>
    <hyperlink xmlns:r="http://schemas.openxmlformats.org/officeDocument/2006/relationships" ref="I139" r:id="rId273"/>
    <hyperlink xmlns:r="http://schemas.openxmlformats.org/officeDocument/2006/relationships" ref="H140" r:id="rId274"/>
    <hyperlink xmlns:r="http://schemas.openxmlformats.org/officeDocument/2006/relationships" ref="I140" r:id="rId275"/>
    <hyperlink xmlns:r="http://schemas.openxmlformats.org/officeDocument/2006/relationships" ref="H141" r:id="rId276"/>
    <hyperlink xmlns:r="http://schemas.openxmlformats.org/officeDocument/2006/relationships" ref="I141" r:id="rId277"/>
    <hyperlink xmlns:r="http://schemas.openxmlformats.org/officeDocument/2006/relationships" ref="H142" r:id="rId278"/>
    <hyperlink xmlns:r="http://schemas.openxmlformats.org/officeDocument/2006/relationships" ref="I142" r:id="rId279"/>
    <hyperlink xmlns:r="http://schemas.openxmlformats.org/officeDocument/2006/relationships" ref="H143" r:id="rId280"/>
    <hyperlink xmlns:r="http://schemas.openxmlformats.org/officeDocument/2006/relationships" ref="I143" r:id="rId281"/>
    <hyperlink xmlns:r="http://schemas.openxmlformats.org/officeDocument/2006/relationships" ref="H144" r:id="rId282"/>
    <hyperlink xmlns:r="http://schemas.openxmlformats.org/officeDocument/2006/relationships" ref="I144" r:id="rId283"/>
    <hyperlink xmlns:r="http://schemas.openxmlformats.org/officeDocument/2006/relationships" ref="H145" r:id="rId284"/>
    <hyperlink xmlns:r="http://schemas.openxmlformats.org/officeDocument/2006/relationships" ref="I145" r:id="rId285"/>
    <hyperlink xmlns:r="http://schemas.openxmlformats.org/officeDocument/2006/relationships" ref="H146" r:id="rId286"/>
    <hyperlink xmlns:r="http://schemas.openxmlformats.org/officeDocument/2006/relationships" ref="I146" r:id="rId287"/>
    <hyperlink xmlns:r="http://schemas.openxmlformats.org/officeDocument/2006/relationships" ref="H147" r:id="rId288"/>
    <hyperlink xmlns:r="http://schemas.openxmlformats.org/officeDocument/2006/relationships" ref="I147" r:id="rId289"/>
    <hyperlink xmlns:r="http://schemas.openxmlformats.org/officeDocument/2006/relationships" ref="H148" r:id="rId290"/>
    <hyperlink xmlns:r="http://schemas.openxmlformats.org/officeDocument/2006/relationships" ref="I148" r:id="rId291"/>
    <hyperlink xmlns:r="http://schemas.openxmlformats.org/officeDocument/2006/relationships" ref="H149" r:id="rId292"/>
    <hyperlink xmlns:r="http://schemas.openxmlformats.org/officeDocument/2006/relationships" ref="I149" r:id="rId293"/>
    <hyperlink xmlns:r="http://schemas.openxmlformats.org/officeDocument/2006/relationships" ref="H150" r:id="rId294"/>
    <hyperlink xmlns:r="http://schemas.openxmlformats.org/officeDocument/2006/relationships" ref="I150" r:id="rId295"/>
    <hyperlink xmlns:r="http://schemas.openxmlformats.org/officeDocument/2006/relationships" ref="H151" r:id="rId296"/>
    <hyperlink xmlns:r="http://schemas.openxmlformats.org/officeDocument/2006/relationships" ref="I151" r:id="rId297"/>
    <hyperlink xmlns:r="http://schemas.openxmlformats.org/officeDocument/2006/relationships" ref="H152" r:id="rId298"/>
    <hyperlink xmlns:r="http://schemas.openxmlformats.org/officeDocument/2006/relationships" ref="I152" r:id="rId299"/>
    <hyperlink xmlns:r="http://schemas.openxmlformats.org/officeDocument/2006/relationships" ref="H153" r:id="rId300"/>
    <hyperlink xmlns:r="http://schemas.openxmlformats.org/officeDocument/2006/relationships" ref="I153" r:id="rId301"/>
    <hyperlink xmlns:r="http://schemas.openxmlformats.org/officeDocument/2006/relationships" ref="H154" r:id="rId302"/>
    <hyperlink xmlns:r="http://schemas.openxmlformats.org/officeDocument/2006/relationships" ref="I154" r:id="rId303"/>
    <hyperlink xmlns:r="http://schemas.openxmlformats.org/officeDocument/2006/relationships" ref="H155" r:id="rId304"/>
    <hyperlink xmlns:r="http://schemas.openxmlformats.org/officeDocument/2006/relationships" ref="I155" r:id="rId305"/>
    <hyperlink xmlns:r="http://schemas.openxmlformats.org/officeDocument/2006/relationships" ref="H156" r:id="rId306"/>
    <hyperlink xmlns:r="http://schemas.openxmlformats.org/officeDocument/2006/relationships" ref="I156" r:id="rId307"/>
    <hyperlink xmlns:r="http://schemas.openxmlformats.org/officeDocument/2006/relationships" ref="H157" r:id="rId308"/>
    <hyperlink xmlns:r="http://schemas.openxmlformats.org/officeDocument/2006/relationships" ref="I157" r:id="rId309"/>
    <hyperlink xmlns:r="http://schemas.openxmlformats.org/officeDocument/2006/relationships" ref="H158" r:id="rId310"/>
    <hyperlink xmlns:r="http://schemas.openxmlformats.org/officeDocument/2006/relationships" ref="I158" r:id="rId311"/>
    <hyperlink xmlns:r="http://schemas.openxmlformats.org/officeDocument/2006/relationships" ref="H159" r:id="rId312"/>
    <hyperlink xmlns:r="http://schemas.openxmlformats.org/officeDocument/2006/relationships" ref="I159" r:id="rId313"/>
    <hyperlink xmlns:r="http://schemas.openxmlformats.org/officeDocument/2006/relationships" ref="H160" r:id="rId314"/>
    <hyperlink xmlns:r="http://schemas.openxmlformats.org/officeDocument/2006/relationships" ref="I160" r:id="rId315"/>
    <hyperlink xmlns:r="http://schemas.openxmlformats.org/officeDocument/2006/relationships" ref="H161" r:id="rId316"/>
    <hyperlink xmlns:r="http://schemas.openxmlformats.org/officeDocument/2006/relationships" ref="I161" r:id="rId317"/>
    <hyperlink xmlns:r="http://schemas.openxmlformats.org/officeDocument/2006/relationships" ref="H162" r:id="rId318"/>
    <hyperlink xmlns:r="http://schemas.openxmlformats.org/officeDocument/2006/relationships" ref="I162" r:id="rId319"/>
    <hyperlink xmlns:r="http://schemas.openxmlformats.org/officeDocument/2006/relationships" ref="H163" r:id="rId320"/>
    <hyperlink xmlns:r="http://schemas.openxmlformats.org/officeDocument/2006/relationships" ref="I163" r:id="rId321"/>
    <hyperlink xmlns:r="http://schemas.openxmlformats.org/officeDocument/2006/relationships" ref="H164" r:id="rId322"/>
    <hyperlink xmlns:r="http://schemas.openxmlformats.org/officeDocument/2006/relationships" ref="I164" r:id="rId323"/>
    <hyperlink xmlns:r="http://schemas.openxmlformats.org/officeDocument/2006/relationships" ref="H165" r:id="rId324"/>
    <hyperlink xmlns:r="http://schemas.openxmlformats.org/officeDocument/2006/relationships" ref="I165" r:id="rId325"/>
    <hyperlink xmlns:r="http://schemas.openxmlformats.org/officeDocument/2006/relationships" ref="H166" r:id="rId326"/>
    <hyperlink xmlns:r="http://schemas.openxmlformats.org/officeDocument/2006/relationships" ref="I166" r:id="rId327"/>
    <hyperlink xmlns:r="http://schemas.openxmlformats.org/officeDocument/2006/relationships" ref="H167" r:id="rId328"/>
    <hyperlink xmlns:r="http://schemas.openxmlformats.org/officeDocument/2006/relationships" ref="I167" r:id="rId329"/>
    <hyperlink xmlns:r="http://schemas.openxmlformats.org/officeDocument/2006/relationships" ref="H168" r:id="rId330"/>
    <hyperlink xmlns:r="http://schemas.openxmlformats.org/officeDocument/2006/relationships" ref="I168" r:id="rId331"/>
    <hyperlink xmlns:r="http://schemas.openxmlformats.org/officeDocument/2006/relationships" ref="H169" r:id="rId332"/>
    <hyperlink xmlns:r="http://schemas.openxmlformats.org/officeDocument/2006/relationships" ref="I169" r:id="rId333"/>
    <hyperlink xmlns:r="http://schemas.openxmlformats.org/officeDocument/2006/relationships" ref="H170" r:id="rId334"/>
    <hyperlink xmlns:r="http://schemas.openxmlformats.org/officeDocument/2006/relationships" ref="I170" r:id="rId335"/>
    <hyperlink xmlns:r="http://schemas.openxmlformats.org/officeDocument/2006/relationships" ref="H171" r:id="rId336"/>
    <hyperlink xmlns:r="http://schemas.openxmlformats.org/officeDocument/2006/relationships" ref="I171" r:id="rId337"/>
    <hyperlink xmlns:r="http://schemas.openxmlformats.org/officeDocument/2006/relationships" ref="H172" r:id="rId338"/>
    <hyperlink xmlns:r="http://schemas.openxmlformats.org/officeDocument/2006/relationships" ref="I172" r:id="rId339"/>
    <hyperlink xmlns:r="http://schemas.openxmlformats.org/officeDocument/2006/relationships" ref="H173" r:id="rId340"/>
    <hyperlink xmlns:r="http://schemas.openxmlformats.org/officeDocument/2006/relationships" ref="I173" r:id="rId341"/>
    <hyperlink xmlns:r="http://schemas.openxmlformats.org/officeDocument/2006/relationships" ref="H174" r:id="rId342"/>
    <hyperlink xmlns:r="http://schemas.openxmlformats.org/officeDocument/2006/relationships" ref="I174" r:id="rId343"/>
    <hyperlink xmlns:r="http://schemas.openxmlformats.org/officeDocument/2006/relationships" ref="H175" r:id="rId344"/>
    <hyperlink xmlns:r="http://schemas.openxmlformats.org/officeDocument/2006/relationships" ref="I175" r:id="rId345"/>
    <hyperlink xmlns:r="http://schemas.openxmlformats.org/officeDocument/2006/relationships" ref="H176" r:id="rId346"/>
    <hyperlink xmlns:r="http://schemas.openxmlformats.org/officeDocument/2006/relationships" ref="I176" r:id="rId347"/>
    <hyperlink xmlns:r="http://schemas.openxmlformats.org/officeDocument/2006/relationships" ref="H177" r:id="rId348"/>
    <hyperlink xmlns:r="http://schemas.openxmlformats.org/officeDocument/2006/relationships" ref="I177" r:id="rId349"/>
    <hyperlink xmlns:r="http://schemas.openxmlformats.org/officeDocument/2006/relationships" ref="H178" r:id="rId350"/>
    <hyperlink xmlns:r="http://schemas.openxmlformats.org/officeDocument/2006/relationships" ref="I178" r:id="rId351"/>
    <hyperlink xmlns:r="http://schemas.openxmlformats.org/officeDocument/2006/relationships" ref="H179" r:id="rId352"/>
    <hyperlink xmlns:r="http://schemas.openxmlformats.org/officeDocument/2006/relationships" ref="I179" r:id="rId353"/>
    <hyperlink xmlns:r="http://schemas.openxmlformats.org/officeDocument/2006/relationships" ref="H180" r:id="rId354"/>
    <hyperlink xmlns:r="http://schemas.openxmlformats.org/officeDocument/2006/relationships" ref="I180" r:id="rId355"/>
    <hyperlink xmlns:r="http://schemas.openxmlformats.org/officeDocument/2006/relationships" ref="H181" r:id="rId356"/>
    <hyperlink xmlns:r="http://schemas.openxmlformats.org/officeDocument/2006/relationships" ref="I181" r:id="rId357"/>
    <hyperlink xmlns:r="http://schemas.openxmlformats.org/officeDocument/2006/relationships" ref="H182" r:id="rId358"/>
    <hyperlink xmlns:r="http://schemas.openxmlformats.org/officeDocument/2006/relationships" ref="I182" r:id="rId359"/>
    <hyperlink xmlns:r="http://schemas.openxmlformats.org/officeDocument/2006/relationships" ref="H183" r:id="rId360"/>
    <hyperlink xmlns:r="http://schemas.openxmlformats.org/officeDocument/2006/relationships" ref="I183" r:id="rId361"/>
    <hyperlink xmlns:r="http://schemas.openxmlformats.org/officeDocument/2006/relationships" ref="H184" r:id="rId362"/>
    <hyperlink xmlns:r="http://schemas.openxmlformats.org/officeDocument/2006/relationships" ref="I184" r:id="rId363"/>
    <hyperlink xmlns:r="http://schemas.openxmlformats.org/officeDocument/2006/relationships" ref="H185" r:id="rId364"/>
    <hyperlink xmlns:r="http://schemas.openxmlformats.org/officeDocument/2006/relationships" ref="I185" r:id="rId365"/>
    <hyperlink xmlns:r="http://schemas.openxmlformats.org/officeDocument/2006/relationships" ref="H186" r:id="rId366"/>
    <hyperlink xmlns:r="http://schemas.openxmlformats.org/officeDocument/2006/relationships" ref="I186" r:id="rId367"/>
    <hyperlink xmlns:r="http://schemas.openxmlformats.org/officeDocument/2006/relationships" ref="H187" r:id="rId368"/>
    <hyperlink xmlns:r="http://schemas.openxmlformats.org/officeDocument/2006/relationships" ref="I187" r:id="rId369"/>
    <hyperlink xmlns:r="http://schemas.openxmlformats.org/officeDocument/2006/relationships" ref="H188" r:id="rId370"/>
    <hyperlink xmlns:r="http://schemas.openxmlformats.org/officeDocument/2006/relationships" ref="I188" r:id="rId371"/>
    <hyperlink xmlns:r="http://schemas.openxmlformats.org/officeDocument/2006/relationships" ref="H189" r:id="rId372"/>
    <hyperlink xmlns:r="http://schemas.openxmlformats.org/officeDocument/2006/relationships" ref="I189" r:id="rId373"/>
    <hyperlink xmlns:r="http://schemas.openxmlformats.org/officeDocument/2006/relationships" ref="H190" r:id="rId374"/>
    <hyperlink xmlns:r="http://schemas.openxmlformats.org/officeDocument/2006/relationships" ref="I190" r:id="rId375"/>
    <hyperlink xmlns:r="http://schemas.openxmlformats.org/officeDocument/2006/relationships" ref="H191" r:id="rId376"/>
    <hyperlink xmlns:r="http://schemas.openxmlformats.org/officeDocument/2006/relationships" ref="I191" r:id="rId377"/>
    <hyperlink xmlns:r="http://schemas.openxmlformats.org/officeDocument/2006/relationships" ref="H192" r:id="rId378"/>
    <hyperlink xmlns:r="http://schemas.openxmlformats.org/officeDocument/2006/relationships" ref="I192" r:id="rId379"/>
    <hyperlink xmlns:r="http://schemas.openxmlformats.org/officeDocument/2006/relationships" ref="H193" r:id="rId380"/>
    <hyperlink xmlns:r="http://schemas.openxmlformats.org/officeDocument/2006/relationships" ref="I193" r:id="rId381"/>
    <hyperlink xmlns:r="http://schemas.openxmlformats.org/officeDocument/2006/relationships" ref="H194" r:id="rId382"/>
    <hyperlink xmlns:r="http://schemas.openxmlformats.org/officeDocument/2006/relationships" ref="I194" r:id="rId383"/>
    <hyperlink xmlns:r="http://schemas.openxmlformats.org/officeDocument/2006/relationships" ref="H195" r:id="rId384"/>
    <hyperlink xmlns:r="http://schemas.openxmlformats.org/officeDocument/2006/relationships" ref="I195" r:id="rId385"/>
    <hyperlink xmlns:r="http://schemas.openxmlformats.org/officeDocument/2006/relationships" ref="H196" r:id="rId386"/>
    <hyperlink xmlns:r="http://schemas.openxmlformats.org/officeDocument/2006/relationships" ref="I196" r:id="rId387"/>
    <hyperlink xmlns:r="http://schemas.openxmlformats.org/officeDocument/2006/relationships" ref="H197" r:id="rId388"/>
    <hyperlink xmlns:r="http://schemas.openxmlformats.org/officeDocument/2006/relationships" ref="I197" r:id="rId389"/>
    <hyperlink xmlns:r="http://schemas.openxmlformats.org/officeDocument/2006/relationships" ref="H198" r:id="rId390"/>
    <hyperlink xmlns:r="http://schemas.openxmlformats.org/officeDocument/2006/relationships" ref="I198" r:id="rId391"/>
    <hyperlink xmlns:r="http://schemas.openxmlformats.org/officeDocument/2006/relationships" ref="H199" r:id="rId392"/>
    <hyperlink xmlns:r="http://schemas.openxmlformats.org/officeDocument/2006/relationships" ref="I199" r:id="rId393"/>
    <hyperlink xmlns:r="http://schemas.openxmlformats.org/officeDocument/2006/relationships" ref="H200" r:id="rId394"/>
    <hyperlink xmlns:r="http://schemas.openxmlformats.org/officeDocument/2006/relationships" ref="I200" r:id="rId395"/>
    <hyperlink xmlns:r="http://schemas.openxmlformats.org/officeDocument/2006/relationships" ref="H201" r:id="rId396"/>
    <hyperlink xmlns:r="http://schemas.openxmlformats.org/officeDocument/2006/relationships" ref="I201" r:id="rId397"/>
    <hyperlink xmlns:r="http://schemas.openxmlformats.org/officeDocument/2006/relationships" ref="H202" r:id="rId398"/>
    <hyperlink xmlns:r="http://schemas.openxmlformats.org/officeDocument/2006/relationships" ref="I202" r:id="rId399"/>
    <hyperlink xmlns:r="http://schemas.openxmlformats.org/officeDocument/2006/relationships" ref="H203" r:id="rId400"/>
    <hyperlink xmlns:r="http://schemas.openxmlformats.org/officeDocument/2006/relationships" ref="I203" r:id="rId401"/>
    <hyperlink xmlns:r="http://schemas.openxmlformats.org/officeDocument/2006/relationships" ref="H204" r:id="rId402"/>
    <hyperlink xmlns:r="http://schemas.openxmlformats.org/officeDocument/2006/relationships" ref="I204" r:id="rId403"/>
    <hyperlink xmlns:r="http://schemas.openxmlformats.org/officeDocument/2006/relationships" ref="H205" r:id="rId404"/>
    <hyperlink xmlns:r="http://schemas.openxmlformats.org/officeDocument/2006/relationships" ref="I205" r:id="rId405"/>
    <hyperlink xmlns:r="http://schemas.openxmlformats.org/officeDocument/2006/relationships" ref="H206" r:id="rId406"/>
    <hyperlink xmlns:r="http://schemas.openxmlformats.org/officeDocument/2006/relationships" ref="I206" r:id="rId407"/>
    <hyperlink xmlns:r="http://schemas.openxmlformats.org/officeDocument/2006/relationships" ref="H207" r:id="rId408"/>
    <hyperlink xmlns:r="http://schemas.openxmlformats.org/officeDocument/2006/relationships" ref="I207" r:id="rId409"/>
    <hyperlink xmlns:r="http://schemas.openxmlformats.org/officeDocument/2006/relationships" ref="H208" r:id="rId410"/>
    <hyperlink xmlns:r="http://schemas.openxmlformats.org/officeDocument/2006/relationships" ref="I208" r:id="rId411"/>
    <hyperlink xmlns:r="http://schemas.openxmlformats.org/officeDocument/2006/relationships" ref="H209" r:id="rId412"/>
    <hyperlink xmlns:r="http://schemas.openxmlformats.org/officeDocument/2006/relationships" ref="I209" r:id="rId413"/>
    <hyperlink xmlns:r="http://schemas.openxmlformats.org/officeDocument/2006/relationships" ref="H210" r:id="rId414"/>
    <hyperlink xmlns:r="http://schemas.openxmlformats.org/officeDocument/2006/relationships" ref="I210" r:id="rId415"/>
    <hyperlink xmlns:r="http://schemas.openxmlformats.org/officeDocument/2006/relationships" ref="H211" r:id="rId416"/>
    <hyperlink xmlns:r="http://schemas.openxmlformats.org/officeDocument/2006/relationships" ref="I211" r:id="rId417"/>
    <hyperlink xmlns:r="http://schemas.openxmlformats.org/officeDocument/2006/relationships" ref="H212" r:id="rId418"/>
    <hyperlink xmlns:r="http://schemas.openxmlformats.org/officeDocument/2006/relationships" ref="I212" r:id="rId419"/>
    <hyperlink xmlns:r="http://schemas.openxmlformats.org/officeDocument/2006/relationships" ref="H213" r:id="rId420"/>
    <hyperlink xmlns:r="http://schemas.openxmlformats.org/officeDocument/2006/relationships" ref="I213" r:id="rId421"/>
    <hyperlink xmlns:r="http://schemas.openxmlformats.org/officeDocument/2006/relationships" ref="H214" r:id="rId422"/>
    <hyperlink xmlns:r="http://schemas.openxmlformats.org/officeDocument/2006/relationships" ref="I214" r:id="rId423"/>
    <hyperlink xmlns:r="http://schemas.openxmlformats.org/officeDocument/2006/relationships" ref="H215" r:id="rId424"/>
    <hyperlink xmlns:r="http://schemas.openxmlformats.org/officeDocument/2006/relationships" ref="I215" r:id="rId425"/>
    <hyperlink xmlns:r="http://schemas.openxmlformats.org/officeDocument/2006/relationships" ref="H216" r:id="rId426"/>
    <hyperlink xmlns:r="http://schemas.openxmlformats.org/officeDocument/2006/relationships" ref="I216" r:id="rId427"/>
    <hyperlink xmlns:r="http://schemas.openxmlformats.org/officeDocument/2006/relationships" ref="H217" r:id="rId428"/>
    <hyperlink xmlns:r="http://schemas.openxmlformats.org/officeDocument/2006/relationships" ref="I217" r:id="rId429"/>
    <hyperlink xmlns:r="http://schemas.openxmlformats.org/officeDocument/2006/relationships" ref="H218" r:id="rId430"/>
    <hyperlink xmlns:r="http://schemas.openxmlformats.org/officeDocument/2006/relationships" ref="I218" r:id="rId431"/>
    <hyperlink xmlns:r="http://schemas.openxmlformats.org/officeDocument/2006/relationships" ref="H219" r:id="rId432"/>
    <hyperlink xmlns:r="http://schemas.openxmlformats.org/officeDocument/2006/relationships" ref="I219" r:id="rId433"/>
    <hyperlink xmlns:r="http://schemas.openxmlformats.org/officeDocument/2006/relationships" ref="H220" r:id="rId434"/>
    <hyperlink xmlns:r="http://schemas.openxmlformats.org/officeDocument/2006/relationships" ref="I220" r:id="rId435"/>
    <hyperlink xmlns:r="http://schemas.openxmlformats.org/officeDocument/2006/relationships" ref="H221" r:id="rId436"/>
    <hyperlink xmlns:r="http://schemas.openxmlformats.org/officeDocument/2006/relationships" ref="I221" r:id="rId437"/>
    <hyperlink xmlns:r="http://schemas.openxmlformats.org/officeDocument/2006/relationships" ref="H222" r:id="rId438"/>
    <hyperlink xmlns:r="http://schemas.openxmlformats.org/officeDocument/2006/relationships" ref="I222" r:id="rId439"/>
    <hyperlink xmlns:r="http://schemas.openxmlformats.org/officeDocument/2006/relationships" ref="H223" r:id="rId440"/>
    <hyperlink xmlns:r="http://schemas.openxmlformats.org/officeDocument/2006/relationships" ref="I223" r:id="rId441"/>
    <hyperlink xmlns:r="http://schemas.openxmlformats.org/officeDocument/2006/relationships" ref="H224" r:id="rId442"/>
    <hyperlink xmlns:r="http://schemas.openxmlformats.org/officeDocument/2006/relationships" ref="I224" r:id="rId443"/>
    <hyperlink xmlns:r="http://schemas.openxmlformats.org/officeDocument/2006/relationships" ref="H225" r:id="rId444"/>
    <hyperlink xmlns:r="http://schemas.openxmlformats.org/officeDocument/2006/relationships" ref="I225" r:id="rId445"/>
    <hyperlink xmlns:r="http://schemas.openxmlformats.org/officeDocument/2006/relationships" ref="H226" r:id="rId446"/>
    <hyperlink xmlns:r="http://schemas.openxmlformats.org/officeDocument/2006/relationships" ref="I226" r:id="rId447"/>
    <hyperlink xmlns:r="http://schemas.openxmlformats.org/officeDocument/2006/relationships" ref="H227" r:id="rId448"/>
    <hyperlink xmlns:r="http://schemas.openxmlformats.org/officeDocument/2006/relationships" ref="I227" r:id="rId449"/>
    <hyperlink xmlns:r="http://schemas.openxmlformats.org/officeDocument/2006/relationships" ref="H228" r:id="rId450"/>
    <hyperlink xmlns:r="http://schemas.openxmlformats.org/officeDocument/2006/relationships" ref="I228" r:id="rId451"/>
    <hyperlink xmlns:r="http://schemas.openxmlformats.org/officeDocument/2006/relationships" ref="H229" r:id="rId452"/>
    <hyperlink xmlns:r="http://schemas.openxmlformats.org/officeDocument/2006/relationships" ref="I229" r:id="rId453"/>
    <hyperlink xmlns:r="http://schemas.openxmlformats.org/officeDocument/2006/relationships" ref="H230" r:id="rId454"/>
    <hyperlink xmlns:r="http://schemas.openxmlformats.org/officeDocument/2006/relationships" ref="I230" r:id="rId455"/>
    <hyperlink xmlns:r="http://schemas.openxmlformats.org/officeDocument/2006/relationships" ref="H231" r:id="rId456"/>
    <hyperlink xmlns:r="http://schemas.openxmlformats.org/officeDocument/2006/relationships" ref="I231" r:id="rId457"/>
    <hyperlink xmlns:r="http://schemas.openxmlformats.org/officeDocument/2006/relationships" ref="H232" r:id="rId458"/>
    <hyperlink xmlns:r="http://schemas.openxmlformats.org/officeDocument/2006/relationships" ref="I232" r:id="rId459"/>
    <hyperlink xmlns:r="http://schemas.openxmlformats.org/officeDocument/2006/relationships" ref="H233" r:id="rId460"/>
    <hyperlink xmlns:r="http://schemas.openxmlformats.org/officeDocument/2006/relationships" ref="I233" r:id="rId461"/>
    <hyperlink xmlns:r="http://schemas.openxmlformats.org/officeDocument/2006/relationships" ref="H234" r:id="rId462"/>
    <hyperlink xmlns:r="http://schemas.openxmlformats.org/officeDocument/2006/relationships" ref="I234" r:id="rId463"/>
    <hyperlink xmlns:r="http://schemas.openxmlformats.org/officeDocument/2006/relationships" ref="H235" r:id="rId464"/>
    <hyperlink xmlns:r="http://schemas.openxmlformats.org/officeDocument/2006/relationships" ref="I235" r:id="rId465"/>
    <hyperlink xmlns:r="http://schemas.openxmlformats.org/officeDocument/2006/relationships" ref="H236" r:id="rId466"/>
    <hyperlink xmlns:r="http://schemas.openxmlformats.org/officeDocument/2006/relationships" ref="I236" r:id="rId467"/>
    <hyperlink xmlns:r="http://schemas.openxmlformats.org/officeDocument/2006/relationships" ref="H237" r:id="rId468"/>
    <hyperlink xmlns:r="http://schemas.openxmlformats.org/officeDocument/2006/relationships" ref="I237" r:id="rId469"/>
    <hyperlink xmlns:r="http://schemas.openxmlformats.org/officeDocument/2006/relationships" ref="H238" r:id="rId470"/>
    <hyperlink xmlns:r="http://schemas.openxmlformats.org/officeDocument/2006/relationships" ref="I238" r:id="rId471"/>
    <hyperlink xmlns:r="http://schemas.openxmlformats.org/officeDocument/2006/relationships" ref="H239" r:id="rId472"/>
    <hyperlink xmlns:r="http://schemas.openxmlformats.org/officeDocument/2006/relationships" ref="I239" r:id="rId473"/>
    <hyperlink xmlns:r="http://schemas.openxmlformats.org/officeDocument/2006/relationships" ref="H240" r:id="rId474"/>
    <hyperlink xmlns:r="http://schemas.openxmlformats.org/officeDocument/2006/relationships" ref="I240" r:id="rId475"/>
    <hyperlink xmlns:r="http://schemas.openxmlformats.org/officeDocument/2006/relationships" ref="H241" r:id="rId476"/>
    <hyperlink xmlns:r="http://schemas.openxmlformats.org/officeDocument/2006/relationships" ref="I241" r:id="rId477"/>
    <hyperlink xmlns:r="http://schemas.openxmlformats.org/officeDocument/2006/relationships" ref="H242" r:id="rId478"/>
    <hyperlink xmlns:r="http://schemas.openxmlformats.org/officeDocument/2006/relationships" ref="I242" r:id="rId479"/>
    <hyperlink xmlns:r="http://schemas.openxmlformats.org/officeDocument/2006/relationships" ref="H243" r:id="rId480"/>
    <hyperlink xmlns:r="http://schemas.openxmlformats.org/officeDocument/2006/relationships" ref="I243" r:id="rId481"/>
    <hyperlink xmlns:r="http://schemas.openxmlformats.org/officeDocument/2006/relationships" ref="H244" r:id="rId482"/>
    <hyperlink xmlns:r="http://schemas.openxmlformats.org/officeDocument/2006/relationships" ref="I244" r:id="rId483"/>
    <hyperlink xmlns:r="http://schemas.openxmlformats.org/officeDocument/2006/relationships" ref="H245" r:id="rId484"/>
    <hyperlink xmlns:r="http://schemas.openxmlformats.org/officeDocument/2006/relationships" ref="I245" r:id="rId485"/>
    <hyperlink xmlns:r="http://schemas.openxmlformats.org/officeDocument/2006/relationships" ref="H246" r:id="rId486"/>
    <hyperlink xmlns:r="http://schemas.openxmlformats.org/officeDocument/2006/relationships" ref="I246" r:id="rId487"/>
    <hyperlink xmlns:r="http://schemas.openxmlformats.org/officeDocument/2006/relationships" ref="H247" r:id="rId488"/>
    <hyperlink xmlns:r="http://schemas.openxmlformats.org/officeDocument/2006/relationships" ref="I247" r:id="rId489"/>
    <hyperlink xmlns:r="http://schemas.openxmlformats.org/officeDocument/2006/relationships" ref="H248" r:id="rId490"/>
    <hyperlink xmlns:r="http://schemas.openxmlformats.org/officeDocument/2006/relationships" ref="I248" r:id="rId491"/>
    <hyperlink xmlns:r="http://schemas.openxmlformats.org/officeDocument/2006/relationships" ref="H249" r:id="rId492"/>
    <hyperlink xmlns:r="http://schemas.openxmlformats.org/officeDocument/2006/relationships" ref="I249" r:id="rId493"/>
    <hyperlink xmlns:r="http://schemas.openxmlformats.org/officeDocument/2006/relationships" ref="H250" r:id="rId494"/>
    <hyperlink xmlns:r="http://schemas.openxmlformats.org/officeDocument/2006/relationships" ref="I250" r:id="rId495"/>
    <hyperlink xmlns:r="http://schemas.openxmlformats.org/officeDocument/2006/relationships" ref="H251" r:id="rId496"/>
    <hyperlink xmlns:r="http://schemas.openxmlformats.org/officeDocument/2006/relationships" ref="I251" r:id="rId497"/>
    <hyperlink xmlns:r="http://schemas.openxmlformats.org/officeDocument/2006/relationships" ref="H252" r:id="rId498"/>
    <hyperlink xmlns:r="http://schemas.openxmlformats.org/officeDocument/2006/relationships" ref="I252" r:id="rId499"/>
    <hyperlink xmlns:r="http://schemas.openxmlformats.org/officeDocument/2006/relationships" ref="H253" r:id="rId500"/>
    <hyperlink xmlns:r="http://schemas.openxmlformats.org/officeDocument/2006/relationships" ref="I253" r:id="rId501"/>
    <hyperlink xmlns:r="http://schemas.openxmlformats.org/officeDocument/2006/relationships" ref="H254" r:id="rId502"/>
    <hyperlink xmlns:r="http://schemas.openxmlformats.org/officeDocument/2006/relationships" ref="I254" r:id="rId503"/>
    <hyperlink xmlns:r="http://schemas.openxmlformats.org/officeDocument/2006/relationships" ref="H255" r:id="rId504"/>
    <hyperlink xmlns:r="http://schemas.openxmlformats.org/officeDocument/2006/relationships" ref="I255" r:id="rId505"/>
    <hyperlink xmlns:r="http://schemas.openxmlformats.org/officeDocument/2006/relationships" ref="H256" r:id="rId506"/>
    <hyperlink xmlns:r="http://schemas.openxmlformats.org/officeDocument/2006/relationships" ref="I256" r:id="rId507"/>
    <hyperlink xmlns:r="http://schemas.openxmlformats.org/officeDocument/2006/relationships" ref="H257" r:id="rId508"/>
    <hyperlink xmlns:r="http://schemas.openxmlformats.org/officeDocument/2006/relationships" ref="I257" r:id="rId509"/>
    <hyperlink xmlns:r="http://schemas.openxmlformats.org/officeDocument/2006/relationships" ref="H258" r:id="rId510"/>
    <hyperlink xmlns:r="http://schemas.openxmlformats.org/officeDocument/2006/relationships" ref="I258" r:id="rId511"/>
    <hyperlink xmlns:r="http://schemas.openxmlformats.org/officeDocument/2006/relationships" ref="H259" r:id="rId512"/>
    <hyperlink xmlns:r="http://schemas.openxmlformats.org/officeDocument/2006/relationships" ref="I259" r:id="rId513"/>
    <hyperlink xmlns:r="http://schemas.openxmlformats.org/officeDocument/2006/relationships" ref="H260" r:id="rId514"/>
    <hyperlink xmlns:r="http://schemas.openxmlformats.org/officeDocument/2006/relationships" ref="I260" r:id="rId515"/>
    <hyperlink xmlns:r="http://schemas.openxmlformats.org/officeDocument/2006/relationships" ref="H261" r:id="rId516"/>
    <hyperlink xmlns:r="http://schemas.openxmlformats.org/officeDocument/2006/relationships" ref="I261" r:id="rId517"/>
    <hyperlink xmlns:r="http://schemas.openxmlformats.org/officeDocument/2006/relationships" ref="H262" r:id="rId518"/>
    <hyperlink xmlns:r="http://schemas.openxmlformats.org/officeDocument/2006/relationships" ref="I262" r:id="rId519"/>
    <hyperlink xmlns:r="http://schemas.openxmlformats.org/officeDocument/2006/relationships" ref="H263" r:id="rId520"/>
    <hyperlink xmlns:r="http://schemas.openxmlformats.org/officeDocument/2006/relationships" ref="I263" r:id="rId521"/>
    <hyperlink xmlns:r="http://schemas.openxmlformats.org/officeDocument/2006/relationships" ref="H264" r:id="rId522"/>
    <hyperlink xmlns:r="http://schemas.openxmlformats.org/officeDocument/2006/relationships" ref="I264" r:id="rId523"/>
    <hyperlink xmlns:r="http://schemas.openxmlformats.org/officeDocument/2006/relationships" ref="H265" r:id="rId524"/>
    <hyperlink xmlns:r="http://schemas.openxmlformats.org/officeDocument/2006/relationships" ref="I265" r:id="rId525"/>
    <hyperlink xmlns:r="http://schemas.openxmlformats.org/officeDocument/2006/relationships" ref="H266" r:id="rId526"/>
    <hyperlink xmlns:r="http://schemas.openxmlformats.org/officeDocument/2006/relationships" ref="I266" r:id="rId527"/>
    <hyperlink xmlns:r="http://schemas.openxmlformats.org/officeDocument/2006/relationships" ref="H267" r:id="rId528"/>
    <hyperlink xmlns:r="http://schemas.openxmlformats.org/officeDocument/2006/relationships" ref="I267" r:id="rId529"/>
    <hyperlink xmlns:r="http://schemas.openxmlformats.org/officeDocument/2006/relationships" ref="H268" r:id="rId530"/>
    <hyperlink xmlns:r="http://schemas.openxmlformats.org/officeDocument/2006/relationships" ref="I268" r:id="rId531"/>
    <hyperlink xmlns:r="http://schemas.openxmlformats.org/officeDocument/2006/relationships" ref="H269" r:id="rId532"/>
    <hyperlink xmlns:r="http://schemas.openxmlformats.org/officeDocument/2006/relationships" ref="I269" r:id="rId533"/>
    <hyperlink xmlns:r="http://schemas.openxmlformats.org/officeDocument/2006/relationships" ref="H270" r:id="rId534"/>
    <hyperlink xmlns:r="http://schemas.openxmlformats.org/officeDocument/2006/relationships" ref="I270" r:id="rId535"/>
    <hyperlink xmlns:r="http://schemas.openxmlformats.org/officeDocument/2006/relationships" ref="H271" r:id="rId536"/>
    <hyperlink xmlns:r="http://schemas.openxmlformats.org/officeDocument/2006/relationships" ref="I271" r:id="rId537"/>
    <hyperlink xmlns:r="http://schemas.openxmlformats.org/officeDocument/2006/relationships" ref="H272" r:id="rId538"/>
    <hyperlink xmlns:r="http://schemas.openxmlformats.org/officeDocument/2006/relationships" ref="I272" r:id="rId539"/>
    <hyperlink xmlns:r="http://schemas.openxmlformats.org/officeDocument/2006/relationships" ref="H273" r:id="rId540"/>
    <hyperlink xmlns:r="http://schemas.openxmlformats.org/officeDocument/2006/relationships" ref="I273" r:id="rId541"/>
    <hyperlink xmlns:r="http://schemas.openxmlformats.org/officeDocument/2006/relationships" ref="H274" r:id="rId542"/>
    <hyperlink xmlns:r="http://schemas.openxmlformats.org/officeDocument/2006/relationships" ref="I274" r:id="rId543"/>
    <hyperlink xmlns:r="http://schemas.openxmlformats.org/officeDocument/2006/relationships" ref="H275" r:id="rId544"/>
    <hyperlink xmlns:r="http://schemas.openxmlformats.org/officeDocument/2006/relationships" ref="I275" r:id="rId545"/>
    <hyperlink xmlns:r="http://schemas.openxmlformats.org/officeDocument/2006/relationships" ref="H276" r:id="rId546"/>
    <hyperlink xmlns:r="http://schemas.openxmlformats.org/officeDocument/2006/relationships" ref="I276" r:id="rId547"/>
    <hyperlink xmlns:r="http://schemas.openxmlformats.org/officeDocument/2006/relationships" ref="H277" r:id="rId548"/>
    <hyperlink xmlns:r="http://schemas.openxmlformats.org/officeDocument/2006/relationships" ref="I277" r:id="rId549"/>
    <hyperlink xmlns:r="http://schemas.openxmlformats.org/officeDocument/2006/relationships" ref="H278" r:id="rId550"/>
    <hyperlink xmlns:r="http://schemas.openxmlformats.org/officeDocument/2006/relationships" ref="I278" r:id="rId551"/>
    <hyperlink xmlns:r="http://schemas.openxmlformats.org/officeDocument/2006/relationships" ref="H279" r:id="rId552"/>
    <hyperlink xmlns:r="http://schemas.openxmlformats.org/officeDocument/2006/relationships" ref="I279" r:id="rId553"/>
    <hyperlink xmlns:r="http://schemas.openxmlformats.org/officeDocument/2006/relationships" ref="H280" r:id="rId554"/>
    <hyperlink xmlns:r="http://schemas.openxmlformats.org/officeDocument/2006/relationships" ref="I280" r:id="rId555"/>
    <hyperlink xmlns:r="http://schemas.openxmlformats.org/officeDocument/2006/relationships" ref="H281" r:id="rId556"/>
    <hyperlink xmlns:r="http://schemas.openxmlformats.org/officeDocument/2006/relationships" ref="I281" r:id="rId557"/>
    <hyperlink xmlns:r="http://schemas.openxmlformats.org/officeDocument/2006/relationships" ref="H282" r:id="rId558"/>
    <hyperlink xmlns:r="http://schemas.openxmlformats.org/officeDocument/2006/relationships" ref="I282" r:id="rId559"/>
    <hyperlink xmlns:r="http://schemas.openxmlformats.org/officeDocument/2006/relationships" ref="H283" r:id="rId560"/>
    <hyperlink xmlns:r="http://schemas.openxmlformats.org/officeDocument/2006/relationships" ref="I283" r:id="rId561"/>
    <hyperlink xmlns:r="http://schemas.openxmlformats.org/officeDocument/2006/relationships" ref="H284" r:id="rId562"/>
    <hyperlink xmlns:r="http://schemas.openxmlformats.org/officeDocument/2006/relationships" ref="I284" r:id="rId563"/>
    <hyperlink xmlns:r="http://schemas.openxmlformats.org/officeDocument/2006/relationships" ref="H285" r:id="rId564"/>
    <hyperlink xmlns:r="http://schemas.openxmlformats.org/officeDocument/2006/relationships" ref="I285" r:id="rId565"/>
    <hyperlink xmlns:r="http://schemas.openxmlformats.org/officeDocument/2006/relationships" ref="H286" r:id="rId566"/>
    <hyperlink xmlns:r="http://schemas.openxmlformats.org/officeDocument/2006/relationships" ref="I286" r:id="rId567"/>
    <hyperlink xmlns:r="http://schemas.openxmlformats.org/officeDocument/2006/relationships" ref="H287" r:id="rId568"/>
    <hyperlink xmlns:r="http://schemas.openxmlformats.org/officeDocument/2006/relationships" ref="I287" r:id="rId569"/>
    <hyperlink xmlns:r="http://schemas.openxmlformats.org/officeDocument/2006/relationships" ref="H288" r:id="rId570"/>
    <hyperlink xmlns:r="http://schemas.openxmlformats.org/officeDocument/2006/relationships" ref="I288" r:id="rId571"/>
    <hyperlink xmlns:r="http://schemas.openxmlformats.org/officeDocument/2006/relationships" ref="H289" r:id="rId572"/>
    <hyperlink xmlns:r="http://schemas.openxmlformats.org/officeDocument/2006/relationships" ref="I289" r:id="rId573"/>
    <hyperlink xmlns:r="http://schemas.openxmlformats.org/officeDocument/2006/relationships" ref="H290" r:id="rId574"/>
    <hyperlink xmlns:r="http://schemas.openxmlformats.org/officeDocument/2006/relationships" ref="I290" r:id="rId575"/>
    <hyperlink xmlns:r="http://schemas.openxmlformats.org/officeDocument/2006/relationships" ref="H291" r:id="rId576"/>
    <hyperlink xmlns:r="http://schemas.openxmlformats.org/officeDocument/2006/relationships" ref="I291" r:id="rId577"/>
    <hyperlink xmlns:r="http://schemas.openxmlformats.org/officeDocument/2006/relationships" ref="H292" r:id="rId578"/>
    <hyperlink xmlns:r="http://schemas.openxmlformats.org/officeDocument/2006/relationships" ref="I292" r:id="rId579"/>
    <hyperlink xmlns:r="http://schemas.openxmlformats.org/officeDocument/2006/relationships" ref="H293" r:id="rId580"/>
    <hyperlink xmlns:r="http://schemas.openxmlformats.org/officeDocument/2006/relationships" ref="I293" r:id="rId581"/>
    <hyperlink xmlns:r="http://schemas.openxmlformats.org/officeDocument/2006/relationships" ref="H294" r:id="rId582"/>
    <hyperlink xmlns:r="http://schemas.openxmlformats.org/officeDocument/2006/relationships" ref="I294" r:id="rId583"/>
    <hyperlink xmlns:r="http://schemas.openxmlformats.org/officeDocument/2006/relationships" ref="H295" r:id="rId584"/>
    <hyperlink xmlns:r="http://schemas.openxmlformats.org/officeDocument/2006/relationships" ref="I295" r:id="rId585"/>
    <hyperlink xmlns:r="http://schemas.openxmlformats.org/officeDocument/2006/relationships" ref="H296" r:id="rId586"/>
    <hyperlink xmlns:r="http://schemas.openxmlformats.org/officeDocument/2006/relationships" ref="I296" r:id="rId587"/>
    <hyperlink xmlns:r="http://schemas.openxmlformats.org/officeDocument/2006/relationships" ref="H297" r:id="rId588"/>
    <hyperlink xmlns:r="http://schemas.openxmlformats.org/officeDocument/2006/relationships" ref="I297" r:id="rId589"/>
    <hyperlink xmlns:r="http://schemas.openxmlformats.org/officeDocument/2006/relationships" ref="H298" r:id="rId590"/>
    <hyperlink xmlns:r="http://schemas.openxmlformats.org/officeDocument/2006/relationships" ref="I298" r:id="rId591"/>
    <hyperlink xmlns:r="http://schemas.openxmlformats.org/officeDocument/2006/relationships" ref="H299" r:id="rId592"/>
    <hyperlink xmlns:r="http://schemas.openxmlformats.org/officeDocument/2006/relationships" ref="I299" r:id="rId593"/>
    <hyperlink xmlns:r="http://schemas.openxmlformats.org/officeDocument/2006/relationships" ref="H300" r:id="rId594"/>
    <hyperlink xmlns:r="http://schemas.openxmlformats.org/officeDocument/2006/relationships" ref="I300" r:id="rId595"/>
    <hyperlink xmlns:r="http://schemas.openxmlformats.org/officeDocument/2006/relationships" ref="H301" r:id="rId596"/>
    <hyperlink xmlns:r="http://schemas.openxmlformats.org/officeDocument/2006/relationships" ref="I301" r:id="rId597"/>
    <hyperlink xmlns:r="http://schemas.openxmlformats.org/officeDocument/2006/relationships" ref="H302" r:id="rId598"/>
    <hyperlink xmlns:r="http://schemas.openxmlformats.org/officeDocument/2006/relationships" ref="I302" r:id="rId599"/>
    <hyperlink xmlns:r="http://schemas.openxmlformats.org/officeDocument/2006/relationships" ref="H303" r:id="rId600"/>
    <hyperlink xmlns:r="http://schemas.openxmlformats.org/officeDocument/2006/relationships" ref="I303" r:id="rId601"/>
    <hyperlink xmlns:r="http://schemas.openxmlformats.org/officeDocument/2006/relationships" ref="H304" r:id="rId602"/>
    <hyperlink xmlns:r="http://schemas.openxmlformats.org/officeDocument/2006/relationships" ref="I304" r:id="rId603"/>
    <hyperlink xmlns:r="http://schemas.openxmlformats.org/officeDocument/2006/relationships" ref="H305" r:id="rId604"/>
    <hyperlink xmlns:r="http://schemas.openxmlformats.org/officeDocument/2006/relationships" ref="I305" r:id="rId605"/>
    <hyperlink xmlns:r="http://schemas.openxmlformats.org/officeDocument/2006/relationships" ref="H306" r:id="rId606"/>
    <hyperlink xmlns:r="http://schemas.openxmlformats.org/officeDocument/2006/relationships" ref="I306" r:id="rId607"/>
    <hyperlink xmlns:r="http://schemas.openxmlformats.org/officeDocument/2006/relationships" ref="H307" r:id="rId608"/>
    <hyperlink xmlns:r="http://schemas.openxmlformats.org/officeDocument/2006/relationships" ref="I307" r:id="rId609"/>
    <hyperlink xmlns:r="http://schemas.openxmlformats.org/officeDocument/2006/relationships" ref="H308" r:id="rId610"/>
    <hyperlink xmlns:r="http://schemas.openxmlformats.org/officeDocument/2006/relationships" ref="I308" r:id="rId611"/>
    <hyperlink xmlns:r="http://schemas.openxmlformats.org/officeDocument/2006/relationships" ref="H309" r:id="rId612"/>
    <hyperlink xmlns:r="http://schemas.openxmlformats.org/officeDocument/2006/relationships" ref="I309" r:id="rId613"/>
    <hyperlink xmlns:r="http://schemas.openxmlformats.org/officeDocument/2006/relationships" ref="H310" r:id="rId614"/>
    <hyperlink xmlns:r="http://schemas.openxmlformats.org/officeDocument/2006/relationships" ref="I310" r:id="rId615"/>
    <hyperlink xmlns:r="http://schemas.openxmlformats.org/officeDocument/2006/relationships" ref="H311" r:id="rId616"/>
    <hyperlink xmlns:r="http://schemas.openxmlformats.org/officeDocument/2006/relationships" ref="I311" r:id="rId617"/>
    <hyperlink xmlns:r="http://schemas.openxmlformats.org/officeDocument/2006/relationships" ref="H312" r:id="rId618"/>
    <hyperlink xmlns:r="http://schemas.openxmlformats.org/officeDocument/2006/relationships" ref="I312" r:id="rId619"/>
    <hyperlink xmlns:r="http://schemas.openxmlformats.org/officeDocument/2006/relationships" ref="H313" r:id="rId620"/>
    <hyperlink xmlns:r="http://schemas.openxmlformats.org/officeDocument/2006/relationships" ref="I313" r:id="rId621"/>
    <hyperlink xmlns:r="http://schemas.openxmlformats.org/officeDocument/2006/relationships" ref="H314" r:id="rId622"/>
    <hyperlink xmlns:r="http://schemas.openxmlformats.org/officeDocument/2006/relationships" ref="I314" r:id="rId623"/>
    <hyperlink xmlns:r="http://schemas.openxmlformats.org/officeDocument/2006/relationships" ref="H315" r:id="rId624"/>
    <hyperlink xmlns:r="http://schemas.openxmlformats.org/officeDocument/2006/relationships" ref="I315" r:id="rId625"/>
    <hyperlink xmlns:r="http://schemas.openxmlformats.org/officeDocument/2006/relationships" ref="H316" r:id="rId626"/>
    <hyperlink xmlns:r="http://schemas.openxmlformats.org/officeDocument/2006/relationships" ref="I316" r:id="rId627"/>
    <hyperlink xmlns:r="http://schemas.openxmlformats.org/officeDocument/2006/relationships" ref="H317" r:id="rId628"/>
    <hyperlink xmlns:r="http://schemas.openxmlformats.org/officeDocument/2006/relationships" ref="I317" r:id="rId629"/>
    <hyperlink xmlns:r="http://schemas.openxmlformats.org/officeDocument/2006/relationships" ref="H318" r:id="rId630"/>
    <hyperlink xmlns:r="http://schemas.openxmlformats.org/officeDocument/2006/relationships" ref="I318" r:id="rId631"/>
    <hyperlink xmlns:r="http://schemas.openxmlformats.org/officeDocument/2006/relationships" ref="H319" r:id="rId632"/>
    <hyperlink xmlns:r="http://schemas.openxmlformats.org/officeDocument/2006/relationships" ref="I319" r:id="rId633"/>
    <hyperlink xmlns:r="http://schemas.openxmlformats.org/officeDocument/2006/relationships" ref="H320" r:id="rId634"/>
    <hyperlink xmlns:r="http://schemas.openxmlformats.org/officeDocument/2006/relationships" ref="I320" r:id="rId635"/>
    <hyperlink xmlns:r="http://schemas.openxmlformats.org/officeDocument/2006/relationships" ref="H321" r:id="rId636"/>
    <hyperlink xmlns:r="http://schemas.openxmlformats.org/officeDocument/2006/relationships" ref="I321" r:id="rId637"/>
    <hyperlink xmlns:r="http://schemas.openxmlformats.org/officeDocument/2006/relationships" ref="H322" r:id="rId638"/>
    <hyperlink xmlns:r="http://schemas.openxmlformats.org/officeDocument/2006/relationships" ref="I322" r:id="rId639"/>
    <hyperlink xmlns:r="http://schemas.openxmlformats.org/officeDocument/2006/relationships" ref="H323" r:id="rId640"/>
    <hyperlink xmlns:r="http://schemas.openxmlformats.org/officeDocument/2006/relationships" ref="I323" r:id="rId641"/>
    <hyperlink xmlns:r="http://schemas.openxmlformats.org/officeDocument/2006/relationships" ref="H324" r:id="rId642"/>
    <hyperlink xmlns:r="http://schemas.openxmlformats.org/officeDocument/2006/relationships" ref="I324" r:id="rId643"/>
    <hyperlink xmlns:r="http://schemas.openxmlformats.org/officeDocument/2006/relationships" ref="H325" r:id="rId644"/>
    <hyperlink xmlns:r="http://schemas.openxmlformats.org/officeDocument/2006/relationships" ref="I325" r:id="rId645"/>
    <hyperlink xmlns:r="http://schemas.openxmlformats.org/officeDocument/2006/relationships" ref="H326" r:id="rId646"/>
    <hyperlink xmlns:r="http://schemas.openxmlformats.org/officeDocument/2006/relationships" ref="I326" r:id="rId647"/>
    <hyperlink xmlns:r="http://schemas.openxmlformats.org/officeDocument/2006/relationships" ref="H327" r:id="rId648"/>
    <hyperlink xmlns:r="http://schemas.openxmlformats.org/officeDocument/2006/relationships" ref="I327" r:id="rId649"/>
    <hyperlink xmlns:r="http://schemas.openxmlformats.org/officeDocument/2006/relationships" ref="H328" r:id="rId650"/>
    <hyperlink xmlns:r="http://schemas.openxmlformats.org/officeDocument/2006/relationships" ref="I328" r:id="rId651"/>
    <hyperlink xmlns:r="http://schemas.openxmlformats.org/officeDocument/2006/relationships" ref="H329" r:id="rId652"/>
    <hyperlink xmlns:r="http://schemas.openxmlformats.org/officeDocument/2006/relationships" ref="I329" r:id="rId653"/>
    <hyperlink xmlns:r="http://schemas.openxmlformats.org/officeDocument/2006/relationships" ref="H330" r:id="rId654"/>
    <hyperlink xmlns:r="http://schemas.openxmlformats.org/officeDocument/2006/relationships" ref="I330" r:id="rId655"/>
    <hyperlink xmlns:r="http://schemas.openxmlformats.org/officeDocument/2006/relationships" ref="H331" r:id="rId656"/>
    <hyperlink xmlns:r="http://schemas.openxmlformats.org/officeDocument/2006/relationships" ref="I331" r:id="rId657"/>
    <hyperlink xmlns:r="http://schemas.openxmlformats.org/officeDocument/2006/relationships" ref="H332" r:id="rId658"/>
    <hyperlink xmlns:r="http://schemas.openxmlformats.org/officeDocument/2006/relationships" ref="I332" r:id="rId659"/>
    <hyperlink xmlns:r="http://schemas.openxmlformats.org/officeDocument/2006/relationships" ref="H333" r:id="rId660"/>
    <hyperlink xmlns:r="http://schemas.openxmlformats.org/officeDocument/2006/relationships" ref="I333" r:id="rId661"/>
    <hyperlink xmlns:r="http://schemas.openxmlformats.org/officeDocument/2006/relationships" ref="H334" r:id="rId662"/>
    <hyperlink xmlns:r="http://schemas.openxmlformats.org/officeDocument/2006/relationships" ref="I334" r:id="rId663"/>
    <hyperlink xmlns:r="http://schemas.openxmlformats.org/officeDocument/2006/relationships" ref="H335" r:id="rId664"/>
    <hyperlink xmlns:r="http://schemas.openxmlformats.org/officeDocument/2006/relationships" ref="I335" r:id="rId665"/>
    <hyperlink xmlns:r="http://schemas.openxmlformats.org/officeDocument/2006/relationships" ref="H336" r:id="rId666"/>
    <hyperlink xmlns:r="http://schemas.openxmlformats.org/officeDocument/2006/relationships" ref="I336" r:id="rId667"/>
    <hyperlink xmlns:r="http://schemas.openxmlformats.org/officeDocument/2006/relationships" ref="H337" r:id="rId668"/>
    <hyperlink xmlns:r="http://schemas.openxmlformats.org/officeDocument/2006/relationships" ref="I337" r:id="rId669"/>
    <hyperlink xmlns:r="http://schemas.openxmlformats.org/officeDocument/2006/relationships" ref="H338" r:id="rId670"/>
    <hyperlink xmlns:r="http://schemas.openxmlformats.org/officeDocument/2006/relationships" ref="I338" r:id="rId671"/>
    <hyperlink xmlns:r="http://schemas.openxmlformats.org/officeDocument/2006/relationships" ref="H339" r:id="rId672"/>
    <hyperlink xmlns:r="http://schemas.openxmlformats.org/officeDocument/2006/relationships" ref="I339" r:id="rId673"/>
    <hyperlink xmlns:r="http://schemas.openxmlformats.org/officeDocument/2006/relationships" ref="H340" r:id="rId674"/>
    <hyperlink xmlns:r="http://schemas.openxmlformats.org/officeDocument/2006/relationships" ref="I340" r:id="rId675"/>
    <hyperlink xmlns:r="http://schemas.openxmlformats.org/officeDocument/2006/relationships" ref="H341" r:id="rId676"/>
    <hyperlink xmlns:r="http://schemas.openxmlformats.org/officeDocument/2006/relationships" ref="I341" r:id="rId677"/>
    <hyperlink xmlns:r="http://schemas.openxmlformats.org/officeDocument/2006/relationships" ref="H342" r:id="rId678"/>
    <hyperlink xmlns:r="http://schemas.openxmlformats.org/officeDocument/2006/relationships" ref="I342" r:id="rId679"/>
    <hyperlink xmlns:r="http://schemas.openxmlformats.org/officeDocument/2006/relationships" ref="H343" r:id="rId680"/>
    <hyperlink xmlns:r="http://schemas.openxmlformats.org/officeDocument/2006/relationships" ref="I343" r:id="rId681"/>
    <hyperlink xmlns:r="http://schemas.openxmlformats.org/officeDocument/2006/relationships" ref="H344" r:id="rId682"/>
    <hyperlink xmlns:r="http://schemas.openxmlformats.org/officeDocument/2006/relationships" ref="I344" r:id="rId683"/>
    <hyperlink xmlns:r="http://schemas.openxmlformats.org/officeDocument/2006/relationships" ref="H345" r:id="rId684"/>
    <hyperlink xmlns:r="http://schemas.openxmlformats.org/officeDocument/2006/relationships" ref="I345" r:id="rId685"/>
    <hyperlink xmlns:r="http://schemas.openxmlformats.org/officeDocument/2006/relationships" ref="H346" r:id="rId686"/>
    <hyperlink xmlns:r="http://schemas.openxmlformats.org/officeDocument/2006/relationships" ref="I346" r:id="rId687"/>
    <hyperlink xmlns:r="http://schemas.openxmlformats.org/officeDocument/2006/relationships" ref="H347" r:id="rId688"/>
    <hyperlink xmlns:r="http://schemas.openxmlformats.org/officeDocument/2006/relationships" ref="I347" r:id="rId689"/>
    <hyperlink xmlns:r="http://schemas.openxmlformats.org/officeDocument/2006/relationships" ref="H348" r:id="rId690"/>
    <hyperlink xmlns:r="http://schemas.openxmlformats.org/officeDocument/2006/relationships" ref="I348" r:id="rId691"/>
    <hyperlink xmlns:r="http://schemas.openxmlformats.org/officeDocument/2006/relationships" ref="H349" r:id="rId692"/>
    <hyperlink xmlns:r="http://schemas.openxmlformats.org/officeDocument/2006/relationships" ref="I349" r:id="rId693"/>
    <hyperlink xmlns:r="http://schemas.openxmlformats.org/officeDocument/2006/relationships" ref="H350" r:id="rId694"/>
    <hyperlink xmlns:r="http://schemas.openxmlformats.org/officeDocument/2006/relationships" ref="I350" r:id="rId695"/>
    <hyperlink xmlns:r="http://schemas.openxmlformats.org/officeDocument/2006/relationships" ref="H351" r:id="rId696"/>
    <hyperlink xmlns:r="http://schemas.openxmlformats.org/officeDocument/2006/relationships" ref="I351" r:id="rId697"/>
    <hyperlink xmlns:r="http://schemas.openxmlformats.org/officeDocument/2006/relationships" ref="H352" r:id="rId698"/>
    <hyperlink xmlns:r="http://schemas.openxmlformats.org/officeDocument/2006/relationships" ref="I352" r:id="rId699"/>
    <hyperlink xmlns:r="http://schemas.openxmlformats.org/officeDocument/2006/relationships" ref="H353" r:id="rId700"/>
    <hyperlink xmlns:r="http://schemas.openxmlformats.org/officeDocument/2006/relationships" ref="I353" r:id="rId701"/>
    <hyperlink xmlns:r="http://schemas.openxmlformats.org/officeDocument/2006/relationships" ref="H354" r:id="rId702"/>
    <hyperlink xmlns:r="http://schemas.openxmlformats.org/officeDocument/2006/relationships" ref="I354" r:id="rId703"/>
    <hyperlink xmlns:r="http://schemas.openxmlformats.org/officeDocument/2006/relationships" ref="H355" r:id="rId704"/>
    <hyperlink xmlns:r="http://schemas.openxmlformats.org/officeDocument/2006/relationships" ref="I355" r:id="rId705"/>
    <hyperlink xmlns:r="http://schemas.openxmlformats.org/officeDocument/2006/relationships" ref="H356" r:id="rId706"/>
    <hyperlink xmlns:r="http://schemas.openxmlformats.org/officeDocument/2006/relationships" ref="I356" r:id="rId707"/>
    <hyperlink xmlns:r="http://schemas.openxmlformats.org/officeDocument/2006/relationships" ref="H357" r:id="rId708"/>
    <hyperlink xmlns:r="http://schemas.openxmlformats.org/officeDocument/2006/relationships" ref="I357" r:id="rId709"/>
    <hyperlink xmlns:r="http://schemas.openxmlformats.org/officeDocument/2006/relationships" ref="H358" r:id="rId710"/>
    <hyperlink xmlns:r="http://schemas.openxmlformats.org/officeDocument/2006/relationships" ref="I358" r:id="rId711"/>
    <hyperlink xmlns:r="http://schemas.openxmlformats.org/officeDocument/2006/relationships" ref="H359" r:id="rId712"/>
    <hyperlink xmlns:r="http://schemas.openxmlformats.org/officeDocument/2006/relationships" ref="I359" r:id="rId713"/>
    <hyperlink xmlns:r="http://schemas.openxmlformats.org/officeDocument/2006/relationships" ref="H360" r:id="rId714"/>
    <hyperlink xmlns:r="http://schemas.openxmlformats.org/officeDocument/2006/relationships" ref="I360" r:id="rId715"/>
    <hyperlink xmlns:r="http://schemas.openxmlformats.org/officeDocument/2006/relationships" ref="H361" r:id="rId716"/>
    <hyperlink xmlns:r="http://schemas.openxmlformats.org/officeDocument/2006/relationships" ref="I361" r:id="rId717"/>
    <hyperlink xmlns:r="http://schemas.openxmlformats.org/officeDocument/2006/relationships" ref="H362" r:id="rId718"/>
    <hyperlink xmlns:r="http://schemas.openxmlformats.org/officeDocument/2006/relationships" ref="I362" r:id="rId719"/>
    <hyperlink xmlns:r="http://schemas.openxmlformats.org/officeDocument/2006/relationships" ref="H363" r:id="rId720"/>
    <hyperlink xmlns:r="http://schemas.openxmlformats.org/officeDocument/2006/relationships" ref="I363" r:id="rId721"/>
    <hyperlink xmlns:r="http://schemas.openxmlformats.org/officeDocument/2006/relationships" ref="H364" r:id="rId722"/>
    <hyperlink xmlns:r="http://schemas.openxmlformats.org/officeDocument/2006/relationships" ref="I364" r:id="rId723"/>
    <hyperlink xmlns:r="http://schemas.openxmlformats.org/officeDocument/2006/relationships" ref="H365" r:id="rId724"/>
    <hyperlink xmlns:r="http://schemas.openxmlformats.org/officeDocument/2006/relationships" ref="I365" r:id="rId725"/>
    <hyperlink xmlns:r="http://schemas.openxmlformats.org/officeDocument/2006/relationships" ref="H366" r:id="rId726"/>
    <hyperlink xmlns:r="http://schemas.openxmlformats.org/officeDocument/2006/relationships" ref="I366" r:id="rId727"/>
    <hyperlink xmlns:r="http://schemas.openxmlformats.org/officeDocument/2006/relationships" ref="H367" r:id="rId728"/>
    <hyperlink xmlns:r="http://schemas.openxmlformats.org/officeDocument/2006/relationships" ref="I367" r:id="rId729"/>
    <hyperlink xmlns:r="http://schemas.openxmlformats.org/officeDocument/2006/relationships" ref="H368" r:id="rId730"/>
    <hyperlink xmlns:r="http://schemas.openxmlformats.org/officeDocument/2006/relationships" ref="I368" r:id="rId731"/>
    <hyperlink xmlns:r="http://schemas.openxmlformats.org/officeDocument/2006/relationships" ref="H369" r:id="rId732"/>
    <hyperlink xmlns:r="http://schemas.openxmlformats.org/officeDocument/2006/relationships" ref="I369" r:id="rId733"/>
    <hyperlink xmlns:r="http://schemas.openxmlformats.org/officeDocument/2006/relationships" ref="H370" r:id="rId734"/>
    <hyperlink xmlns:r="http://schemas.openxmlformats.org/officeDocument/2006/relationships" ref="I370" r:id="rId735"/>
    <hyperlink xmlns:r="http://schemas.openxmlformats.org/officeDocument/2006/relationships" ref="H371" r:id="rId736"/>
    <hyperlink xmlns:r="http://schemas.openxmlformats.org/officeDocument/2006/relationships" ref="I371" r:id="rId737"/>
    <hyperlink xmlns:r="http://schemas.openxmlformats.org/officeDocument/2006/relationships" ref="H372" r:id="rId738"/>
    <hyperlink xmlns:r="http://schemas.openxmlformats.org/officeDocument/2006/relationships" ref="I372" r:id="rId739"/>
    <hyperlink xmlns:r="http://schemas.openxmlformats.org/officeDocument/2006/relationships" ref="H373" r:id="rId740"/>
    <hyperlink xmlns:r="http://schemas.openxmlformats.org/officeDocument/2006/relationships" ref="I373" r:id="rId741"/>
    <hyperlink xmlns:r="http://schemas.openxmlformats.org/officeDocument/2006/relationships" ref="H374" r:id="rId742"/>
    <hyperlink xmlns:r="http://schemas.openxmlformats.org/officeDocument/2006/relationships" ref="I374" r:id="rId743"/>
    <hyperlink xmlns:r="http://schemas.openxmlformats.org/officeDocument/2006/relationships" ref="H375" r:id="rId744"/>
    <hyperlink xmlns:r="http://schemas.openxmlformats.org/officeDocument/2006/relationships" ref="I375" r:id="rId745"/>
    <hyperlink xmlns:r="http://schemas.openxmlformats.org/officeDocument/2006/relationships" ref="H376" r:id="rId746"/>
    <hyperlink xmlns:r="http://schemas.openxmlformats.org/officeDocument/2006/relationships" ref="I376" r:id="rId747"/>
    <hyperlink xmlns:r="http://schemas.openxmlformats.org/officeDocument/2006/relationships" ref="H377" r:id="rId748"/>
    <hyperlink xmlns:r="http://schemas.openxmlformats.org/officeDocument/2006/relationships" ref="I377" r:id="rId749"/>
    <hyperlink xmlns:r="http://schemas.openxmlformats.org/officeDocument/2006/relationships" ref="H378" r:id="rId750"/>
    <hyperlink xmlns:r="http://schemas.openxmlformats.org/officeDocument/2006/relationships" ref="I378" r:id="rId751"/>
    <hyperlink xmlns:r="http://schemas.openxmlformats.org/officeDocument/2006/relationships" ref="H379" r:id="rId752"/>
    <hyperlink xmlns:r="http://schemas.openxmlformats.org/officeDocument/2006/relationships" ref="I379" r:id="rId753"/>
    <hyperlink xmlns:r="http://schemas.openxmlformats.org/officeDocument/2006/relationships" ref="H380" r:id="rId754"/>
    <hyperlink xmlns:r="http://schemas.openxmlformats.org/officeDocument/2006/relationships" ref="I380" r:id="rId755"/>
    <hyperlink xmlns:r="http://schemas.openxmlformats.org/officeDocument/2006/relationships" ref="H381" r:id="rId756"/>
    <hyperlink xmlns:r="http://schemas.openxmlformats.org/officeDocument/2006/relationships" ref="I381" r:id="rId757"/>
    <hyperlink xmlns:r="http://schemas.openxmlformats.org/officeDocument/2006/relationships" ref="H382" r:id="rId758"/>
    <hyperlink xmlns:r="http://schemas.openxmlformats.org/officeDocument/2006/relationships" ref="I382" r:id="rId759"/>
    <hyperlink xmlns:r="http://schemas.openxmlformats.org/officeDocument/2006/relationships" ref="H383" r:id="rId760"/>
    <hyperlink xmlns:r="http://schemas.openxmlformats.org/officeDocument/2006/relationships" ref="I383" r:id="rId761"/>
    <hyperlink xmlns:r="http://schemas.openxmlformats.org/officeDocument/2006/relationships" ref="H384" r:id="rId762"/>
    <hyperlink xmlns:r="http://schemas.openxmlformats.org/officeDocument/2006/relationships" ref="I384" r:id="rId763"/>
    <hyperlink xmlns:r="http://schemas.openxmlformats.org/officeDocument/2006/relationships" ref="H385" r:id="rId764"/>
    <hyperlink xmlns:r="http://schemas.openxmlformats.org/officeDocument/2006/relationships" ref="I385" r:id="rId765"/>
    <hyperlink xmlns:r="http://schemas.openxmlformats.org/officeDocument/2006/relationships" ref="H386" r:id="rId766"/>
    <hyperlink xmlns:r="http://schemas.openxmlformats.org/officeDocument/2006/relationships" ref="I386" r:id="rId767"/>
    <hyperlink xmlns:r="http://schemas.openxmlformats.org/officeDocument/2006/relationships" ref="H387" r:id="rId768"/>
    <hyperlink xmlns:r="http://schemas.openxmlformats.org/officeDocument/2006/relationships" ref="I387" r:id="rId769"/>
    <hyperlink xmlns:r="http://schemas.openxmlformats.org/officeDocument/2006/relationships" ref="H388" r:id="rId770"/>
    <hyperlink xmlns:r="http://schemas.openxmlformats.org/officeDocument/2006/relationships" ref="I388" r:id="rId771"/>
    <hyperlink xmlns:r="http://schemas.openxmlformats.org/officeDocument/2006/relationships" ref="H389" r:id="rId772"/>
    <hyperlink xmlns:r="http://schemas.openxmlformats.org/officeDocument/2006/relationships" ref="I389" r:id="rId773"/>
    <hyperlink xmlns:r="http://schemas.openxmlformats.org/officeDocument/2006/relationships" ref="H390" r:id="rId774"/>
    <hyperlink xmlns:r="http://schemas.openxmlformats.org/officeDocument/2006/relationships" ref="I390" r:id="rId775"/>
    <hyperlink xmlns:r="http://schemas.openxmlformats.org/officeDocument/2006/relationships" ref="H391" r:id="rId776"/>
    <hyperlink xmlns:r="http://schemas.openxmlformats.org/officeDocument/2006/relationships" ref="I391" r:id="rId777"/>
    <hyperlink xmlns:r="http://schemas.openxmlformats.org/officeDocument/2006/relationships" ref="H392" r:id="rId778"/>
    <hyperlink xmlns:r="http://schemas.openxmlformats.org/officeDocument/2006/relationships" ref="I392" r:id="rId779"/>
    <hyperlink xmlns:r="http://schemas.openxmlformats.org/officeDocument/2006/relationships" ref="H393" r:id="rId780"/>
    <hyperlink xmlns:r="http://schemas.openxmlformats.org/officeDocument/2006/relationships" ref="I393" r:id="rId781"/>
    <hyperlink xmlns:r="http://schemas.openxmlformats.org/officeDocument/2006/relationships" ref="H394" r:id="rId782"/>
    <hyperlink xmlns:r="http://schemas.openxmlformats.org/officeDocument/2006/relationships" ref="I394" r:id="rId783"/>
    <hyperlink xmlns:r="http://schemas.openxmlformats.org/officeDocument/2006/relationships" ref="H395" r:id="rId784"/>
    <hyperlink xmlns:r="http://schemas.openxmlformats.org/officeDocument/2006/relationships" ref="I395" r:id="rId785"/>
    <hyperlink xmlns:r="http://schemas.openxmlformats.org/officeDocument/2006/relationships" ref="H396" r:id="rId786"/>
    <hyperlink xmlns:r="http://schemas.openxmlformats.org/officeDocument/2006/relationships" ref="I396" r:id="rId787"/>
    <hyperlink xmlns:r="http://schemas.openxmlformats.org/officeDocument/2006/relationships" ref="H397" r:id="rId788"/>
    <hyperlink xmlns:r="http://schemas.openxmlformats.org/officeDocument/2006/relationships" ref="I397" r:id="rId789"/>
    <hyperlink xmlns:r="http://schemas.openxmlformats.org/officeDocument/2006/relationships" ref="H398" r:id="rId790"/>
    <hyperlink xmlns:r="http://schemas.openxmlformats.org/officeDocument/2006/relationships" ref="I398" r:id="rId791"/>
    <hyperlink xmlns:r="http://schemas.openxmlformats.org/officeDocument/2006/relationships" ref="H399" r:id="rId792"/>
    <hyperlink xmlns:r="http://schemas.openxmlformats.org/officeDocument/2006/relationships" ref="I399" r:id="rId793"/>
    <hyperlink xmlns:r="http://schemas.openxmlformats.org/officeDocument/2006/relationships" ref="H400" r:id="rId794"/>
    <hyperlink xmlns:r="http://schemas.openxmlformats.org/officeDocument/2006/relationships" ref="I400" r:id="rId795"/>
    <hyperlink xmlns:r="http://schemas.openxmlformats.org/officeDocument/2006/relationships" ref="H401" r:id="rId796"/>
    <hyperlink xmlns:r="http://schemas.openxmlformats.org/officeDocument/2006/relationships" ref="I401" r:id="rId797"/>
    <hyperlink xmlns:r="http://schemas.openxmlformats.org/officeDocument/2006/relationships" ref="H402" r:id="rId798"/>
    <hyperlink xmlns:r="http://schemas.openxmlformats.org/officeDocument/2006/relationships" ref="I402" r:id="rId799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0" customWidth="1" min="3" max="3"/>
    <col width="8" customWidth="1" min="4" max="4"/>
    <col width="80" customWidth="1" min="5" max="5"/>
  </cols>
  <sheetData>
    <row r="1">
      <c r="B1" s="18" t="inlineStr">
        <is>
          <t>Offer · after-work football for City and Canary Wharf teams</t>
        </is>
      </c>
    </row>
    <row r="2">
      <c r="B2" s="19" t="inlineStr">
        <is>
          <t>Yellow cells are inputs. They feed every draft on Outreach. The pitch and slot per company come from Venues (Lead-with slot).</t>
        </is>
      </c>
    </row>
    <row r="3">
      <c r="B3" s="20" t="inlineStr">
        <is>
          <t>Item</t>
        </is>
      </c>
      <c r="C3" s="20" t="inlineStr">
        <is>
          <t>Value</t>
        </is>
      </c>
      <c r="D3" s="20" t="inlineStr">
        <is>
          <t>Owner</t>
        </is>
      </c>
      <c r="E3" s="20" t="inlineStr">
        <is>
          <t>Note</t>
        </is>
      </c>
    </row>
    <row r="4">
      <c r="B4" s="21" t="inlineStr">
        <is>
          <t>Price per player (£)</t>
        </is>
      </c>
      <c r="C4" s="22" t="n"/>
      <c r="D4" s="19" t="inlineStr">
        <is>
          <t>Joep</t>
        </is>
      </c>
      <c r="E4" s="19" t="inlineStr">
        <is>
          <t>Corporate teams can carry more than the Haggerston pilot. Compare with Venues › Cost per player at earliest.</t>
        </is>
      </c>
    </row>
    <row r="5">
      <c r="B5" s="21" t="inlineStr">
        <is>
          <t>Default sender (when Owner is empty)</t>
        </is>
      </c>
      <c r="C5" s="23" t="inlineStr">
        <is>
          <t>Joep</t>
        </is>
      </c>
      <c r="D5" s="19" t="n"/>
      <c r="E5" s="19" t="n"/>
    </row>
    <row r="6">
      <c r="B6" s="21" t="inlineStr">
        <is>
          <t>Joining link (app)</t>
        </is>
      </c>
      <c r="C6" s="23" t="n"/>
      <c r="D6" s="19" t="n"/>
      <c r="E6" s="19" t="n"/>
    </row>
    <row r="7">
      <c r="B7" s="21" t="inlineStr">
        <is>
          <t>Deadline for players to commit</t>
        </is>
      </c>
      <c r="C7" s="24" t="n"/>
      <c r="D7" s="19" t="n"/>
      <c r="E7" s="19" t="inlineStr">
        <is>
          <t>Date. Leave empty to drop the sentence.</t>
        </is>
      </c>
    </row>
    <row r="8">
      <c r="B8" s="21" t="inlineStr">
        <is>
          <t>Game length (min)</t>
        </is>
      </c>
      <c r="C8" s="23" t="n">
        <v>60</v>
      </c>
      <c r="D8" s="19" t="n"/>
      <c r="E8" s="19" t="n"/>
    </row>
    <row r="9">
      <c r="B9" s="21" t="inlineStr">
        <is>
          <t>Minimum paying players to cover hire</t>
        </is>
      </c>
      <c r="C9" s="25">
        <f>IF(OR(C4="",C4=0),"",ROUNDUP(_xlfn.MAXIFS(Venues!$I$2:$I$15,Venues!$F$2:$F$15,"&gt;0")/C4,0))</f>
        <v/>
      </c>
      <c r="D9" s="19" t="n"/>
      <c r="E9" s="19" t="inlineStr">
        <is>
          <t>Worst case across venues with open slots (highest earliest hire ÷ price).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6" customWidth="1" min="3" max="3"/>
    <col width="7" customWidth="1" min="4" max="4"/>
    <col width="7" customWidth="1" min="5" max="5"/>
    <col width="20" customWidth="1" min="6" max="6"/>
    <col width="16" customWidth="1" min="7" max="7"/>
    <col width="9" customWidth="1" min="8" max="8"/>
    <col width="16" customWidth="1" min="9" max="9"/>
    <col width="11" customWidth="1" min="10" max="10"/>
    <col width="10" customWidth="1" min="11" max="11"/>
    <col width="8" customWidth="1" min="12" max="12"/>
    <col width="30" customWidth="1" min="13" max="13"/>
    <col width="40" customWidth="1" min="14" max="14"/>
    <col width="70" customWidth="1" min="15" max="15"/>
    <col width="22" customWidth="1" min="16" max="16"/>
    <col width="8" customWidth="1" min="17" max="17"/>
    <col width="30" customWidth="1" min="18" max="18"/>
  </cols>
  <sheetData>
    <row r="1">
      <c r="A1" s="9" t="inlineStr">
        <is>
          <t>Venue</t>
        </is>
      </c>
      <c r="B1" s="9" t="inlineStr">
        <is>
          <t>Date</t>
        </is>
      </c>
      <c r="C1" s="9" t="inlineStr">
        <is>
          <t>Day</t>
        </is>
      </c>
      <c r="D1" s="9" t="inlineStr">
        <is>
          <t>Start</t>
        </is>
      </c>
      <c r="E1" s="9" t="inlineStr">
        <is>
          <t>End</t>
        </is>
      </c>
      <c r="F1" s="9" t="inlineStr">
        <is>
          <t>Slot start</t>
        </is>
      </c>
      <c r="G1" s="9" t="inlineStr">
        <is>
          <t>Format</t>
        </is>
      </c>
      <c r="H1" s="9" t="inlineStr">
        <is>
          <t>Players (full pitch)</t>
        </is>
      </c>
      <c r="I1" s="9" t="inlineStr">
        <is>
          <t>Status</t>
        </is>
      </c>
      <c r="J1" s="9" t="inlineStr">
        <is>
          <t>Hire (£ per slot)</t>
        </is>
      </c>
      <c r="K1" s="9" t="inlineStr">
        <is>
          <t>Cost per player (£)</t>
        </is>
      </c>
      <c r="L1" s="9" t="inlineStr">
        <is>
          <t>Floodlit</t>
        </is>
      </c>
      <c r="M1" s="9" t="inlineStr">
        <is>
          <t>Booking source</t>
        </is>
      </c>
      <c r="N1" s="9" t="inlineStr">
        <is>
          <t>Booking link</t>
        </is>
      </c>
      <c r="O1" s="9" t="inlineStr">
        <is>
          <t>Notes</t>
        </is>
      </c>
      <c r="P1" s="9" t="inlineStr">
        <is>
          <t>Checked</t>
        </is>
      </c>
      <c r="Q1" s="9" t="inlineStr">
        <is>
          <t>Rank in venue</t>
        </is>
      </c>
      <c r="R1" s="9" t="inlineStr">
        <is>
          <t>Key</t>
        </is>
      </c>
    </row>
    <row r="2">
      <c r="A2" s="26" t="inlineStr">
        <is>
          <t>Whitechapel</t>
        </is>
      </c>
      <c r="B2" s="27" t="n"/>
      <c r="C2" s="26" t="n"/>
      <c r="D2" s="28" t="n"/>
      <c r="E2" s="28" t="n"/>
      <c r="F2" s="29">
        <f>IF(B2="","",B2+D2)</f>
        <v/>
      </c>
      <c r="G2" s="26" t="inlineStr">
        <is>
          <t>5-a-side</t>
        </is>
      </c>
      <c r="H2" s="30">
        <f>IFERROR(VALUE(LEFT(G2,FIND("-",G2)-1))*2,"")</f>
        <v/>
      </c>
      <c r="I2" s="26" t="inlineStr">
        <is>
          <t>Contact required</t>
        </is>
      </c>
      <c r="J2" s="31" t="n"/>
      <c r="K2" s="32">
        <f>IF(OR(J2="",H2=""),"",J2/H2)</f>
        <v/>
      </c>
      <c r="L2" s="26" t="inlineStr">
        <is>
          <t>yes</t>
        </is>
      </c>
      <c r="M2" s="26" t="inlineStr">
        <is>
          <t>Mulberry Sports &amp; Leisure Centre (Parkwood Leisure)</t>
        </is>
      </c>
      <c r="N2" s="33" t="inlineStr">
        <is>
          <t>https://pitchbooking.com/partners/MULBERRYSPORTSLEISURECENTRE</t>
        </is>
      </c>
      <c r="O2" s="26" t="inlineStr">
        <is>
          <t>Enquiry only. Call 020 7790 3854. Centre is at Richard St E1 2JP (brief says E1 2JR). Weekday hours 18:00-22:00. Powerleague runs Mon and Tue 19:30 leagues here. Floodlit per Powerleague</t>
        </is>
      </c>
      <c r="P2" s="26" t="inlineStr">
        <is>
          <t>24 Sep 2026 (Claude in Chrome)</t>
        </is>
      </c>
      <c r="Q2" s="30">
        <f>IF(AND(I2="Available",F2&lt;&gt;""),COUNTIFS($A$2:$A$72,A2,$I$2:$I$72,"Available",$F$2:$F$72,"&lt;"&amp;F2)+1,"")</f>
        <v/>
      </c>
      <c r="R2" s="30">
        <f>IF(Q2="","",A2&amp;"#"&amp;Q2)</f>
        <v/>
      </c>
    </row>
    <row r="3">
      <c r="A3" s="26" t="inlineStr">
        <is>
          <t>Shoreditch Rooftop</t>
        </is>
      </c>
      <c r="B3" s="27" t="n">
        <v>46293</v>
      </c>
      <c r="C3" s="26" t="inlineStr">
        <is>
          <t>Mon</t>
        </is>
      </c>
      <c r="D3" s="28" t="n">
        <v>0.75</v>
      </c>
      <c r="E3" s="28" t="n">
        <v>0.7916666666666666</v>
      </c>
      <c r="F3" s="29">
        <f>IF(B3="","",B3+D3)</f>
        <v/>
      </c>
      <c r="G3" s="26" t="inlineStr">
        <is>
          <t>5-a-side</t>
        </is>
      </c>
      <c r="H3" s="30">
        <f>IFERROR(VALUE(LEFT(G3,FIND("-",G3)-1))*2,"")</f>
        <v/>
      </c>
      <c r="I3" s="26" t="inlineStr">
        <is>
          <t>Available</t>
        </is>
      </c>
      <c r="J3" s="31" t="n">
        <v>72.2</v>
      </c>
      <c r="K3" s="32">
        <f>IF(OR(J3="",H3=""),"",J3/H3)</f>
        <v/>
      </c>
      <c r="L3" s="26" t="inlineStr">
        <is>
          <t>yes</t>
        </is>
      </c>
      <c r="M3" s="26" t="inlineStr">
        <is>
          <t>Better (GLL)</t>
        </is>
      </c>
      <c r="N3" s="33" t="inlineStr">
        <is>
          <t>https://bookings.better.org.uk/location/britannia-leisure-centre/3g-cage/2026-09-28/by-time</t>
        </is>
      </c>
      <c r="O3" s="26" t="inlineStr">
        <is>
          <t>Football Pitch 2. Better account needed to book. 29 Sep 18:00-21:00 full. Better only releases slots 6 days ahead so 30 Sep onwards not visible yet</t>
        </is>
      </c>
      <c r="P3" s="26" t="inlineStr">
        <is>
          <t>24 Sep 2026 (Claude in Chrome)</t>
        </is>
      </c>
      <c r="Q3" s="30">
        <f>IF(AND(I3="Available",F3&lt;&gt;""),COUNTIFS($A$2:$A$72,A3,$I$2:$I$72,"Available",$F$2:$F$72,"&lt;"&amp;F3)+1,"")</f>
        <v/>
      </c>
      <c r="R3" s="30">
        <f>IF(Q3="","",A3&amp;"#"&amp;Q3)</f>
        <v/>
      </c>
    </row>
    <row r="4">
      <c r="A4" s="26" t="inlineStr">
        <is>
          <t>Old St - Moreland Primary School</t>
        </is>
      </c>
      <c r="B4" s="27" t="n">
        <v>46297</v>
      </c>
      <c r="C4" s="26" t="inlineStr">
        <is>
          <t>Fri</t>
        </is>
      </c>
      <c r="D4" s="28" t="n">
        <v>0.8333333333333334</v>
      </c>
      <c r="E4" s="28" t="n">
        <v>0.875</v>
      </c>
      <c r="F4" s="29">
        <f>IF(B4="","",B4+D4)</f>
        <v/>
      </c>
      <c r="G4" s="26" t="inlineStr">
        <is>
          <t>6-a-side</t>
        </is>
      </c>
      <c r="H4" s="30">
        <f>IFERROR(VALUE(LEFT(G4,FIND("-",G4)-1))*2,"")</f>
        <v/>
      </c>
      <c r="I4" s="26" t="inlineStr">
        <is>
          <t>Available</t>
        </is>
      </c>
      <c r="J4" s="31" t="n">
        <v>90</v>
      </c>
      <c r="K4" s="32">
        <f>IF(OR(J4="",H4=""),"",J4/H4)</f>
        <v/>
      </c>
      <c r="L4" s="26" t="inlineStr">
        <is>
          <t>yes</t>
        </is>
      </c>
      <c r="M4" s="26" t="inlineStr">
        <is>
          <t>PlayFootball</t>
        </is>
      </c>
      <c r="N4" s="33" t="inlineStr">
        <is>
          <t>https://www.playfootball.net/venues/old-street-moreland-school/book-a-pitch/87/6-a-side3gpitchhire</t>
        </is>
      </c>
      <c r="O4" s="26" t="n"/>
      <c r="P4" s="26" t="inlineStr">
        <is>
          <t>24 Sep 2026 (Claude in Chrome)</t>
        </is>
      </c>
      <c r="Q4" s="30">
        <f>IF(AND(I4="Available",F4&lt;&gt;""),COUNTIFS($A$2:$A$72,A4,$I$2:$I$72,"Available",$F$2:$F$72,"&lt;"&amp;F4)+1,"")</f>
        <v/>
      </c>
      <c r="R4" s="30">
        <f>IF(Q4="","",A4&amp;"#"&amp;Q4)</f>
        <v/>
      </c>
    </row>
    <row r="5">
      <c r="A5" s="26" t="inlineStr">
        <is>
          <t>Old St - Moreland Primary School</t>
        </is>
      </c>
      <c r="B5" s="27" t="n">
        <v>46304</v>
      </c>
      <c r="C5" s="26" t="inlineStr">
        <is>
          <t>Fri</t>
        </is>
      </c>
      <c r="D5" s="28" t="n">
        <v>0.8333333333333334</v>
      </c>
      <c r="E5" s="28" t="n">
        <v>0.875</v>
      </c>
      <c r="F5" s="29">
        <f>IF(B5="","",B5+D5)</f>
        <v/>
      </c>
      <c r="G5" s="26" t="inlineStr">
        <is>
          <t>6-a-side</t>
        </is>
      </c>
      <c r="H5" s="30">
        <f>IFERROR(VALUE(LEFT(G5,FIND("-",G5)-1))*2,"")</f>
        <v/>
      </c>
      <c r="I5" s="26" t="inlineStr">
        <is>
          <t>Available</t>
        </is>
      </c>
      <c r="J5" s="31" t="n">
        <v>90</v>
      </c>
      <c r="K5" s="32">
        <f>IF(OR(J5="",H5=""),"",J5/H5)</f>
        <v/>
      </c>
      <c r="L5" s="26" t="inlineStr">
        <is>
          <t>yes</t>
        </is>
      </c>
      <c r="M5" s="26" t="inlineStr">
        <is>
          <t>PlayFootball</t>
        </is>
      </c>
      <c r="N5" s="33" t="inlineStr">
        <is>
          <t>https://www.playfootball.net/venues/old-street-moreland-school/book-a-pitch/87/6-a-side3gpitchhire</t>
        </is>
      </c>
      <c r="O5" s="26" t="n"/>
      <c r="P5" s="26" t="inlineStr">
        <is>
          <t>24 Sep 2026 (Claude in Chrome)</t>
        </is>
      </c>
      <c r="Q5" s="30">
        <f>IF(AND(I5="Available",F5&lt;&gt;""),COUNTIFS($A$2:$A$72,A5,$I$2:$I$72,"Available",$F$2:$F$72,"&lt;"&amp;F5)+1,"")</f>
        <v/>
      </c>
      <c r="R5" s="30">
        <f>IF(Q5="","",A5&amp;"#"&amp;Q5)</f>
        <v/>
      </c>
    </row>
    <row r="6">
      <c r="A6" s="26" t="inlineStr">
        <is>
          <t>Old St - Moreland Primary School</t>
        </is>
      </c>
      <c r="B6" s="27" t="n">
        <v>46307</v>
      </c>
      <c r="C6" s="26" t="inlineStr">
        <is>
          <t>Mon</t>
        </is>
      </c>
      <c r="D6" s="28" t="n">
        <v>0.75</v>
      </c>
      <c r="E6" s="28" t="n">
        <v>0.7916666666666666</v>
      </c>
      <c r="F6" s="29">
        <f>IF(B6="","",B6+D6)</f>
        <v/>
      </c>
      <c r="G6" s="26" t="inlineStr">
        <is>
          <t>6-a-side</t>
        </is>
      </c>
      <c r="H6" s="30">
        <f>IFERROR(VALUE(LEFT(G6,FIND("-",G6)-1))*2,"")</f>
        <v/>
      </c>
      <c r="I6" s="26" t="inlineStr">
        <is>
          <t>Available</t>
        </is>
      </c>
      <c r="J6" s="31" t="n">
        <v>90</v>
      </c>
      <c r="K6" s="32">
        <f>IF(OR(J6="",H6=""),"",J6/H6)</f>
        <v/>
      </c>
      <c r="L6" s="26" t="inlineStr">
        <is>
          <t>yes</t>
        </is>
      </c>
      <c r="M6" s="26" t="inlineStr">
        <is>
          <t>PlayFootball</t>
        </is>
      </c>
      <c r="N6" s="33" t="inlineStr">
        <is>
          <t>https://www.playfootball.net/venues/old-street-moreland-school/book-a-pitch/87/6-a-side3gpitchhire</t>
        </is>
      </c>
      <c r="O6" s="26" t="n"/>
      <c r="P6" s="26" t="inlineStr">
        <is>
          <t>24 Sep 2026 (Claude in Chrome)</t>
        </is>
      </c>
      <c r="Q6" s="30">
        <f>IF(AND(I6="Available",F6&lt;&gt;""),COUNTIFS($A$2:$A$72,A6,$I$2:$I$72,"Available",$F$2:$F$72,"&lt;"&amp;F6)+1,"")</f>
        <v/>
      </c>
      <c r="R6" s="30">
        <f>IF(Q6="","",A6&amp;"#"&amp;Q6)</f>
        <v/>
      </c>
    </row>
    <row r="7">
      <c r="A7" s="26" t="inlineStr">
        <is>
          <t>Old St - Moreland Primary School</t>
        </is>
      </c>
      <c r="B7" s="27" t="n">
        <v>46307</v>
      </c>
      <c r="C7" s="26" t="inlineStr">
        <is>
          <t>Mon</t>
        </is>
      </c>
      <c r="D7" s="28" t="n">
        <v>0.7916666666666666</v>
      </c>
      <c r="E7" s="28" t="n">
        <v>0.8333333333333334</v>
      </c>
      <c r="F7" s="29">
        <f>IF(B7="","",B7+D7)</f>
        <v/>
      </c>
      <c r="G7" s="26" t="inlineStr">
        <is>
          <t>6-a-side</t>
        </is>
      </c>
      <c r="H7" s="30">
        <f>IFERROR(VALUE(LEFT(G7,FIND("-",G7)-1))*2,"")</f>
        <v/>
      </c>
      <c r="I7" s="26" t="inlineStr">
        <is>
          <t>Available</t>
        </is>
      </c>
      <c r="J7" s="31" t="n">
        <v>90</v>
      </c>
      <c r="K7" s="32">
        <f>IF(OR(J7="",H7=""),"",J7/H7)</f>
        <v/>
      </c>
      <c r="L7" s="26" t="inlineStr">
        <is>
          <t>yes</t>
        </is>
      </c>
      <c r="M7" s="26" t="inlineStr">
        <is>
          <t>PlayFootball</t>
        </is>
      </c>
      <c r="N7" s="33" t="inlineStr">
        <is>
          <t>https://www.playfootball.net/venues/old-street-moreland-school/book-a-pitch/87/6-a-side3gpitchhire</t>
        </is>
      </c>
      <c r="O7" s="26" t="n"/>
      <c r="P7" s="26" t="inlineStr">
        <is>
          <t>24 Sep 2026 (Claude in Chrome)</t>
        </is>
      </c>
      <c r="Q7" s="30">
        <f>IF(AND(I7="Available",F7&lt;&gt;""),COUNTIFS($A$2:$A$72,A7,$I$2:$I$72,"Available",$F$2:$F$72,"&lt;"&amp;F7)+1,"")</f>
        <v/>
      </c>
      <c r="R7" s="30">
        <f>IF(Q7="","",A7&amp;"#"&amp;Q7)</f>
        <v/>
      </c>
    </row>
    <row r="8">
      <c r="A8" s="26" t="inlineStr">
        <is>
          <t>Old St - Moreland Primary School</t>
        </is>
      </c>
      <c r="B8" s="27" t="n">
        <v>46307</v>
      </c>
      <c r="C8" s="26" t="inlineStr">
        <is>
          <t>Mon</t>
        </is>
      </c>
      <c r="D8" s="28" t="n">
        <v>0.8333333333333334</v>
      </c>
      <c r="E8" s="28" t="n">
        <v>0.875</v>
      </c>
      <c r="F8" s="29">
        <f>IF(B8="","",B8+D8)</f>
        <v/>
      </c>
      <c r="G8" s="26" t="inlineStr">
        <is>
          <t>6-a-side</t>
        </is>
      </c>
      <c r="H8" s="30">
        <f>IFERROR(VALUE(LEFT(G8,FIND("-",G8)-1))*2,"")</f>
        <v/>
      </c>
      <c r="I8" s="26" t="inlineStr">
        <is>
          <t>Available</t>
        </is>
      </c>
      <c r="J8" s="31" t="n">
        <v>90</v>
      </c>
      <c r="K8" s="32">
        <f>IF(OR(J8="",H8=""),"",J8/H8)</f>
        <v/>
      </c>
      <c r="L8" s="26" t="inlineStr">
        <is>
          <t>yes</t>
        </is>
      </c>
      <c r="M8" s="26" t="inlineStr">
        <is>
          <t>PlayFootball</t>
        </is>
      </c>
      <c r="N8" s="33" t="inlineStr">
        <is>
          <t>https://www.playfootball.net/venues/old-street-moreland-school/book-a-pitch/87/6-a-side3gpitchhire</t>
        </is>
      </c>
      <c r="O8" s="26" t="n"/>
      <c r="P8" s="26" t="inlineStr">
        <is>
          <t>24 Sep 2026 (Claude in Chrome)</t>
        </is>
      </c>
      <c r="Q8" s="30">
        <f>IF(AND(I8="Available",F8&lt;&gt;""),COUNTIFS($A$2:$A$72,A8,$I$2:$I$72,"Available",$F$2:$F$72,"&lt;"&amp;F8)+1,"")</f>
        <v/>
      </c>
      <c r="R8" s="30">
        <f>IF(Q8="","",A8&amp;"#"&amp;Q8)</f>
        <v/>
      </c>
    </row>
    <row r="9">
      <c r="A9" s="26" t="inlineStr">
        <is>
          <t>Old St - Moreland Primary School</t>
        </is>
      </c>
      <c r="B9" s="27" t="n">
        <v>46311</v>
      </c>
      <c r="C9" s="26" t="inlineStr">
        <is>
          <t>Fri</t>
        </is>
      </c>
      <c r="D9" s="28" t="n">
        <v>0.8333333333333334</v>
      </c>
      <c r="E9" s="28" t="n">
        <v>0.875</v>
      </c>
      <c r="F9" s="29">
        <f>IF(B9="","",B9+D9)</f>
        <v/>
      </c>
      <c r="G9" s="26" t="inlineStr">
        <is>
          <t>6-a-side</t>
        </is>
      </c>
      <c r="H9" s="30">
        <f>IFERROR(VALUE(LEFT(G9,FIND("-",G9)-1))*2,"")</f>
        <v/>
      </c>
      <c r="I9" s="26" t="inlineStr">
        <is>
          <t>Available</t>
        </is>
      </c>
      <c r="J9" s="31" t="n">
        <v>90</v>
      </c>
      <c r="K9" s="32">
        <f>IF(OR(J9="",H9=""),"",J9/H9)</f>
        <v/>
      </c>
      <c r="L9" s="26" t="inlineStr">
        <is>
          <t>yes</t>
        </is>
      </c>
      <c r="M9" s="26" t="inlineStr">
        <is>
          <t>PlayFootball</t>
        </is>
      </c>
      <c r="N9" s="33" t="inlineStr">
        <is>
          <t>https://www.playfootball.net/venues/old-street-moreland-school/book-a-pitch/87/6-a-side3gpitchhire</t>
        </is>
      </c>
      <c r="O9" s="26" t="n"/>
      <c r="P9" s="26" t="inlineStr">
        <is>
          <t>24 Sep 2026 (Claude in Chrome)</t>
        </is>
      </c>
      <c r="Q9" s="30">
        <f>IF(AND(I9="Available",F9&lt;&gt;""),COUNTIFS($A$2:$A$72,A9,$I$2:$I$72,"Available",$F$2:$F$72,"&lt;"&amp;F9)+1,"")</f>
        <v/>
      </c>
      <c r="R9" s="30">
        <f>IF(Q9="","",A9&amp;"#"&amp;Q9)</f>
        <v/>
      </c>
    </row>
    <row r="10">
      <c r="A10" s="26" t="inlineStr">
        <is>
          <t>Old St - Moreland Primary School</t>
        </is>
      </c>
      <c r="B10" s="27" t="n">
        <v>46314</v>
      </c>
      <c r="C10" s="26" t="inlineStr">
        <is>
          <t>Mon</t>
        </is>
      </c>
      <c r="D10" s="28" t="n">
        <v>0.75</v>
      </c>
      <c r="E10" s="28" t="n">
        <v>0.7916666666666666</v>
      </c>
      <c r="F10" s="29">
        <f>IF(B10="","",B10+D10)</f>
        <v/>
      </c>
      <c r="G10" s="26" t="inlineStr">
        <is>
          <t>6-a-side</t>
        </is>
      </c>
      <c r="H10" s="30">
        <f>IFERROR(VALUE(LEFT(G10,FIND("-",G10)-1))*2,"")</f>
        <v/>
      </c>
      <c r="I10" s="26" t="inlineStr">
        <is>
          <t>Available</t>
        </is>
      </c>
      <c r="J10" s="31" t="n">
        <v>90</v>
      </c>
      <c r="K10" s="32">
        <f>IF(OR(J10="",H10=""),"",J10/H10)</f>
        <v/>
      </c>
      <c r="L10" s="26" t="inlineStr">
        <is>
          <t>yes</t>
        </is>
      </c>
      <c r="M10" s="26" t="inlineStr">
        <is>
          <t>PlayFootball</t>
        </is>
      </c>
      <c r="N10" s="33" t="inlineStr">
        <is>
          <t>https://www.playfootball.net/venues/old-street-moreland-school/book-a-pitch/87/6-a-side3gpitchhire</t>
        </is>
      </c>
      <c r="O10" s="26" t="inlineStr">
        <is>
          <t>Bookable 30 days ahead so 21-23 Oct not open yet</t>
        </is>
      </c>
      <c r="P10" s="26" t="inlineStr">
        <is>
          <t>24 Sep 2026 (Claude in Chrome)</t>
        </is>
      </c>
      <c r="Q10" s="30">
        <f>IF(AND(I10="Available",F10&lt;&gt;""),COUNTIFS($A$2:$A$72,A10,$I$2:$I$72,"Available",$F$2:$F$72,"&lt;"&amp;F10)+1,"")</f>
        <v/>
      </c>
      <c r="R10" s="30">
        <f>IF(Q10="","",A10&amp;"#"&amp;Q10)</f>
        <v/>
      </c>
    </row>
    <row r="11">
      <c r="A11" s="26" t="inlineStr">
        <is>
          <t>Old St - Moreland Primary School</t>
        </is>
      </c>
      <c r="B11" s="27" t="n">
        <v>46314</v>
      </c>
      <c r="C11" s="26" t="inlineStr">
        <is>
          <t>Mon</t>
        </is>
      </c>
      <c r="D11" s="28" t="n">
        <v>0.7916666666666666</v>
      </c>
      <c r="E11" s="28" t="n">
        <v>0.8333333333333334</v>
      </c>
      <c r="F11" s="29">
        <f>IF(B11="","",B11+D11)</f>
        <v/>
      </c>
      <c r="G11" s="26" t="inlineStr">
        <is>
          <t>6-a-side</t>
        </is>
      </c>
      <c r="H11" s="30">
        <f>IFERROR(VALUE(LEFT(G11,FIND("-",G11)-1))*2,"")</f>
        <v/>
      </c>
      <c r="I11" s="26" t="inlineStr">
        <is>
          <t>Available</t>
        </is>
      </c>
      <c r="J11" s="31" t="n">
        <v>90</v>
      </c>
      <c r="K11" s="32">
        <f>IF(OR(J11="",H11=""),"",J11/H11)</f>
        <v/>
      </c>
      <c r="L11" s="26" t="inlineStr">
        <is>
          <t>yes</t>
        </is>
      </c>
      <c r="M11" s="26" t="inlineStr">
        <is>
          <t>PlayFootball</t>
        </is>
      </c>
      <c r="N11" s="33" t="inlineStr">
        <is>
          <t>https://www.playfootball.net/venues/old-street-moreland-school/book-a-pitch/87/6-a-side3gpitchhire</t>
        </is>
      </c>
      <c r="O11" s="26" t="inlineStr">
        <is>
          <t>Bookable 30 days ahead so 21-23 Oct not open yet</t>
        </is>
      </c>
      <c r="P11" s="26" t="inlineStr">
        <is>
          <t>24 Sep 2026 (Claude in Chrome)</t>
        </is>
      </c>
      <c r="Q11" s="30">
        <f>IF(AND(I11="Available",F11&lt;&gt;""),COUNTIFS($A$2:$A$72,A11,$I$2:$I$72,"Available",$F$2:$F$72,"&lt;"&amp;F11)+1,"")</f>
        <v/>
      </c>
      <c r="R11" s="30">
        <f>IF(Q11="","",A11&amp;"#"&amp;Q11)</f>
        <v/>
      </c>
    </row>
    <row r="12">
      <c r="A12" s="26" t="inlineStr">
        <is>
          <t>Old St - Moreland Primary School</t>
        </is>
      </c>
      <c r="B12" s="27" t="n">
        <v>46314</v>
      </c>
      <c r="C12" s="26" t="inlineStr">
        <is>
          <t>Mon</t>
        </is>
      </c>
      <c r="D12" s="28" t="n">
        <v>0.8333333333333334</v>
      </c>
      <c r="E12" s="28" t="n">
        <v>0.875</v>
      </c>
      <c r="F12" s="29">
        <f>IF(B12="","",B12+D12)</f>
        <v/>
      </c>
      <c r="G12" s="26" t="inlineStr">
        <is>
          <t>6-a-side</t>
        </is>
      </c>
      <c r="H12" s="30">
        <f>IFERROR(VALUE(LEFT(G12,FIND("-",G12)-1))*2,"")</f>
        <v/>
      </c>
      <c r="I12" s="26" t="inlineStr">
        <is>
          <t>Available</t>
        </is>
      </c>
      <c r="J12" s="31" t="n">
        <v>90</v>
      </c>
      <c r="K12" s="32">
        <f>IF(OR(J12="",H12=""),"",J12/H12)</f>
        <v/>
      </c>
      <c r="L12" s="26" t="inlineStr">
        <is>
          <t>yes</t>
        </is>
      </c>
      <c r="M12" s="26" t="inlineStr">
        <is>
          <t>PlayFootball</t>
        </is>
      </c>
      <c r="N12" s="33" t="inlineStr">
        <is>
          <t>https://www.playfootball.net/venues/old-street-moreland-school/book-a-pitch/87/6-a-side3gpitchhire</t>
        </is>
      </c>
      <c r="O12" s="26" t="inlineStr">
        <is>
          <t>Bookable 30 days ahead so 21-23 Oct not open yet</t>
        </is>
      </c>
      <c r="P12" s="26" t="inlineStr">
        <is>
          <t>24 Sep 2026 (Claude in Chrome)</t>
        </is>
      </c>
      <c r="Q12" s="30">
        <f>IF(AND(I12="Available",F12&lt;&gt;""),COUNTIFS($A$2:$A$72,A12,$I$2:$I$72,"Available",$F$2:$F$72,"&lt;"&amp;F12)+1,"")</f>
        <v/>
      </c>
      <c r="R12" s="30">
        <f>IF(Q12="","",A12&amp;"#"&amp;Q12)</f>
        <v/>
      </c>
    </row>
    <row r="13">
      <c r="A13" s="26" t="inlineStr">
        <is>
          <t>Old St - Moreland Primary School</t>
        </is>
      </c>
      <c r="B13" s="27" t="n">
        <v>46315</v>
      </c>
      <c r="C13" s="26" t="inlineStr">
        <is>
          <t>Tue</t>
        </is>
      </c>
      <c r="D13" s="28" t="n">
        <v>0.75</v>
      </c>
      <c r="E13" s="28" t="n">
        <v>0.7916666666666666</v>
      </c>
      <c r="F13" s="29">
        <f>IF(B13="","",B13+D13)</f>
        <v/>
      </c>
      <c r="G13" s="26" t="inlineStr">
        <is>
          <t>6-a-side</t>
        </is>
      </c>
      <c r="H13" s="30">
        <f>IFERROR(VALUE(LEFT(G13,FIND("-",G13)-1))*2,"")</f>
        <v/>
      </c>
      <c r="I13" s="26" t="inlineStr">
        <is>
          <t>Available</t>
        </is>
      </c>
      <c r="J13" s="31" t="n">
        <v>90</v>
      </c>
      <c r="K13" s="32">
        <f>IF(OR(J13="",H13=""),"",J13/H13)</f>
        <v/>
      </c>
      <c r="L13" s="26" t="inlineStr">
        <is>
          <t>yes</t>
        </is>
      </c>
      <c r="M13" s="26" t="inlineStr">
        <is>
          <t>PlayFootball</t>
        </is>
      </c>
      <c r="N13" s="33" t="inlineStr">
        <is>
          <t>https://www.playfootball.net/venues/old-street-moreland-school/book-a-pitch/87/6-a-side3gpitchhire</t>
        </is>
      </c>
      <c r="O13" s="26" t="inlineStr">
        <is>
          <t>Bookable 30 days ahead so 21-23 Oct not open yet</t>
        </is>
      </c>
      <c r="P13" s="26" t="inlineStr">
        <is>
          <t>24 Sep 2026 (Claude in Chrome)</t>
        </is>
      </c>
      <c r="Q13" s="30">
        <f>IF(AND(I13="Available",F13&lt;&gt;""),COUNTIFS($A$2:$A$72,A13,$I$2:$I$72,"Available",$F$2:$F$72,"&lt;"&amp;F13)+1,"")</f>
        <v/>
      </c>
      <c r="R13" s="30">
        <f>IF(Q13="","",A13&amp;"#"&amp;Q13)</f>
        <v/>
      </c>
    </row>
    <row r="14">
      <c r="A14" s="26" t="inlineStr">
        <is>
          <t>Old St - Moreland Primary School</t>
        </is>
      </c>
      <c r="B14" s="27" t="n">
        <v>46315</v>
      </c>
      <c r="C14" s="26" t="inlineStr">
        <is>
          <t>Tue</t>
        </is>
      </c>
      <c r="D14" s="28" t="n">
        <v>0.7916666666666666</v>
      </c>
      <c r="E14" s="28" t="n">
        <v>0.8333333333333334</v>
      </c>
      <c r="F14" s="29">
        <f>IF(B14="","",B14+D14)</f>
        <v/>
      </c>
      <c r="G14" s="26" t="inlineStr">
        <is>
          <t>6-a-side</t>
        </is>
      </c>
      <c r="H14" s="30">
        <f>IFERROR(VALUE(LEFT(G14,FIND("-",G14)-1))*2,"")</f>
        <v/>
      </c>
      <c r="I14" s="26" t="inlineStr">
        <is>
          <t>Available</t>
        </is>
      </c>
      <c r="J14" s="31" t="n">
        <v>90</v>
      </c>
      <c r="K14" s="32">
        <f>IF(OR(J14="",H14=""),"",J14/H14)</f>
        <v/>
      </c>
      <c r="L14" s="26" t="inlineStr">
        <is>
          <t>yes</t>
        </is>
      </c>
      <c r="M14" s="26" t="inlineStr">
        <is>
          <t>PlayFootball</t>
        </is>
      </c>
      <c r="N14" s="33" t="inlineStr">
        <is>
          <t>https://www.playfootball.net/venues/old-street-moreland-school/book-a-pitch/87/6-a-side3gpitchhire</t>
        </is>
      </c>
      <c r="O14" s="26" t="inlineStr">
        <is>
          <t>Bookable 30 days ahead so 21-23 Oct not open yet</t>
        </is>
      </c>
      <c r="P14" s="26" t="inlineStr">
        <is>
          <t>24 Sep 2026 (Claude in Chrome)</t>
        </is>
      </c>
      <c r="Q14" s="30">
        <f>IF(AND(I14="Available",F14&lt;&gt;""),COUNTIFS($A$2:$A$72,A14,$I$2:$I$72,"Available",$F$2:$F$72,"&lt;"&amp;F14)+1,"")</f>
        <v/>
      </c>
      <c r="R14" s="30">
        <f>IF(Q14="","",A14&amp;"#"&amp;Q14)</f>
        <v/>
      </c>
    </row>
    <row r="15">
      <c r="A15" s="26" t="inlineStr">
        <is>
          <t>Old St - Moreland Primary School</t>
        </is>
      </c>
      <c r="B15" s="27" t="n">
        <v>46315</v>
      </c>
      <c r="C15" s="26" t="inlineStr">
        <is>
          <t>Tue</t>
        </is>
      </c>
      <c r="D15" s="28" t="n">
        <v>0.8333333333333334</v>
      </c>
      <c r="E15" s="28" t="n">
        <v>0.875</v>
      </c>
      <c r="F15" s="29">
        <f>IF(B15="","",B15+D15)</f>
        <v/>
      </c>
      <c r="G15" s="26" t="inlineStr">
        <is>
          <t>6-a-side</t>
        </is>
      </c>
      <c r="H15" s="30">
        <f>IFERROR(VALUE(LEFT(G15,FIND("-",G15)-1))*2,"")</f>
        <v/>
      </c>
      <c r="I15" s="26" t="inlineStr">
        <is>
          <t>Available</t>
        </is>
      </c>
      <c r="J15" s="31" t="n">
        <v>90</v>
      </c>
      <c r="K15" s="32">
        <f>IF(OR(J15="",H15=""),"",J15/H15)</f>
        <v/>
      </c>
      <c r="L15" s="26" t="inlineStr">
        <is>
          <t>yes</t>
        </is>
      </c>
      <c r="M15" s="26" t="inlineStr">
        <is>
          <t>PlayFootball</t>
        </is>
      </c>
      <c r="N15" s="33" t="inlineStr">
        <is>
          <t>https://www.playfootball.net/venues/old-street-moreland-school/book-a-pitch/87/6-a-side3gpitchhire</t>
        </is>
      </c>
      <c r="O15" s="26" t="inlineStr">
        <is>
          <t>Bookable 30 days ahead so 21-23 Oct not open yet</t>
        </is>
      </c>
      <c r="P15" s="26" t="inlineStr">
        <is>
          <t>24 Sep 2026 (Claude in Chrome)</t>
        </is>
      </c>
      <c r="Q15" s="30">
        <f>IF(AND(I15="Available",F15&lt;&gt;""),COUNTIFS($A$2:$A$72,A15,$I$2:$I$72,"Available",$F$2:$F$72,"&lt;"&amp;F15)+1,"")</f>
        <v/>
      </c>
      <c r="R15" s="30">
        <f>IF(Q15="","",A15&amp;"#"&amp;Q15)</f>
        <v/>
      </c>
    </row>
    <row r="16">
      <c r="A16" s="26" t="inlineStr">
        <is>
          <t>COLA Shoreditch Park</t>
        </is>
      </c>
      <c r="B16" s="27" t="n">
        <v>46294</v>
      </c>
      <c r="C16" s="26" t="inlineStr">
        <is>
          <t>Tue</t>
        </is>
      </c>
      <c r="D16" s="28" t="n">
        <v>0.7291666666666666</v>
      </c>
      <c r="E16" s="28" t="n">
        <v>0.7708333333333334</v>
      </c>
      <c r="F16" s="29">
        <f>IF(B16="","",B16+D16)</f>
        <v/>
      </c>
      <c r="G16" s="26" t="inlineStr">
        <is>
          <t>5-a-side</t>
        </is>
      </c>
      <c r="H16" s="30">
        <f>IFERROR(VALUE(LEFT(G16,FIND("-",G16)-1))*2,"")</f>
        <v/>
      </c>
      <c r="I16" s="26" t="inlineStr">
        <is>
          <t>Available</t>
        </is>
      </c>
      <c r="J16" s="31" t="n">
        <v>90.97</v>
      </c>
      <c r="K16" s="32">
        <f>IF(OR(J16="",H16=""),"",J16/H16)</f>
        <v/>
      </c>
      <c r="L16" s="26" t="inlineStr">
        <is>
          <t>unknown</t>
        </is>
      </c>
      <c r="M16" s="26" t="inlineStr">
        <is>
          <t>enni.space (City of London Academy Shoreditch Park)</t>
        </is>
      </c>
      <c r="N16" s="33" t="inlineStr">
        <is>
          <t>https://enni.space/search/21782-cola-shoreditch-park-3g-5-a-side-pitch</t>
        </is>
      </c>
      <c r="O16" s="26" t="inlineStr">
        <is>
          <t>Pitch free 17:30-19:00. Rooftop 3G. Price-from per hour</t>
        </is>
      </c>
      <c r="P16" s="26" t="inlineStr">
        <is>
          <t>24 Sep 2026 (Claude in Chrome)</t>
        </is>
      </c>
      <c r="Q16" s="30">
        <f>IF(AND(I16="Available",F16&lt;&gt;""),COUNTIFS($A$2:$A$72,A16,$I$2:$I$72,"Available",$F$2:$F$72,"&lt;"&amp;F16)+1,"")</f>
        <v/>
      </c>
      <c r="R16" s="30">
        <f>IF(Q16="","",A16&amp;"#"&amp;Q16)</f>
        <v/>
      </c>
    </row>
    <row r="17">
      <c r="A17" s="26" t="inlineStr">
        <is>
          <t>COLA Shoreditch Park</t>
        </is>
      </c>
      <c r="B17" s="27" t="n">
        <v>46301</v>
      </c>
      <c r="C17" s="26" t="inlineStr">
        <is>
          <t>Tue</t>
        </is>
      </c>
      <c r="D17" s="28" t="n">
        <v>0.7291666666666666</v>
      </c>
      <c r="E17" s="28" t="n">
        <v>0.7708333333333334</v>
      </c>
      <c r="F17" s="29">
        <f>IF(B17="","",B17+D17)</f>
        <v/>
      </c>
      <c r="G17" s="26" t="inlineStr">
        <is>
          <t>5-a-side</t>
        </is>
      </c>
      <c r="H17" s="30">
        <f>IFERROR(VALUE(LEFT(G17,FIND("-",G17)-1))*2,"")</f>
        <v/>
      </c>
      <c r="I17" s="26" t="inlineStr">
        <is>
          <t>Available</t>
        </is>
      </c>
      <c r="J17" s="31" t="n">
        <v>90.97</v>
      </c>
      <c r="K17" s="32">
        <f>IF(OR(J17="",H17=""),"",J17/H17)</f>
        <v/>
      </c>
      <c r="L17" s="26" t="inlineStr">
        <is>
          <t>unknown</t>
        </is>
      </c>
      <c r="M17" s="26" t="inlineStr">
        <is>
          <t>enni.space (City of London Academy Shoreditch Park)</t>
        </is>
      </c>
      <c r="N17" s="33" t="inlineStr">
        <is>
          <t>https://enni.space/search/21782-cola-shoreditch-park-3g-5-a-side-pitch</t>
        </is>
      </c>
      <c r="O17" s="26" t="inlineStr">
        <is>
          <t>Pitch free 17:30-19:00. Rooftop 3G. Price-from per hour</t>
        </is>
      </c>
      <c r="P17" s="26" t="inlineStr">
        <is>
          <t>24 Sep 2026 (Claude in Chrome)</t>
        </is>
      </c>
      <c r="Q17" s="30">
        <f>IF(AND(I17="Available",F17&lt;&gt;""),COUNTIFS($A$2:$A$72,A17,$I$2:$I$72,"Available",$F$2:$F$72,"&lt;"&amp;F17)+1,"")</f>
        <v/>
      </c>
      <c r="R17" s="30">
        <f>IF(Q17="","",A17&amp;"#"&amp;Q17)</f>
        <v/>
      </c>
    </row>
    <row r="18">
      <c r="A18" s="26" t="inlineStr">
        <is>
          <t>COLA Shoreditch Park</t>
        </is>
      </c>
      <c r="B18" s="27" t="n">
        <v>46308</v>
      </c>
      <c r="C18" s="26" t="inlineStr">
        <is>
          <t>Tue</t>
        </is>
      </c>
      <c r="D18" s="28" t="n">
        <v>0.7291666666666666</v>
      </c>
      <c r="E18" s="28" t="n">
        <v>0.7708333333333334</v>
      </c>
      <c r="F18" s="29">
        <f>IF(B18="","",B18+D18)</f>
        <v/>
      </c>
      <c r="G18" s="26" t="inlineStr">
        <is>
          <t>5-a-side</t>
        </is>
      </c>
      <c r="H18" s="30">
        <f>IFERROR(VALUE(LEFT(G18,FIND("-",G18)-1))*2,"")</f>
        <v/>
      </c>
      <c r="I18" s="26" t="inlineStr">
        <is>
          <t>Available</t>
        </is>
      </c>
      <c r="J18" s="31" t="n">
        <v>90.97</v>
      </c>
      <c r="K18" s="32">
        <f>IF(OR(J18="",H18=""),"",J18/H18)</f>
        <v/>
      </c>
      <c r="L18" s="26" t="inlineStr">
        <is>
          <t>unknown</t>
        </is>
      </c>
      <c r="M18" s="26" t="inlineStr">
        <is>
          <t>enni.space (City of London Academy Shoreditch Park)</t>
        </is>
      </c>
      <c r="N18" s="33" t="inlineStr">
        <is>
          <t>https://enni.space/search/21782-cola-shoreditch-park-3g-5-a-side-pitch</t>
        </is>
      </c>
      <c r="O18" s="26" t="inlineStr">
        <is>
          <t>Pitch free 17:30-19:00. Rooftop 3G. Price-from per hour</t>
        </is>
      </c>
      <c r="P18" s="26" t="inlineStr">
        <is>
          <t>24 Sep 2026 (Claude in Chrome)</t>
        </is>
      </c>
      <c r="Q18" s="30">
        <f>IF(AND(I18="Available",F18&lt;&gt;""),COUNTIFS($A$2:$A$72,A18,$I$2:$I$72,"Available",$F$2:$F$72,"&lt;"&amp;F18)+1,"")</f>
        <v/>
      </c>
      <c r="R18" s="30">
        <f>IF(Q18="","",A18&amp;"#"&amp;Q18)</f>
        <v/>
      </c>
    </row>
    <row r="19">
      <c r="A19" s="26" t="inlineStr">
        <is>
          <t>COLA Shoreditch Park</t>
        </is>
      </c>
      <c r="B19" s="27" t="n">
        <v>46315</v>
      </c>
      <c r="C19" s="26" t="inlineStr">
        <is>
          <t>Tue</t>
        </is>
      </c>
      <c r="D19" s="28" t="n">
        <v>0.7291666666666666</v>
      </c>
      <c r="E19" s="28" t="n">
        <v>0.7708333333333334</v>
      </c>
      <c r="F19" s="29">
        <f>IF(B19="","",B19+D19)</f>
        <v/>
      </c>
      <c r="G19" s="26" t="inlineStr">
        <is>
          <t>5-a-side</t>
        </is>
      </c>
      <c r="H19" s="30">
        <f>IFERROR(VALUE(LEFT(G19,FIND("-",G19)-1))*2,"")</f>
        <v/>
      </c>
      <c r="I19" s="26" t="inlineStr">
        <is>
          <t>Available</t>
        </is>
      </c>
      <c r="J19" s="31" t="n">
        <v>90.97</v>
      </c>
      <c r="K19" s="32">
        <f>IF(OR(J19="",H19=""),"",J19/H19)</f>
        <v/>
      </c>
      <c r="L19" s="26" t="inlineStr">
        <is>
          <t>unknown</t>
        </is>
      </c>
      <c r="M19" s="26" t="inlineStr">
        <is>
          <t>enni.space (City of London Academy Shoreditch Park)</t>
        </is>
      </c>
      <c r="N19" s="33" t="inlineStr">
        <is>
          <t>https://enni.space/search/21782-cola-shoreditch-park-3g-5-a-side-pitch</t>
        </is>
      </c>
      <c r="O19" s="26" t="inlineStr">
        <is>
          <t>Pitch free 17:30-19:00. Rooftop 3G. Price-from per hour</t>
        </is>
      </c>
      <c r="P19" s="26" t="inlineStr">
        <is>
          <t>24 Sep 2026 (Claude in Chrome)</t>
        </is>
      </c>
      <c r="Q19" s="30">
        <f>IF(AND(I19="Available",F19&lt;&gt;""),COUNTIFS($A$2:$A$72,A19,$I$2:$I$72,"Available",$F$2:$F$72,"&lt;"&amp;F19)+1,"")</f>
        <v/>
      </c>
      <c r="R19" s="30">
        <f>IF(Q19="","",A19&amp;"#"&amp;Q19)</f>
        <v/>
      </c>
    </row>
    <row r="20">
      <c r="A20" s="26" t="inlineStr">
        <is>
          <t>COLA Shoreditch Park</t>
        </is>
      </c>
      <c r="B20" s="27" t="n">
        <v>46296</v>
      </c>
      <c r="C20" s="26" t="inlineStr">
        <is>
          <t>Thu</t>
        </is>
      </c>
      <c r="D20" s="28" t="n">
        <v>0.7291666666666666</v>
      </c>
      <c r="E20" s="28" t="n">
        <v>0.7708333333333334</v>
      </c>
      <c r="F20" s="29">
        <f>IF(B20="","",B20+D20)</f>
        <v/>
      </c>
      <c r="G20" s="26" t="inlineStr">
        <is>
          <t>5-a-side</t>
        </is>
      </c>
      <c r="H20" s="30">
        <f>IFERROR(VALUE(LEFT(G20,FIND("-",G20)-1))*2,"")</f>
        <v/>
      </c>
      <c r="I20" s="26" t="inlineStr">
        <is>
          <t>Available</t>
        </is>
      </c>
      <c r="J20" s="31" t="n">
        <v>90.97</v>
      </c>
      <c r="K20" s="32">
        <f>IF(OR(J20="",H20=""),"",J20/H20)</f>
        <v/>
      </c>
      <c r="L20" s="26" t="inlineStr">
        <is>
          <t>unknown</t>
        </is>
      </c>
      <c r="M20" s="26" t="inlineStr">
        <is>
          <t>enni.space (City of London Academy Shoreditch Park)</t>
        </is>
      </c>
      <c r="N20" s="33" t="inlineStr">
        <is>
          <t>https://enni.space/search/21782-cola-shoreditch-park-3g-5-a-side-pitch</t>
        </is>
      </c>
      <c r="O20" s="26" t="inlineStr">
        <is>
          <t>Pitch free 17:30-22:00. Rooftop 3G. Price-from per hour</t>
        </is>
      </c>
      <c r="P20" s="26" t="inlineStr">
        <is>
          <t>24 Sep 2026 (Claude in Chrome)</t>
        </is>
      </c>
      <c r="Q20" s="30">
        <f>IF(AND(I20="Available",F20&lt;&gt;""),COUNTIFS($A$2:$A$72,A20,$I$2:$I$72,"Available",$F$2:$F$72,"&lt;"&amp;F20)+1,"")</f>
        <v/>
      </c>
      <c r="R20" s="30">
        <f>IF(Q20="","",A20&amp;"#"&amp;Q20)</f>
        <v/>
      </c>
    </row>
    <row r="21">
      <c r="A21" s="26" t="inlineStr">
        <is>
          <t>COLA Shoreditch Park</t>
        </is>
      </c>
      <c r="B21" s="27" t="n">
        <v>46296</v>
      </c>
      <c r="C21" s="26" t="inlineStr">
        <is>
          <t>Thu</t>
        </is>
      </c>
      <c r="D21" s="28" t="n">
        <v>0.7708333333333334</v>
      </c>
      <c r="E21" s="28" t="n">
        <v>0.8125</v>
      </c>
      <c r="F21" s="29">
        <f>IF(B21="","",B21+D21)</f>
        <v/>
      </c>
      <c r="G21" s="26" t="inlineStr">
        <is>
          <t>5-a-side</t>
        </is>
      </c>
      <c r="H21" s="30">
        <f>IFERROR(VALUE(LEFT(G21,FIND("-",G21)-1))*2,"")</f>
        <v/>
      </c>
      <c r="I21" s="26" t="inlineStr">
        <is>
          <t>Available</t>
        </is>
      </c>
      <c r="J21" s="31" t="n">
        <v>90.97</v>
      </c>
      <c r="K21" s="32">
        <f>IF(OR(J21="",H21=""),"",J21/H21)</f>
        <v/>
      </c>
      <c r="L21" s="26" t="inlineStr">
        <is>
          <t>unknown</t>
        </is>
      </c>
      <c r="M21" s="26" t="inlineStr">
        <is>
          <t>enni.space (City of London Academy Shoreditch Park)</t>
        </is>
      </c>
      <c r="N21" s="33" t="inlineStr">
        <is>
          <t>https://enni.space/search/21782-cola-shoreditch-park-3g-5-a-side-pitch</t>
        </is>
      </c>
      <c r="O21" s="26" t="inlineStr">
        <is>
          <t>Pitch free 17:30-22:00. Rooftop 3G. Price-from per hour</t>
        </is>
      </c>
      <c r="P21" s="26" t="inlineStr">
        <is>
          <t>24 Sep 2026 (Claude in Chrome)</t>
        </is>
      </c>
      <c r="Q21" s="30">
        <f>IF(AND(I21="Available",F21&lt;&gt;""),COUNTIFS($A$2:$A$72,A21,$I$2:$I$72,"Available",$F$2:$F$72,"&lt;"&amp;F21)+1,"")</f>
        <v/>
      </c>
      <c r="R21" s="30">
        <f>IF(Q21="","",A21&amp;"#"&amp;Q21)</f>
        <v/>
      </c>
    </row>
    <row r="22">
      <c r="A22" s="26" t="inlineStr">
        <is>
          <t>COLA Shoreditch Park</t>
        </is>
      </c>
      <c r="B22" s="27" t="n">
        <v>46296</v>
      </c>
      <c r="C22" s="26" t="inlineStr">
        <is>
          <t>Thu</t>
        </is>
      </c>
      <c r="D22" s="28" t="n">
        <v>0.8125</v>
      </c>
      <c r="E22" s="28" t="n">
        <v>0.8541666666666666</v>
      </c>
      <c r="F22" s="29">
        <f>IF(B22="","",B22+D22)</f>
        <v/>
      </c>
      <c r="G22" s="26" t="inlineStr">
        <is>
          <t>5-a-side</t>
        </is>
      </c>
      <c r="H22" s="30">
        <f>IFERROR(VALUE(LEFT(G22,FIND("-",G22)-1))*2,"")</f>
        <v/>
      </c>
      <c r="I22" s="26" t="inlineStr">
        <is>
          <t>Available</t>
        </is>
      </c>
      <c r="J22" s="31" t="n">
        <v>90.97</v>
      </c>
      <c r="K22" s="32">
        <f>IF(OR(J22="",H22=""),"",J22/H22)</f>
        <v/>
      </c>
      <c r="L22" s="26" t="inlineStr">
        <is>
          <t>unknown</t>
        </is>
      </c>
      <c r="M22" s="26" t="inlineStr">
        <is>
          <t>enni.space (City of London Academy Shoreditch Park)</t>
        </is>
      </c>
      <c r="N22" s="33" t="inlineStr">
        <is>
          <t>https://enni.space/search/21782-cola-shoreditch-park-3g-5-a-side-pitch</t>
        </is>
      </c>
      <c r="O22" s="26" t="inlineStr">
        <is>
          <t>Pitch free 17:30-22:00. Rooftop 3G. Price-from per hour</t>
        </is>
      </c>
      <c r="P22" s="26" t="inlineStr">
        <is>
          <t>24 Sep 2026 (Claude in Chrome)</t>
        </is>
      </c>
      <c r="Q22" s="30">
        <f>IF(AND(I22="Available",F22&lt;&gt;""),COUNTIFS($A$2:$A$72,A22,$I$2:$I$72,"Available",$F$2:$F$72,"&lt;"&amp;F22)+1,"")</f>
        <v/>
      </c>
      <c r="R22" s="30">
        <f>IF(Q22="","",A22&amp;"#"&amp;Q22)</f>
        <v/>
      </c>
    </row>
    <row r="23">
      <c r="A23" s="26" t="inlineStr">
        <is>
          <t>COLA Shoreditch Park</t>
        </is>
      </c>
      <c r="B23" s="27" t="n">
        <v>46296</v>
      </c>
      <c r="C23" s="26" t="inlineStr">
        <is>
          <t>Thu</t>
        </is>
      </c>
      <c r="D23" s="28" t="n">
        <v>0.8541666666666666</v>
      </c>
      <c r="E23" s="28" t="n">
        <v>0.8958333333333334</v>
      </c>
      <c r="F23" s="29">
        <f>IF(B23="","",B23+D23)</f>
        <v/>
      </c>
      <c r="G23" s="26" t="inlineStr">
        <is>
          <t>5-a-side</t>
        </is>
      </c>
      <c r="H23" s="30">
        <f>IFERROR(VALUE(LEFT(G23,FIND("-",G23)-1))*2,"")</f>
        <v/>
      </c>
      <c r="I23" s="26" t="inlineStr">
        <is>
          <t>Available</t>
        </is>
      </c>
      <c r="J23" s="31" t="n">
        <v>90.97</v>
      </c>
      <c r="K23" s="32">
        <f>IF(OR(J23="",H23=""),"",J23/H23)</f>
        <v/>
      </c>
      <c r="L23" s="26" t="inlineStr">
        <is>
          <t>unknown</t>
        </is>
      </c>
      <c r="M23" s="26" t="inlineStr">
        <is>
          <t>enni.space (City of London Academy Shoreditch Park)</t>
        </is>
      </c>
      <c r="N23" s="33" t="inlineStr">
        <is>
          <t>https://enni.space/search/21782-cola-shoreditch-park-3g-5-a-side-pitch</t>
        </is>
      </c>
      <c r="O23" s="26" t="inlineStr">
        <is>
          <t>Pitch free 17:30-22:00. Rooftop 3G. Price-from per hour</t>
        </is>
      </c>
      <c r="P23" s="26" t="inlineStr">
        <is>
          <t>24 Sep 2026 (Claude in Chrome)</t>
        </is>
      </c>
      <c r="Q23" s="30">
        <f>IF(AND(I23="Available",F23&lt;&gt;""),COUNTIFS($A$2:$A$72,A23,$I$2:$I$72,"Available",$F$2:$F$72,"&lt;"&amp;F23)+1,"")</f>
        <v/>
      </c>
      <c r="R23" s="30">
        <f>IF(Q23="","",A23&amp;"#"&amp;Q23)</f>
        <v/>
      </c>
    </row>
    <row r="24">
      <c r="A24" s="26" t="inlineStr">
        <is>
          <t>COLA Shoreditch Park</t>
        </is>
      </c>
      <c r="B24" s="27" t="n">
        <v>46297</v>
      </c>
      <c r="C24" s="26" t="inlineStr">
        <is>
          <t>Fri</t>
        </is>
      </c>
      <c r="D24" s="28" t="n">
        <v>0.7291666666666666</v>
      </c>
      <c r="E24" s="28" t="n">
        <v>0.7708333333333334</v>
      </c>
      <c r="F24" s="29">
        <f>IF(B24="","",B24+D24)</f>
        <v/>
      </c>
      <c r="G24" s="26" t="inlineStr">
        <is>
          <t>5-a-side</t>
        </is>
      </c>
      <c r="H24" s="30">
        <f>IFERROR(VALUE(LEFT(G24,FIND("-",G24)-1))*2,"")</f>
        <v/>
      </c>
      <c r="I24" s="26" t="inlineStr">
        <is>
          <t>Available</t>
        </is>
      </c>
      <c r="J24" s="31" t="n">
        <v>90.97</v>
      </c>
      <c r="K24" s="32">
        <f>IF(OR(J24="",H24=""),"",J24/H24)</f>
        <v/>
      </c>
      <c r="L24" s="26" t="inlineStr">
        <is>
          <t>unknown</t>
        </is>
      </c>
      <c r="M24" s="26" t="inlineStr">
        <is>
          <t>enni.space (City of London Academy Shoreditch Park)</t>
        </is>
      </c>
      <c r="N24" s="33" t="inlineStr">
        <is>
          <t>https://enni.space/search/21782-cola-shoreditch-park-3g-5-a-side-pitch</t>
        </is>
      </c>
      <c r="O24" s="26" t="inlineStr">
        <is>
          <t>Pitch free 17:30-22:00. Rooftop 3G. Price-from per hour</t>
        </is>
      </c>
      <c r="P24" s="26" t="inlineStr">
        <is>
          <t>24 Sep 2026 (Claude in Chrome)</t>
        </is>
      </c>
      <c r="Q24" s="30">
        <f>IF(AND(I24="Available",F24&lt;&gt;""),COUNTIFS($A$2:$A$72,A24,$I$2:$I$72,"Available",$F$2:$F$72,"&lt;"&amp;F24)+1,"")</f>
        <v/>
      </c>
      <c r="R24" s="30">
        <f>IF(Q24="","",A24&amp;"#"&amp;Q24)</f>
        <v/>
      </c>
    </row>
    <row r="25">
      <c r="A25" s="26" t="inlineStr">
        <is>
          <t>COLA Shoreditch Park</t>
        </is>
      </c>
      <c r="B25" s="27" t="n">
        <v>46297</v>
      </c>
      <c r="C25" s="26" t="inlineStr">
        <is>
          <t>Fri</t>
        </is>
      </c>
      <c r="D25" s="28" t="n">
        <v>0.7708333333333334</v>
      </c>
      <c r="E25" s="28" t="n">
        <v>0.8125</v>
      </c>
      <c r="F25" s="29">
        <f>IF(B25="","",B25+D25)</f>
        <v/>
      </c>
      <c r="G25" s="26" t="inlineStr">
        <is>
          <t>5-a-side</t>
        </is>
      </c>
      <c r="H25" s="30">
        <f>IFERROR(VALUE(LEFT(G25,FIND("-",G25)-1))*2,"")</f>
        <v/>
      </c>
      <c r="I25" s="26" t="inlineStr">
        <is>
          <t>Available</t>
        </is>
      </c>
      <c r="J25" s="31" t="n">
        <v>90.97</v>
      </c>
      <c r="K25" s="32">
        <f>IF(OR(J25="",H25=""),"",J25/H25)</f>
        <v/>
      </c>
      <c r="L25" s="26" t="inlineStr">
        <is>
          <t>unknown</t>
        </is>
      </c>
      <c r="M25" s="26" t="inlineStr">
        <is>
          <t>enni.space (City of London Academy Shoreditch Park)</t>
        </is>
      </c>
      <c r="N25" s="33" t="inlineStr">
        <is>
          <t>https://enni.space/search/21782-cola-shoreditch-park-3g-5-a-side-pitch</t>
        </is>
      </c>
      <c r="O25" s="26" t="inlineStr">
        <is>
          <t>Pitch free 17:30-22:00. Rooftop 3G. Price-from per hour</t>
        </is>
      </c>
      <c r="P25" s="26" t="inlineStr">
        <is>
          <t>24 Sep 2026 (Claude in Chrome)</t>
        </is>
      </c>
      <c r="Q25" s="30">
        <f>IF(AND(I25="Available",F25&lt;&gt;""),COUNTIFS($A$2:$A$72,A25,$I$2:$I$72,"Available",$F$2:$F$72,"&lt;"&amp;F25)+1,"")</f>
        <v/>
      </c>
      <c r="R25" s="30">
        <f>IF(Q25="","",A25&amp;"#"&amp;Q25)</f>
        <v/>
      </c>
    </row>
    <row r="26">
      <c r="A26" s="26" t="inlineStr">
        <is>
          <t>COLA Shoreditch Park</t>
        </is>
      </c>
      <c r="B26" s="27" t="n">
        <v>46297</v>
      </c>
      <c r="C26" s="26" t="inlineStr">
        <is>
          <t>Fri</t>
        </is>
      </c>
      <c r="D26" s="28" t="n">
        <v>0.8125</v>
      </c>
      <c r="E26" s="28" t="n">
        <v>0.8541666666666666</v>
      </c>
      <c r="F26" s="29">
        <f>IF(B26="","",B26+D26)</f>
        <v/>
      </c>
      <c r="G26" s="26" t="inlineStr">
        <is>
          <t>5-a-side</t>
        </is>
      </c>
      <c r="H26" s="30">
        <f>IFERROR(VALUE(LEFT(G26,FIND("-",G26)-1))*2,"")</f>
        <v/>
      </c>
      <c r="I26" s="26" t="inlineStr">
        <is>
          <t>Available</t>
        </is>
      </c>
      <c r="J26" s="31" t="n">
        <v>90.97</v>
      </c>
      <c r="K26" s="32">
        <f>IF(OR(J26="",H26=""),"",J26/H26)</f>
        <v/>
      </c>
      <c r="L26" s="26" t="inlineStr">
        <is>
          <t>unknown</t>
        </is>
      </c>
      <c r="M26" s="26" t="inlineStr">
        <is>
          <t>enni.space (City of London Academy Shoreditch Park)</t>
        </is>
      </c>
      <c r="N26" s="33" t="inlineStr">
        <is>
          <t>https://enni.space/search/21782-cola-shoreditch-park-3g-5-a-side-pitch</t>
        </is>
      </c>
      <c r="O26" s="26" t="inlineStr">
        <is>
          <t>Pitch free 17:30-22:00. Rooftop 3G. Price-from per hour</t>
        </is>
      </c>
      <c r="P26" s="26" t="inlineStr">
        <is>
          <t>24 Sep 2026 (Claude in Chrome)</t>
        </is>
      </c>
      <c r="Q26" s="30">
        <f>IF(AND(I26="Available",F26&lt;&gt;""),COUNTIFS($A$2:$A$72,A26,$I$2:$I$72,"Available",$F$2:$F$72,"&lt;"&amp;F26)+1,"")</f>
        <v/>
      </c>
      <c r="R26" s="30">
        <f>IF(Q26="","",A26&amp;"#"&amp;Q26)</f>
        <v/>
      </c>
    </row>
    <row r="27">
      <c r="A27" s="26" t="inlineStr">
        <is>
          <t>COLA Shoreditch Park</t>
        </is>
      </c>
      <c r="B27" s="27" t="n">
        <v>46297</v>
      </c>
      <c r="C27" s="26" t="inlineStr">
        <is>
          <t>Fri</t>
        </is>
      </c>
      <c r="D27" s="28" t="n">
        <v>0.8541666666666666</v>
      </c>
      <c r="E27" s="28" t="n">
        <v>0.8958333333333334</v>
      </c>
      <c r="F27" s="29">
        <f>IF(B27="","",B27+D27)</f>
        <v/>
      </c>
      <c r="G27" s="26" t="inlineStr">
        <is>
          <t>5-a-side</t>
        </is>
      </c>
      <c r="H27" s="30">
        <f>IFERROR(VALUE(LEFT(G27,FIND("-",G27)-1))*2,"")</f>
        <v/>
      </c>
      <c r="I27" s="26" t="inlineStr">
        <is>
          <t>Available</t>
        </is>
      </c>
      <c r="J27" s="31" t="n">
        <v>90.97</v>
      </c>
      <c r="K27" s="32">
        <f>IF(OR(J27="",H27=""),"",J27/H27)</f>
        <v/>
      </c>
      <c r="L27" s="26" t="inlineStr">
        <is>
          <t>unknown</t>
        </is>
      </c>
      <c r="M27" s="26" t="inlineStr">
        <is>
          <t>enni.space (City of London Academy Shoreditch Park)</t>
        </is>
      </c>
      <c r="N27" s="33" t="inlineStr">
        <is>
          <t>https://enni.space/search/21782-cola-shoreditch-park-3g-5-a-side-pitch</t>
        </is>
      </c>
      <c r="O27" s="26" t="inlineStr">
        <is>
          <t>Pitch free 17:30-22:00. Rooftop 3G. Price-from per hour</t>
        </is>
      </c>
      <c r="P27" s="26" t="inlineStr">
        <is>
          <t>24 Sep 2026 (Claude in Chrome)</t>
        </is>
      </c>
      <c r="Q27" s="30">
        <f>IF(AND(I27="Available",F27&lt;&gt;""),COUNTIFS($A$2:$A$72,A27,$I$2:$I$72,"Available",$F$2:$F$72,"&lt;"&amp;F27)+1,"")</f>
        <v/>
      </c>
      <c r="R27" s="30">
        <f>IF(Q27="","",A27&amp;"#"&amp;Q27)</f>
        <v/>
      </c>
    </row>
    <row r="28">
      <c r="A28" s="26" t="inlineStr">
        <is>
          <t>COLA Shoreditch Park</t>
        </is>
      </c>
      <c r="B28" s="27" t="n">
        <v>46303</v>
      </c>
      <c r="C28" s="26" t="inlineStr">
        <is>
          <t>Thu</t>
        </is>
      </c>
      <c r="D28" s="28" t="n">
        <v>0.7291666666666666</v>
      </c>
      <c r="E28" s="28" t="n">
        <v>0.7708333333333334</v>
      </c>
      <c r="F28" s="29">
        <f>IF(B28="","",B28+D28)</f>
        <v/>
      </c>
      <c r="G28" s="26" t="inlineStr">
        <is>
          <t>5-a-side</t>
        </is>
      </c>
      <c r="H28" s="30">
        <f>IFERROR(VALUE(LEFT(G28,FIND("-",G28)-1))*2,"")</f>
        <v/>
      </c>
      <c r="I28" s="26" t="inlineStr">
        <is>
          <t>Available</t>
        </is>
      </c>
      <c r="J28" s="31" t="n">
        <v>90.97</v>
      </c>
      <c r="K28" s="32">
        <f>IF(OR(J28="",H28=""),"",J28/H28)</f>
        <v/>
      </c>
      <c r="L28" s="26" t="inlineStr">
        <is>
          <t>unknown</t>
        </is>
      </c>
      <c r="M28" s="26" t="inlineStr">
        <is>
          <t>enni.space (City of London Academy Shoreditch Park)</t>
        </is>
      </c>
      <c r="N28" s="33" t="inlineStr">
        <is>
          <t>https://enni.space/search/21782-cola-shoreditch-park-3g-5-a-side-pitch</t>
        </is>
      </c>
      <c r="O28" s="26" t="inlineStr">
        <is>
          <t>Pitch free 17:30-22:00. Rooftop 3G. Price-from per hour</t>
        </is>
      </c>
      <c r="P28" s="26" t="inlineStr">
        <is>
          <t>24 Sep 2026 (Claude in Chrome)</t>
        </is>
      </c>
      <c r="Q28" s="30">
        <f>IF(AND(I28="Available",F28&lt;&gt;""),COUNTIFS($A$2:$A$72,A28,$I$2:$I$72,"Available",$F$2:$F$72,"&lt;"&amp;F28)+1,"")</f>
        <v/>
      </c>
      <c r="R28" s="30">
        <f>IF(Q28="","",A28&amp;"#"&amp;Q28)</f>
        <v/>
      </c>
    </row>
    <row r="29">
      <c r="A29" s="26" t="inlineStr">
        <is>
          <t>COLA Shoreditch Park</t>
        </is>
      </c>
      <c r="B29" s="27" t="n">
        <v>46303</v>
      </c>
      <c r="C29" s="26" t="inlineStr">
        <is>
          <t>Thu</t>
        </is>
      </c>
      <c r="D29" s="28" t="n">
        <v>0.7708333333333334</v>
      </c>
      <c r="E29" s="28" t="n">
        <v>0.8125</v>
      </c>
      <c r="F29" s="29">
        <f>IF(B29="","",B29+D29)</f>
        <v/>
      </c>
      <c r="G29" s="26" t="inlineStr">
        <is>
          <t>5-a-side</t>
        </is>
      </c>
      <c r="H29" s="30">
        <f>IFERROR(VALUE(LEFT(G29,FIND("-",G29)-1))*2,"")</f>
        <v/>
      </c>
      <c r="I29" s="26" t="inlineStr">
        <is>
          <t>Available</t>
        </is>
      </c>
      <c r="J29" s="31" t="n">
        <v>90.97</v>
      </c>
      <c r="K29" s="32">
        <f>IF(OR(J29="",H29=""),"",J29/H29)</f>
        <v/>
      </c>
      <c r="L29" s="26" t="inlineStr">
        <is>
          <t>unknown</t>
        </is>
      </c>
      <c r="M29" s="26" t="inlineStr">
        <is>
          <t>enni.space (City of London Academy Shoreditch Park)</t>
        </is>
      </c>
      <c r="N29" s="33" t="inlineStr">
        <is>
          <t>https://enni.space/search/21782-cola-shoreditch-park-3g-5-a-side-pitch</t>
        </is>
      </c>
      <c r="O29" s="26" t="inlineStr">
        <is>
          <t>Pitch free 17:30-22:00. Rooftop 3G. Price-from per hour</t>
        </is>
      </c>
      <c r="P29" s="26" t="inlineStr">
        <is>
          <t>24 Sep 2026 (Claude in Chrome)</t>
        </is>
      </c>
      <c r="Q29" s="30">
        <f>IF(AND(I29="Available",F29&lt;&gt;""),COUNTIFS($A$2:$A$72,A29,$I$2:$I$72,"Available",$F$2:$F$72,"&lt;"&amp;F29)+1,"")</f>
        <v/>
      </c>
      <c r="R29" s="30">
        <f>IF(Q29="","",A29&amp;"#"&amp;Q29)</f>
        <v/>
      </c>
    </row>
    <row r="30">
      <c r="A30" s="26" t="inlineStr">
        <is>
          <t>COLA Shoreditch Park</t>
        </is>
      </c>
      <c r="B30" s="27" t="n">
        <v>46303</v>
      </c>
      <c r="C30" s="26" t="inlineStr">
        <is>
          <t>Thu</t>
        </is>
      </c>
      <c r="D30" s="28" t="n">
        <v>0.8125</v>
      </c>
      <c r="E30" s="28" t="n">
        <v>0.8541666666666666</v>
      </c>
      <c r="F30" s="29">
        <f>IF(B30="","",B30+D30)</f>
        <v/>
      </c>
      <c r="G30" s="26" t="inlineStr">
        <is>
          <t>5-a-side</t>
        </is>
      </c>
      <c r="H30" s="30">
        <f>IFERROR(VALUE(LEFT(G30,FIND("-",G30)-1))*2,"")</f>
        <v/>
      </c>
      <c r="I30" s="26" t="inlineStr">
        <is>
          <t>Available</t>
        </is>
      </c>
      <c r="J30" s="31" t="n">
        <v>90.97</v>
      </c>
      <c r="K30" s="32">
        <f>IF(OR(J30="",H30=""),"",J30/H30)</f>
        <v/>
      </c>
      <c r="L30" s="26" t="inlineStr">
        <is>
          <t>unknown</t>
        </is>
      </c>
      <c r="M30" s="26" t="inlineStr">
        <is>
          <t>enni.space (City of London Academy Shoreditch Park)</t>
        </is>
      </c>
      <c r="N30" s="33" t="inlineStr">
        <is>
          <t>https://enni.space/search/21782-cola-shoreditch-park-3g-5-a-side-pitch</t>
        </is>
      </c>
      <c r="O30" s="26" t="inlineStr">
        <is>
          <t>Pitch free 17:30-22:00. Rooftop 3G. Price-from per hour</t>
        </is>
      </c>
      <c r="P30" s="26" t="inlineStr">
        <is>
          <t>24 Sep 2026 (Claude in Chrome)</t>
        </is>
      </c>
      <c r="Q30" s="30">
        <f>IF(AND(I30="Available",F30&lt;&gt;""),COUNTIFS($A$2:$A$72,A30,$I$2:$I$72,"Available",$F$2:$F$72,"&lt;"&amp;F30)+1,"")</f>
        <v/>
      </c>
      <c r="R30" s="30">
        <f>IF(Q30="","",A30&amp;"#"&amp;Q30)</f>
        <v/>
      </c>
    </row>
    <row r="31">
      <c r="A31" s="26" t="inlineStr">
        <is>
          <t>COLA Shoreditch Park</t>
        </is>
      </c>
      <c r="B31" s="27" t="n">
        <v>46303</v>
      </c>
      <c r="C31" s="26" t="inlineStr">
        <is>
          <t>Thu</t>
        </is>
      </c>
      <c r="D31" s="28" t="n">
        <v>0.8541666666666666</v>
      </c>
      <c r="E31" s="28" t="n">
        <v>0.8958333333333334</v>
      </c>
      <c r="F31" s="29">
        <f>IF(B31="","",B31+D31)</f>
        <v/>
      </c>
      <c r="G31" s="26" t="inlineStr">
        <is>
          <t>5-a-side</t>
        </is>
      </c>
      <c r="H31" s="30">
        <f>IFERROR(VALUE(LEFT(G31,FIND("-",G31)-1))*2,"")</f>
        <v/>
      </c>
      <c r="I31" s="26" t="inlineStr">
        <is>
          <t>Available</t>
        </is>
      </c>
      <c r="J31" s="31" t="n">
        <v>90.97</v>
      </c>
      <c r="K31" s="32">
        <f>IF(OR(J31="",H31=""),"",J31/H31)</f>
        <v/>
      </c>
      <c r="L31" s="26" t="inlineStr">
        <is>
          <t>unknown</t>
        </is>
      </c>
      <c r="M31" s="26" t="inlineStr">
        <is>
          <t>enni.space (City of London Academy Shoreditch Park)</t>
        </is>
      </c>
      <c r="N31" s="33" t="inlineStr">
        <is>
          <t>https://enni.space/search/21782-cola-shoreditch-park-3g-5-a-side-pitch</t>
        </is>
      </c>
      <c r="O31" s="26" t="inlineStr">
        <is>
          <t>Pitch free 17:30-22:00. Rooftop 3G. Price-from per hour</t>
        </is>
      </c>
      <c r="P31" s="26" t="inlineStr">
        <is>
          <t>24 Sep 2026 (Claude in Chrome)</t>
        </is>
      </c>
      <c r="Q31" s="30">
        <f>IF(AND(I31="Available",F31&lt;&gt;""),COUNTIFS($A$2:$A$72,A31,$I$2:$I$72,"Available",$F$2:$F$72,"&lt;"&amp;F31)+1,"")</f>
        <v/>
      </c>
      <c r="R31" s="30">
        <f>IF(Q31="","",A31&amp;"#"&amp;Q31)</f>
        <v/>
      </c>
    </row>
    <row r="32">
      <c r="A32" s="26" t="inlineStr">
        <is>
          <t>COLA Shoreditch Park</t>
        </is>
      </c>
      <c r="B32" s="27" t="n">
        <v>46304</v>
      </c>
      <c r="C32" s="26" t="inlineStr">
        <is>
          <t>Fri</t>
        </is>
      </c>
      <c r="D32" s="28" t="n">
        <v>0.7291666666666666</v>
      </c>
      <c r="E32" s="28" t="n">
        <v>0.7708333333333334</v>
      </c>
      <c r="F32" s="29">
        <f>IF(B32="","",B32+D32)</f>
        <v/>
      </c>
      <c r="G32" s="26" t="inlineStr">
        <is>
          <t>5-a-side</t>
        </is>
      </c>
      <c r="H32" s="30">
        <f>IFERROR(VALUE(LEFT(G32,FIND("-",G32)-1))*2,"")</f>
        <v/>
      </c>
      <c r="I32" s="26" t="inlineStr">
        <is>
          <t>Available</t>
        </is>
      </c>
      <c r="J32" s="31" t="n">
        <v>90.97</v>
      </c>
      <c r="K32" s="32">
        <f>IF(OR(J32="",H32=""),"",J32/H32)</f>
        <v/>
      </c>
      <c r="L32" s="26" t="inlineStr">
        <is>
          <t>unknown</t>
        </is>
      </c>
      <c r="M32" s="26" t="inlineStr">
        <is>
          <t>enni.space (City of London Academy Shoreditch Park)</t>
        </is>
      </c>
      <c r="N32" s="33" t="inlineStr">
        <is>
          <t>https://enni.space/search/21782-cola-shoreditch-park-3g-5-a-side-pitch</t>
        </is>
      </c>
      <c r="O32" s="26" t="inlineStr">
        <is>
          <t>Pitch free 17:30-22:00. Rooftop 3G. Price-from per hour</t>
        </is>
      </c>
      <c r="P32" s="26" t="inlineStr">
        <is>
          <t>24 Sep 2026 (Claude in Chrome)</t>
        </is>
      </c>
      <c r="Q32" s="30">
        <f>IF(AND(I32="Available",F32&lt;&gt;""),COUNTIFS($A$2:$A$72,A32,$I$2:$I$72,"Available",$F$2:$F$72,"&lt;"&amp;F32)+1,"")</f>
        <v/>
      </c>
      <c r="R32" s="30">
        <f>IF(Q32="","",A32&amp;"#"&amp;Q32)</f>
        <v/>
      </c>
    </row>
    <row r="33">
      <c r="A33" s="26" t="inlineStr">
        <is>
          <t>COLA Shoreditch Park</t>
        </is>
      </c>
      <c r="B33" s="27" t="n">
        <v>46304</v>
      </c>
      <c r="C33" s="26" t="inlineStr">
        <is>
          <t>Fri</t>
        </is>
      </c>
      <c r="D33" s="28" t="n">
        <v>0.7708333333333334</v>
      </c>
      <c r="E33" s="28" t="n">
        <v>0.8125</v>
      </c>
      <c r="F33" s="29">
        <f>IF(B33="","",B33+D33)</f>
        <v/>
      </c>
      <c r="G33" s="26" t="inlineStr">
        <is>
          <t>5-a-side</t>
        </is>
      </c>
      <c r="H33" s="30">
        <f>IFERROR(VALUE(LEFT(G33,FIND("-",G33)-1))*2,"")</f>
        <v/>
      </c>
      <c r="I33" s="26" t="inlineStr">
        <is>
          <t>Available</t>
        </is>
      </c>
      <c r="J33" s="31" t="n">
        <v>90.97</v>
      </c>
      <c r="K33" s="32">
        <f>IF(OR(J33="",H33=""),"",J33/H33)</f>
        <v/>
      </c>
      <c r="L33" s="26" t="inlineStr">
        <is>
          <t>unknown</t>
        </is>
      </c>
      <c r="M33" s="26" t="inlineStr">
        <is>
          <t>enni.space (City of London Academy Shoreditch Park)</t>
        </is>
      </c>
      <c r="N33" s="33" t="inlineStr">
        <is>
          <t>https://enni.space/search/21782-cola-shoreditch-park-3g-5-a-side-pitch</t>
        </is>
      </c>
      <c r="O33" s="26" t="inlineStr">
        <is>
          <t>Pitch free 17:30-22:00. Rooftop 3G. Price-from per hour</t>
        </is>
      </c>
      <c r="P33" s="26" t="inlineStr">
        <is>
          <t>24 Sep 2026 (Claude in Chrome)</t>
        </is>
      </c>
      <c r="Q33" s="30">
        <f>IF(AND(I33="Available",F33&lt;&gt;""),COUNTIFS($A$2:$A$72,A33,$I$2:$I$72,"Available",$F$2:$F$72,"&lt;"&amp;F33)+1,"")</f>
        <v/>
      </c>
      <c r="R33" s="30">
        <f>IF(Q33="","",A33&amp;"#"&amp;Q33)</f>
        <v/>
      </c>
    </row>
    <row r="34">
      <c r="A34" s="26" t="inlineStr">
        <is>
          <t>COLA Shoreditch Park</t>
        </is>
      </c>
      <c r="B34" s="27" t="n">
        <v>46304</v>
      </c>
      <c r="C34" s="26" t="inlineStr">
        <is>
          <t>Fri</t>
        </is>
      </c>
      <c r="D34" s="28" t="n">
        <v>0.8125</v>
      </c>
      <c r="E34" s="28" t="n">
        <v>0.8541666666666666</v>
      </c>
      <c r="F34" s="29">
        <f>IF(B34="","",B34+D34)</f>
        <v/>
      </c>
      <c r="G34" s="26" t="inlineStr">
        <is>
          <t>5-a-side</t>
        </is>
      </c>
      <c r="H34" s="30">
        <f>IFERROR(VALUE(LEFT(G34,FIND("-",G34)-1))*2,"")</f>
        <v/>
      </c>
      <c r="I34" s="26" t="inlineStr">
        <is>
          <t>Available</t>
        </is>
      </c>
      <c r="J34" s="31" t="n">
        <v>90.97</v>
      </c>
      <c r="K34" s="32">
        <f>IF(OR(J34="",H34=""),"",J34/H34)</f>
        <v/>
      </c>
      <c r="L34" s="26" t="inlineStr">
        <is>
          <t>unknown</t>
        </is>
      </c>
      <c r="M34" s="26" t="inlineStr">
        <is>
          <t>enni.space (City of London Academy Shoreditch Park)</t>
        </is>
      </c>
      <c r="N34" s="33" t="inlineStr">
        <is>
          <t>https://enni.space/search/21782-cola-shoreditch-park-3g-5-a-side-pitch</t>
        </is>
      </c>
      <c r="O34" s="26" t="inlineStr">
        <is>
          <t>Pitch free 17:30-22:00. Rooftop 3G. Price-from per hour</t>
        </is>
      </c>
      <c r="P34" s="26" t="inlineStr">
        <is>
          <t>24 Sep 2026 (Claude in Chrome)</t>
        </is>
      </c>
      <c r="Q34" s="30">
        <f>IF(AND(I34="Available",F34&lt;&gt;""),COUNTIFS($A$2:$A$72,A34,$I$2:$I$72,"Available",$F$2:$F$72,"&lt;"&amp;F34)+1,"")</f>
        <v/>
      </c>
      <c r="R34" s="30">
        <f>IF(Q34="","",A34&amp;"#"&amp;Q34)</f>
        <v/>
      </c>
    </row>
    <row r="35">
      <c r="A35" s="26" t="inlineStr">
        <is>
          <t>COLA Shoreditch Park</t>
        </is>
      </c>
      <c r="B35" s="27" t="n">
        <v>46304</v>
      </c>
      <c r="C35" s="26" t="inlineStr">
        <is>
          <t>Fri</t>
        </is>
      </c>
      <c r="D35" s="28" t="n">
        <v>0.8541666666666666</v>
      </c>
      <c r="E35" s="28" t="n">
        <v>0.8958333333333334</v>
      </c>
      <c r="F35" s="29">
        <f>IF(B35="","",B35+D35)</f>
        <v/>
      </c>
      <c r="G35" s="26" t="inlineStr">
        <is>
          <t>5-a-side</t>
        </is>
      </c>
      <c r="H35" s="30">
        <f>IFERROR(VALUE(LEFT(G35,FIND("-",G35)-1))*2,"")</f>
        <v/>
      </c>
      <c r="I35" s="26" t="inlineStr">
        <is>
          <t>Available</t>
        </is>
      </c>
      <c r="J35" s="31" t="n">
        <v>90.97</v>
      </c>
      <c r="K35" s="32">
        <f>IF(OR(J35="",H35=""),"",J35/H35)</f>
        <v/>
      </c>
      <c r="L35" s="26" t="inlineStr">
        <is>
          <t>unknown</t>
        </is>
      </c>
      <c r="M35" s="26" t="inlineStr">
        <is>
          <t>enni.space (City of London Academy Shoreditch Park)</t>
        </is>
      </c>
      <c r="N35" s="33" t="inlineStr">
        <is>
          <t>https://enni.space/search/21782-cola-shoreditch-park-3g-5-a-side-pitch</t>
        </is>
      </c>
      <c r="O35" s="26" t="inlineStr">
        <is>
          <t>Pitch free 17:30-22:00. Rooftop 3G. Price-from per hour</t>
        </is>
      </c>
      <c r="P35" s="26" t="inlineStr">
        <is>
          <t>24 Sep 2026 (Claude in Chrome)</t>
        </is>
      </c>
      <c r="Q35" s="30">
        <f>IF(AND(I35="Available",F35&lt;&gt;""),COUNTIFS($A$2:$A$72,A35,$I$2:$I$72,"Available",$F$2:$F$72,"&lt;"&amp;F35)+1,"")</f>
        <v/>
      </c>
      <c r="R35" s="30">
        <f>IF(Q35="","",A35&amp;"#"&amp;Q35)</f>
        <v/>
      </c>
    </row>
    <row r="36">
      <c r="A36" s="26" t="inlineStr">
        <is>
          <t>COLA Shoreditch Park</t>
        </is>
      </c>
      <c r="B36" s="27" t="n">
        <v>46310</v>
      </c>
      <c r="C36" s="26" t="inlineStr">
        <is>
          <t>Thu</t>
        </is>
      </c>
      <c r="D36" s="28" t="n">
        <v>0.7291666666666666</v>
      </c>
      <c r="E36" s="28" t="n">
        <v>0.7708333333333334</v>
      </c>
      <c r="F36" s="29">
        <f>IF(B36="","",B36+D36)</f>
        <v/>
      </c>
      <c r="G36" s="26" t="inlineStr">
        <is>
          <t>5-a-side</t>
        </is>
      </c>
      <c r="H36" s="30">
        <f>IFERROR(VALUE(LEFT(G36,FIND("-",G36)-1))*2,"")</f>
        <v/>
      </c>
      <c r="I36" s="26" t="inlineStr">
        <is>
          <t>Available</t>
        </is>
      </c>
      <c r="J36" s="31" t="n">
        <v>90.97</v>
      </c>
      <c r="K36" s="32">
        <f>IF(OR(J36="",H36=""),"",J36/H36)</f>
        <v/>
      </c>
      <c r="L36" s="26" t="inlineStr">
        <is>
          <t>unknown</t>
        </is>
      </c>
      <c r="M36" s="26" t="inlineStr">
        <is>
          <t>enni.space (City of London Academy Shoreditch Park)</t>
        </is>
      </c>
      <c r="N36" s="33" t="inlineStr">
        <is>
          <t>https://enni.space/search/21782-cola-shoreditch-park-3g-5-a-side-pitch</t>
        </is>
      </c>
      <c r="O36" s="26" t="inlineStr">
        <is>
          <t>Pitch free 17:30-22:00. Rooftop 3G. Price-from per hour</t>
        </is>
      </c>
      <c r="P36" s="26" t="inlineStr">
        <is>
          <t>24 Sep 2026 (Claude in Chrome)</t>
        </is>
      </c>
      <c r="Q36" s="30">
        <f>IF(AND(I36="Available",F36&lt;&gt;""),COUNTIFS($A$2:$A$72,A36,$I$2:$I$72,"Available",$F$2:$F$72,"&lt;"&amp;F36)+1,"")</f>
        <v/>
      </c>
      <c r="R36" s="30">
        <f>IF(Q36="","",A36&amp;"#"&amp;Q36)</f>
        <v/>
      </c>
    </row>
    <row r="37">
      <c r="A37" s="26" t="inlineStr">
        <is>
          <t>COLA Shoreditch Park</t>
        </is>
      </c>
      <c r="B37" s="27" t="n">
        <v>46310</v>
      </c>
      <c r="C37" s="26" t="inlineStr">
        <is>
          <t>Thu</t>
        </is>
      </c>
      <c r="D37" s="28" t="n">
        <v>0.7708333333333334</v>
      </c>
      <c r="E37" s="28" t="n">
        <v>0.8125</v>
      </c>
      <c r="F37" s="29">
        <f>IF(B37="","",B37+D37)</f>
        <v/>
      </c>
      <c r="G37" s="26" t="inlineStr">
        <is>
          <t>5-a-side</t>
        </is>
      </c>
      <c r="H37" s="30">
        <f>IFERROR(VALUE(LEFT(G37,FIND("-",G37)-1))*2,"")</f>
        <v/>
      </c>
      <c r="I37" s="26" t="inlineStr">
        <is>
          <t>Available</t>
        </is>
      </c>
      <c r="J37" s="31" t="n">
        <v>90.97</v>
      </c>
      <c r="K37" s="32">
        <f>IF(OR(J37="",H37=""),"",J37/H37)</f>
        <v/>
      </c>
      <c r="L37" s="26" t="inlineStr">
        <is>
          <t>unknown</t>
        </is>
      </c>
      <c r="M37" s="26" t="inlineStr">
        <is>
          <t>enni.space (City of London Academy Shoreditch Park)</t>
        </is>
      </c>
      <c r="N37" s="33" t="inlineStr">
        <is>
          <t>https://enni.space/search/21782-cola-shoreditch-park-3g-5-a-side-pitch</t>
        </is>
      </c>
      <c r="O37" s="26" t="inlineStr">
        <is>
          <t>Pitch free 17:30-22:00. Rooftop 3G. Price-from per hour</t>
        </is>
      </c>
      <c r="P37" s="26" t="inlineStr">
        <is>
          <t>24 Sep 2026 (Claude in Chrome)</t>
        </is>
      </c>
      <c r="Q37" s="30">
        <f>IF(AND(I37="Available",F37&lt;&gt;""),COUNTIFS($A$2:$A$72,A37,$I$2:$I$72,"Available",$F$2:$F$72,"&lt;"&amp;F37)+1,"")</f>
        <v/>
      </c>
      <c r="R37" s="30">
        <f>IF(Q37="","",A37&amp;"#"&amp;Q37)</f>
        <v/>
      </c>
    </row>
    <row r="38">
      <c r="A38" s="26" t="inlineStr">
        <is>
          <t>COLA Shoreditch Park</t>
        </is>
      </c>
      <c r="B38" s="27" t="n">
        <v>46310</v>
      </c>
      <c r="C38" s="26" t="inlineStr">
        <is>
          <t>Thu</t>
        </is>
      </c>
      <c r="D38" s="28" t="n">
        <v>0.8125</v>
      </c>
      <c r="E38" s="28" t="n">
        <v>0.8541666666666666</v>
      </c>
      <c r="F38" s="29">
        <f>IF(B38="","",B38+D38)</f>
        <v/>
      </c>
      <c r="G38" s="26" t="inlineStr">
        <is>
          <t>5-a-side</t>
        </is>
      </c>
      <c r="H38" s="30">
        <f>IFERROR(VALUE(LEFT(G38,FIND("-",G38)-1))*2,"")</f>
        <v/>
      </c>
      <c r="I38" s="26" t="inlineStr">
        <is>
          <t>Available</t>
        </is>
      </c>
      <c r="J38" s="31" t="n">
        <v>90.97</v>
      </c>
      <c r="K38" s="32">
        <f>IF(OR(J38="",H38=""),"",J38/H38)</f>
        <v/>
      </c>
      <c r="L38" s="26" t="inlineStr">
        <is>
          <t>unknown</t>
        </is>
      </c>
      <c r="M38" s="26" t="inlineStr">
        <is>
          <t>enni.space (City of London Academy Shoreditch Park)</t>
        </is>
      </c>
      <c r="N38" s="33" t="inlineStr">
        <is>
          <t>https://enni.space/search/21782-cola-shoreditch-park-3g-5-a-side-pitch</t>
        </is>
      </c>
      <c r="O38" s="26" t="inlineStr">
        <is>
          <t>Pitch free 17:30-22:00. Rooftop 3G. Price-from per hour</t>
        </is>
      </c>
      <c r="P38" s="26" t="inlineStr">
        <is>
          <t>24 Sep 2026 (Claude in Chrome)</t>
        </is>
      </c>
      <c r="Q38" s="30">
        <f>IF(AND(I38="Available",F38&lt;&gt;""),COUNTIFS($A$2:$A$72,A38,$I$2:$I$72,"Available",$F$2:$F$72,"&lt;"&amp;F38)+1,"")</f>
        <v/>
      </c>
      <c r="R38" s="30">
        <f>IF(Q38="","",A38&amp;"#"&amp;Q38)</f>
        <v/>
      </c>
    </row>
    <row r="39">
      <c r="A39" s="26" t="inlineStr">
        <is>
          <t>COLA Shoreditch Park</t>
        </is>
      </c>
      <c r="B39" s="27" t="n">
        <v>46310</v>
      </c>
      <c r="C39" s="26" t="inlineStr">
        <is>
          <t>Thu</t>
        </is>
      </c>
      <c r="D39" s="28" t="n">
        <v>0.8541666666666666</v>
      </c>
      <c r="E39" s="28" t="n">
        <v>0.8958333333333334</v>
      </c>
      <c r="F39" s="29">
        <f>IF(B39="","",B39+D39)</f>
        <v/>
      </c>
      <c r="G39" s="26" t="inlineStr">
        <is>
          <t>5-a-side</t>
        </is>
      </c>
      <c r="H39" s="30">
        <f>IFERROR(VALUE(LEFT(G39,FIND("-",G39)-1))*2,"")</f>
        <v/>
      </c>
      <c r="I39" s="26" t="inlineStr">
        <is>
          <t>Available</t>
        </is>
      </c>
      <c r="J39" s="31" t="n">
        <v>90.97</v>
      </c>
      <c r="K39" s="32">
        <f>IF(OR(J39="",H39=""),"",J39/H39)</f>
        <v/>
      </c>
      <c r="L39" s="26" t="inlineStr">
        <is>
          <t>unknown</t>
        </is>
      </c>
      <c r="M39" s="26" t="inlineStr">
        <is>
          <t>enni.space (City of London Academy Shoreditch Park)</t>
        </is>
      </c>
      <c r="N39" s="33" t="inlineStr">
        <is>
          <t>https://enni.space/search/21782-cola-shoreditch-park-3g-5-a-side-pitch</t>
        </is>
      </c>
      <c r="O39" s="26" t="inlineStr">
        <is>
          <t>Pitch free 17:30-22:00. Rooftop 3G. Price-from per hour</t>
        </is>
      </c>
      <c r="P39" s="26" t="inlineStr">
        <is>
          <t>24 Sep 2026 (Claude in Chrome)</t>
        </is>
      </c>
      <c r="Q39" s="30">
        <f>IF(AND(I39="Available",F39&lt;&gt;""),COUNTIFS($A$2:$A$72,A39,$I$2:$I$72,"Available",$F$2:$F$72,"&lt;"&amp;F39)+1,"")</f>
        <v/>
      </c>
      <c r="R39" s="30">
        <f>IF(Q39="","",A39&amp;"#"&amp;Q39)</f>
        <v/>
      </c>
    </row>
    <row r="40">
      <c r="A40" s="26" t="inlineStr">
        <is>
          <t>COLA Shoreditch Park</t>
        </is>
      </c>
      <c r="B40" s="27" t="n">
        <v>46311</v>
      </c>
      <c r="C40" s="26" t="inlineStr">
        <is>
          <t>Fri</t>
        </is>
      </c>
      <c r="D40" s="28" t="n">
        <v>0.7291666666666666</v>
      </c>
      <c r="E40" s="28" t="n">
        <v>0.7708333333333334</v>
      </c>
      <c r="F40" s="29">
        <f>IF(B40="","",B40+D40)</f>
        <v/>
      </c>
      <c r="G40" s="26" t="inlineStr">
        <is>
          <t>5-a-side</t>
        </is>
      </c>
      <c r="H40" s="30">
        <f>IFERROR(VALUE(LEFT(G40,FIND("-",G40)-1))*2,"")</f>
        <v/>
      </c>
      <c r="I40" s="26" t="inlineStr">
        <is>
          <t>Available</t>
        </is>
      </c>
      <c r="J40" s="31" t="n">
        <v>90.97</v>
      </c>
      <c r="K40" s="32">
        <f>IF(OR(J40="",H40=""),"",J40/H40)</f>
        <v/>
      </c>
      <c r="L40" s="26" t="inlineStr">
        <is>
          <t>unknown</t>
        </is>
      </c>
      <c r="M40" s="26" t="inlineStr">
        <is>
          <t>enni.space (City of London Academy Shoreditch Park)</t>
        </is>
      </c>
      <c r="N40" s="33" t="inlineStr">
        <is>
          <t>https://enni.space/search/21782-cola-shoreditch-park-3g-5-a-side-pitch</t>
        </is>
      </c>
      <c r="O40" s="26" t="inlineStr">
        <is>
          <t>Pitch free 17:30-22:00. Rooftop 3G. Price-from per hour</t>
        </is>
      </c>
      <c r="P40" s="26" t="inlineStr">
        <is>
          <t>24 Sep 2026 (Claude in Chrome)</t>
        </is>
      </c>
      <c r="Q40" s="30">
        <f>IF(AND(I40="Available",F40&lt;&gt;""),COUNTIFS($A$2:$A$72,A40,$I$2:$I$72,"Available",$F$2:$F$72,"&lt;"&amp;F40)+1,"")</f>
        <v/>
      </c>
      <c r="R40" s="30">
        <f>IF(Q40="","",A40&amp;"#"&amp;Q40)</f>
        <v/>
      </c>
    </row>
    <row r="41">
      <c r="A41" s="26" t="inlineStr">
        <is>
          <t>COLA Shoreditch Park</t>
        </is>
      </c>
      <c r="B41" s="27" t="n">
        <v>46311</v>
      </c>
      <c r="C41" s="26" t="inlineStr">
        <is>
          <t>Fri</t>
        </is>
      </c>
      <c r="D41" s="28" t="n">
        <v>0.7708333333333334</v>
      </c>
      <c r="E41" s="28" t="n">
        <v>0.8125</v>
      </c>
      <c r="F41" s="29">
        <f>IF(B41="","",B41+D41)</f>
        <v/>
      </c>
      <c r="G41" s="26" t="inlineStr">
        <is>
          <t>5-a-side</t>
        </is>
      </c>
      <c r="H41" s="30">
        <f>IFERROR(VALUE(LEFT(G41,FIND("-",G41)-1))*2,"")</f>
        <v/>
      </c>
      <c r="I41" s="26" t="inlineStr">
        <is>
          <t>Available</t>
        </is>
      </c>
      <c r="J41" s="31" t="n">
        <v>90.97</v>
      </c>
      <c r="K41" s="32">
        <f>IF(OR(J41="",H41=""),"",J41/H41)</f>
        <v/>
      </c>
      <c r="L41" s="26" t="inlineStr">
        <is>
          <t>unknown</t>
        </is>
      </c>
      <c r="M41" s="26" t="inlineStr">
        <is>
          <t>enni.space (City of London Academy Shoreditch Park)</t>
        </is>
      </c>
      <c r="N41" s="33" t="inlineStr">
        <is>
          <t>https://enni.space/search/21782-cola-shoreditch-park-3g-5-a-side-pitch</t>
        </is>
      </c>
      <c r="O41" s="26" t="inlineStr">
        <is>
          <t>Pitch free 17:30-22:00. Rooftop 3G. Price-from per hour</t>
        </is>
      </c>
      <c r="P41" s="26" t="inlineStr">
        <is>
          <t>24 Sep 2026 (Claude in Chrome)</t>
        </is>
      </c>
      <c r="Q41" s="30">
        <f>IF(AND(I41="Available",F41&lt;&gt;""),COUNTIFS($A$2:$A$72,A41,$I$2:$I$72,"Available",$F$2:$F$72,"&lt;"&amp;F41)+1,"")</f>
        <v/>
      </c>
      <c r="R41" s="30">
        <f>IF(Q41="","",A41&amp;"#"&amp;Q41)</f>
        <v/>
      </c>
    </row>
    <row r="42">
      <c r="A42" s="26" t="inlineStr">
        <is>
          <t>COLA Shoreditch Park</t>
        </is>
      </c>
      <c r="B42" s="27" t="n">
        <v>46311</v>
      </c>
      <c r="C42" s="26" t="inlineStr">
        <is>
          <t>Fri</t>
        </is>
      </c>
      <c r="D42" s="28" t="n">
        <v>0.8125</v>
      </c>
      <c r="E42" s="28" t="n">
        <v>0.8541666666666666</v>
      </c>
      <c r="F42" s="29">
        <f>IF(B42="","",B42+D42)</f>
        <v/>
      </c>
      <c r="G42" s="26" t="inlineStr">
        <is>
          <t>5-a-side</t>
        </is>
      </c>
      <c r="H42" s="30">
        <f>IFERROR(VALUE(LEFT(G42,FIND("-",G42)-1))*2,"")</f>
        <v/>
      </c>
      <c r="I42" s="26" t="inlineStr">
        <is>
          <t>Available</t>
        </is>
      </c>
      <c r="J42" s="31" t="n">
        <v>90.97</v>
      </c>
      <c r="K42" s="32">
        <f>IF(OR(J42="",H42=""),"",J42/H42)</f>
        <v/>
      </c>
      <c r="L42" s="26" t="inlineStr">
        <is>
          <t>unknown</t>
        </is>
      </c>
      <c r="M42" s="26" t="inlineStr">
        <is>
          <t>enni.space (City of London Academy Shoreditch Park)</t>
        </is>
      </c>
      <c r="N42" s="33" t="inlineStr">
        <is>
          <t>https://enni.space/search/21782-cola-shoreditch-park-3g-5-a-side-pitch</t>
        </is>
      </c>
      <c r="O42" s="26" t="inlineStr">
        <is>
          <t>Pitch free 17:30-22:00. Rooftop 3G. Price-from per hour</t>
        </is>
      </c>
      <c r="P42" s="26" t="inlineStr">
        <is>
          <t>24 Sep 2026 (Claude in Chrome)</t>
        </is>
      </c>
      <c r="Q42" s="30">
        <f>IF(AND(I42="Available",F42&lt;&gt;""),COUNTIFS($A$2:$A$72,A42,$I$2:$I$72,"Available",$F$2:$F$72,"&lt;"&amp;F42)+1,"")</f>
        <v/>
      </c>
      <c r="R42" s="30">
        <f>IF(Q42="","",A42&amp;"#"&amp;Q42)</f>
        <v/>
      </c>
    </row>
    <row r="43">
      <c r="A43" s="26" t="inlineStr">
        <is>
          <t>COLA Shoreditch Park</t>
        </is>
      </c>
      <c r="B43" s="27" t="n">
        <v>46311</v>
      </c>
      <c r="C43" s="26" t="inlineStr">
        <is>
          <t>Fri</t>
        </is>
      </c>
      <c r="D43" s="28" t="n">
        <v>0.8541666666666666</v>
      </c>
      <c r="E43" s="28" t="n">
        <v>0.8958333333333334</v>
      </c>
      <c r="F43" s="29">
        <f>IF(B43="","",B43+D43)</f>
        <v/>
      </c>
      <c r="G43" s="26" t="inlineStr">
        <is>
          <t>5-a-side</t>
        </is>
      </c>
      <c r="H43" s="30">
        <f>IFERROR(VALUE(LEFT(G43,FIND("-",G43)-1))*2,"")</f>
        <v/>
      </c>
      <c r="I43" s="26" t="inlineStr">
        <is>
          <t>Available</t>
        </is>
      </c>
      <c r="J43" s="31" t="n">
        <v>90.97</v>
      </c>
      <c r="K43" s="32">
        <f>IF(OR(J43="",H43=""),"",J43/H43)</f>
        <v/>
      </c>
      <c r="L43" s="26" t="inlineStr">
        <is>
          <t>unknown</t>
        </is>
      </c>
      <c r="M43" s="26" t="inlineStr">
        <is>
          <t>enni.space (City of London Academy Shoreditch Park)</t>
        </is>
      </c>
      <c r="N43" s="33" t="inlineStr">
        <is>
          <t>https://enni.space/search/21782-cola-shoreditch-park-3g-5-a-side-pitch</t>
        </is>
      </c>
      <c r="O43" s="26" t="inlineStr">
        <is>
          <t>Pitch free 17:30-22:00. Rooftop 3G. Price-from per hour</t>
        </is>
      </c>
      <c r="P43" s="26" t="inlineStr">
        <is>
          <t>24 Sep 2026 (Claude in Chrome)</t>
        </is>
      </c>
      <c r="Q43" s="30">
        <f>IF(AND(I43="Available",F43&lt;&gt;""),COUNTIFS($A$2:$A$72,A43,$I$2:$I$72,"Available",$F$2:$F$72,"&lt;"&amp;F43)+1,"")</f>
        <v/>
      </c>
      <c r="R43" s="30">
        <f>IF(Q43="","",A43&amp;"#"&amp;Q43)</f>
        <v/>
      </c>
    </row>
    <row r="44">
      <c r="A44" s="26" t="inlineStr">
        <is>
          <t>COLA Shoreditch Park</t>
        </is>
      </c>
      <c r="B44" s="27" t="n">
        <v>46317</v>
      </c>
      <c r="C44" s="26" t="inlineStr">
        <is>
          <t>Thu</t>
        </is>
      </c>
      <c r="D44" s="28" t="n">
        <v>0.7291666666666666</v>
      </c>
      <c r="E44" s="28" t="n">
        <v>0.7708333333333334</v>
      </c>
      <c r="F44" s="29">
        <f>IF(B44="","",B44+D44)</f>
        <v/>
      </c>
      <c r="G44" s="26" t="inlineStr">
        <is>
          <t>5-a-side</t>
        </is>
      </c>
      <c r="H44" s="30">
        <f>IFERROR(VALUE(LEFT(G44,FIND("-",G44)-1))*2,"")</f>
        <v/>
      </c>
      <c r="I44" s="26" t="inlineStr">
        <is>
          <t>Available</t>
        </is>
      </c>
      <c r="J44" s="31" t="n">
        <v>90.97</v>
      </c>
      <c r="K44" s="32">
        <f>IF(OR(J44="",H44=""),"",J44/H44)</f>
        <v/>
      </c>
      <c r="L44" s="26" t="inlineStr">
        <is>
          <t>unknown</t>
        </is>
      </c>
      <c r="M44" s="26" t="inlineStr">
        <is>
          <t>enni.space (City of London Academy Shoreditch Park)</t>
        </is>
      </c>
      <c r="N44" s="33" t="inlineStr">
        <is>
          <t>https://enni.space/search/21782-cola-shoreditch-park-3g-5-a-side-pitch</t>
        </is>
      </c>
      <c r="O44" s="26" t="inlineStr">
        <is>
          <t>Pitch free 17:30-22:00. Rooftop 3G. Price-from per hour</t>
        </is>
      </c>
      <c r="P44" s="26" t="inlineStr">
        <is>
          <t>24 Sep 2026 (Claude in Chrome)</t>
        </is>
      </c>
      <c r="Q44" s="30">
        <f>IF(AND(I44="Available",F44&lt;&gt;""),COUNTIFS($A$2:$A$72,A44,$I$2:$I$72,"Available",$F$2:$F$72,"&lt;"&amp;F44)+1,"")</f>
        <v/>
      </c>
      <c r="R44" s="30">
        <f>IF(Q44="","",A44&amp;"#"&amp;Q44)</f>
        <v/>
      </c>
    </row>
    <row r="45">
      <c r="A45" s="26" t="inlineStr">
        <is>
          <t>COLA Shoreditch Park</t>
        </is>
      </c>
      <c r="B45" s="27" t="n">
        <v>46317</v>
      </c>
      <c r="C45" s="26" t="inlineStr">
        <is>
          <t>Thu</t>
        </is>
      </c>
      <c r="D45" s="28" t="n">
        <v>0.7708333333333334</v>
      </c>
      <c r="E45" s="28" t="n">
        <v>0.8125</v>
      </c>
      <c r="F45" s="29">
        <f>IF(B45="","",B45+D45)</f>
        <v/>
      </c>
      <c r="G45" s="26" t="inlineStr">
        <is>
          <t>5-a-side</t>
        </is>
      </c>
      <c r="H45" s="30">
        <f>IFERROR(VALUE(LEFT(G45,FIND("-",G45)-1))*2,"")</f>
        <v/>
      </c>
      <c r="I45" s="26" t="inlineStr">
        <is>
          <t>Available</t>
        </is>
      </c>
      <c r="J45" s="31" t="n">
        <v>90.97</v>
      </c>
      <c r="K45" s="32">
        <f>IF(OR(J45="",H45=""),"",J45/H45)</f>
        <v/>
      </c>
      <c r="L45" s="26" t="inlineStr">
        <is>
          <t>unknown</t>
        </is>
      </c>
      <c r="M45" s="26" t="inlineStr">
        <is>
          <t>enni.space (City of London Academy Shoreditch Park)</t>
        </is>
      </c>
      <c r="N45" s="33" t="inlineStr">
        <is>
          <t>https://enni.space/search/21782-cola-shoreditch-park-3g-5-a-side-pitch</t>
        </is>
      </c>
      <c r="O45" s="26" t="inlineStr">
        <is>
          <t>Pitch free 17:30-22:00. Rooftop 3G. Price-from per hour</t>
        </is>
      </c>
      <c r="P45" s="26" t="inlineStr">
        <is>
          <t>24 Sep 2026 (Claude in Chrome)</t>
        </is>
      </c>
      <c r="Q45" s="30">
        <f>IF(AND(I45="Available",F45&lt;&gt;""),COUNTIFS($A$2:$A$72,A45,$I$2:$I$72,"Available",$F$2:$F$72,"&lt;"&amp;F45)+1,"")</f>
        <v/>
      </c>
      <c r="R45" s="30">
        <f>IF(Q45="","",A45&amp;"#"&amp;Q45)</f>
        <v/>
      </c>
    </row>
    <row r="46">
      <c r="A46" s="26" t="inlineStr">
        <is>
          <t>COLA Shoreditch Park</t>
        </is>
      </c>
      <c r="B46" s="27" t="n">
        <v>46317</v>
      </c>
      <c r="C46" s="26" t="inlineStr">
        <is>
          <t>Thu</t>
        </is>
      </c>
      <c r="D46" s="28" t="n">
        <v>0.8125</v>
      </c>
      <c r="E46" s="28" t="n">
        <v>0.8541666666666666</v>
      </c>
      <c r="F46" s="29">
        <f>IF(B46="","",B46+D46)</f>
        <v/>
      </c>
      <c r="G46" s="26" t="inlineStr">
        <is>
          <t>5-a-side</t>
        </is>
      </c>
      <c r="H46" s="30">
        <f>IFERROR(VALUE(LEFT(G46,FIND("-",G46)-1))*2,"")</f>
        <v/>
      </c>
      <c r="I46" s="26" t="inlineStr">
        <is>
          <t>Available</t>
        </is>
      </c>
      <c r="J46" s="31" t="n">
        <v>90.97</v>
      </c>
      <c r="K46" s="32">
        <f>IF(OR(J46="",H46=""),"",J46/H46)</f>
        <v/>
      </c>
      <c r="L46" s="26" t="inlineStr">
        <is>
          <t>unknown</t>
        </is>
      </c>
      <c r="M46" s="26" t="inlineStr">
        <is>
          <t>enni.space (City of London Academy Shoreditch Park)</t>
        </is>
      </c>
      <c r="N46" s="33" t="inlineStr">
        <is>
          <t>https://enni.space/search/21782-cola-shoreditch-park-3g-5-a-side-pitch</t>
        </is>
      </c>
      <c r="O46" s="26" t="inlineStr">
        <is>
          <t>Pitch free 17:30-22:00. Rooftop 3G. Price-from per hour</t>
        </is>
      </c>
      <c r="P46" s="26" t="inlineStr">
        <is>
          <t>24 Sep 2026 (Claude in Chrome)</t>
        </is>
      </c>
      <c r="Q46" s="30">
        <f>IF(AND(I46="Available",F46&lt;&gt;""),COUNTIFS($A$2:$A$72,A46,$I$2:$I$72,"Available",$F$2:$F$72,"&lt;"&amp;F46)+1,"")</f>
        <v/>
      </c>
      <c r="R46" s="30">
        <f>IF(Q46="","",A46&amp;"#"&amp;Q46)</f>
        <v/>
      </c>
    </row>
    <row r="47">
      <c r="A47" s="26" t="inlineStr">
        <is>
          <t>COLA Shoreditch Park</t>
        </is>
      </c>
      <c r="B47" s="27" t="n">
        <v>46317</v>
      </c>
      <c r="C47" s="26" t="inlineStr">
        <is>
          <t>Thu</t>
        </is>
      </c>
      <c r="D47" s="28" t="n">
        <v>0.8541666666666666</v>
      </c>
      <c r="E47" s="28" t="n">
        <v>0.8958333333333334</v>
      </c>
      <c r="F47" s="29">
        <f>IF(B47="","",B47+D47)</f>
        <v/>
      </c>
      <c r="G47" s="26" t="inlineStr">
        <is>
          <t>5-a-side</t>
        </is>
      </c>
      <c r="H47" s="30">
        <f>IFERROR(VALUE(LEFT(G47,FIND("-",G47)-1))*2,"")</f>
        <v/>
      </c>
      <c r="I47" s="26" t="inlineStr">
        <is>
          <t>Available</t>
        </is>
      </c>
      <c r="J47" s="31" t="n">
        <v>90.97</v>
      </c>
      <c r="K47" s="32">
        <f>IF(OR(J47="",H47=""),"",J47/H47)</f>
        <v/>
      </c>
      <c r="L47" s="26" t="inlineStr">
        <is>
          <t>unknown</t>
        </is>
      </c>
      <c r="M47" s="26" t="inlineStr">
        <is>
          <t>enni.space (City of London Academy Shoreditch Park)</t>
        </is>
      </c>
      <c r="N47" s="33" t="inlineStr">
        <is>
          <t>https://enni.space/search/21782-cola-shoreditch-park-3g-5-a-side-pitch</t>
        </is>
      </c>
      <c r="O47" s="26" t="inlineStr">
        <is>
          <t>Pitch free 17:30-22:00. Rooftop 3G. Price-from per hour</t>
        </is>
      </c>
      <c r="P47" s="26" t="inlineStr">
        <is>
          <t>24 Sep 2026 (Claude in Chrome)</t>
        </is>
      </c>
      <c r="Q47" s="30">
        <f>IF(AND(I47="Available",F47&lt;&gt;""),COUNTIFS($A$2:$A$72,A47,$I$2:$I$72,"Available",$F$2:$F$72,"&lt;"&amp;F47)+1,"")</f>
        <v/>
      </c>
      <c r="R47" s="30">
        <f>IF(Q47="","",A47&amp;"#"&amp;Q47)</f>
        <v/>
      </c>
    </row>
    <row r="48">
      <c r="A48" s="26" t="inlineStr">
        <is>
          <t>COLA Shoreditch Park</t>
        </is>
      </c>
      <c r="B48" s="27" t="n">
        <v>46318</v>
      </c>
      <c r="C48" s="26" t="inlineStr">
        <is>
          <t>Fri</t>
        </is>
      </c>
      <c r="D48" s="28" t="n">
        <v>0.7291666666666666</v>
      </c>
      <c r="E48" s="28" t="n">
        <v>0.7708333333333334</v>
      </c>
      <c r="F48" s="29">
        <f>IF(B48="","",B48+D48)</f>
        <v/>
      </c>
      <c r="G48" s="26" t="inlineStr">
        <is>
          <t>5-a-side</t>
        </is>
      </c>
      <c r="H48" s="30">
        <f>IFERROR(VALUE(LEFT(G48,FIND("-",G48)-1))*2,"")</f>
        <v/>
      </c>
      <c r="I48" s="26" t="inlineStr">
        <is>
          <t>Available</t>
        </is>
      </c>
      <c r="J48" s="31" t="n">
        <v>90.97</v>
      </c>
      <c r="K48" s="32">
        <f>IF(OR(J48="",H48=""),"",J48/H48)</f>
        <v/>
      </c>
      <c r="L48" s="26" t="inlineStr">
        <is>
          <t>unknown</t>
        </is>
      </c>
      <c r="M48" s="26" t="inlineStr">
        <is>
          <t>enni.space (City of London Academy Shoreditch Park)</t>
        </is>
      </c>
      <c r="N48" s="33" t="inlineStr">
        <is>
          <t>https://enni.space/search/21782-cola-shoreditch-park-3g-5-a-side-pitch</t>
        </is>
      </c>
      <c r="O48" s="26" t="inlineStr">
        <is>
          <t>Pitch free 17:30-22:00. Rooftop 3G. Price-from per hour</t>
        </is>
      </c>
      <c r="P48" s="26" t="inlineStr">
        <is>
          <t>24 Sep 2026 (Claude in Chrome)</t>
        </is>
      </c>
      <c r="Q48" s="30">
        <f>IF(AND(I48="Available",F48&lt;&gt;""),COUNTIFS($A$2:$A$72,A48,$I$2:$I$72,"Available",$F$2:$F$72,"&lt;"&amp;F48)+1,"")</f>
        <v/>
      </c>
      <c r="R48" s="30">
        <f>IF(Q48="","",A48&amp;"#"&amp;Q48)</f>
        <v/>
      </c>
    </row>
    <row r="49">
      <c r="A49" s="26" t="inlineStr">
        <is>
          <t>COLA Shoreditch Park</t>
        </is>
      </c>
      <c r="B49" s="27" t="n">
        <v>46318</v>
      </c>
      <c r="C49" s="26" t="inlineStr">
        <is>
          <t>Fri</t>
        </is>
      </c>
      <c r="D49" s="28" t="n">
        <v>0.7708333333333334</v>
      </c>
      <c r="E49" s="28" t="n">
        <v>0.8125</v>
      </c>
      <c r="F49" s="29">
        <f>IF(B49="","",B49+D49)</f>
        <v/>
      </c>
      <c r="G49" s="26" t="inlineStr">
        <is>
          <t>5-a-side</t>
        </is>
      </c>
      <c r="H49" s="30">
        <f>IFERROR(VALUE(LEFT(G49,FIND("-",G49)-1))*2,"")</f>
        <v/>
      </c>
      <c r="I49" s="26" t="inlineStr">
        <is>
          <t>Available</t>
        </is>
      </c>
      <c r="J49" s="31" t="n">
        <v>90.97</v>
      </c>
      <c r="K49" s="32">
        <f>IF(OR(J49="",H49=""),"",J49/H49)</f>
        <v/>
      </c>
      <c r="L49" s="26" t="inlineStr">
        <is>
          <t>unknown</t>
        </is>
      </c>
      <c r="M49" s="26" t="inlineStr">
        <is>
          <t>enni.space (City of London Academy Shoreditch Park)</t>
        </is>
      </c>
      <c r="N49" s="33" t="inlineStr">
        <is>
          <t>https://enni.space/search/21782-cola-shoreditch-park-3g-5-a-side-pitch</t>
        </is>
      </c>
      <c r="O49" s="26" t="inlineStr">
        <is>
          <t>Pitch free 17:30-22:00. Rooftop 3G. Price-from per hour</t>
        </is>
      </c>
      <c r="P49" s="26" t="inlineStr">
        <is>
          <t>24 Sep 2026 (Claude in Chrome)</t>
        </is>
      </c>
      <c r="Q49" s="30">
        <f>IF(AND(I49="Available",F49&lt;&gt;""),COUNTIFS($A$2:$A$72,A49,$I$2:$I$72,"Available",$F$2:$F$72,"&lt;"&amp;F49)+1,"")</f>
        <v/>
      </c>
      <c r="R49" s="30">
        <f>IF(Q49="","",A49&amp;"#"&amp;Q49)</f>
        <v/>
      </c>
    </row>
    <row r="50">
      <c r="A50" s="26" t="inlineStr">
        <is>
          <t>COLA Shoreditch Park</t>
        </is>
      </c>
      <c r="B50" s="27" t="n">
        <v>46318</v>
      </c>
      <c r="C50" s="26" t="inlineStr">
        <is>
          <t>Fri</t>
        </is>
      </c>
      <c r="D50" s="28" t="n">
        <v>0.8125</v>
      </c>
      <c r="E50" s="28" t="n">
        <v>0.8541666666666666</v>
      </c>
      <c r="F50" s="29">
        <f>IF(B50="","",B50+D50)</f>
        <v/>
      </c>
      <c r="G50" s="26" t="inlineStr">
        <is>
          <t>5-a-side</t>
        </is>
      </c>
      <c r="H50" s="30">
        <f>IFERROR(VALUE(LEFT(G50,FIND("-",G50)-1))*2,"")</f>
        <v/>
      </c>
      <c r="I50" s="26" t="inlineStr">
        <is>
          <t>Available</t>
        </is>
      </c>
      <c r="J50" s="31" t="n">
        <v>90.97</v>
      </c>
      <c r="K50" s="32">
        <f>IF(OR(J50="",H50=""),"",J50/H50)</f>
        <v/>
      </c>
      <c r="L50" s="26" t="inlineStr">
        <is>
          <t>unknown</t>
        </is>
      </c>
      <c r="M50" s="26" t="inlineStr">
        <is>
          <t>enni.space (City of London Academy Shoreditch Park)</t>
        </is>
      </c>
      <c r="N50" s="33" t="inlineStr">
        <is>
          <t>https://enni.space/search/21782-cola-shoreditch-park-3g-5-a-side-pitch</t>
        </is>
      </c>
      <c r="O50" s="26" t="inlineStr">
        <is>
          <t>Pitch free 17:30-22:00. Rooftop 3G. Price-from per hour</t>
        </is>
      </c>
      <c r="P50" s="26" t="inlineStr">
        <is>
          <t>24 Sep 2026 (Claude in Chrome)</t>
        </is>
      </c>
      <c r="Q50" s="30">
        <f>IF(AND(I50="Available",F50&lt;&gt;""),COUNTIFS($A$2:$A$72,A50,$I$2:$I$72,"Available",$F$2:$F$72,"&lt;"&amp;F50)+1,"")</f>
        <v/>
      </c>
      <c r="R50" s="30">
        <f>IF(Q50="","",A50&amp;"#"&amp;Q50)</f>
        <v/>
      </c>
    </row>
    <row r="51">
      <c r="A51" s="26" t="inlineStr">
        <is>
          <t>COLA Shoreditch Park</t>
        </is>
      </c>
      <c r="B51" s="27" t="n">
        <v>46318</v>
      </c>
      <c r="C51" s="26" t="inlineStr">
        <is>
          <t>Fri</t>
        </is>
      </c>
      <c r="D51" s="28" t="n">
        <v>0.8541666666666666</v>
      </c>
      <c r="E51" s="28" t="n">
        <v>0.8958333333333334</v>
      </c>
      <c r="F51" s="29">
        <f>IF(B51="","",B51+D51)</f>
        <v/>
      </c>
      <c r="G51" s="26" t="inlineStr">
        <is>
          <t>5-a-side</t>
        </is>
      </c>
      <c r="H51" s="30">
        <f>IFERROR(VALUE(LEFT(G51,FIND("-",G51)-1))*2,"")</f>
        <v/>
      </c>
      <c r="I51" s="26" t="inlineStr">
        <is>
          <t>Available</t>
        </is>
      </c>
      <c r="J51" s="31" t="n">
        <v>90.97</v>
      </c>
      <c r="K51" s="32">
        <f>IF(OR(J51="",H51=""),"",J51/H51)</f>
        <v/>
      </c>
      <c r="L51" s="26" t="inlineStr">
        <is>
          <t>unknown</t>
        </is>
      </c>
      <c r="M51" s="26" t="inlineStr">
        <is>
          <t>enni.space (City of London Academy Shoreditch Park)</t>
        </is>
      </c>
      <c r="N51" s="33" t="inlineStr">
        <is>
          <t>https://enni.space/search/21782-cola-shoreditch-park-3g-5-a-side-pitch</t>
        </is>
      </c>
      <c r="O51" s="26" t="inlineStr">
        <is>
          <t>Pitch free 17:30-22:00. Rooftop 3G. Price-from per hour</t>
        </is>
      </c>
      <c r="P51" s="26" t="inlineStr">
        <is>
          <t>24 Sep 2026 (Claude in Chrome)</t>
        </is>
      </c>
      <c r="Q51" s="30">
        <f>IF(AND(I51="Available",F51&lt;&gt;""),COUNTIFS($A$2:$A$72,A51,$I$2:$I$72,"Available",$F$2:$F$72,"&lt;"&amp;F51)+1,"")</f>
        <v/>
      </c>
      <c r="R51" s="30">
        <f>IF(Q51="","",A51&amp;"#"&amp;Q51)</f>
        <v/>
      </c>
    </row>
    <row r="52">
      <c r="A52" s="26" t="inlineStr">
        <is>
          <t>Shoreditch Powerleague</t>
        </is>
      </c>
      <c r="B52" s="27" t="n">
        <v>46293</v>
      </c>
      <c r="C52" s="26" t="inlineStr">
        <is>
          <t>Mon</t>
        </is>
      </c>
      <c r="D52" s="28" t="n">
        <v>0.7361111111111112</v>
      </c>
      <c r="E52" s="28" t="n">
        <v>0.7638888888888888</v>
      </c>
      <c r="F52" s="29">
        <f>IF(B52="","",B52+D52)</f>
        <v/>
      </c>
      <c r="G52" s="26" t="inlineStr">
        <is>
          <t>5-a-side</t>
        </is>
      </c>
      <c r="H52" s="30">
        <f>IFERROR(VALUE(LEFT(G52,FIND("-",G52)-1))*2,"")</f>
        <v/>
      </c>
      <c r="I52" s="26" t="inlineStr">
        <is>
          <t>Available</t>
        </is>
      </c>
      <c r="J52" s="31" t="n">
        <v>110</v>
      </c>
      <c r="K52" s="32">
        <f>IF(OR(J52="",H52=""),"",J52/H52)</f>
        <v/>
      </c>
      <c r="L52" s="26" t="inlineStr">
        <is>
          <t>yes</t>
        </is>
      </c>
      <c r="M52" s="26" t="inlineStr">
        <is>
          <t>Powerleague official website (online booking)</t>
        </is>
      </c>
      <c r="N52" s="33" t="inlineStr">
        <is>
          <t>https://www.powerleague.com/select-time?search_location_id=a20a54a1-3bdd-57b8-e211-6f44da11e82f&amp;search_booking_type_name=5-a-side%20Football</t>
        </is>
      </c>
      <c r="O52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2" s="26" t="inlineStr">
        <is>
          <t>24 Sep 2026 (web check)</t>
        </is>
      </c>
      <c r="Q52" s="30">
        <f>IF(AND(I52="Available",F52&lt;&gt;""),COUNTIFS($A$2:$A$72,A52,$I$2:$I$72,"Available",$F$2:$F$72,"&lt;"&amp;F52)+1,"")</f>
        <v/>
      </c>
      <c r="R52" s="30">
        <f>IF(Q52="","",A52&amp;"#"&amp;Q52)</f>
        <v/>
      </c>
    </row>
    <row r="53">
      <c r="A53" s="26" t="inlineStr">
        <is>
          <t>Shoreditch Powerleague</t>
        </is>
      </c>
      <c r="B53" s="27" t="n">
        <v>46293</v>
      </c>
      <c r="C53" s="26" t="inlineStr">
        <is>
          <t>Mon</t>
        </is>
      </c>
      <c r="D53" s="28" t="n">
        <v>0.8194444444444444</v>
      </c>
      <c r="E53" s="28" t="n">
        <v>0.8472222222222222</v>
      </c>
      <c r="F53" s="29">
        <f>IF(B53="","",B53+D53)</f>
        <v/>
      </c>
      <c r="G53" s="26" t="inlineStr">
        <is>
          <t>5-a-side</t>
        </is>
      </c>
      <c r="H53" s="30">
        <f>IFERROR(VALUE(LEFT(G53,FIND("-",G53)-1))*2,"")</f>
        <v/>
      </c>
      <c r="I53" s="26" t="inlineStr">
        <is>
          <t>Available</t>
        </is>
      </c>
      <c r="J53" s="31" t="n">
        <v>110</v>
      </c>
      <c r="K53" s="32">
        <f>IF(OR(J53="",H53=""),"",J53/H53)</f>
        <v/>
      </c>
      <c r="L53" s="26" t="inlineStr">
        <is>
          <t>yes</t>
        </is>
      </c>
      <c r="M53" s="26" t="inlineStr">
        <is>
          <t>Powerleague official website (online booking)</t>
        </is>
      </c>
      <c r="N53" s="33" t="inlineStr">
        <is>
          <t>https://www.powerleague.com/select-time?search_location_id=a20a54a1-3bdd-57b8-e211-6f44da11e82f&amp;search_booking_type_name=5-a-side%20Football</t>
        </is>
      </c>
      <c r="O53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3" s="26" t="inlineStr">
        <is>
          <t>24 Sep 2026 (web check)</t>
        </is>
      </c>
      <c r="Q53" s="30">
        <f>IF(AND(I53="Available",F53&lt;&gt;""),COUNTIFS($A$2:$A$72,A53,$I$2:$I$72,"Available",$F$2:$F$72,"&lt;"&amp;F53)+1,"")</f>
        <v/>
      </c>
      <c r="R53" s="30">
        <f>IF(Q53="","",A53&amp;"#"&amp;Q53)</f>
        <v/>
      </c>
    </row>
    <row r="54">
      <c r="A54" s="26" t="inlineStr">
        <is>
          <t>Shoreditch Powerleague</t>
        </is>
      </c>
      <c r="B54" s="27" t="n">
        <v>46293</v>
      </c>
      <c r="C54" s="26" t="inlineStr">
        <is>
          <t>Mon</t>
        </is>
      </c>
      <c r="D54" s="28" t="n">
        <v>0.8472222222222222</v>
      </c>
      <c r="E54" s="28" t="n">
        <v>0.875</v>
      </c>
      <c r="F54" s="29">
        <f>IF(B54="","",B54+D54)</f>
        <v/>
      </c>
      <c r="G54" s="26" t="inlineStr">
        <is>
          <t>5-a-side</t>
        </is>
      </c>
      <c r="H54" s="30">
        <f>IFERROR(VALUE(LEFT(G54,FIND("-",G54)-1))*2,"")</f>
        <v/>
      </c>
      <c r="I54" s="26" t="inlineStr">
        <is>
          <t>Available</t>
        </is>
      </c>
      <c r="J54" s="31" t="n">
        <v>110</v>
      </c>
      <c r="K54" s="32">
        <f>IF(OR(J54="",H54=""),"",J54/H54)</f>
        <v/>
      </c>
      <c r="L54" s="26" t="inlineStr">
        <is>
          <t>yes</t>
        </is>
      </c>
      <c r="M54" s="26" t="inlineStr">
        <is>
          <t>Powerleague official website (online booking)</t>
        </is>
      </c>
      <c r="N54" s="33" t="inlineStr">
        <is>
          <t>https://www.powerleague.com/select-time?search_location_id=a20a54a1-3bdd-57b8-e211-6f44da11e82f&amp;search_booking_type_name=5-a-side%20Football</t>
        </is>
      </c>
      <c r="O54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4" s="26" t="inlineStr">
        <is>
          <t>24 Sep 2026 (web check)</t>
        </is>
      </c>
      <c r="Q54" s="30">
        <f>IF(AND(I54="Available",F54&lt;&gt;""),COUNTIFS($A$2:$A$72,A54,$I$2:$I$72,"Available",$F$2:$F$72,"&lt;"&amp;F54)+1,"")</f>
        <v/>
      </c>
      <c r="R54" s="30">
        <f>IF(Q54="","",A54&amp;"#"&amp;Q54)</f>
        <v/>
      </c>
    </row>
    <row r="55">
      <c r="A55" s="26" t="inlineStr">
        <is>
          <t>Shoreditch Powerleague</t>
        </is>
      </c>
      <c r="B55" s="27" t="n">
        <v>46294</v>
      </c>
      <c r="C55" s="26" t="inlineStr">
        <is>
          <t>Tue</t>
        </is>
      </c>
      <c r="D55" s="28" t="n">
        <v>0.8472222222222222</v>
      </c>
      <c r="E55" s="28" t="n">
        <v>0.875</v>
      </c>
      <c r="F55" s="29">
        <f>IF(B55="","",B55+D55)</f>
        <v/>
      </c>
      <c r="G55" s="26" t="inlineStr">
        <is>
          <t>5-a-side</t>
        </is>
      </c>
      <c r="H55" s="30">
        <f>IFERROR(VALUE(LEFT(G55,FIND("-",G55)-1))*2,"")</f>
        <v/>
      </c>
      <c r="I55" s="26" t="inlineStr">
        <is>
          <t>Available</t>
        </is>
      </c>
      <c r="J55" s="31" t="n">
        <v>110</v>
      </c>
      <c r="K55" s="32">
        <f>IF(OR(J55="",H55=""),"",J55/H55)</f>
        <v/>
      </c>
      <c r="L55" s="26" t="inlineStr">
        <is>
          <t>yes</t>
        </is>
      </c>
      <c r="M55" s="26" t="inlineStr">
        <is>
          <t>Powerleague official website (online booking)</t>
        </is>
      </c>
      <c r="N55" s="33" t="inlineStr">
        <is>
          <t>https://www.powerleague.com/select-time?search_location_id=a20a54a1-3bdd-57b8-e211-6f44da11e82f&amp;search_booking_type_name=5-a-side%20Football</t>
        </is>
      </c>
      <c r="O55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5" s="26" t="inlineStr">
        <is>
          <t>24 Sep 2026 (web check)</t>
        </is>
      </c>
      <c r="Q55" s="30">
        <f>IF(AND(I55="Available",F55&lt;&gt;""),COUNTIFS($A$2:$A$72,A55,$I$2:$I$72,"Available",$F$2:$F$72,"&lt;"&amp;F55)+1,"")</f>
        <v/>
      </c>
      <c r="R55" s="30">
        <f>IF(Q55="","",A55&amp;"#"&amp;Q55)</f>
        <v/>
      </c>
    </row>
    <row r="56">
      <c r="A56" s="26" t="inlineStr">
        <is>
          <t>Shoreditch Powerleague</t>
        </is>
      </c>
      <c r="B56" s="27" t="n">
        <v>46295</v>
      </c>
      <c r="C56" s="26" t="inlineStr">
        <is>
          <t>Wed</t>
        </is>
      </c>
      <c r="D56" s="28" t="n">
        <v>0.8472222222222222</v>
      </c>
      <c r="E56" s="28" t="n">
        <v>0.875</v>
      </c>
      <c r="F56" s="29">
        <f>IF(B56="","",B56+D56)</f>
        <v/>
      </c>
      <c r="G56" s="26" t="inlineStr">
        <is>
          <t>5-a-side</t>
        </is>
      </c>
      <c r="H56" s="30">
        <f>IFERROR(VALUE(LEFT(G56,FIND("-",G56)-1))*2,"")</f>
        <v/>
      </c>
      <c r="I56" s="26" t="inlineStr">
        <is>
          <t>Available</t>
        </is>
      </c>
      <c r="J56" s="31" t="n">
        <v>110</v>
      </c>
      <c r="K56" s="32">
        <f>IF(OR(J56="",H56=""),"",J56/H56)</f>
        <v/>
      </c>
      <c r="L56" s="26" t="inlineStr">
        <is>
          <t>yes</t>
        </is>
      </c>
      <c r="M56" s="26" t="inlineStr">
        <is>
          <t>Powerleague official website (online booking)</t>
        </is>
      </c>
      <c r="N56" s="33" t="inlineStr">
        <is>
          <t>https://www.powerleague.com/select-time?search_location_id=a20a54a1-3bdd-57b8-e211-6f44da11e82f&amp;search_booking_type_name=5-a-side%20Football</t>
        </is>
      </c>
      <c r="O56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6" s="26" t="inlineStr">
        <is>
          <t>24 Sep 2026 (web check)</t>
        </is>
      </c>
      <c r="Q56" s="30">
        <f>IF(AND(I56="Available",F56&lt;&gt;""),COUNTIFS($A$2:$A$72,A56,$I$2:$I$72,"Available",$F$2:$F$72,"&lt;"&amp;F56)+1,"")</f>
        <v/>
      </c>
      <c r="R56" s="30">
        <f>IF(Q56="","",A56&amp;"#"&amp;Q56)</f>
        <v/>
      </c>
    </row>
    <row r="57">
      <c r="A57" s="26" t="inlineStr">
        <is>
          <t>Shoreditch Powerleague</t>
        </is>
      </c>
      <c r="B57" s="27" t="n">
        <v>46296</v>
      </c>
      <c r="C57" s="26" t="inlineStr">
        <is>
          <t>Thu</t>
        </is>
      </c>
      <c r="D57" s="28" t="n">
        <v>0.7638888888888888</v>
      </c>
      <c r="E57" s="28" t="n">
        <v>0.7916666666666666</v>
      </c>
      <c r="F57" s="29">
        <f>IF(B57="","",B57+D57)</f>
        <v/>
      </c>
      <c r="G57" s="26" t="inlineStr">
        <is>
          <t>5-a-side</t>
        </is>
      </c>
      <c r="H57" s="30">
        <f>IFERROR(VALUE(LEFT(G57,FIND("-",G57)-1))*2,"")</f>
        <v/>
      </c>
      <c r="I57" s="26" t="inlineStr">
        <is>
          <t>Available</t>
        </is>
      </c>
      <c r="J57" s="31" t="n">
        <v>110</v>
      </c>
      <c r="K57" s="32">
        <f>IF(OR(J57="",H57=""),"",J57/H57)</f>
        <v/>
      </c>
      <c r="L57" s="26" t="inlineStr">
        <is>
          <t>yes</t>
        </is>
      </c>
      <c r="M57" s="26" t="inlineStr">
        <is>
          <t>Powerleague official website (online booking)</t>
        </is>
      </c>
      <c r="N57" s="33" t="inlineStr">
        <is>
          <t>https://www.powerleague.com/select-time?search_location_id=a20a54a1-3bdd-57b8-e211-6f44da11e82f&amp;search_booking_type_name=5-a-side%20Football</t>
        </is>
      </c>
      <c r="O57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7" s="26" t="inlineStr">
        <is>
          <t>24 Sep 2026 (web check)</t>
        </is>
      </c>
      <c r="Q57" s="30">
        <f>IF(AND(I57="Available",F57&lt;&gt;""),COUNTIFS($A$2:$A$72,A57,$I$2:$I$72,"Available",$F$2:$F$72,"&lt;"&amp;F57)+1,"")</f>
        <v/>
      </c>
      <c r="R57" s="30">
        <f>IF(Q57="","",A57&amp;"#"&amp;Q57)</f>
        <v/>
      </c>
    </row>
    <row r="58">
      <c r="A58" s="26" t="inlineStr">
        <is>
          <t>Shoreditch Powerleague</t>
        </is>
      </c>
      <c r="B58" s="27" t="n">
        <v>46296</v>
      </c>
      <c r="C58" s="26" t="inlineStr">
        <is>
          <t>Thu</t>
        </is>
      </c>
      <c r="D58" s="28" t="n">
        <v>0.8194444444444444</v>
      </c>
      <c r="E58" s="28" t="n">
        <v>0.8472222222222222</v>
      </c>
      <c r="F58" s="29">
        <f>IF(B58="","",B58+D58)</f>
        <v/>
      </c>
      <c r="G58" s="26" t="inlineStr">
        <is>
          <t>5-a-side</t>
        </is>
      </c>
      <c r="H58" s="30">
        <f>IFERROR(VALUE(LEFT(G58,FIND("-",G58)-1))*2,"")</f>
        <v/>
      </c>
      <c r="I58" s="26" t="inlineStr">
        <is>
          <t>Available</t>
        </is>
      </c>
      <c r="J58" s="31" t="n">
        <v>110</v>
      </c>
      <c r="K58" s="32">
        <f>IF(OR(J58="",H58=""),"",J58/H58)</f>
        <v/>
      </c>
      <c r="L58" s="26" t="inlineStr">
        <is>
          <t>yes</t>
        </is>
      </c>
      <c r="M58" s="26" t="inlineStr">
        <is>
          <t>Powerleague official website (online booking)</t>
        </is>
      </c>
      <c r="N58" s="33" t="inlineStr">
        <is>
          <t>https://www.powerleague.com/select-time?search_location_id=a20a54a1-3bdd-57b8-e211-6f44da11e82f&amp;search_booking_type_name=5-a-side%20Football</t>
        </is>
      </c>
      <c r="O58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8" s="26" t="inlineStr">
        <is>
          <t>24 Sep 2026 (web check)</t>
        </is>
      </c>
      <c r="Q58" s="30">
        <f>IF(AND(I58="Available",F58&lt;&gt;""),COUNTIFS($A$2:$A$72,A58,$I$2:$I$72,"Available",$F$2:$F$72,"&lt;"&amp;F58)+1,"")</f>
        <v/>
      </c>
      <c r="R58" s="30">
        <f>IF(Q58="","",A58&amp;"#"&amp;Q58)</f>
        <v/>
      </c>
    </row>
    <row r="59">
      <c r="A59" s="26" t="inlineStr">
        <is>
          <t>Shoreditch Powerleague</t>
        </is>
      </c>
      <c r="B59" s="27" t="n">
        <v>46296</v>
      </c>
      <c r="C59" s="26" t="inlineStr">
        <is>
          <t>Thu</t>
        </is>
      </c>
      <c r="D59" s="28" t="n">
        <v>0.8472222222222222</v>
      </c>
      <c r="E59" s="28" t="n">
        <v>0.875</v>
      </c>
      <c r="F59" s="29">
        <f>IF(B59="","",B59+D59)</f>
        <v/>
      </c>
      <c r="G59" s="26" t="inlineStr">
        <is>
          <t>5-a-side</t>
        </is>
      </c>
      <c r="H59" s="30">
        <f>IFERROR(VALUE(LEFT(G59,FIND("-",G59)-1))*2,"")</f>
        <v/>
      </c>
      <c r="I59" s="26" t="inlineStr">
        <is>
          <t>Available</t>
        </is>
      </c>
      <c r="J59" s="31" t="n">
        <v>110</v>
      </c>
      <c r="K59" s="32">
        <f>IF(OR(J59="",H59=""),"",J59/H59)</f>
        <v/>
      </c>
      <c r="L59" s="26" t="inlineStr">
        <is>
          <t>yes</t>
        </is>
      </c>
      <c r="M59" s="26" t="inlineStr">
        <is>
          <t>Powerleague official website (online booking)</t>
        </is>
      </c>
      <c r="N59" s="33" t="inlineStr">
        <is>
          <t>https://www.powerleague.com/select-time?search_location_id=a20a54a1-3bdd-57b8-e211-6f44da11e82f&amp;search_booking_type_name=5-a-side%20Football</t>
        </is>
      </c>
      <c r="O59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59" s="26" t="inlineStr">
        <is>
          <t>24 Sep 2026 (web check)</t>
        </is>
      </c>
      <c r="Q59" s="30">
        <f>IF(AND(I59="Available",F59&lt;&gt;""),COUNTIFS($A$2:$A$72,A59,$I$2:$I$72,"Available",$F$2:$F$72,"&lt;"&amp;F59)+1,"")</f>
        <v/>
      </c>
      <c r="R59" s="30">
        <f>IF(Q59="","",A59&amp;"#"&amp;Q59)</f>
        <v/>
      </c>
    </row>
    <row r="60">
      <c r="A60" s="26" t="inlineStr">
        <is>
          <t>Shoreditch Powerleague</t>
        </is>
      </c>
      <c r="B60" s="27" t="n">
        <v>46297</v>
      </c>
      <c r="C60" s="26" t="inlineStr">
        <is>
          <t>Fri</t>
        </is>
      </c>
      <c r="D60" s="28" t="n">
        <v>0.7361111111111112</v>
      </c>
      <c r="E60" s="28" t="n">
        <v>0.7638888888888888</v>
      </c>
      <c r="F60" s="29">
        <f>IF(B60="","",B60+D60)</f>
        <v/>
      </c>
      <c r="G60" s="26" t="inlineStr">
        <is>
          <t>5-a-side</t>
        </is>
      </c>
      <c r="H60" s="30">
        <f>IFERROR(VALUE(LEFT(G60,FIND("-",G60)-1))*2,"")</f>
        <v/>
      </c>
      <c r="I60" s="26" t="inlineStr">
        <is>
          <t>Available</t>
        </is>
      </c>
      <c r="J60" s="31" t="n">
        <v>110</v>
      </c>
      <c r="K60" s="32">
        <f>IF(OR(J60="",H60=""),"",J60/H60)</f>
        <v/>
      </c>
      <c r="L60" s="26" t="inlineStr">
        <is>
          <t>yes</t>
        </is>
      </c>
      <c r="M60" s="26" t="inlineStr">
        <is>
          <t>Powerleague official website (online booking)</t>
        </is>
      </c>
      <c r="N60" s="33" t="inlineStr">
        <is>
          <t>https://www.powerleague.com/select-time?search_location_id=a20a54a1-3bdd-57b8-e211-6f44da11e82f&amp;search_booking_type_name=5-a-side%20Football</t>
        </is>
      </c>
      <c r="O60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60" s="26" t="inlineStr">
        <is>
          <t>24 Sep 2026 (web check)</t>
        </is>
      </c>
      <c r="Q60" s="30">
        <f>IF(AND(I60="Available",F60&lt;&gt;""),COUNTIFS($A$2:$A$72,A60,$I$2:$I$72,"Available",$F$2:$F$72,"&lt;"&amp;F60)+1,"")</f>
        <v/>
      </c>
      <c r="R60" s="30">
        <f>IF(Q60="","",A60&amp;"#"&amp;Q60)</f>
        <v/>
      </c>
    </row>
    <row r="61">
      <c r="A61" s="26" t="inlineStr">
        <is>
          <t>Shoreditch Powerleague</t>
        </is>
      </c>
      <c r="B61" s="27" t="n">
        <v>46297</v>
      </c>
      <c r="C61" s="26" t="inlineStr">
        <is>
          <t>Fri</t>
        </is>
      </c>
      <c r="D61" s="28" t="n">
        <v>0.7638888888888888</v>
      </c>
      <c r="E61" s="28" t="n">
        <v>0.7916666666666666</v>
      </c>
      <c r="F61" s="29">
        <f>IF(B61="","",B61+D61)</f>
        <v/>
      </c>
      <c r="G61" s="26" t="inlineStr">
        <is>
          <t>5-a-side</t>
        </is>
      </c>
      <c r="H61" s="30">
        <f>IFERROR(VALUE(LEFT(G61,FIND("-",G61)-1))*2,"")</f>
        <v/>
      </c>
      <c r="I61" s="26" t="inlineStr">
        <is>
          <t>Available</t>
        </is>
      </c>
      <c r="J61" s="31" t="n">
        <v>110</v>
      </c>
      <c r="K61" s="32">
        <f>IF(OR(J61="",H61=""),"",J61/H61)</f>
        <v/>
      </c>
      <c r="L61" s="26" t="inlineStr">
        <is>
          <t>yes</t>
        </is>
      </c>
      <c r="M61" s="26" t="inlineStr">
        <is>
          <t>Powerleague official website (online booking)</t>
        </is>
      </c>
      <c r="N61" s="33" t="inlineStr">
        <is>
          <t>https://www.powerleague.com/select-time?search_location_id=a20a54a1-3bdd-57b8-e211-6f44da11e82f&amp;search_booking_type_name=5-a-side%20Football</t>
        </is>
      </c>
      <c r="O61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61" s="26" t="inlineStr">
        <is>
          <t>24 Sep 2026 (web check)</t>
        </is>
      </c>
      <c r="Q61" s="30">
        <f>IF(AND(I61="Available",F61&lt;&gt;""),COUNTIFS($A$2:$A$72,A61,$I$2:$I$72,"Available",$F$2:$F$72,"&lt;"&amp;F61)+1,"")</f>
        <v/>
      </c>
      <c r="R61" s="30">
        <f>IF(Q61="","",A61&amp;"#"&amp;Q61)</f>
        <v/>
      </c>
    </row>
    <row r="62">
      <c r="A62" s="26" t="inlineStr">
        <is>
          <t>Shoreditch Powerleague</t>
        </is>
      </c>
      <c r="B62" s="27" t="n">
        <v>46297</v>
      </c>
      <c r="C62" s="26" t="inlineStr">
        <is>
          <t>Fri</t>
        </is>
      </c>
      <c r="D62" s="28" t="n">
        <v>0.7916666666666666</v>
      </c>
      <c r="E62" s="28" t="n">
        <v>0.8194444444444444</v>
      </c>
      <c r="F62" s="29">
        <f>IF(B62="","",B62+D62)</f>
        <v/>
      </c>
      <c r="G62" s="26" t="inlineStr">
        <is>
          <t>5-a-side</t>
        </is>
      </c>
      <c r="H62" s="30">
        <f>IFERROR(VALUE(LEFT(G62,FIND("-",G62)-1))*2,"")</f>
        <v/>
      </c>
      <c r="I62" s="26" t="inlineStr">
        <is>
          <t>Available</t>
        </is>
      </c>
      <c r="J62" s="31" t="n">
        <v>110</v>
      </c>
      <c r="K62" s="32">
        <f>IF(OR(J62="",H62=""),"",J62/H62)</f>
        <v/>
      </c>
      <c r="L62" s="26" t="inlineStr">
        <is>
          <t>yes</t>
        </is>
      </c>
      <c r="M62" s="26" t="inlineStr">
        <is>
          <t>Powerleague official website (online booking)</t>
        </is>
      </c>
      <c r="N62" s="33" t="inlineStr">
        <is>
          <t>https://www.powerleague.com/select-time?search_location_id=a20a54a1-3bdd-57b8-e211-6f44da11e82f&amp;search_booking_type_name=5-a-side%20Football</t>
        </is>
      </c>
      <c r="O62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62" s="26" t="inlineStr">
        <is>
          <t>24 Sep 2026 (web check)</t>
        </is>
      </c>
      <c r="Q62" s="30">
        <f>IF(AND(I62="Available",F62&lt;&gt;""),COUNTIFS($A$2:$A$72,A62,$I$2:$I$72,"Available",$F$2:$F$72,"&lt;"&amp;F62)+1,"")</f>
        <v/>
      </c>
      <c r="R62" s="30">
        <f>IF(Q62="","",A62&amp;"#"&amp;Q62)</f>
        <v/>
      </c>
    </row>
    <row r="63">
      <c r="A63" s="26" t="inlineStr">
        <is>
          <t>Shoreditch Powerleague</t>
        </is>
      </c>
      <c r="B63" s="27" t="n">
        <v>46297</v>
      </c>
      <c r="C63" s="26" t="inlineStr">
        <is>
          <t>Fri</t>
        </is>
      </c>
      <c r="D63" s="28" t="n">
        <v>0.8194444444444444</v>
      </c>
      <c r="E63" s="28" t="n">
        <v>0.8472222222222222</v>
      </c>
      <c r="F63" s="29">
        <f>IF(B63="","",B63+D63)</f>
        <v/>
      </c>
      <c r="G63" s="26" t="inlineStr">
        <is>
          <t>5-a-side</t>
        </is>
      </c>
      <c r="H63" s="30">
        <f>IFERROR(VALUE(LEFT(G63,FIND("-",G63)-1))*2,"")</f>
        <v/>
      </c>
      <c r="I63" s="26" t="inlineStr">
        <is>
          <t>Available</t>
        </is>
      </c>
      <c r="J63" s="31" t="n">
        <v>110</v>
      </c>
      <c r="K63" s="32">
        <f>IF(OR(J63="",H63=""),"",J63/H63)</f>
        <v/>
      </c>
      <c r="L63" s="26" t="inlineStr">
        <is>
          <t>yes</t>
        </is>
      </c>
      <c r="M63" s="26" t="inlineStr">
        <is>
          <t>Powerleague official website (online booking)</t>
        </is>
      </c>
      <c r="N63" s="33" t="inlineStr">
        <is>
          <t>https://www.powerleague.com/select-time?search_location_id=a20a54a1-3bdd-57b8-e211-6f44da11e82f&amp;search_booking_type_name=5-a-side%20Football</t>
        </is>
      </c>
      <c r="O63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63" s="26" t="inlineStr">
        <is>
          <t>24 Sep 2026 (web check)</t>
        </is>
      </c>
      <c r="Q63" s="30">
        <f>IF(AND(I63="Available",F63&lt;&gt;""),COUNTIFS($A$2:$A$72,A63,$I$2:$I$72,"Available",$F$2:$F$72,"&lt;"&amp;F63)+1,"")</f>
        <v/>
      </c>
      <c r="R63" s="30">
        <f>IF(Q63="","",A63&amp;"#"&amp;Q63)</f>
        <v/>
      </c>
    </row>
    <row r="64">
      <c r="A64" s="26" t="inlineStr">
        <is>
          <t>Shoreditch Powerleague</t>
        </is>
      </c>
      <c r="B64" s="27" t="n">
        <v>46297</v>
      </c>
      <c r="C64" s="26" t="inlineStr">
        <is>
          <t>Fri</t>
        </is>
      </c>
      <c r="D64" s="28" t="n">
        <v>0.8472222222222222</v>
      </c>
      <c r="E64" s="28" t="n">
        <v>0.875</v>
      </c>
      <c r="F64" s="29">
        <f>IF(B64="","",B64+D64)</f>
        <v/>
      </c>
      <c r="G64" s="26" t="inlineStr">
        <is>
          <t>5-a-side</t>
        </is>
      </c>
      <c r="H64" s="30">
        <f>IFERROR(VALUE(LEFT(G64,FIND("-",G64)-1))*2,"")</f>
        <v/>
      </c>
      <c r="I64" s="26" t="inlineStr">
        <is>
          <t>Available</t>
        </is>
      </c>
      <c r="J64" s="31" t="n">
        <v>110</v>
      </c>
      <c r="K64" s="32">
        <f>IF(OR(J64="",H64=""),"",J64/H64)</f>
        <v/>
      </c>
      <c r="L64" s="26" t="inlineStr">
        <is>
          <t>yes</t>
        </is>
      </c>
      <c r="M64" s="26" t="inlineStr">
        <is>
          <t>Powerleague official website (online booking)</t>
        </is>
      </c>
      <c r="N64" s="33" t="inlineStr">
        <is>
          <t>https://www.powerleague.com/select-time?search_location_id=a20a54a1-3bdd-57b8-e211-6f44da11e82f&amp;search_booking_type_name=5-a-side%20Football</t>
        </is>
      </c>
      <c r="O64" s="26" t="inlineStr">
        <is>
          <t>40-min booking slot (whole pitch); system releases bookings up to ~14 days ahead (snapshot taken 24 Sep 2026, showing through 2 Oct 2026 as publicly bookable); later dates in window (5 Oct-23 Oct) not yet released to public at time of check</t>
        </is>
      </c>
      <c r="P64" s="26" t="inlineStr">
        <is>
          <t>24 Sep 2026 (web check)</t>
        </is>
      </c>
      <c r="Q64" s="30">
        <f>IF(AND(I64="Available",F64&lt;&gt;""),COUNTIFS($A$2:$A$72,A64,$I$2:$I$72,"Available",$F$2:$F$72,"&lt;"&amp;F64)+1,"")</f>
        <v/>
      </c>
      <c r="R64" s="30">
        <f>IF(Q64="","",A64&amp;"#"&amp;Q64)</f>
        <v/>
      </c>
    </row>
    <row r="65">
      <c r="A65" s="26" t="inlineStr">
        <is>
          <t>Liverpool St - Attlee Centre</t>
        </is>
      </c>
      <c r="B65" s="27" t="n"/>
      <c r="C65" s="26" t="n"/>
      <c r="D65" s="28" t="n"/>
      <c r="E65" s="28" t="n"/>
      <c r="F65" s="29">
        <f>IF(B65="","",B65+D65)</f>
        <v/>
      </c>
      <c r="G65" s="26" t="n"/>
      <c r="H65" s="30">
        <f>IFERROR(VALUE(LEFT(G65,FIND("-",G65)-1))*2,"")</f>
        <v/>
      </c>
      <c r="I65" s="26" t="inlineStr">
        <is>
          <t>Contact required</t>
        </is>
      </c>
      <c r="J65" s="31" t="n"/>
      <c r="K65" s="32">
        <f>IF(OR(J65="",H65=""),"",J65/H65)</f>
        <v/>
      </c>
      <c r="L65" s="26" t="inlineStr">
        <is>
          <t>unknown</t>
        </is>
      </c>
      <c r="M65" s="26" t="inlineStr">
        <is>
          <t>Attlee Youth &amp; Community Centre (direct enquiry, no online calendar found)</t>
        </is>
      </c>
      <c r="N65" s="33" t="inlineStr">
        <is>
          <t>https://attleecentre.org/hire-our-spaces/</t>
        </is>
      </c>
      <c r="O65" s="26" t="inlineStr">
        <is>
          <t>Community centre with a football pitch/MUGA and sports hall for hire. No online booking calendar found; the hire-our-spaces page returned a server error on two fetch attempts and general web search shows enquiry-only booking (email/phone/callback). Open Mon-Fri 10:00-21:00, Sat 12:00-18:00.</t>
        </is>
      </c>
      <c r="P65" s="26" t="inlineStr">
        <is>
          <t>24 Sep 2026 (web check)</t>
        </is>
      </c>
      <c r="Q65" s="30">
        <f>IF(AND(I65="Available",F65&lt;&gt;""),COUNTIFS($A$2:$A$72,A65,$I$2:$I$72,"Available",$F$2:$F$72,"&lt;"&amp;F65)+1,"")</f>
        <v/>
      </c>
      <c r="R65" s="30">
        <f>IF(Q65="","",A65&amp;"#"&amp;Q65)</f>
        <v/>
      </c>
    </row>
    <row r="66">
      <c r="A66" s="26" t="inlineStr">
        <is>
          <t>St Pancras - Coram's Fields 3G</t>
        </is>
      </c>
      <c r="B66" s="27" t="n"/>
      <c r="C66" s="26" t="n"/>
      <c r="D66" s="28" t="n"/>
      <c r="E66" s="28" t="n"/>
      <c r="F66" s="29">
        <f>IF(B66="","",B66+D66)</f>
        <v/>
      </c>
      <c r="G66" s="26" t="inlineStr">
        <is>
          <t>8-a-side (floodlit 3G)</t>
        </is>
      </c>
      <c r="H66" s="30">
        <f>IFERROR(VALUE(LEFT(G66,FIND("-",G66)-1))*2,"")</f>
        <v/>
      </c>
      <c r="I66" s="26" t="inlineStr">
        <is>
          <t>Contact required</t>
        </is>
      </c>
      <c r="J66" s="31" t="n"/>
      <c r="K66" s="32">
        <f>IF(OR(J66="",H66=""),"",J66/H66)</f>
        <v/>
      </c>
      <c r="L66" s="26" t="inlineStr">
        <is>
          <t>yes</t>
        </is>
      </c>
      <c r="M66" s="26" t="inlineStr">
        <is>
          <t>Coram's Fields direct + Bookteq online widget</t>
        </is>
      </c>
      <c r="N66" s="33" t="inlineStr">
        <is>
          <t>https://coramsfields.org/facility-hire/sport-facility-hire/</t>
        </is>
      </c>
      <c r="O66" s="26" t="inlineStr">
        <is>
          <t>Online booking widget (widget.bookteq.com/coramsfields) is a JS Angular app with no static/API data visible to automated fetch; the facility-hire page itself is behind a bot-check/loading screen. Reported rates from web search (unverified on-page): approx GBP145/hr peak, GBP125/hr off-peak. Also listed on Playfinder. No specific open slots could be confirmed.</t>
        </is>
      </c>
      <c r="P66" s="26" t="inlineStr">
        <is>
          <t>24 Sep 2026 (web check)</t>
        </is>
      </c>
      <c r="Q66" s="30">
        <f>IF(AND(I66="Available",F66&lt;&gt;""),COUNTIFS($A$2:$A$72,A66,$I$2:$I$72,"Available",$F$2:$F$72,"&lt;"&amp;F66)+1,"")</f>
        <v/>
      </c>
      <c r="R66" s="30">
        <f>IF(Q66="","",A66&amp;"#"&amp;Q66)</f>
        <v/>
      </c>
    </row>
    <row r="67">
      <c r="A67" s="26" t="inlineStr">
        <is>
          <t>Borough Academy</t>
        </is>
      </c>
      <c r="B67" s="27" t="n"/>
      <c r="C67" s="26" t="n"/>
      <c r="D67" s="28" t="n"/>
      <c r="E67" s="28" t="n"/>
      <c r="F67" s="29">
        <f>IF(B67="","",B67+D67)</f>
        <v/>
      </c>
      <c r="G67" s="26" t="inlineStr">
        <is>
          <t>7-a-side (floodlit 3G, 37x55m)</t>
        </is>
      </c>
      <c r="H67" s="30">
        <f>IFERROR(VALUE(LEFT(G67,FIND("-",G67)-1))*2,"")</f>
        <v/>
      </c>
      <c r="I67" s="26" t="inlineStr">
        <is>
          <t>Contact required</t>
        </is>
      </c>
      <c r="J67" s="31" t="n">
        <v>100</v>
      </c>
      <c r="K67" s="32">
        <f>IF(OR(J67="",H67=""),"",J67/H67)</f>
        <v/>
      </c>
      <c r="L67" s="26" t="inlineStr">
        <is>
          <t>yes</t>
        </is>
      </c>
      <c r="M67" s="26" t="inlineStr">
        <is>
          <t>Vivify Venues online booking system</t>
        </is>
      </c>
      <c r="N67" s="33" t="inlineStr">
        <is>
          <t>https://www.vivifyvenues.com/venues/borough-academy/3g-pitch-borough</t>
        </is>
      </c>
      <c r="O67" s="26" t="inlineStr">
        <is>
          <t>Page confirms weekday opening hours Mon-Fri 17:30-21:00 (matches requested window) at GBP100.00/hr + VAT standard rate (weekend match rate GBP69.40/hr). The live booking calendar is rendered by a Laravel Livewire component loaded via AJAX after page load, so no automated (non-JS) fetch could read actual open dates/times. Address: 94 Southwark Bridge Road, London SE1 0EX.</t>
        </is>
      </c>
      <c r="P67" s="26" t="inlineStr">
        <is>
          <t>24 Sep 2026 (web check)</t>
        </is>
      </c>
      <c r="Q67" s="30">
        <f>IF(AND(I67="Available",F67&lt;&gt;""),COUNTIFS($A$2:$A$72,A67,$I$2:$I$72,"Available",$F$2:$F$72,"&lt;"&amp;F67)+1,"")</f>
        <v/>
      </c>
      <c r="R67" s="30">
        <f>IF(Q67="","",A67&amp;"#"&amp;Q67)</f>
        <v/>
      </c>
    </row>
    <row r="68">
      <c r="A68" s="26" t="inlineStr">
        <is>
          <t>Poplar</t>
        </is>
      </c>
      <c r="B68" s="27" t="n"/>
      <c r="C68" s="26" t="n"/>
      <c r="D68" s="28" t="n"/>
      <c r="E68" s="28" t="n"/>
      <c r="F68" s="29">
        <f>IF(B68="","",B68+D68)</f>
        <v/>
      </c>
      <c r="G68" s="26" t="n"/>
      <c r="H68" s="30">
        <f>IFERROR(VALUE(LEFT(G68,FIND("-",G68)-1))*2,"")</f>
        <v/>
      </c>
      <c r="I68" s="26" t="inlineStr">
        <is>
          <t>Contact required</t>
        </is>
      </c>
      <c r="J68" s="31" t="n"/>
      <c r="K68" s="32">
        <f>IF(OR(J68="",H68=""),"",J68/H68)</f>
        <v/>
      </c>
      <c r="L68" s="26" t="n"/>
      <c r="M68" s="26" t="inlineStr">
        <is>
          <t>FC Urban (corporate enquiry - Typeform)</t>
        </is>
      </c>
      <c r="N68" s="33" t="inlineStr">
        <is>
          <t>https://fcurban.typeform.com/to/p2vDaixk</t>
        </is>
      </c>
      <c r="O68" s="26" t="inlineStr">
        <is>
          <t>Actual pitch operator is "The Workhouse" outdoor 3G pitch, floodlit, 116 Poplar High St E14 0AF. FC Urban's whole-pitch corporate booking is enquiry-only (Typeform proposal request), not a self-service calendar. FC Urban's separate casual drop-in game product (play.fcurban.com) showed individual join-a-game slots around 20:00 on Tue/Thu, but that is per-player joining, not whole-pitch hire, so not listed as a slot.</t>
        </is>
      </c>
      <c r="P68" s="26" t="inlineStr">
        <is>
          <t>24 Sep 2026 (web check)</t>
        </is>
      </c>
      <c r="Q68" s="30">
        <f>IF(AND(I68="Available",F68&lt;&gt;""),COUNTIFS($A$2:$A$72,A68,$I$2:$I$72,"Available",$F$2:$F$72,"&lt;"&amp;F68)+1,"")</f>
        <v/>
      </c>
      <c r="R68" s="30">
        <f>IF(Q68="","",A68&amp;"#"&amp;Q68)</f>
        <v/>
      </c>
    </row>
    <row r="69">
      <c r="A69" s="26" t="inlineStr">
        <is>
          <t>Isle of Dogs (Canary Wharf) - George Green's School</t>
        </is>
      </c>
      <c r="B69" s="27" t="n"/>
      <c r="C69" s="26" t="n"/>
      <c r="D69" s="28" t="n"/>
      <c r="E69" s="28" t="n"/>
      <c r="F69" s="29">
        <f>IF(B69="","",B69+D69)</f>
        <v/>
      </c>
      <c r="G69" s="26" t="n"/>
      <c r="H69" s="30">
        <f>IFERROR(VALUE(LEFT(G69,FIND("-",G69)-1))*2,"")</f>
        <v/>
      </c>
      <c r="I69" s="26" t="inlineStr">
        <is>
          <t>Contact required</t>
        </is>
      </c>
      <c r="J69" s="31" t="n"/>
      <c r="K69" s="32">
        <f>IF(OR(J69="",H69=""),"",J69/H69)</f>
        <v/>
      </c>
      <c r="L69" s="26" t="n"/>
      <c r="M69" s="26" t="inlineStr">
        <is>
          <t>FC Urban (corporate enquiry) / George Green's School direct</t>
        </is>
      </c>
      <c r="N69" s="33" t="inlineStr">
        <is>
          <t>https://fcurban.typeform.com/to/p2vDaixk</t>
        </is>
      </c>
      <c r="O69" s="26" t="inlineStr">
        <is>
          <t>FC Urban location page shows "New games coming soon" - no open drop-in games currently. School lets its own 3G pitch directly: bookings@georgegreens.com, 020 7001 9441, weekday hire window 17:00-22:00 (within target window). School also has a Pitchbooking online page (https://pitchbooking.com/book/George-Green-S-School-And-Sports-Centre) but its calendar would not render reliably in this session (JS app repeatedly failed to load third-party map/analytics scripts); call/email to check live slots.</t>
        </is>
      </c>
      <c r="P69" s="26" t="inlineStr">
        <is>
          <t>24 Sep 2026 (web check)</t>
        </is>
      </c>
      <c r="Q69" s="30">
        <f>IF(AND(I69="Available",F69&lt;&gt;""),COUNTIFS($A$2:$A$72,A69,$I$2:$I$72,"Available",$F$2:$F$72,"&lt;"&amp;F69)+1,"")</f>
        <v/>
      </c>
      <c r="R69" s="30">
        <f>IF(Q69="","",A69&amp;"#"&amp;Q69)</f>
        <v/>
      </c>
    </row>
    <row r="70">
      <c r="A70" s="26" t="inlineStr">
        <is>
          <t>Bermondsey Riverside</t>
        </is>
      </c>
      <c r="B70" s="27" t="n"/>
      <c r="C70" s="26" t="n"/>
      <c r="D70" s="28" t="n"/>
      <c r="E70" s="28" t="n"/>
      <c r="F70" s="29">
        <f>IF(B70="","",B70+D70)</f>
        <v/>
      </c>
      <c r="G70" s="26" t="n"/>
      <c r="H70" s="30">
        <f>IFERROR(VALUE(LEFT(G70,FIND("-",G70)-1))*2,"")</f>
        <v/>
      </c>
      <c r="I70" s="26" t="inlineStr">
        <is>
          <t>Contact required</t>
        </is>
      </c>
      <c r="J70" s="31" t="n"/>
      <c r="K70" s="32">
        <f>IF(OR(J70="",H70=""),"",J70/H70)</f>
        <v/>
      </c>
      <c r="L70" s="26" t="n"/>
      <c r="M70" s="26" t="inlineStr">
        <is>
          <t>FC Urban (corporate enquiry) / SchoolHire / Powerleague</t>
        </is>
      </c>
      <c r="N70" s="33" t="inlineStr">
        <is>
          <t>https://fcurban.typeform.com/to/p2vDaixk</t>
        </is>
      </c>
      <c r="O70" s="26" t="inlineStr">
        <is>
          <t>Venue is St Joseph's Primary School, George Row SE16 4UP, 2G pitch, no floodlights. FC Urban page shows 0 games/week scheduled (no open drop-in games). SchoolHire lists this pitch from GBP 75.50 (https://schoolhire.co.uk/london-southwark/stjosephsgeorgerow/football/30426) but the page could not be accessed in this session (blocked to automated browsing) to confirm a live calendar. Powerleague also lists a Bermondsey/St Joseph's venue - enquiries@powerleague.com, 0800 567 0757.</t>
        </is>
      </c>
      <c r="P70" s="26" t="inlineStr">
        <is>
          <t>24 Sep 2026 (web check)</t>
        </is>
      </c>
      <c r="Q70" s="30">
        <f>IF(AND(I70="Available",F70&lt;&gt;""),COUNTIFS($A$2:$A$72,A70,$I$2:$I$72,"Available",$F$2:$F$72,"&lt;"&amp;F70)+1,"")</f>
        <v/>
      </c>
      <c r="R70" s="30">
        <f>IF(Q70="","",A70&amp;"#"&amp;Q70)</f>
        <v/>
      </c>
    </row>
    <row r="71">
      <c r="A71" s="26" t="inlineStr">
        <is>
          <t>PlayFootball Canary Wharf - Westferry (E14 8HH)</t>
        </is>
      </c>
      <c r="B71" s="27" t="n"/>
      <c r="C71" s="26" t="n"/>
      <c r="D71" s="28" t="n"/>
      <c r="E71" s="28" t="n"/>
      <c r="F71" s="29">
        <f>IF(B71="","",B71+D71)</f>
        <v/>
      </c>
      <c r="G71" s="26" t="n"/>
      <c r="H71" s="30">
        <f>IFERROR(VALUE(LEFT(G71,FIND("-",G71)-1))*2,"")</f>
        <v/>
      </c>
      <c r="I71" s="26" t="inlineStr">
        <is>
          <t>Contact required</t>
        </is>
      </c>
      <c r="J71" s="31" t="n"/>
      <c r="K71" s="32">
        <f>IF(OR(J71="",H71=""),"",J71/H71)</f>
        <v/>
      </c>
      <c r="L71" s="26" t="n"/>
      <c r="M71" s="26" t="inlineStr">
        <is>
          <t>PlayFootball.net</t>
        </is>
      </c>
      <c r="N71" s="33" t="inlineStr">
        <is>
          <t>https://www.playfootball.net/venues/canary-wharf/book-a-pitch/85/5-a-side3gpitchhire</t>
        </is>
      </c>
      <c r="O71" s="26" t="inlineStr">
        <is>
          <t>Cyril Jackson Primary School (North Building), 51 Three Colt Street, Limehouse Causeway, E14 8HH - approx. 10 min walk from Canary Wharf station / 4 min from Westferry DLR. Floodlit 3G pitch (relaid winter 2025), 5-a-side format, site claims online booking up to 30 days ahead, but the booking calendar returned 403/blocked automated access in this session so specific dates/prices could not be confirmed - check the URL directly.</t>
        </is>
      </c>
      <c r="P71" s="26" t="inlineStr">
        <is>
          <t>24 Sep 2026 (web check)</t>
        </is>
      </c>
      <c r="Q71" s="30">
        <f>IF(AND(I71="Available",F71&lt;&gt;""),COUNTIFS($A$2:$A$72,A71,$I$2:$I$72,"Available",$F$2:$F$72,"&lt;"&amp;F71)+1,"")</f>
        <v/>
      </c>
      <c r="R71" s="30">
        <f>IF(Q71="","",A71&amp;"#"&amp;Q71)</f>
        <v/>
      </c>
    </row>
    <row r="72">
      <c r="A72" s="26" t="inlineStr">
        <is>
          <t>Fives Dockland Centre (E14 9GW)</t>
        </is>
      </c>
      <c r="B72" s="27" t="n"/>
      <c r="C72" s="26" t="n"/>
      <c r="D72" s="28" t="n"/>
      <c r="E72" s="28" t="n"/>
      <c r="F72" s="29">
        <f>IF(B72="","",B72+D72)</f>
        <v/>
      </c>
      <c r="G72" s="26" t="n"/>
      <c r="H72" s="30">
        <f>IFERROR(VALUE(LEFT(G72,FIND("-",G72)-1))*2,"")</f>
        <v/>
      </c>
      <c r="I72" s="26" t="inlineStr">
        <is>
          <t>Contact required</t>
        </is>
      </c>
      <c r="J72" s="31" t="n"/>
      <c r="K72" s="32">
        <f>IF(OR(J72="",H72=""),"",J72/H72)</f>
        <v/>
      </c>
      <c r="L72" s="26" t="n"/>
      <c r="M72" s="26" t="inlineStr">
        <is>
          <t>football5s.com (Fives)</t>
        </is>
      </c>
      <c r="N72" s="33" t="inlineStr">
        <is>
          <t>https://www.football5s.com/docklands/</t>
        </is>
      </c>
      <c r="O72" s="26" t="inlineStr">
        <is>
          <t>Selsdon Way, City Harbour NCP, Tower Hamlets, E14 9GW - rooftop + indoor 5-a-side venue (2 outdoor, 3 indoor pitches, 5G rubber-crumb surface), reachable in under 5 min by DLR to Cross Harbour but roughly 1.3-1.5km / ~18-20 min walk from Canary Wharf station (at or slightly beyond the ~19 min target). Booking mechanics are on a separate "how it works" page not captured in this session; pricing not shown on the pages fetched.</t>
        </is>
      </c>
      <c r="P72" s="26" t="inlineStr">
        <is>
          <t>24 Sep 2026 (web check)</t>
        </is>
      </c>
      <c r="Q72" s="30">
        <f>IF(AND(I72="Available",F72&lt;&gt;""),COUNTIFS($A$2:$A$72,A72,$I$2:$I$72,"Available",$F$2:$F$72,"&lt;"&amp;F72)+1,"")</f>
        <v/>
      </c>
      <c r="R72" s="30">
        <f>IF(Q72="","",A72&amp;"#"&amp;Q72)</f>
        <v/>
      </c>
    </row>
  </sheetData>
  <autoFilter ref="A1:R72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36" customWidth="1" min="3" max="3"/>
    <col width="10" customWidth="1" min="4" max="4"/>
    <col width="16" customWidth="1" min="5" max="5"/>
    <col width="9" customWidth="1" min="6" max="6"/>
    <col width="20" customWidth="1" min="7" max="7"/>
    <col width="13" customWidth="1" min="8" max="8"/>
    <col width="10" customWidth="1" min="9" max="9"/>
    <col width="10" customWidth="1" min="10" max="10"/>
    <col width="20" customWidth="1" min="11" max="11"/>
    <col width="12" customWidth="1" min="12" max="12"/>
    <col width="20" customWidth="1" min="13" max="13"/>
    <col width="12" customWidth="1" min="14" max="14"/>
    <col width="8" customWidth="1" min="15" max="15"/>
    <col width="28" customWidth="1" min="16" max="16"/>
    <col width="36" customWidth="1" min="17" max="17"/>
    <col width="30" customWidth="1" min="18" max="18"/>
    <col width="15" customWidth="1" min="19" max="19"/>
    <col width="26" customWidth="1" min="20" max="20"/>
    <col width="60" customWidth="1" min="21" max="21"/>
    <col width="34" customWidth="1" min="22" max="22"/>
    <col width="10" customWidth="1" min="23" max="23"/>
    <col width="10" customWidth="1" min="24" max="24"/>
  </cols>
  <sheetData>
    <row r="1">
      <c r="A1" s="9" t="inlineStr">
        <is>
          <t>Venue</t>
        </is>
      </c>
      <c r="B1" s="9" t="inlineStr">
        <is>
          <t>Type</t>
        </is>
      </c>
      <c r="C1" s="9" t="inlineStr">
        <is>
          <t>Address</t>
        </is>
      </c>
      <c r="D1" s="9" t="inlineStr">
        <is>
          <t>Postcode</t>
        </is>
      </c>
      <c r="E1" s="9" t="inlineStr">
        <is>
          <t>Status</t>
        </is>
      </c>
      <c r="F1" s="9" t="inlineStr">
        <is>
          <t>Open after-work slots</t>
        </is>
      </c>
      <c r="G1" s="9" t="inlineStr">
        <is>
          <t>Earliest open slot</t>
        </is>
      </c>
      <c r="H1" s="9" t="inlineStr">
        <is>
          <t>Earliest format</t>
        </is>
      </c>
      <c r="I1" s="9" t="inlineStr">
        <is>
          <t>Earliest hire (£)</t>
        </is>
      </c>
      <c r="J1" s="9" t="inlineStr">
        <is>
          <t>Cost per player at earliest (£)</t>
        </is>
      </c>
      <c r="K1" s="10" t="inlineStr">
        <is>
          <t>Chosen slot (override)</t>
        </is>
      </c>
      <c r="L1" s="10" t="inlineStr">
        <is>
          <t>Chosen format (override)</t>
        </is>
      </c>
      <c r="M1" s="9" t="inlineStr">
        <is>
          <t>Lead-with slot</t>
        </is>
      </c>
      <c r="N1" s="9" t="inlineStr">
        <is>
          <t>Lead-with format</t>
        </is>
      </c>
      <c r="O1" s="9" t="inlineStr">
        <is>
          <t>Floodlit</t>
        </is>
      </c>
      <c r="P1" s="9" t="inlineStr">
        <is>
          <t>Booking source</t>
        </is>
      </c>
      <c r="Q1" s="9" t="inlineStr">
        <is>
          <t>Booking link</t>
        </is>
      </c>
      <c r="R1" s="9" t="inlineStr">
        <is>
          <t>Booking contact</t>
        </is>
      </c>
      <c r="S1" s="9" t="inlineStr">
        <is>
          <t>Phone</t>
        </is>
      </c>
      <c r="T1" s="9" t="inlineStr">
        <is>
          <t>Email</t>
        </is>
      </c>
      <c r="U1" s="9" t="inlineStr">
        <is>
          <t>How to book / notes</t>
        </is>
      </c>
      <c r="V1" s="9" t="inlineStr">
        <is>
          <t>FC Urban page</t>
        </is>
      </c>
      <c r="W1" s="9" t="inlineStr">
        <is>
          <t>Companies: nearest pitch</t>
        </is>
      </c>
      <c r="X1" s="9" t="inlineStr">
        <is>
          <t>Companies: lead with</t>
        </is>
      </c>
    </row>
    <row r="2">
      <c r="A2" s="11" t="inlineStr">
        <is>
          <t>Bermondsey Riverside</t>
        </is>
      </c>
      <c r="B2" s="11" t="inlineStr">
        <is>
          <t>FC Urban venue</t>
        </is>
      </c>
      <c r="C2" s="11" t="inlineStr">
        <is>
          <t>George Row, SE16 4UP</t>
        </is>
      </c>
      <c r="D2" s="11" t="inlineStr">
        <is>
          <t>SE16 4UP</t>
        </is>
      </c>
      <c r="E2" s="11" t="inlineStr">
        <is>
          <t>Contact required</t>
        </is>
      </c>
      <c r="F2" s="14">
        <f>COUNTIFS(Slots!$A$2:$A$72,A2,Slots!$I$2:$I$72,"Available")</f>
        <v/>
      </c>
      <c r="G2" s="15">
        <f>IF(F2=0,"",_xlfn.MINIFS(Slots!$F$2:$F$72,Slots!$A$2:$A$72,A2,Slots!$I$2:$I$72,"Available"))</f>
        <v/>
      </c>
      <c r="H2" s="14">
        <f>IFERROR(INDEX(Slots!$G$2:$G$72,MATCH(A2&amp;"#1",Slots!$R$2:$R$72,0)),"")</f>
        <v/>
      </c>
      <c r="I2" s="16">
        <f>IFERROR(INDEX(Slots!$J$2:$J$72,MATCH(A2&amp;"#1",Slots!$R$2:$R$72,0)),"")</f>
        <v/>
      </c>
      <c r="J2" s="16">
        <f>IFERROR(INDEX(Slots!$K$2:$K$72,MATCH(A2&amp;"#1",Slots!$R$2:$R$72,0)),"")</f>
        <v/>
      </c>
      <c r="K2" s="34" t="n"/>
      <c r="L2" s="35" t="n"/>
      <c r="M2" s="15">
        <f>IF(K2&lt;&gt;"",K2,G2)</f>
        <v/>
      </c>
      <c r="N2" s="14">
        <f>IF(L2&lt;&gt;"",L2,IF(H2&lt;&gt;"",H2,"5-a-side"))</f>
        <v/>
      </c>
      <c r="O2" s="11" t="n"/>
      <c r="P2" s="11" t="inlineStr">
        <is>
          <t>FC Urban (corporate enquiry) / SchoolHire / Powerleague</t>
        </is>
      </c>
      <c r="Q2" s="12" t="inlineStr">
        <is>
          <t>https://fcurban.typeform.com/to/p2vDaixk</t>
        </is>
      </c>
      <c r="R2" s="11" t="n"/>
      <c r="S2" s="11" t="n"/>
      <c r="T2" s="11" t="n"/>
      <c r="U2" s="36" t="inlineStr">
        <is>
          <t>Address: St Joseph's Primary School, George Row, London SE16 4UP. FC Urban corporate enquiry: https://fcurban.typeform.com/to/p2vDaixk. SchoolHire listing (from GBP 75.50): https://schoolhire.co.uk/london-southwark/stjosephsgeorgerow/football/30426 (not verified this session). Powerleague: enquiries@powerleague.com / 0800 567 0757.</t>
        </is>
      </c>
      <c r="V2" s="12" t="inlineStr">
        <is>
          <t>https://www.fcurban.com/locations/bermondsey-riverside</t>
        </is>
      </c>
      <c r="W2" s="14">
        <f>COUNTIF(Outreach!$U$3:$U$1000,A2)</f>
        <v/>
      </c>
      <c r="X2" s="14">
        <f>COUNTIF(Outreach!$X$3:$X$1000,A2)</f>
        <v/>
      </c>
    </row>
    <row r="3">
      <c r="A3" s="11" t="inlineStr">
        <is>
          <t>Borough Academy</t>
        </is>
      </c>
      <c r="B3" s="11" t="inlineStr">
        <is>
          <t>FC Urban venue</t>
        </is>
      </c>
      <c r="C3" s="11" t="inlineStr">
        <is>
          <t>King's Ct, SE1 0BU</t>
        </is>
      </c>
      <c r="D3" s="11" t="inlineStr">
        <is>
          <t>SE1 0BU</t>
        </is>
      </c>
      <c r="E3" s="11" t="inlineStr">
        <is>
          <t>Contact required</t>
        </is>
      </c>
      <c r="F3" s="14">
        <f>COUNTIFS(Slots!$A$2:$A$72,A3,Slots!$I$2:$I$72,"Available")</f>
        <v/>
      </c>
      <c r="G3" s="15">
        <f>IF(F3=0,"",_xlfn.MINIFS(Slots!$F$2:$F$72,Slots!$A$2:$A$72,A3,Slots!$I$2:$I$72,"Available"))</f>
        <v/>
      </c>
      <c r="H3" s="14">
        <f>IFERROR(INDEX(Slots!$G$2:$G$72,MATCH(A3&amp;"#1",Slots!$R$2:$R$72,0)),"")</f>
        <v/>
      </c>
      <c r="I3" s="16">
        <f>IFERROR(INDEX(Slots!$J$2:$J$72,MATCH(A3&amp;"#1",Slots!$R$2:$R$72,0)),"")</f>
        <v/>
      </c>
      <c r="J3" s="16">
        <f>IFERROR(INDEX(Slots!$K$2:$K$72,MATCH(A3&amp;"#1",Slots!$R$2:$R$72,0)),"")</f>
        <v/>
      </c>
      <c r="K3" s="34" t="n"/>
      <c r="L3" s="35" t="n"/>
      <c r="M3" s="15">
        <f>IF(K3&lt;&gt;"",K3,G3)</f>
        <v/>
      </c>
      <c r="N3" s="14">
        <f>IF(L3&lt;&gt;"",L3,IF(H3&lt;&gt;"",H3,"5-a-side"))</f>
        <v/>
      </c>
      <c r="O3" s="11" t="inlineStr">
        <is>
          <t>yes</t>
        </is>
      </c>
      <c r="P3" s="11" t="inlineStr">
        <is>
          <t>Vivify Venues online booking system</t>
        </is>
      </c>
      <c r="Q3" s="12" t="inlineStr">
        <is>
          <t>https://www.vivifyvenues.com/venues/borough-academy/3g-pitch-borough</t>
        </is>
      </c>
      <c r="R3" s="11" t="n"/>
      <c r="S3" s="11" t="inlineStr">
        <is>
          <t>0161 694 0111</t>
        </is>
      </c>
      <c r="T3" s="11" t="inlineStr">
        <is>
          <t>support@vivifyvenues.com</t>
        </is>
      </c>
      <c r="U3" s="36" t="inlineStr">
        <is>
          <t>Booked via Vivify Venues (vivifyvenues.com/venues/borough-academy). Address: 94 Southwark Bridge Road / Kings Court, London SE1 0EX/0BU. Standard rate GBP100.00/hr + VAT, weekday hours 17:30-21:00.</t>
        </is>
      </c>
      <c r="V3" s="12" t="inlineStr">
        <is>
          <t>https://www.fcurban.com/locations/borough-academy</t>
        </is>
      </c>
      <c r="W3" s="14">
        <f>COUNTIF(Outreach!$U$3:$U$1000,A3)</f>
        <v/>
      </c>
      <c r="X3" s="14">
        <f>COUNTIF(Outreach!$X$3:$X$1000,A3)</f>
        <v/>
      </c>
    </row>
    <row r="4">
      <c r="A4" s="11" t="inlineStr">
        <is>
          <t>COLA Shoreditch Park</t>
        </is>
      </c>
      <c r="B4" s="11" t="inlineStr">
        <is>
          <t>FC Urban venue</t>
        </is>
      </c>
      <c r="C4" s="11" t="inlineStr">
        <is>
          <t>Hyde Rd, N1 5JU</t>
        </is>
      </c>
      <c r="D4" s="11" t="inlineStr">
        <is>
          <t>N1 5JU</t>
        </is>
      </c>
      <c r="E4" s="11" t="inlineStr">
        <is>
          <t>Available</t>
        </is>
      </c>
      <c r="F4" s="14">
        <f>COUNTIFS(Slots!$A$2:$A$72,A4,Slots!$I$2:$I$72,"Available")</f>
        <v/>
      </c>
      <c r="G4" s="15">
        <f>IF(F4=0,"",_xlfn.MINIFS(Slots!$F$2:$F$72,Slots!$A$2:$A$72,A4,Slots!$I$2:$I$72,"Available"))</f>
        <v/>
      </c>
      <c r="H4" s="14">
        <f>IFERROR(INDEX(Slots!$G$2:$G$72,MATCH(A4&amp;"#1",Slots!$R$2:$R$72,0)),"")</f>
        <v/>
      </c>
      <c r="I4" s="16">
        <f>IFERROR(INDEX(Slots!$J$2:$J$72,MATCH(A4&amp;"#1",Slots!$R$2:$R$72,0)),"")</f>
        <v/>
      </c>
      <c r="J4" s="16">
        <f>IFERROR(INDEX(Slots!$K$2:$K$72,MATCH(A4&amp;"#1",Slots!$R$2:$R$72,0)),"")</f>
        <v/>
      </c>
      <c r="K4" s="34" t="n"/>
      <c r="L4" s="35" t="n"/>
      <c r="M4" s="15">
        <f>IF(K4&lt;&gt;"",K4,G4)</f>
        <v/>
      </c>
      <c r="N4" s="14">
        <f>IF(L4&lt;&gt;"",L4,IF(H4&lt;&gt;"",H4,"5-a-side"))</f>
        <v/>
      </c>
      <c r="O4" s="11" t="inlineStr">
        <is>
          <t>unknown</t>
        </is>
      </c>
      <c r="P4" s="11" t="inlineStr">
        <is>
          <t>enni.space (City of London Academy Shoreditch Park)</t>
        </is>
      </c>
      <c r="Q4" s="12" t="inlineStr">
        <is>
          <t>https://enni.space/search/21782-cola-shoreditch-park-3g-5-a-side-pitch</t>
        </is>
      </c>
      <c r="R4" s="11" t="inlineStr">
        <is>
          <t>City of London Academy Shoreditch Park lettings (via enni.space)</t>
        </is>
      </c>
      <c r="S4" s="11" t="n"/>
      <c r="T4" s="11" t="n"/>
      <c r="U4" s="36" t="inlineStr">
        <is>
          <t>Pitch free 17:30-19:00. Rooftop 3G. Price-from per hour</t>
        </is>
      </c>
      <c r="V4" s="12" t="inlineStr">
        <is>
          <t>https://www.fcurban.com/locations/cola-shoreditch-park</t>
        </is>
      </c>
      <c r="W4" s="14">
        <f>COUNTIF(Outreach!$U$3:$U$1000,A4)</f>
        <v/>
      </c>
      <c r="X4" s="14">
        <f>COUNTIF(Outreach!$X$3:$X$1000,A4)</f>
        <v/>
      </c>
    </row>
    <row r="5">
      <c r="A5" s="11" t="inlineStr">
        <is>
          <t>Docklands - Surrey Quays</t>
        </is>
      </c>
      <c r="B5" s="11" t="inlineStr">
        <is>
          <t>FC Urban venue</t>
        </is>
      </c>
      <c r="C5" s="11" t="inlineStr">
        <is>
          <t>Salter Rd, SE16 5AA</t>
        </is>
      </c>
      <c r="D5" s="11" t="inlineStr">
        <is>
          <t>SE16 5AA</t>
        </is>
      </c>
      <c r="E5" s="11" t="inlineStr">
        <is>
          <t>Not checked</t>
        </is>
      </c>
      <c r="F5" s="14">
        <f>COUNTIFS(Slots!$A$2:$A$72,A5,Slots!$I$2:$I$72,"Available")</f>
        <v/>
      </c>
      <c r="G5" s="15">
        <f>IF(F5=0,"",_xlfn.MINIFS(Slots!$F$2:$F$72,Slots!$A$2:$A$72,A5,Slots!$I$2:$I$72,"Available"))</f>
        <v/>
      </c>
      <c r="H5" s="14">
        <f>IFERROR(INDEX(Slots!$G$2:$G$72,MATCH(A5&amp;"#1",Slots!$R$2:$R$72,0)),"")</f>
        <v/>
      </c>
      <c r="I5" s="16">
        <f>IFERROR(INDEX(Slots!$J$2:$J$72,MATCH(A5&amp;"#1",Slots!$R$2:$R$72,0)),"")</f>
        <v/>
      </c>
      <c r="J5" s="16">
        <f>IFERROR(INDEX(Slots!$K$2:$K$72,MATCH(A5&amp;"#1",Slots!$R$2:$R$72,0)),"")</f>
        <v/>
      </c>
      <c r="K5" s="34" t="n"/>
      <c r="L5" s="35" t="n"/>
      <c r="M5" s="15">
        <f>IF(K5&lt;&gt;"",K5,G5)</f>
        <v/>
      </c>
      <c r="N5" s="14">
        <f>IF(L5&lt;&gt;"",L5,IF(H5&lt;&gt;"",H5,"5-a-side"))</f>
        <v/>
      </c>
      <c r="O5" s="11" t="n"/>
      <c r="P5" s="11" t="n"/>
      <c r="Q5" s="11" t="n"/>
      <c r="R5" s="11" t="n"/>
      <c r="S5" s="11" t="n"/>
      <c r="T5" s="11" t="n"/>
      <c r="U5" s="36" t="n"/>
      <c r="V5" s="12" t="inlineStr">
        <is>
          <t>https://www.fcurban.com/locations/docklands-surrey-quays</t>
        </is>
      </c>
      <c r="W5" s="14">
        <f>COUNTIF(Outreach!$U$3:$U$1000,A5)</f>
        <v/>
      </c>
      <c r="X5" s="14">
        <f>COUNTIF(Outreach!$X$3:$X$1000,A5)</f>
        <v/>
      </c>
    </row>
    <row r="6">
      <c r="A6" s="11" t="inlineStr">
        <is>
          <t>Isle of Dogs (Canary Wharf) - George Green's School</t>
        </is>
      </c>
      <c r="B6" s="11" t="inlineStr">
        <is>
          <t>FC Urban venue</t>
        </is>
      </c>
      <c r="C6" s="11" t="inlineStr">
        <is>
          <t>Manchester Road, E14 3DW</t>
        </is>
      </c>
      <c r="D6" s="11" t="inlineStr">
        <is>
          <t>E14 3DW</t>
        </is>
      </c>
      <c r="E6" s="11" t="inlineStr">
        <is>
          <t>Contact required</t>
        </is>
      </c>
      <c r="F6" s="14">
        <f>COUNTIFS(Slots!$A$2:$A$72,A6,Slots!$I$2:$I$72,"Available")</f>
        <v/>
      </c>
      <c r="G6" s="15">
        <f>IF(F6=0,"",_xlfn.MINIFS(Slots!$F$2:$F$72,Slots!$A$2:$A$72,A6,Slots!$I$2:$I$72,"Available"))</f>
        <v/>
      </c>
      <c r="H6" s="14">
        <f>IFERROR(INDEX(Slots!$G$2:$G$72,MATCH(A6&amp;"#1",Slots!$R$2:$R$72,0)),"")</f>
        <v/>
      </c>
      <c r="I6" s="16">
        <f>IFERROR(INDEX(Slots!$J$2:$J$72,MATCH(A6&amp;"#1",Slots!$R$2:$R$72,0)),"")</f>
        <v/>
      </c>
      <c r="J6" s="16">
        <f>IFERROR(INDEX(Slots!$K$2:$K$72,MATCH(A6&amp;"#1",Slots!$R$2:$R$72,0)),"")</f>
        <v/>
      </c>
      <c r="K6" s="34" t="n"/>
      <c r="L6" s="35" t="n"/>
      <c r="M6" s="15">
        <f>IF(K6&lt;&gt;"",K6,G6)</f>
        <v/>
      </c>
      <c r="N6" s="14">
        <f>IF(L6&lt;&gt;"",L6,IF(H6&lt;&gt;"",H6,"5-a-side"))</f>
        <v/>
      </c>
      <c r="O6" s="11" t="n"/>
      <c r="P6" s="11" t="inlineStr">
        <is>
          <t>FC Urban (corporate enquiry) / George Green's School direct</t>
        </is>
      </c>
      <c r="Q6" s="12" t="inlineStr">
        <is>
          <t>https://fcurban.typeform.com/to/p2vDaixk</t>
        </is>
      </c>
      <c r="R6" s="11" t="inlineStr">
        <is>
          <t>George Green's School lettings</t>
        </is>
      </c>
      <c r="S6" s="11" t="inlineStr">
        <is>
          <t>02070019441</t>
        </is>
      </c>
      <c r="T6" s="11" t="inlineStr">
        <is>
          <t>bookings@georgegreens.com</t>
        </is>
      </c>
      <c r="U6" s="36" t="inlineStr">
        <is>
          <t>Address: 100 Manchester Road, Isle of Dogs, London E14 3DW. Lettings phone hours: weekdays 17:00-22:00, weekends 09:00-18:00. Also FC Urban corporate enquiry: https://fcurban.typeform.com/to/p2vDaixk. School also listed on Pitchbooking (calendar not verified this session).</t>
        </is>
      </c>
      <c r="V6" s="12" t="inlineStr">
        <is>
          <t>https://www.fcurban.com/locations/isle-of-dogs-canary-wharf-george-greens-school</t>
        </is>
      </c>
      <c r="W6" s="14">
        <f>COUNTIF(Outreach!$U$3:$U$1000,A6)</f>
        <v/>
      </c>
      <c r="X6" s="14">
        <f>COUNTIF(Outreach!$X$3:$X$1000,A6)</f>
        <v/>
      </c>
    </row>
    <row r="7">
      <c r="A7" s="11" t="inlineStr">
        <is>
          <t>Liverpool St - Attlee Centre</t>
        </is>
      </c>
      <c r="B7" s="11" t="inlineStr">
        <is>
          <t>FC Urban venue</t>
        </is>
      </c>
      <c r="C7" s="11" t="inlineStr">
        <is>
          <t>Thrawl Street, E1 6RT</t>
        </is>
      </c>
      <c r="D7" s="11" t="inlineStr">
        <is>
          <t>E1 6RT</t>
        </is>
      </c>
      <c r="E7" s="11" t="inlineStr">
        <is>
          <t>Contact required</t>
        </is>
      </c>
      <c r="F7" s="14">
        <f>COUNTIFS(Slots!$A$2:$A$72,A7,Slots!$I$2:$I$72,"Available")</f>
        <v/>
      </c>
      <c r="G7" s="15">
        <f>IF(F7=0,"",_xlfn.MINIFS(Slots!$F$2:$F$72,Slots!$A$2:$A$72,A7,Slots!$I$2:$I$72,"Available"))</f>
        <v/>
      </c>
      <c r="H7" s="14">
        <f>IFERROR(INDEX(Slots!$G$2:$G$72,MATCH(A7&amp;"#1",Slots!$R$2:$R$72,0)),"")</f>
        <v/>
      </c>
      <c r="I7" s="16">
        <f>IFERROR(INDEX(Slots!$J$2:$J$72,MATCH(A7&amp;"#1",Slots!$R$2:$R$72,0)),"")</f>
        <v/>
      </c>
      <c r="J7" s="16">
        <f>IFERROR(INDEX(Slots!$K$2:$K$72,MATCH(A7&amp;"#1",Slots!$R$2:$R$72,0)),"")</f>
        <v/>
      </c>
      <c r="K7" s="34" t="n"/>
      <c r="L7" s="35" t="n"/>
      <c r="M7" s="15">
        <f>IF(K7&lt;&gt;"",K7,G7)</f>
        <v/>
      </c>
      <c r="N7" s="14">
        <f>IF(L7&lt;&gt;"",L7,IF(H7&lt;&gt;"",H7,"5-a-side"))</f>
        <v/>
      </c>
      <c r="O7" s="11" t="inlineStr">
        <is>
          <t>unknown</t>
        </is>
      </c>
      <c r="P7" s="11" t="inlineStr">
        <is>
          <t>Attlee Youth &amp; Community Centre (direct enquiry, no online calendar found)</t>
        </is>
      </c>
      <c r="Q7" s="12" t="inlineStr">
        <is>
          <t>https://attleecentre.org/hire-our-spaces/</t>
        </is>
      </c>
      <c r="R7" s="11" t="n"/>
      <c r="S7" s="11" t="inlineStr">
        <is>
          <t>020 7375 3212</t>
        </is>
      </c>
      <c r="T7" s="11" t="inlineStr">
        <is>
          <t>admin@attleecentre.org</t>
        </is>
      </c>
      <c r="U7" s="36" t="inlineStr">
        <is>
          <t>Address: 5 Thrawl Street, London E1 6RT. Open Mon-Fri 10:00-21:00, Sat 12:00-18:00. Hire enquiry via email or phone/callback; no online calendar found.</t>
        </is>
      </c>
      <c r="V7" s="12" t="inlineStr">
        <is>
          <t>https://www.fcurban.com/locations/liverpool-st-attlee-centre</t>
        </is>
      </c>
      <c r="W7" s="14">
        <f>COUNTIF(Outreach!$U$3:$U$1000,A7)</f>
        <v/>
      </c>
      <c r="X7" s="14">
        <f>COUNTIF(Outreach!$X$3:$X$1000,A7)</f>
        <v/>
      </c>
    </row>
    <row r="8">
      <c r="A8" s="11" t="inlineStr">
        <is>
          <t>Old St - Moreland Primary School</t>
        </is>
      </c>
      <c r="B8" s="11" t="inlineStr">
        <is>
          <t>FC Urban venue</t>
        </is>
      </c>
      <c r="C8" s="11" t="inlineStr">
        <is>
          <t>Gard Street, EC1V 8DW</t>
        </is>
      </c>
      <c r="D8" s="11" t="inlineStr">
        <is>
          <t>EC1V 8DW</t>
        </is>
      </c>
      <c r="E8" s="11" t="inlineStr">
        <is>
          <t>Available</t>
        </is>
      </c>
      <c r="F8" s="14">
        <f>COUNTIFS(Slots!$A$2:$A$72,A8,Slots!$I$2:$I$72,"Available")</f>
        <v/>
      </c>
      <c r="G8" s="15">
        <f>IF(F8=0,"",_xlfn.MINIFS(Slots!$F$2:$F$72,Slots!$A$2:$A$72,A8,Slots!$I$2:$I$72,"Available"))</f>
        <v/>
      </c>
      <c r="H8" s="14">
        <f>IFERROR(INDEX(Slots!$G$2:$G$72,MATCH(A8&amp;"#1",Slots!$R$2:$R$72,0)),"")</f>
        <v/>
      </c>
      <c r="I8" s="16">
        <f>IFERROR(INDEX(Slots!$J$2:$J$72,MATCH(A8&amp;"#1",Slots!$R$2:$R$72,0)),"")</f>
        <v/>
      </c>
      <c r="J8" s="16">
        <f>IFERROR(INDEX(Slots!$K$2:$K$72,MATCH(A8&amp;"#1",Slots!$R$2:$R$72,0)),"")</f>
        <v/>
      </c>
      <c r="K8" s="34" t="n"/>
      <c r="L8" s="35" t="n"/>
      <c r="M8" s="15">
        <f>IF(K8&lt;&gt;"",K8,G8)</f>
        <v/>
      </c>
      <c r="N8" s="14">
        <f>IF(L8&lt;&gt;"",L8,IF(H8&lt;&gt;"",H8,"5-a-side"))</f>
        <v/>
      </c>
      <c r="O8" s="11" t="inlineStr">
        <is>
          <t>yes</t>
        </is>
      </c>
      <c r="P8" s="11" t="inlineStr">
        <is>
          <t>PlayFootball</t>
        </is>
      </c>
      <c r="Q8" s="12" t="inlineStr">
        <is>
          <t>https://www.playfootball.net/venues/old-street-moreland-school/book-a-pitch/87/6-a-side3gpitchhire</t>
        </is>
      </c>
      <c r="R8" s="11" t="n"/>
      <c r="S8" s="11" t="n"/>
      <c r="T8" s="11" t="n"/>
      <c r="U8" s="36" t="inlineStr">
        <is>
          <t>Booked via PlayFootball (playfootball.net) online system, said to open ~30 days ahead; site blocked automated access so no direct contact/phone could be confirmed. Enquiry form on playfootball.net (48hr response quoted). Address: Moreland Primary School, Gard Street/Moreland Street, London EC1V 8DW/8BB.</t>
        </is>
      </c>
      <c r="V8" s="12" t="inlineStr">
        <is>
          <t>https://www.fcurban.com/locations/old-st-moreland-primary-school</t>
        </is>
      </c>
      <c r="W8" s="14">
        <f>COUNTIF(Outreach!$U$3:$U$1000,A8)</f>
        <v/>
      </c>
      <c r="X8" s="14">
        <f>COUNTIF(Outreach!$X$3:$X$1000,A8)</f>
        <v/>
      </c>
    </row>
    <row r="9">
      <c r="A9" s="11" t="inlineStr">
        <is>
          <t>Poplar</t>
        </is>
      </c>
      <c r="B9" s="11" t="inlineStr">
        <is>
          <t>FC Urban venue</t>
        </is>
      </c>
      <c r="C9" s="11" t="inlineStr">
        <is>
          <t>Poplar High St, E14 0AF</t>
        </is>
      </c>
      <c r="D9" s="11" t="inlineStr">
        <is>
          <t>E14 0AF</t>
        </is>
      </c>
      <c r="E9" s="11" t="inlineStr">
        <is>
          <t>Contact required</t>
        </is>
      </c>
      <c r="F9" s="14">
        <f>COUNTIFS(Slots!$A$2:$A$72,A9,Slots!$I$2:$I$72,"Available")</f>
        <v/>
      </c>
      <c r="G9" s="15">
        <f>IF(F9=0,"",_xlfn.MINIFS(Slots!$F$2:$F$72,Slots!$A$2:$A$72,A9,Slots!$I$2:$I$72,"Available"))</f>
        <v/>
      </c>
      <c r="H9" s="14">
        <f>IFERROR(INDEX(Slots!$G$2:$G$72,MATCH(A9&amp;"#1",Slots!$R$2:$R$72,0)),"")</f>
        <v/>
      </c>
      <c r="I9" s="16">
        <f>IFERROR(INDEX(Slots!$J$2:$J$72,MATCH(A9&amp;"#1",Slots!$R$2:$R$72,0)),"")</f>
        <v/>
      </c>
      <c r="J9" s="16">
        <f>IFERROR(INDEX(Slots!$K$2:$K$72,MATCH(A9&amp;"#1",Slots!$R$2:$R$72,0)),"")</f>
        <v/>
      </c>
      <c r="K9" s="34" t="n"/>
      <c r="L9" s="35" t="n"/>
      <c r="M9" s="15">
        <f>IF(K9&lt;&gt;"",K9,G9)</f>
        <v/>
      </c>
      <c r="N9" s="14">
        <f>IF(L9&lt;&gt;"",L9,IF(H9&lt;&gt;"",H9,"5-a-side"))</f>
        <v/>
      </c>
      <c r="O9" s="11" t="n"/>
      <c r="P9" s="11" t="inlineStr">
        <is>
          <t>FC Urban (corporate enquiry - Typeform)</t>
        </is>
      </c>
      <c r="Q9" s="12" t="inlineStr">
        <is>
          <t>https://fcurban.typeform.com/to/p2vDaixk</t>
        </is>
      </c>
      <c r="R9" s="11" t="inlineStr">
        <is>
          <t>FC Urban (Urban Master: Matthias Silva)</t>
        </is>
      </c>
      <c r="S9" s="11" t="n"/>
      <c r="T9" s="11" t="n"/>
      <c r="U9" s="36" t="inlineStr">
        <is>
          <t>Corporate hire enquiry: https://fcurban.typeform.com/to/p2vDaixk. Underlying venue "The Workhouse" pitch, 116 Poplar High St E14 0AF.</t>
        </is>
      </c>
      <c r="V9" s="12" t="inlineStr">
        <is>
          <t>https://www.fcurban.com/locations/poplar</t>
        </is>
      </c>
      <c r="W9" s="14">
        <f>COUNTIF(Outreach!$U$3:$U$1000,A9)</f>
        <v/>
      </c>
      <c r="X9" s="14">
        <f>COUNTIF(Outreach!$X$3:$X$1000,A9)</f>
        <v/>
      </c>
    </row>
    <row r="10">
      <c r="A10" s="11" t="inlineStr">
        <is>
          <t>Shoreditch Powerleague</t>
        </is>
      </c>
      <c r="B10" s="11" t="inlineStr">
        <is>
          <t>FC Urban venue</t>
        </is>
      </c>
      <c r="C10" s="11" t="inlineStr">
        <is>
          <t>Braithwaite Street, E1 6GJ</t>
        </is>
      </c>
      <c r="D10" s="11" t="inlineStr">
        <is>
          <t>E1 6GJ</t>
        </is>
      </c>
      <c r="E10" s="11" t="inlineStr">
        <is>
          <t>Available</t>
        </is>
      </c>
      <c r="F10" s="14">
        <f>COUNTIFS(Slots!$A$2:$A$72,A10,Slots!$I$2:$I$72,"Available")</f>
        <v/>
      </c>
      <c r="G10" s="15">
        <f>IF(F10=0,"",_xlfn.MINIFS(Slots!$F$2:$F$72,Slots!$A$2:$A$72,A10,Slots!$I$2:$I$72,"Available"))</f>
        <v/>
      </c>
      <c r="H10" s="14">
        <f>IFERROR(INDEX(Slots!$G$2:$G$72,MATCH(A10&amp;"#1",Slots!$R$2:$R$72,0)),"")</f>
        <v/>
      </c>
      <c r="I10" s="16">
        <f>IFERROR(INDEX(Slots!$J$2:$J$72,MATCH(A10&amp;"#1",Slots!$R$2:$R$72,0)),"")</f>
        <v/>
      </c>
      <c r="J10" s="16">
        <f>IFERROR(INDEX(Slots!$K$2:$K$72,MATCH(A10&amp;"#1",Slots!$R$2:$R$72,0)),"")</f>
        <v/>
      </c>
      <c r="K10" s="34" t="n"/>
      <c r="L10" s="35" t="n"/>
      <c r="M10" s="15">
        <f>IF(K10&lt;&gt;"",K10,G10)</f>
        <v/>
      </c>
      <c r="N10" s="14">
        <f>IF(L10&lt;&gt;"",L10,IF(H10&lt;&gt;"",H10,"5-a-side"))</f>
        <v/>
      </c>
      <c r="O10" s="11" t="inlineStr">
        <is>
          <t>yes</t>
        </is>
      </c>
      <c r="P10" s="11" t="inlineStr">
        <is>
          <t>Powerleague official website (online booking)</t>
        </is>
      </c>
      <c r="Q10" s="12" t="inlineStr">
        <is>
          <t>https://www.powerleague.com/select-time?search_location_id=a20a54a1-3bdd-57b8-e211-6f44da11e82f&amp;search_booking_type_name=5-a-side%20Football</t>
        </is>
      </c>
      <c r="R10" s="11" t="inlineStr">
        <is>
          <t>Charlie Gordon (Club Manager)</t>
        </is>
      </c>
      <c r="S10" s="11" t="inlineStr">
        <is>
          <t>0207 749 9900</t>
        </is>
      </c>
      <c r="T10" s="11" t="inlineStr">
        <is>
          <t>shoreditch@powerleague.com</t>
        </is>
      </c>
      <c r="U10" s="36" t="inlineStr">
        <is>
          <t>Online booking at powerleague.com; bookings release approx 14 days ahead, with slots 10-14 days out shown as member-priority before opening to the public closer to the date.</t>
        </is>
      </c>
      <c r="V10" s="12" t="inlineStr">
        <is>
          <t>https://www.fcurban.com/locations/shoreditch-powerleague</t>
        </is>
      </c>
      <c r="W10" s="14">
        <f>COUNTIF(Outreach!$U$3:$U$1000,A10)</f>
        <v/>
      </c>
      <c r="X10" s="14">
        <f>COUNTIF(Outreach!$X$3:$X$1000,A10)</f>
        <v/>
      </c>
    </row>
    <row r="11">
      <c r="A11" s="11" t="inlineStr">
        <is>
          <t>Shoreditch Rooftop</t>
        </is>
      </c>
      <c r="B11" s="11" t="inlineStr">
        <is>
          <t>FC Urban venue</t>
        </is>
      </c>
      <c r="C11" s="11" t="inlineStr">
        <is>
          <t>Britannia Leisure Centre Pitfield Street, N1 5FT</t>
        </is>
      </c>
      <c r="D11" s="11" t="inlineStr">
        <is>
          <t>N1 5FT</t>
        </is>
      </c>
      <c r="E11" s="11" t="inlineStr">
        <is>
          <t>Available</t>
        </is>
      </c>
      <c r="F11" s="14">
        <f>COUNTIFS(Slots!$A$2:$A$72,A11,Slots!$I$2:$I$72,"Available")</f>
        <v/>
      </c>
      <c r="G11" s="15">
        <f>IF(F11=0,"",_xlfn.MINIFS(Slots!$F$2:$F$72,Slots!$A$2:$A$72,A11,Slots!$I$2:$I$72,"Available"))</f>
        <v/>
      </c>
      <c r="H11" s="14">
        <f>IFERROR(INDEX(Slots!$G$2:$G$72,MATCH(A11&amp;"#1",Slots!$R$2:$R$72,0)),"")</f>
        <v/>
      </c>
      <c r="I11" s="16">
        <f>IFERROR(INDEX(Slots!$J$2:$J$72,MATCH(A11&amp;"#1",Slots!$R$2:$R$72,0)),"")</f>
        <v/>
      </c>
      <c r="J11" s="16">
        <f>IFERROR(INDEX(Slots!$K$2:$K$72,MATCH(A11&amp;"#1",Slots!$R$2:$R$72,0)),"")</f>
        <v/>
      </c>
      <c r="K11" s="34" t="n"/>
      <c r="L11" s="35" t="n"/>
      <c r="M11" s="15">
        <f>IF(K11&lt;&gt;"",K11,G11)</f>
        <v/>
      </c>
      <c r="N11" s="14">
        <f>IF(L11&lt;&gt;"",L11,IF(H11&lt;&gt;"",H11,"5-a-side"))</f>
        <v/>
      </c>
      <c r="O11" s="11" t="inlineStr">
        <is>
          <t>yes</t>
        </is>
      </c>
      <c r="P11" s="11" t="inlineStr">
        <is>
          <t>Better (GLL)</t>
        </is>
      </c>
      <c r="Q11" s="12" t="inlineStr">
        <is>
          <t>https://bookings.better.org.uk/location/britannia-leisure-centre/3g-cage/2026-09-28/by-time</t>
        </is>
      </c>
      <c r="R11" s="11" t="inlineStr">
        <is>
          <t>Better - Britannia Leisure Centre</t>
        </is>
      </c>
      <c r="S11" s="11" t="n"/>
      <c r="T11" s="11" t="n"/>
      <c r="U11" s="36" t="inlineStr">
        <is>
          <t>Online at bookings.better.org.uk with a Better account. Slots released 6 days ahead. Ask Better about a block booking for later dates</t>
        </is>
      </c>
      <c r="V11" s="12" t="inlineStr">
        <is>
          <t>https://www.fcurban.com/locations/shoreditch-rooftop</t>
        </is>
      </c>
      <c r="W11" s="14">
        <f>COUNTIF(Outreach!$U$3:$U$1000,A11)</f>
        <v/>
      </c>
      <c r="X11" s="14">
        <f>COUNTIF(Outreach!$X$3:$X$1000,A11)</f>
        <v/>
      </c>
    </row>
    <row r="12">
      <c r="A12" s="11" t="inlineStr">
        <is>
          <t>St Pancras - Coram's Fields 3G</t>
        </is>
      </c>
      <c r="B12" s="11" t="inlineStr">
        <is>
          <t>FC Urban venue</t>
        </is>
      </c>
      <c r="C12" s="11" t="inlineStr">
        <is>
          <t>Brunswick Square, WC1N 1AZ</t>
        </is>
      </c>
      <c r="D12" s="11" t="inlineStr">
        <is>
          <t>WC1N 1AZ</t>
        </is>
      </c>
      <c r="E12" s="11" t="inlineStr">
        <is>
          <t>Contact required</t>
        </is>
      </c>
      <c r="F12" s="14">
        <f>COUNTIFS(Slots!$A$2:$A$72,A12,Slots!$I$2:$I$72,"Available")</f>
        <v/>
      </c>
      <c r="G12" s="15">
        <f>IF(F12=0,"",_xlfn.MINIFS(Slots!$F$2:$F$72,Slots!$A$2:$A$72,A12,Slots!$I$2:$I$72,"Available"))</f>
        <v/>
      </c>
      <c r="H12" s="14">
        <f>IFERROR(INDEX(Slots!$G$2:$G$72,MATCH(A12&amp;"#1",Slots!$R$2:$R$72,0)),"")</f>
        <v/>
      </c>
      <c r="I12" s="16">
        <f>IFERROR(INDEX(Slots!$J$2:$J$72,MATCH(A12&amp;"#1",Slots!$R$2:$R$72,0)),"")</f>
        <v/>
      </c>
      <c r="J12" s="16">
        <f>IFERROR(INDEX(Slots!$K$2:$K$72,MATCH(A12&amp;"#1",Slots!$R$2:$R$72,0)),"")</f>
        <v/>
      </c>
      <c r="K12" s="34" t="n"/>
      <c r="L12" s="35" t="n"/>
      <c r="M12" s="15">
        <f>IF(K12&lt;&gt;"",K12,G12)</f>
        <v/>
      </c>
      <c r="N12" s="14">
        <f>IF(L12&lt;&gt;"",L12,IF(H12&lt;&gt;"",H12,"5-a-side"))</f>
        <v/>
      </c>
      <c r="O12" s="11" t="inlineStr">
        <is>
          <t>yes</t>
        </is>
      </c>
      <c r="P12" s="11" t="inlineStr">
        <is>
          <t>Coram's Fields direct + Bookteq online widget</t>
        </is>
      </c>
      <c r="Q12" s="12" t="inlineStr">
        <is>
          <t>https://coramsfields.org/facility-hire/sport-facility-hire/</t>
        </is>
      </c>
      <c r="R12" s="11" t="n"/>
      <c r="S12" s="11" t="inlineStr">
        <is>
          <t>020 7837 6138</t>
        </is>
      </c>
      <c r="T12" s="11" t="inlineStr">
        <is>
          <t>football@coramsfields.org.uk</t>
        </is>
      </c>
      <c r="U12" s="36" t="inlineStr">
        <is>
          <t>Address: 93 Guilford Street / pitch entrance 40 Brunswick Square, London WC1N 1AZ. Online widget at widget.bookteq.com/coramsfields; also listed on Playfinder. Reported (unverified) rates ~GBP145/hr peak, GBP125/hr off-peak.</t>
        </is>
      </c>
      <c r="V12" s="12" t="inlineStr">
        <is>
          <t>https://www.fcurban.com/locations/st-pancras-corams-fields-3g</t>
        </is>
      </c>
      <c r="W12" s="14">
        <f>COUNTIF(Outreach!$U$3:$U$1000,A12)</f>
        <v/>
      </c>
      <c r="X12" s="14">
        <f>COUNTIF(Outreach!$X$3:$X$1000,A12)</f>
        <v/>
      </c>
    </row>
    <row r="13">
      <c r="A13" s="11" t="inlineStr">
        <is>
          <t>Whitechapel</t>
        </is>
      </c>
      <c r="B13" s="11" t="inlineStr">
        <is>
          <t>FC Urban venue</t>
        </is>
      </c>
      <c r="C13" s="11" t="inlineStr">
        <is>
          <t>Richard St, E1 2JR</t>
        </is>
      </c>
      <c r="D13" s="11" t="inlineStr">
        <is>
          <t>E1 2JP</t>
        </is>
      </c>
      <c r="E13" s="11" t="inlineStr">
        <is>
          <t>Contact required</t>
        </is>
      </c>
      <c r="F13" s="14">
        <f>COUNTIFS(Slots!$A$2:$A$72,A13,Slots!$I$2:$I$72,"Available")</f>
        <v/>
      </c>
      <c r="G13" s="15">
        <f>IF(F13=0,"",_xlfn.MINIFS(Slots!$F$2:$F$72,Slots!$A$2:$A$72,A13,Slots!$I$2:$I$72,"Available"))</f>
        <v/>
      </c>
      <c r="H13" s="14">
        <f>IFERROR(INDEX(Slots!$G$2:$G$72,MATCH(A13&amp;"#1",Slots!$R$2:$R$72,0)),"")</f>
        <v/>
      </c>
      <c r="I13" s="16">
        <f>IFERROR(INDEX(Slots!$J$2:$J$72,MATCH(A13&amp;"#1",Slots!$R$2:$R$72,0)),"")</f>
        <v/>
      </c>
      <c r="J13" s="16">
        <f>IFERROR(INDEX(Slots!$K$2:$K$72,MATCH(A13&amp;"#1",Slots!$R$2:$R$72,0)),"")</f>
        <v/>
      </c>
      <c r="K13" s="34" t="n"/>
      <c r="L13" s="35" t="n"/>
      <c r="M13" s="15">
        <f>IF(K13&lt;&gt;"",K13,G13)</f>
        <v/>
      </c>
      <c r="N13" s="14">
        <f>IF(L13&lt;&gt;"",L13,IF(H13&lt;&gt;"",H13,"5-a-side"))</f>
        <v/>
      </c>
      <c r="O13" s="11" t="inlineStr">
        <is>
          <t>yes</t>
        </is>
      </c>
      <c r="P13" s="11" t="inlineStr">
        <is>
          <t>Mulberry Sports &amp; Leisure Centre (Parkwood Leisure)</t>
        </is>
      </c>
      <c r="Q13" s="12" t="inlineStr">
        <is>
          <t>https://pitchbooking.com/partners/MULBERRYSPORTSLEISURECENTRE</t>
        </is>
      </c>
      <c r="R13" s="11" t="inlineStr">
        <is>
          <t>Mulberry Sports &amp; Leisure Centre reception</t>
        </is>
      </c>
      <c r="S13" s="11" t="inlineStr">
        <is>
          <t>02077903854</t>
        </is>
      </c>
      <c r="T13" s="11" t="n"/>
      <c r="U13" s="36" t="inlineStr">
        <is>
          <t>Address: Richard Street, Tower Hamlets, London E1 2JP. Opening hours Mon-Fri 06:00-22:00, Sat-Sun 09:00-18:00. Powerleague Aldgate East franchise at same site: enquiries@powerleague.com / 0800 567 0757 (booking page not verified this session).</t>
        </is>
      </c>
      <c r="V13" s="12" t="inlineStr">
        <is>
          <t>https://www.fcurban.com/locations/whitechapel</t>
        </is>
      </c>
      <c r="W13" s="14">
        <f>COUNTIF(Outreach!$U$3:$U$1000,A13)</f>
        <v/>
      </c>
      <c r="X13" s="14">
        <f>COUNTIF(Outreach!$X$3:$X$1000,A13)</f>
        <v/>
      </c>
    </row>
    <row r="14">
      <c r="A14" s="11" t="inlineStr">
        <is>
          <t>PlayFootball Canary Wharf - Westferry (E14 8HH)</t>
        </is>
      </c>
      <c r="B14" s="11" t="inlineStr">
        <is>
          <t>Other bookable pitch</t>
        </is>
      </c>
      <c r="C14" s="11" t="n"/>
      <c r="D14" s="11" t="inlineStr">
        <is>
          <t>E14 8HH</t>
        </is>
      </c>
      <c r="E14" s="11" t="inlineStr">
        <is>
          <t>Contact required</t>
        </is>
      </c>
      <c r="F14" s="14">
        <f>COUNTIFS(Slots!$A$2:$A$72,A14,Slots!$I$2:$I$72,"Available")</f>
        <v/>
      </c>
      <c r="G14" s="15">
        <f>IF(F14=0,"",_xlfn.MINIFS(Slots!$F$2:$F$72,Slots!$A$2:$A$72,A14,Slots!$I$2:$I$72,"Available"))</f>
        <v/>
      </c>
      <c r="H14" s="14">
        <f>IFERROR(INDEX(Slots!$G$2:$G$72,MATCH(A14&amp;"#1",Slots!$R$2:$R$72,0)),"")</f>
        <v/>
      </c>
      <c r="I14" s="16">
        <f>IFERROR(INDEX(Slots!$J$2:$J$72,MATCH(A14&amp;"#1",Slots!$R$2:$R$72,0)),"")</f>
        <v/>
      </c>
      <c r="J14" s="16">
        <f>IFERROR(INDEX(Slots!$K$2:$K$72,MATCH(A14&amp;"#1",Slots!$R$2:$R$72,0)),"")</f>
        <v/>
      </c>
      <c r="K14" s="34" t="n"/>
      <c r="L14" s="35" t="n"/>
      <c r="M14" s="15">
        <f>IF(K14&lt;&gt;"",K14,G14)</f>
        <v/>
      </c>
      <c r="N14" s="14">
        <f>IF(L14&lt;&gt;"",L14,IF(H14&lt;&gt;"",H14,"5-a-side"))</f>
        <v/>
      </c>
      <c r="O14" s="11" t="n"/>
      <c r="P14" s="11" t="inlineStr">
        <is>
          <t>PlayFootball.net</t>
        </is>
      </c>
      <c r="Q14" s="12" t="inlineStr">
        <is>
          <t>https://www.playfootball.net/venues/canary-wharf/book-a-pitch/85/5-a-side3gpitchhire</t>
        </is>
      </c>
      <c r="R14" s="11" t="n"/>
      <c r="S14" s="11" t="n"/>
      <c r="T14" s="11" t="n"/>
      <c r="U14" s="36" t="inlineStr">
        <is>
          <t>Address: Cyril Jackson Primary School (North Building), 51 Three Colt Street, Limehouse Causeway, London E14 8HH. Booking site: https://www.playfootball.net/venues/canary-wharf/book-a-pitch/85/5-a-side3gpitchhire (returned 403 to automated access this session - browse directly for live slots/price/cancellation terms).</t>
        </is>
      </c>
      <c r="V14" s="11" t="n"/>
      <c r="W14" s="14">
        <f>COUNTIF(Outreach!$U$3:$U$1000,A14)</f>
        <v/>
      </c>
      <c r="X14" s="14">
        <f>COUNTIF(Outreach!$X$3:$X$1000,A14)</f>
        <v/>
      </c>
    </row>
    <row r="15">
      <c r="A15" s="11" t="inlineStr">
        <is>
          <t>Fives Dockland Centre (E14 9GW)</t>
        </is>
      </c>
      <c r="B15" s="11" t="inlineStr">
        <is>
          <t>Other bookable pitch</t>
        </is>
      </c>
      <c r="C15" s="11" t="n"/>
      <c r="D15" s="11" t="inlineStr">
        <is>
          <t>E14 9GW</t>
        </is>
      </c>
      <c r="E15" s="11" t="inlineStr">
        <is>
          <t>Contact required</t>
        </is>
      </c>
      <c r="F15" s="14">
        <f>COUNTIFS(Slots!$A$2:$A$72,A15,Slots!$I$2:$I$72,"Available")</f>
        <v/>
      </c>
      <c r="G15" s="15">
        <f>IF(F15=0,"",_xlfn.MINIFS(Slots!$F$2:$F$72,Slots!$A$2:$A$72,A15,Slots!$I$2:$I$72,"Available"))</f>
        <v/>
      </c>
      <c r="H15" s="14">
        <f>IFERROR(INDEX(Slots!$G$2:$G$72,MATCH(A15&amp;"#1",Slots!$R$2:$R$72,0)),"")</f>
        <v/>
      </c>
      <c r="I15" s="16">
        <f>IFERROR(INDEX(Slots!$J$2:$J$72,MATCH(A15&amp;"#1",Slots!$R$2:$R$72,0)),"")</f>
        <v/>
      </c>
      <c r="J15" s="16">
        <f>IFERROR(INDEX(Slots!$K$2:$K$72,MATCH(A15&amp;"#1",Slots!$R$2:$R$72,0)),"")</f>
        <v/>
      </c>
      <c r="K15" s="34" t="n"/>
      <c r="L15" s="35" t="n"/>
      <c r="M15" s="15">
        <f>IF(K15&lt;&gt;"",K15,G15)</f>
        <v/>
      </c>
      <c r="N15" s="14">
        <f>IF(L15&lt;&gt;"",L15,IF(H15&lt;&gt;"",H15,"5-a-side"))</f>
        <v/>
      </c>
      <c r="O15" s="11" t="n"/>
      <c r="P15" s="11" t="inlineStr">
        <is>
          <t>football5s.com (Fives)</t>
        </is>
      </c>
      <c r="Q15" s="12" t="inlineStr">
        <is>
          <t>https://www.football5s.com/docklands/</t>
        </is>
      </c>
      <c r="R15" s="11" t="n"/>
      <c r="S15" s="11" t="n"/>
      <c r="T15" s="11" t="n"/>
      <c r="U15" s="36" t="inlineStr">
        <is>
          <t>Address: Selsdon Way, City Harbour NCP, Tower Hamlets, London E14 9GW. Rooftop + indoor 5-a-side centre. Site: https://www.football5s.com/docklands/ - booking mechanics on a separate "how it works" page not reached this session; no direct phone/email captured.</t>
        </is>
      </c>
      <c r="V15" s="11" t="n"/>
      <c r="W15" s="14">
        <f>COUNTIF(Outreach!$U$3:$U$1000,A15)</f>
        <v/>
      </c>
      <c r="X15" s="14">
        <f>COUNTIF(Outreach!$X$3:$X$1000,A15)</f>
        <v/>
      </c>
    </row>
  </sheetData>
  <autoFilter ref="A1:X15"/>
  <dataValidations count="1">
    <dataValidation sqref="L2:L15" showDropDown="0" showInputMessage="0" showErrorMessage="0" allowBlank="1" type="list">
      <formula1>"5-a-side,6-a-side,7-a-side,8-a-side,9-a-side,11-a-side"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V2" r:id="rId2"/>
    <hyperlink xmlns:r="http://schemas.openxmlformats.org/officeDocument/2006/relationships" ref="Q3" r:id="rId3"/>
    <hyperlink xmlns:r="http://schemas.openxmlformats.org/officeDocument/2006/relationships" ref="V3" r:id="rId4"/>
    <hyperlink xmlns:r="http://schemas.openxmlformats.org/officeDocument/2006/relationships" ref="Q4" r:id="rId5"/>
    <hyperlink xmlns:r="http://schemas.openxmlformats.org/officeDocument/2006/relationships" ref="V4" r:id="rId6"/>
    <hyperlink xmlns:r="http://schemas.openxmlformats.org/officeDocument/2006/relationships" ref="V5" r:id="rId7"/>
    <hyperlink xmlns:r="http://schemas.openxmlformats.org/officeDocument/2006/relationships" ref="Q6" r:id="rId8"/>
    <hyperlink xmlns:r="http://schemas.openxmlformats.org/officeDocument/2006/relationships" ref="V6" r:id="rId9"/>
    <hyperlink xmlns:r="http://schemas.openxmlformats.org/officeDocument/2006/relationships" ref="Q7" r:id="rId10"/>
    <hyperlink xmlns:r="http://schemas.openxmlformats.org/officeDocument/2006/relationships" ref="V7" r:id="rId11"/>
    <hyperlink xmlns:r="http://schemas.openxmlformats.org/officeDocument/2006/relationships" ref="Q8" r:id="rId12"/>
    <hyperlink xmlns:r="http://schemas.openxmlformats.org/officeDocument/2006/relationships" ref="V8" r:id="rId13"/>
    <hyperlink xmlns:r="http://schemas.openxmlformats.org/officeDocument/2006/relationships" ref="Q9" r:id="rId14"/>
    <hyperlink xmlns:r="http://schemas.openxmlformats.org/officeDocument/2006/relationships" ref="V9" r:id="rId15"/>
    <hyperlink xmlns:r="http://schemas.openxmlformats.org/officeDocument/2006/relationships" ref="Q10" r:id="rId16"/>
    <hyperlink xmlns:r="http://schemas.openxmlformats.org/officeDocument/2006/relationships" ref="V10" r:id="rId17"/>
    <hyperlink xmlns:r="http://schemas.openxmlformats.org/officeDocument/2006/relationships" ref="Q11" r:id="rId18"/>
    <hyperlink xmlns:r="http://schemas.openxmlformats.org/officeDocument/2006/relationships" ref="V11" r:id="rId19"/>
    <hyperlink xmlns:r="http://schemas.openxmlformats.org/officeDocument/2006/relationships" ref="Q12" r:id="rId20"/>
    <hyperlink xmlns:r="http://schemas.openxmlformats.org/officeDocument/2006/relationships" ref="V12" r:id="rId21"/>
    <hyperlink xmlns:r="http://schemas.openxmlformats.org/officeDocument/2006/relationships" ref="Q13" r:id="rId22"/>
    <hyperlink xmlns:r="http://schemas.openxmlformats.org/officeDocument/2006/relationships" ref="V13" r:id="rId23"/>
    <hyperlink xmlns:r="http://schemas.openxmlformats.org/officeDocument/2006/relationships" ref="Q14" r:id="rId24"/>
    <hyperlink xmlns:r="http://schemas.openxmlformats.org/officeDocument/2006/relationships" ref="Q15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8" t="inlineStr">
        <is>
          <t>Totals</t>
        </is>
      </c>
    </row>
    <row r="3">
      <c r="A3" s="21" t="inlineStr">
        <is>
          <t>Companies by segment and area</t>
        </is>
      </c>
    </row>
    <row r="4">
      <c r="A4" s="20" t="inlineStr">
        <is>
          <t>Segment</t>
        </is>
      </c>
      <c r="B4" s="20" t="inlineStr">
        <is>
          <t>City of London</t>
        </is>
      </c>
      <c r="C4" s="20" t="inlineStr">
        <is>
          <t>Canary Wharf</t>
        </is>
      </c>
      <c r="D4" s="20" t="inlineStr">
        <is>
          <t>Total</t>
        </is>
      </c>
    </row>
    <row r="5">
      <c r="A5" s="19" t="inlineStr">
        <is>
          <t>Law firm</t>
        </is>
      </c>
      <c r="B5" s="19">
        <f>COUNTIFS(Outreach!$C$3:$C$1000,$A5,Outreach!$D$3:$D$1000,"City of London")</f>
        <v/>
      </c>
      <c r="C5" s="19">
        <f>COUNTIFS(Outreach!$C$3:$C$1000,$A5,Outreach!$D$3:$D$1000,"Canary Wharf")</f>
        <v/>
      </c>
      <c r="D5" s="19">
        <f>COUNTIF(Outreach!$C$3:$C$1000,$A5)</f>
        <v/>
      </c>
    </row>
    <row r="6">
      <c r="A6" s="19" t="inlineStr">
        <is>
          <t>Bank</t>
        </is>
      </c>
      <c r="B6" s="19">
        <f>COUNTIFS(Outreach!$C$3:$C$1000,$A6,Outreach!$D$3:$D$1000,"City of London")</f>
        <v/>
      </c>
      <c r="C6" s="19">
        <f>COUNTIFS(Outreach!$C$3:$C$1000,$A6,Outreach!$D$3:$D$1000,"Canary Wharf")</f>
        <v/>
      </c>
      <c r="D6" s="19">
        <f>COUNTIF(Outreach!$C$3:$C$1000,$A6)</f>
        <v/>
      </c>
    </row>
    <row r="7">
      <c r="A7" s="19" t="inlineStr">
        <is>
          <t>Public / state-owned bank</t>
        </is>
      </c>
      <c r="B7" s="19">
        <f>COUNTIFS(Outreach!$C$3:$C$1000,$A7,Outreach!$D$3:$D$1000,"City of London")</f>
        <v/>
      </c>
      <c r="C7" s="19">
        <f>COUNTIFS(Outreach!$C$3:$C$1000,$A7,Outreach!$D$3:$D$1000,"Canary Wharf")</f>
        <v/>
      </c>
      <c r="D7" s="19">
        <f>COUNTIF(Outreach!$C$3:$C$1000,$A7)</f>
        <v/>
      </c>
    </row>
    <row r="8">
      <c r="A8" s="19" t="inlineStr">
        <is>
          <t>Private bank</t>
        </is>
      </c>
      <c r="B8" s="19">
        <f>COUNTIFS(Outreach!$C$3:$C$1000,$A8,Outreach!$D$3:$D$1000,"City of London")</f>
        <v/>
      </c>
      <c r="C8" s="19">
        <f>COUNTIFS(Outreach!$C$3:$C$1000,$A8,Outreach!$D$3:$D$1000,"Canary Wharf")</f>
        <v/>
      </c>
      <c r="D8" s="19">
        <f>COUNTIF(Outreach!$C$3:$C$1000,$A8)</f>
        <v/>
      </c>
    </row>
    <row r="9">
      <c r="A9" s="19" t="inlineStr">
        <is>
          <t>Fund administrator</t>
        </is>
      </c>
      <c r="B9" s="19">
        <f>COUNTIFS(Outreach!$C$3:$C$1000,$A9,Outreach!$D$3:$D$1000,"City of London")</f>
        <v/>
      </c>
      <c r="C9" s="19">
        <f>COUNTIFS(Outreach!$C$3:$C$1000,$A9,Outreach!$D$3:$D$1000,"Canary Wharf")</f>
        <v/>
      </c>
      <c r="D9" s="19">
        <f>COUNTIF(Outreach!$C$3:$C$1000,$A9)</f>
        <v/>
      </c>
    </row>
    <row r="10">
      <c r="A10" s="19" t="inlineStr">
        <is>
          <t>Fund / asset manager</t>
        </is>
      </c>
      <c r="B10" s="19">
        <f>COUNTIFS(Outreach!$C$3:$C$1000,$A10,Outreach!$D$3:$D$1000,"City of London")</f>
        <v/>
      </c>
      <c r="C10" s="19">
        <f>COUNTIFS(Outreach!$C$3:$C$1000,$A10,Outreach!$D$3:$D$1000,"Canary Wharf")</f>
        <v/>
      </c>
      <c r="D10" s="19">
        <f>COUNTIF(Outreach!$C$3:$C$1000,$A10)</f>
        <v/>
      </c>
    </row>
    <row r="11">
      <c r="A11" s="19" t="inlineStr">
        <is>
          <t>Insurance / broker</t>
        </is>
      </c>
      <c r="B11" s="19">
        <f>COUNTIFS(Outreach!$C$3:$C$1000,$A11,Outreach!$D$3:$D$1000,"City of London")</f>
        <v/>
      </c>
      <c r="C11" s="19">
        <f>COUNTIFS(Outreach!$C$3:$C$1000,$A11,Outreach!$D$3:$D$1000,"Canary Wharf")</f>
        <v/>
      </c>
      <c r="D11" s="19">
        <f>COUNTIF(Outreach!$C$3:$C$1000,$A11)</f>
        <v/>
      </c>
    </row>
    <row r="12">
      <c r="A12" s="19" t="inlineStr">
        <is>
          <t>Advisory / accountancy</t>
        </is>
      </c>
      <c r="B12" s="19">
        <f>COUNTIFS(Outreach!$C$3:$C$1000,$A12,Outreach!$D$3:$D$1000,"City of London")</f>
        <v/>
      </c>
      <c r="C12" s="19">
        <f>COUNTIFS(Outreach!$C$3:$C$1000,$A12,Outreach!$D$3:$D$1000,"Canary Wharf")</f>
        <v/>
      </c>
      <c r="D12" s="19">
        <f>COUNTIF(Outreach!$C$3:$C$1000,$A12)</f>
        <v/>
      </c>
    </row>
    <row r="13">
      <c r="A13" s="21" t="inlineStr">
        <is>
          <t>Total</t>
        </is>
      </c>
      <c r="B13" s="21">
        <f>SUM(B5:B12)</f>
        <v/>
      </c>
      <c r="C13" s="21">
        <f>SUM(C5:C12)</f>
        <v/>
      </c>
      <c r="D13" s="21">
        <f>SUM(D5:D12)</f>
        <v/>
      </c>
    </row>
    <row r="15">
      <c r="A15" s="21" t="inlineStr">
        <is>
          <t>Companies by priority</t>
        </is>
      </c>
    </row>
    <row r="16">
      <c r="A16" s="20" t="inlineStr"/>
      <c r="B16" s="20" t="inlineStr">
        <is>
          <t>Companies</t>
        </is>
      </c>
    </row>
    <row r="17">
      <c r="A17" s="19" t="n">
        <v>1</v>
      </c>
      <c r="B17" s="19">
        <f>COUNTIF(Outreach!$B$3:$B$1000,A17)</f>
        <v/>
      </c>
    </row>
    <row r="18">
      <c r="A18" s="19" t="n">
        <v>2</v>
      </c>
      <c r="B18" s="19">
        <f>COUNTIF(Outreach!$B$3:$B$1000,A18)</f>
        <v/>
      </c>
    </row>
    <row r="19">
      <c r="A19" s="19" t="n">
        <v>3</v>
      </c>
      <c r="B19" s="19">
        <f>COUNTIF(Outreach!$B$3:$B$1000,A19)</f>
        <v/>
      </c>
    </row>
    <row r="20">
      <c r="A20" s="21" t="inlineStr">
        <is>
          <t>Total</t>
        </is>
      </c>
      <c r="B20" s="21">
        <f>SUM(B17:B19)</f>
        <v/>
      </c>
    </row>
    <row r="22">
      <c r="A22" s="21" t="inlineStr">
        <is>
          <t>Companies by lead-with pitch</t>
        </is>
      </c>
    </row>
    <row r="23">
      <c r="A23" s="20" t="inlineStr"/>
      <c r="B23" s="20" t="inlineStr">
        <is>
          <t>Companies</t>
        </is>
      </c>
    </row>
    <row r="24">
      <c r="A24" s="19" t="inlineStr">
        <is>
          <t>Bermondsey Riverside</t>
        </is>
      </c>
      <c r="B24" s="19">
        <f>COUNTIF(Outreach!$X$3:$X$1000,A24)</f>
        <v/>
      </c>
    </row>
    <row r="25">
      <c r="A25" s="19" t="inlineStr">
        <is>
          <t>Borough Academy</t>
        </is>
      </c>
      <c r="B25" s="19">
        <f>COUNTIF(Outreach!$X$3:$X$1000,A25)</f>
        <v/>
      </c>
    </row>
    <row r="26">
      <c r="A26" s="19" t="inlineStr">
        <is>
          <t>COLA Shoreditch Park</t>
        </is>
      </c>
      <c r="B26" s="19">
        <f>COUNTIF(Outreach!$X$3:$X$1000,A26)</f>
        <v/>
      </c>
    </row>
    <row r="27">
      <c r="A27" s="19" t="inlineStr">
        <is>
          <t>Docklands - Surrey Quays</t>
        </is>
      </c>
      <c r="B27" s="19">
        <f>COUNTIF(Outreach!$X$3:$X$1000,A27)</f>
        <v/>
      </c>
    </row>
    <row r="28">
      <c r="A28" s="19" t="inlineStr">
        <is>
          <t>Isle of Dogs (Canary Wharf) - George Green's School</t>
        </is>
      </c>
      <c r="B28" s="19">
        <f>COUNTIF(Outreach!$X$3:$X$1000,A28)</f>
        <v/>
      </c>
    </row>
    <row r="29">
      <c r="A29" s="19" t="inlineStr">
        <is>
          <t>Liverpool St - Attlee Centre</t>
        </is>
      </c>
      <c r="B29" s="19">
        <f>COUNTIF(Outreach!$X$3:$X$1000,A29)</f>
        <v/>
      </c>
    </row>
    <row r="30">
      <c r="A30" s="19" t="inlineStr">
        <is>
          <t>Old St - Moreland Primary School</t>
        </is>
      </c>
      <c r="B30" s="19">
        <f>COUNTIF(Outreach!$X$3:$X$1000,A30)</f>
        <v/>
      </c>
    </row>
    <row r="31">
      <c r="A31" s="19" t="inlineStr">
        <is>
          <t>Poplar</t>
        </is>
      </c>
      <c r="B31" s="19">
        <f>COUNTIF(Outreach!$X$3:$X$1000,A31)</f>
        <v/>
      </c>
    </row>
    <row r="32">
      <c r="A32" s="19" t="inlineStr">
        <is>
          <t>Shoreditch Powerleague</t>
        </is>
      </c>
      <c r="B32" s="19">
        <f>COUNTIF(Outreach!$X$3:$X$1000,A32)</f>
        <v/>
      </c>
    </row>
    <row r="33">
      <c r="A33" s="19" t="inlineStr">
        <is>
          <t>Shoreditch Rooftop</t>
        </is>
      </c>
      <c r="B33" s="19">
        <f>COUNTIF(Outreach!$X$3:$X$1000,A33)</f>
        <v/>
      </c>
    </row>
    <row r="34">
      <c r="A34" s="19" t="inlineStr">
        <is>
          <t>St Pancras - Coram's Fields 3G</t>
        </is>
      </c>
      <c r="B34" s="19">
        <f>COUNTIF(Outreach!$X$3:$X$1000,A34)</f>
        <v/>
      </c>
    </row>
    <row r="35">
      <c r="A35" s="19" t="inlineStr">
        <is>
          <t>Whitechapel</t>
        </is>
      </c>
      <c r="B35" s="19">
        <f>COUNTIF(Outreach!$X$3:$X$1000,A35)</f>
        <v/>
      </c>
    </row>
    <row r="36">
      <c r="A36" s="19" t="inlineStr">
        <is>
          <t>PlayFootball Canary Wharf - Westferry (E14 8HH)</t>
        </is>
      </c>
      <c r="B36" s="19">
        <f>COUNTIF(Outreach!$X$3:$X$1000,A36)</f>
        <v/>
      </c>
    </row>
    <row r="37">
      <c r="A37" s="19" t="inlineStr">
        <is>
          <t>Fives Dockland Centre (E14 9GW)</t>
        </is>
      </c>
      <c r="B37" s="19">
        <f>COUNTIF(Outreach!$X$3:$X$1000,A37)</f>
        <v/>
      </c>
    </row>
    <row r="38">
      <c r="A38" s="21" t="inlineStr">
        <is>
          <t>Total</t>
        </is>
      </c>
      <c r="B38" s="21">
        <f>SUM(B24:B37)</f>
        <v/>
      </c>
    </row>
    <row r="40">
      <c r="A40" s="21" t="inlineStr">
        <is>
          <t>Funnel (from the Tracking columns on Outreach)</t>
        </is>
      </c>
    </row>
    <row r="41">
      <c r="A41" s="20" t="inlineStr">
        <is>
          <t>Stage</t>
        </is>
      </c>
      <c r="B41" s="20" t="inlineStr">
        <is>
          <t>Companies</t>
        </is>
      </c>
      <c r="C41" s="20" t="inlineStr">
        <is>
          <t>% of contacted</t>
        </is>
      </c>
    </row>
    <row r="42">
      <c r="A42" s="19" t="inlineStr">
        <is>
          <t>Contacted</t>
        </is>
      </c>
      <c r="B42" s="19">
        <f>COUNTIF(Outreach!$AN$3:$AN$1000,"&gt;0")</f>
        <v/>
      </c>
      <c r="C42" s="37">
        <f>IF($B$42=0,"",B42/$B$42)</f>
        <v/>
      </c>
    </row>
    <row r="43">
      <c r="A43" s="19" t="inlineStr">
        <is>
          <t>Connection accepted</t>
        </is>
      </c>
      <c r="B43" s="19">
        <f>COUNTIF(Outreach!$AO$3:$AO$1000,"Yes")</f>
        <v/>
      </c>
      <c r="C43" s="37">
        <f>IF($B$42=0,"",B43/$B$42)</f>
        <v/>
      </c>
    </row>
    <row r="44">
      <c r="A44" s="19" t="inlineStr">
        <is>
          <t>Replied</t>
        </is>
      </c>
      <c r="B44" s="19">
        <f>COUNTIF(Outreach!$AP$3:$AP$1000,"Yes")</f>
        <v/>
      </c>
      <c r="C44" s="37">
        <f>IF($B$42=0,"",B44/$B$42)</f>
        <v/>
      </c>
    </row>
    <row r="45">
      <c r="A45" s="19" t="inlineStr">
        <is>
          <t>Call booked</t>
        </is>
      </c>
      <c r="B45" s="19">
        <f>COUNTIF(Outreach!$AQ$3:$AQ$1000,"Yes")</f>
        <v/>
      </c>
      <c r="C45" s="37">
        <f>IF($B$42=0,"",B45/$B$42)</f>
        <v/>
      </c>
    </row>
    <row r="46">
      <c r="A46" s="19" t="inlineStr">
        <is>
          <t>Group created</t>
        </is>
      </c>
      <c r="B46" s="19">
        <f>COUNTIF(Outreach!$AR$3:$AR$1000,"Yes")</f>
        <v/>
      </c>
      <c r="C46" s="37">
        <f>IF($B$42=0,"",B46/$B$42)</f>
        <v/>
      </c>
    </row>
    <row r="47">
      <c r="A47" s="19" t="inlineStr">
        <is>
          <t>First game booked</t>
        </is>
      </c>
      <c r="B47" s="19">
        <f>COUNTIF(Outreach!$AS$3:$AS$1000,"Yes")</f>
        <v/>
      </c>
      <c r="C47" s="37">
        <f>IF($B$42=0,"",B47/$B$42)</f>
        <v/>
      </c>
    </row>
    <row r="48">
      <c r="A48" s="19" t="inlineStr">
        <is>
          <t>Second game booked</t>
        </is>
      </c>
      <c r="B48" s="19">
        <f>COUNTIF(Outreach!$AT$3:$AT$1000,"Yes")</f>
        <v/>
      </c>
      <c r="C48" s="37">
        <f>IF($B$42=0,"",B48/$B$42)</f>
        <v/>
      </c>
    </row>
    <row r="51">
      <c r="A51" s="21" t="inlineStr">
        <is>
          <t>Funnel by segment</t>
        </is>
      </c>
    </row>
    <row r="52">
      <c r="A52" s="20" t="inlineStr">
        <is>
          <t>Segment</t>
        </is>
      </c>
      <c r="B52" s="20" t="inlineStr">
        <is>
          <t>Contacted</t>
        </is>
      </c>
      <c r="C52" s="20" t="inlineStr">
        <is>
          <t>Connection accepted</t>
        </is>
      </c>
      <c r="D52" s="20" t="inlineStr">
        <is>
          <t>Replied</t>
        </is>
      </c>
      <c r="E52" s="20" t="inlineStr">
        <is>
          <t>Call booked</t>
        </is>
      </c>
      <c r="F52" s="20" t="inlineStr">
        <is>
          <t>Group created</t>
        </is>
      </c>
      <c r="G52" s="20" t="inlineStr">
        <is>
          <t>First game booked</t>
        </is>
      </c>
      <c r="H52" s="20" t="inlineStr">
        <is>
          <t>Second game booked</t>
        </is>
      </c>
    </row>
    <row r="53">
      <c r="A53" s="19" t="inlineStr">
        <is>
          <t>Law firm</t>
        </is>
      </c>
      <c r="B53" s="19">
        <f>COUNTIFS(Outreach!$C$3:$C$1000,$A53,Outreach!$AN$3:$AN$1000,"&gt;0")</f>
        <v/>
      </c>
      <c r="C53" s="19">
        <f>COUNTIFS(Outreach!$C$3:$C$1000,$A53,Outreach!$AO$3:$AO$1000,"Yes")</f>
        <v/>
      </c>
      <c r="D53" s="19">
        <f>COUNTIFS(Outreach!$C$3:$C$1000,$A53,Outreach!$AP$3:$AP$1000,"Yes")</f>
        <v/>
      </c>
      <c r="E53" s="19">
        <f>COUNTIFS(Outreach!$C$3:$C$1000,$A53,Outreach!$AQ$3:$AQ$1000,"Yes")</f>
        <v/>
      </c>
      <c r="F53" s="19">
        <f>COUNTIFS(Outreach!$C$3:$C$1000,$A53,Outreach!$AR$3:$AR$1000,"Yes")</f>
        <v/>
      </c>
      <c r="G53" s="19">
        <f>COUNTIFS(Outreach!$C$3:$C$1000,$A53,Outreach!$AS$3:$AS$1000,"Yes")</f>
        <v/>
      </c>
      <c r="H53" s="19">
        <f>COUNTIFS(Outreach!$C$3:$C$1000,$A53,Outreach!$AT$3:$AT$1000,"Yes")</f>
        <v/>
      </c>
    </row>
    <row r="54">
      <c r="A54" s="19" t="inlineStr">
        <is>
          <t>Bank</t>
        </is>
      </c>
      <c r="B54" s="19">
        <f>COUNTIFS(Outreach!$C$3:$C$1000,$A54,Outreach!$AN$3:$AN$1000,"&gt;0")</f>
        <v/>
      </c>
      <c r="C54" s="19">
        <f>COUNTIFS(Outreach!$C$3:$C$1000,$A54,Outreach!$AO$3:$AO$1000,"Yes")</f>
        <v/>
      </c>
      <c r="D54" s="19">
        <f>COUNTIFS(Outreach!$C$3:$C$1000,$A54,Outreach!$AP$3:$AP$1000,"Yes")</f>
        <v/>
      </c>
      <c r="E54" s="19">
        <f>COUNTIFS(Outreach!$C$3:$C$1000,$A54,Outreach!$AQ$3:$AQ$1000,"Yes")</f>
        <v/>
      </c>
      <c r="F54" s="19">
        <f>COUNTIFS(Outreach!$C$3:$C$1000,$A54,Outreach!$AR$3:$AR$1000,"Yes")</f>
        <v/>
      </c>
      <c r="G54" s="19">
        <f>COUNTIFS(Outreach!$C$3:$C$1000,$A54,Outreach!$AS$3:$AS$1000,"Yes")</f>
        <v/>
      </c>
      <c r="H54" s="19">
        <f>COUNTIFS(Outreach!$C$3:$C$1000,$A54,Outreach!$AT$3:$AT$1000,"Yes")</f>
        <v/>
      </c>
    </row>
    <row r="55">
      <c r="A55" s="19" t="inlineStr">
        <is>
          <t>Public / state-owned bank</t>
        </is>
      </c>
      <c r="B55" s="19">
        <f>COUNTIFS(Outreach!$C$3:$C$1000,$A55,Outreach!$AN$3:$AN$1000,"&gt;0")</f>
        <v/>
      </c>
      <c r="C55" s="19">
        <f>COUNTIFS(Outreach!$C$3:$C$1000,$A55,Outreach!$AO$3:$AO$1000,"Yes")</f>
        <v/>
      </c>
      <c r="D55" s="19">
        <f>COUNTIFS(Outreach!$C$3:$C$1000,$A55,Outreach!$AP$3:$AP$1000,"Yes")</f>
        <v/>
      </c>
      <c r="E55" s="19">
        <f>COUNTIFS(Outreach!$C$3:$C$1000,$A55,Outreach!$AQ$3:$AQ$1000,"Yes")</f>
        <v/>
      </c>
      <c r="F55" s="19">
        <f>COUNTIFS(Outreach!$C$3:$C$1000,$A55,Outreach!$AR$3:$AR$1000,"Yes")</f>
        <v/>
      </c>
      <c r="G55" s="19">
        <f>COUNTIFS(Outreach!$C$3:$C$1000,$A55,Outreach!$AS$3:$AS$1000,"Yes")</f>
        <v/>
      </c>
      <c r="H55" s="19">
        <f>COUNTIFS(Outreach!$C$3:$C$1000,$A55,Outreach!$AT$3:$AT$1000,"Yes")</f>
        <v/>
      </c>
    </row>
    <row r="56">
      <c r="A56" s="19" t="inlineStr">
        <is>
          <t>Private bank</t>
        </is>
      </c>
      <c r="B56" s="19">
        <f>COUNTIFS(Outreach!$C$3:$C$1000,$A56,Outreach!$AN$3:$AN$1000,"&gt;0")</f>
        <v/>
      </c>
      <c r="C56" s="19">
        <f>COUNTIFS(Outreach!$C$3:$C$1000,$A56,Outreach!$AO$3:$AO$1000,"Yes")</f>
        <v/>
      </c>
      <c r="D56" s="19">
        <f>COUNTIFS(Outreach!$C$3:$C$1000,$A56,Outreach!$AP$3:$AP$1000,"Yes")</f>
        <v/>
      </c>
      <c r="E56" s="19">
        <f>COUNTIFS(Outreach!$C$3:$C$1000,$A56,Outreach!$AQ$3:$AQ$1000,"Yes")</f>
        <v/>
      </c>
      <c r="F56" s="19">
        <f>COUNTIFS(Outreach!$C$3:$C$1000,$A56,Outreach!$AR$3:$AR$1000,"Yes")</f>
        <v/>
      </c>
      <c r="G56" s="19">
        <f>COUNTIFS(Outreach!$C$3:$C$1000,$A56,Outreach!$AS$3:$AS$1000,"Yes")</f>
        <v/>
      </c>
      <c r="H56" s="19">
        <f>COUNTIFS(Outreach!$C$3:$C$1000,$A56,Outreach!$AT$3:$AT$1000,"Yes")</f>
        <v/>
      </c>
    </row>
    <row r="57">
      <c r="A57" s="19" t="inlineStr">
        <is>
          <t>Fund administrator</t>
        </is>
      </c>
      <c r="B57" s="19">
        <f>COUNTIFS(Outreach!$C$3:$C$1000,$A57,Outreach!$AN$3:$AN$1000,"&gt;0")</f>
        <v/>
      </c>
      <c r="C57" s="19">
        <f>COUNTIFS(Outreach!$C$3:$C$1000,$A57,Outreach!$AO$3:$AO$1000,"Yes")</f>
        <v/>
      </c>
      <c r="D57" s="19">
        <f>COUNTIFS(Outreach!$C$3:$C$1000,$A57,Outreach!$AP$3:$AP$1000,"Yes")</f>
        <v/>
      </c>
      <c r="E57" s="19">
        <f>COUNTIFS(Outreach!$C$3:$C$1000,$A57,Outreach!$AQ$3:$AQ$1000,"Yes")</f>
        <v/>
      </c>
      <c r="F57" s="19">
        <f>COUNTIFS(Outreach!$C$3:$C$1000,$A57,Outreach!$AR$3:$AR$1000,"Yes")</f>
        <v/>
      </c>
      <c r="G57" s="19">
        <f>COUNTIFS(Outreach!$C$3:$C$1000,$A57,Outreach!$AS$3:$AS$1000,"Yes")</f>
        <v/>
      </c>
      <c r="H57" s="19">
        <f>COUNTIFS(Outreach!$C$3:$C$1000,$A57,Outreach!$AT$3:$AT$1000,"Yes")</f>
        <v/>
      </c>
    </row>
    <row r="58">
      <c r="A58" s="19" t="inlineStr">
        <is>
          <t>Fund / asset manager</t>
        </is>
      </c>
      <c r="B58" s="19">
        <f>COUNTIFS(Outreach!$C$3:$C$1000,$A58,Outreach!$AN$3:$AN$1000,"&gt;0")</f>
        <v/>
      </c>
      <c r="C58" s="19">
        <f>COUNTIFS(Outreach!$C$3:$C$1000,$A58,Outreach!$AO$3:$AO$1000,"Yes")</f>
        <v/>
      </c>
      <c r="D58" s="19">
        <f>COUNTIFS(Outreach!$C$3:$C$1000,$A58,Outreach!$AP$3:$AP$1000,"Yes")</f>
        <v/>
      </c>
      <c r="E58" s="19">
        <f>COUNTIFS(Outreach!$C$3:$C$1000,$A58,Outreach!$AQ$3:$AQ$1000,"Yes")</f>
        <v/>
      </c>
      <c r="F58" s="19">
        <f>COUNTIFS(Outreach!$C$3:$C$1000,$A58,Outreach!$AR$3:$AR$1000,"Yes")</f>
        <v/>
      </c>
      <c r="G58" s="19">
        <f>COUNTIFS(Outreach!$C$3:$C$1000,$A58,Outreach!$AS$3:$AS$1000,"Yes")</f>
        <v/>
      </c>
      <c r="H58" s="19">
        <f>COUNTIFS(Outreach!$C$3:$C$1000,$A58,Outreach!$AT$3:$AT$1000,"Yes")</f>
        <v/>
      </c>
    </row>
    <row r="59">
      <c r="A59" s="19" t="inlineStr">
        <is>
          <t>Insurance / broker</t>
        </is>
      </c>
      <c r="B59" s="19">
        <f>COUNTIFS(Outreach!$C$3:$C$1000,$A59,Outreach!$AN$3:$AN$1000,"&gt;0")</f>
        <v/>
      </c>
      <c r="C59" s="19">
        <f>COUNTIFS(Outreach!$C$3:$C$1000,$A59,Outreach!$AO$3:$AO$1000,"Yes")</f>
        <v/>
      </c>
      <c r="D59" s="19">
        <f>COUNTIFS(Outreach!$C$3:$C$1000,$A59,Outreach!$AP$3:$AP$1000,"Yes")</f>
        <v/>
      </c>
      <c r="E59" s="19">
        <f>COUNTIFS(Outreach!$C$3:$C$1000,$A59,Outreach!$AQ$3:$AQ$1000,"Yes")</f>
        <v/>
      </c>
      <c r="F59" s="19">
        <f>COUNTIFS(Outreach!$C$3:$C$1000,$A59,Outreach!$AR$3:$AR$1000,"Yes")</f>
        <v/>
      </c>
      <c r="G59" s="19">
        <f>COUNTIFS(Outreach!$C$3:$C$1000,$A59,Outreach!$AS$3:$AS$1000,"Yes")</f>
        <v/>
      </c>
      <c r="H59" s="19">
        <f>COUNTIFS(Outreach!$C$3:$C$1000,$A59,Outreach!$AT$3:$AT$1000,"Yes")</f>
        <v/>
      </c>
    </row>
    <row r="60">
      <c r="A60" s="19" t="inlineStr">
        <is>
          <t>Advisory / accountancy</t>
        </is>
      </c>
      <c r="B60" s="19">
        <f>COUNTIFS(Outreach!$C$3:$C$1000,$A60,Outreach!$AN$3:$AN$1000,"&gt;0")</f>
        <v/>
      </c>
      <c r="C60" s="19">
        <f>COUNTIFS(Outreach!$C$3:$C$1000,$A60,Outreach!$AO$3:$AO$1000,"Yes")</f>
        <v/>
      </c>
      <c r="D60" s="19">
        <f>COUNTIFS(Outreach!$C$3:$C$1000,$A60,Outreach!$AP$3:$AP$1000,"Yes")</f>
        <v/>
      </c>
      <c r="E60" s="19">
        <f>COUNTIFS(Outreach!$C$3:$C$1000,$A60,Outreach!$AQ$3:$AQ$1000,"Yes")</f>
        <v/>
      </c>
      <c r="F60" s="19">
        <f>COUNTIFS(Outreach!$C$3:$C$1000,$A60,Outreach!$AR$3:$AR$1000,"Yes")</f>
        <v/>
      </c>
      <c r="G60" s="19">
        <f>COUNTIFS(Outreach!$C$3:$C$1000,$A60,Outreach!$AS$3:$AS$1000,"Yes")</f>
        <v/>
      </c>
      <c r="H60" s="19">
        <f>COUNTIFS(Outreach!$C$3:$C$1000,$A60,Outreach!$AT$3:$AT$1000,"Yes")</f>
        <v/>
      </c>
    </row>
    <row r="63">
      <c r="A63" s="21" t="inlineStr">
        <is>
          <t>Open after-work slots by venue and weekday</t>
        </is>
      </c>
    </row>
    <row r="64">
      <c r="A64" s="20" t="inlineStr">
        <is>
          <t>Venue</t>
        </is>
      </c>
      <c r="B64" s="20" t="inlineStr">
        <is>
          <t>Mon</t>
        </is>
      </c>
      <c r="C64" s="20" t="inlineStr">
        <is>
          <t>Tue</t>
        </is>
      </c>
      <c r="D64" s="20" t="inlineStr">
        <is>
          <t>Wed</t>
        </is>
      </c>
      <c r="E64" s="20" t="inlineStr">
        <is>
          <t>Thu</t>
        </is>
      </c>
      <c r="F64" s="20" t="inlineStr">
        <is>
          <t>Fri</t>
        </is>
      </c>
      <c r="G64" s="20" t="inlineStr">
        <is>
          <t>Total</t>
        </is>
      </c>
    </row>
    <row r="65">
      <c r="A65" s="19" t="inlineStr">
        <is>
          <t>Bermondsey Riverside</t>
        </is>
      </c>
      <c r="B65" s="19">
        <f>COUNTIFS(Slots!$A$2:$A$72,$A65,Slots!$C$2:$C$72,"Mon",Slots!$I$2:$I$72,"Available")</f>
        <v/>
      </c>
      <c r="C65" s="19">
        <f>COUNTIFS(Slots!$A$2:$A$72,$A65,Slots!$C$2:$C$72,"Tue",Slots!$I$2:$I$72,"Available")</f>
        <v/>
      </c>
      <c r="D65" s="19">
        <f>COUNTIFS(Slots!$A$2:$A$72,$A65,Slots!$C$2:$C$72,"Wed",Slots!$I$2:$I$72,"Available")</f>
        <v/>
      </c>
      <c r="E65" s="19">
        <f>COUNTIFS(Slots!$A$2:$A$72,$A65,Slots!$C$2:$C$72,"Thu",Slots!$I$2:$I$72,"Available")</f>
        <v/>
      </c>
      <c r="F65" s="19">
        <f>COUNTIFS(Slots!$A$2:$A$72,$A65,Slots!$C$2:$C$72,"Fri",Slots!$I$2:$I$72,"Available")</f>
        <v/>
      </c>
      <c r="G65" s="21">
        <f>SUM(B65:F65)</f>
        <v/>
      </c>
    </row>
    <row r="66">
      <c r="A66" s="19" t="inlineStr">
        <is>
          <t>Borough Academy</t>
        </is>
      </c>
      <c r="B66" s="19">
        <f>COUNTIFS(Slots!$A$2:$A$72,$A66,Slots!$C$2:$C$72,"Mon",Slots!$I$2:$I$72,"Available")</f>
        <v/>
      </c>
      <c r="C66" s="19">
        <f>COUNTIFS(Slots!$A$2:$A$72,$A66,Slots!$C$2:$C$72,"Tue",Slots!$I$2:$I$72,"Available")</f>
        <v/>
      </c>
      <c r="D66" s="19">
        <f>COUNTIFS(Slots!$A$2:$A$72,$A66,Slots!$C$2:$C$72,"Wed",Slots!$I$2:$I$72,"Available")</f>
        <v/>
      </c>
      <c r="E66" s="19">
        <f>COUNTIFS(Slots!$A$2:$A$72,$A66,Slots!$C$2:$C$72,"Thu",Slots!$I$2:$I$72,"Available")</f>
        <v/>
      </c>
      <c r="F66" s="19">
        <f>COUNTIFS(Slots!$A$2:$A$72,$A66,Slots!$C$2:$C$72,"Fri",Slots!$I$2:$I$72,"Available")</f>
        <v/>
      </c>
      <c r="G66" s="21">
        <f>SUM(B66:F66)</f>
        <v/>
      </c>
    </row>
    <row r="67">
      <c r="A67" s="19" t="inlineStr">
        <is>
          <t>COLA Shoreditch Park</t>
        </is>
      </c>
      <c r="B67" s="19">
        <f>COUNTIFS(Slots!$A$2:$A$72,$A67,Slots!$C$2:$C$72,"Mon",Slots!$I$2:$I$72,"Available")</f>
        <v/>
      </c>
      <c r="C67" s="19">
        <f>COUNTIFS(Slots!$A$2:$A$72,$A67,Slots!$C$2:$C$72,"Tue",Slots!$I$2:$I$72,"Available")</f>
        <v/>
      </c>
      <c r="D67" s="19">
        <f>COUNTIFS(Slots!$A$2:$A$72,$A67,Slots!$C$2:$C$72,"Wed",Slots!$I$2:$I$72,"Available")</f>
        <v/>
      </c>
      <c r="E67" s="19">
        <f>COUNTIFS(Slots!$A$2:$A$72,$A67,Slots!$C$2:$C$72,"Thu",Slots!$I$2:$I$72,"Available")</f>
        <v/>
      </c>
      <c r="F67" s="19">
        <f>COUNTIFS(Slots!$A$2:$A$72,$A67,Slots!$C$2:$C$72,"Fri",Slots!$I$2:$I$72,"Available")</f>
        <v/>
      </c>
      <c r="G67" s="21">
        <f>SUM(B67:F67)</f>
        <v/>
      </c>
    </row>
    <row r="68">
      <c r="A68" s="19" t="inlineStr">
        <is>
          <t>Docklands - Surrey Quays</t>
        </is>
      </c>
      <c r="B68" s="19">
        <f>COUNTIFS(Slots!$A$2:$A$72,$A68,Slots!$C$2:$C$72,"Mon",Slots!$I$2:$I$72,"Available")</f>
        <v/>
      </c>
      <c r="C68" s="19">
        <f>COUNTIFS(Slots!$A$2:$A$72,$A68,Slots!$C$2:$C$72,"Tue",Slots!$I$2:$I$72,"Available")</f>
        <v/>
      </c>
      <c r="D68" s="19">
        <f>COUNTIFS(Slots!$A$2:$A$72,$A68,Slots!$C$2:$C$72,"Wed",Slots!$I$2:$I$72,"Available")</f>
        <v/>
      </c>
      <c r="E68" s="19">
        <f>COUNTIFS(Slots!$A$2:$A$72,$A68,Slots!$C$2:$C$72,"Thu",Slots!$I$2:$I$72,"Available")</f>
        <v/>
      </c>
      <c r="F68" s="19">
        <f>COUNTIFS(Slots!$A$2:$A$72,$A68,Slots!$C$2:$C$72,"Fri",Slots!$I$2:$I$72,"Available")</f>
        <v/>
      </c>
      <c r="G68" s="21">
        <f>SUM(B68:F68)</f>
        <v/>
      </c>
    </row>
    <row r="69">
      <c r="A69" s="19" t="inlineStr">
        <is>
          <t>Isle of Dogs (Canary Wharf) - George Green's School</t>
        </is>
      </c>
      <c r="B69" s="19">
        <f>COUNTIFS(Slots!$A$2:$A$72,$A69,Slots!$C$2:$C$72,"Mon",Slots!$I$2:$I$72,"Available")</f>
        <v/>
      </c>
      <c r="C69" s="19">
        <f>COUNTIFS(Slots!$A$2:$A$72,$A69,Slots!$C$2:$C$72,"Tue",Slots!$I$2:$I$72,"Available")</f>
        <v/>
      </c>
      <c r="D69" s="19">
        <f>COUNTIFS(Slots!$A$2:$A$72,$A69,Slots!$C$2:$C$72,"Wed",Slots!$I$2:$I$72,"Available")</f>
        <v/>
      </c>
      <c r="E69" s="19">
        <f>COUNTIFS(Slots!$A$2:$A$72,$A69,Slots!$C$2:$C$72,"Thu",Slots!$I$2:$I$72,"Available")</f>
        <v/>
      </c>
      <c r="F69" s="19">
        <f>COUNTIFS(Slots!$A$2:$A$72,$A69,Slots!$C$2:$C$72,"Fri",Slots!$I$2:$I$72,"Available")</f>
        <v/>
      </c>
      <c r="G69" s="21">
        <f>SUM(B69:F69)</f>
        <v/>
      </c>
    </row>
    <row r="70">
      <c r="A70" s="19" t="inlineStr">
        <is>
          <t>Liverpool St - Attlee Centre</t>
        </is>
      </c>
      <c r="B70" s="19">
        <f>COUNTIFS(Slots!$A$2:$A$72,$A70,Slots!$C$2:$C$72,"Mon",Slots!$I$2:$I$72,"Available")</f>
        <v/>
      </c>
      <c r="C70" s="19">
        <f>COUNTIFS(Slots!$A$2:$A$72,$A70,Slots!$C$2:$C$72,"Tue",Slots!$I$2:$I$72,"Available")</f>
        <v/>
      </c>
      <c r="D70" s="19">
        <f>COUNTIFS(Slots!$A$2:$A$72,$A70,Slots!$C$2:$C$72,"Wed",Slots!$I$2:$I$72,"Available")</f>
        <v/>
      </c>
      <c r="E70" s="19">
        <f>COUNTIFS(Slots!$A$2:$A$72,$A70,Slots!$C$2:$C$72,"Thu",Slots!$I$2:$I$72,"Available")</f>
        <v/>
      </c>
      <c r="F70" s="19">
        <f>COUNTIFS(Slots!$A$2:$A$72,$A70,Slots!$C$2:$C$72,"Fri",Slots!$I$2:$I$72,"Available")</f>
        <v/>
      </c>
      <c r="G70" s="21">
        <f>SUM(B70:F70)</f>
        <v/>
      </c>
    </row>
    <row r="71">
      <c r="A71" s="19" t="inlineStr">
        <is>
          <t>Old St - Moreland Primary School</t>
        </is>
      </c>
      <c r="B71" s="19">
        <f>COUNTIFS(Slots!$A$2:$A$72,$A71,Slots!$C$2:$C$72,"Mon",Slots!$I$2:$I$72,"Available")</f>
        <v/>
      </c>
      <c r="C71" s="19">
        <f>COUNTIFS(Slots!$A$2:$A$72,$A71,Slots!$C$2:$C$72,"Tue",Slots!$I$2:$I$72,"Available")</f>
        <v/>
      </c>
      <c r="D71" s="19">
        <f>COUNTIFS(Slots!$A$2:$A$72,$A71,Slots!$C$2:$C$72,"Wed",Slots!$I$2:$I$72,"Available")</f>
        <v/>
      </c>
      <c r="E71" s="19">
        <f>COUNTIFS(Slots!$A$2:$A$72,$A71,Slots!$C$2:$C$72,"Thu",Slots!$I$2:$I$72,"Available")</f>
        <v/>
      </c>
      <c r="F71" s="19">
        <f>COUNTIFS(Slots!$A$2:$A$72,$A71,Slots!$C$2:$C$72,"Fri",Slots!$I$2:$I$72,"Available")</f>
        <v/>
      </c>
      <c r="G71" s="21">
        <f>SUM(B71:F71)</f>
        <v/>
      </c>
    </row>
    <row r="72">
      <c r="A72" s="19" t="inlineStr">
        <is>
          <t>Poplar</t>
        </is>
      </c>
      <c r="B72" s="19">
        <f>COUNTIFS(Slots!$A$2:$A$72,$A72,Slots!$C$2:$C$72,"Mon",Slots!$I$2:$I$72,"Available")</f>
        <v/>
      </c>
      <c r="C72" s="19">
        <f>COUNTIFS(Slots!$A$2:$A$72,$A72,Slots!$C$2:$C$72,"Tue",Slots!$I$2:$I$72,"Available")</f>
        <v/>
      </c>
      <c r="D72" s="19">
        <f>COUNTIFS(Slots!$A$2:$A$72,$A72,Slots!$C$2:$C$72,"Wed",Slots!$I$2:$I$72,"Available")</f>
        <v/>
      </c>
      <c r="E72" s="19">
        <f>COUNTIFS(Slots!$A$2:$A$72,$A72,Slots!$C$2:$C$72,"Thu",Slots!$I$2:$I$72,"Available")</f>
        <v/>
      </c>
      <c r="F72" s="19">
        <f>COUNTIFS(Slots!$A$2:$A$72,$A72,Slots!$C$2:$C$72,"Fri",Slots!$I$2:$I$72,"Available")</f>
        <v/>
      </c>
      <c r="G72" s="21">
        <f>SUM(B72:F72)</f>
        <v/>
      </c>
    </row>
    <row r="73">
      <c r="A73" s="19" t="inlineStr">
        <is>
          <t>Shoreditch Powerleague</t>
        </is>
      </c>
      <c r="B73" s="19">
        <f>COUNTIFS(Slots!$A$2:$A$72,$A73,Slots!$C$2:$C$72,"Mon",Slots!$I$2:$I$72,"Available")</f>
        <v/>
      </c>
      <c r="C73" s="19">
        <f>COUNTIFS(Slots!$A$2:$A$72,$A73,Slots!$C$2:$C$72,"Tue",Slots!$I$2:$I$72,"Available")</f>
        <v/>
      </c>
      <c r="D73" s="19">
        <f>COUNTIFS(Slots!$A$2:$A$72,$A73,Slots!$C$2:$C$72,"Wed",Slots!$I$2:$I$72,"Available")</f>
        <v/>
      </c>
      <c r="E73" s="19">
        <f>COUNTIFS(Slots!$A$2:$A$72,$A73,Slots!$C$2:$C$72,"Thu",Slots!$I$2:$I$72,"Available")</f>
        <v/>
      </c>
      <c r="F73" s="19">
        <f>COUNTIFS(Slots!$A$2:$A$72,$A73,Slots!$C$2:$C$72,"Fri",Slots!$I$2:$I$72,"Available")</f>
        <v/>
      </c>
      <c r="G73" s="21">
        <f>SUM(B73:F73)</f>
        <v/>
      </c>
    </row>
    <row r="74">
      <c r="A74" s="19" t="inlineStr">
        <is>
          <t>Shoreditch Rooftop</t>
        </is>
      </c>
      <c r="B74" s="19">
        <f>COUNTIFS(Slots!$A$2:$A$72,$A74,Slots!$C$2:$C$72,"Mon",Slots!$I$2:$I$72,"Available")</f>
        <v/>
      </c>
      <c r="C74" s="19">
        <f>COUNTIFS(Slots!$A$2:$A$72,$A74,Slots!$C$2:$C$72,"Tue",Slots!$I$2:$I$72,"Available")</f>
        <v/>
      </c>
      <c r="D74" s="19">
        <f>COUNTIFS(Slots!$A$2:$A$72,$A74,Slots!$C$2:$C$72,"Wed",Slots!$I$2:$I$72,"Available")</f>
        <v/>
      </c>
      <c r="E74" s="19">
        <f>COUNTIFS(Slots!$A$2:$A$72,$A74,Slots!$C$2:$C$72,"Thu",Slots!$I$2:$I$72,"Available")</f>
        <v/>
      </c>
      <c r="F74" s="19">
        <f>COUNTIFS(Slots!$A$2:$A$72,$A74,Slots!$C$2:$C$72,"Fri",Slots!$I$2:$I$72,"Available")</f>
        <v/>
      </c>
      <c r="G74" s="21">
        <f>SUM(B74:F74)</f>
        <v/>
      </c>
    </row>
    <row r="75">
      <c r="A75" s="19" t="inlineStr">
        <is>
          <t>St Pancras - Coram's Fields 3G</t>
        </is>
      </c>
      <c r="B75" s="19">
        <f>COUNTIFS(Slots!$A$2:$A$72,$A75,Slots!$C$2:$C$72,"Mon",Slots!$I$2:$I$72,"Available")</f>
        <v/>
      </c>
      <c r="C75" s="19">
        <f>COUNTIFS(Slots!$A$2:$A$72,$A75,Slots!$C$2:$C$72,"Tue",Slots!$I$2:$I$72,"Available")</f>
        <v/>
      </c>
      <c r="D75" s="19">
        <f>COUNTIFS(Slots!$A$2:$A$72,$A75,Slots!$C$2:$C$72,"Wed",Slots!$I$2:$I$72,"Available")</f>
        <v/>
      </c>
      <c r="E75" s="19">
        <f>COUNTIFS(Slots!$A$2:$A$72,$A75,Slots!$C$2:$C$72,"Thu",Slots!$I$2:$I$72,"Available")</f>
        <v/>
      </c>
      <c r="F75" s="19">
        <f>COUNTIFS(Slots!$A$2:$A$72,$A75,Slots!$C$2:$C$72,"Fri",Slots!$I$2:$I$72,"Available")</f>
        <v/>
      </c>
      <c r="G75" s="21">
        <f>SUM(B75:F75)</f>
        <v/>
      </c>
    </row>
    <row r="76">
      <c r="A76" s="19" t="inlineStr">
        <is>
          <t>Whitechapel</t>
        </is>
      </c>
      <c r="B76" s="19">
        <f>COUNTIFS(Slots!$A$2:$A$72,$A76,Slots!$C$2:$C$72,"Mon",Slots!$I$2:$I$72,"Available")</f>
        <v/>
      </c>
      <c r="C76" s="19">
        <f>COUNTIFS(Slots!$A$2:$A$72,$A76,Slots!$C$2:$C$72,"Tue",Slots!$I$2:$I$72,"Available")</f>
        <v/>
      </c>
      <c r="D76" s="19">
        <f>COUNTIFS(Slots!$A$2:$A$72,$A76,Slots!$C$2:$C$72,"Wed",Slots!$I$2:$I$72,"Available")</f>
        <v/>
      </c>
      <c r="E76" s="19">
        <f>COUNTIFS(Slots!$A$2:$A$72,$A76,Slots!$C$2:$C$72,"Thu",Slots!$I$2:$I$72,"Available")</f>
        <v/>
      </c>
      <c r="F76" s="19">
        <f>COUNTIFS(Slots!$A$2:$A$72,$A76,Slots!$C$2:$C$72,"Fri",Slots!$I$2:$I$72,"Available")</f>
        <v/>
      </c>
      <c r="G76" s="21">
        <f>SUM(B76:F76)</f>
        <v/>
      </c>
    </row>
    <row r="77">
      <c r="A77" s="19" t="inlineStr">
        <is>
          <t>PlayFootball Canary Wharf - Westferry (E14 8HH)</t>
        </is>
      </c>
      <c r="B77" s="19">
        <f>COUNTIFS(Slots!$A$2:$A$72,$A77,Slots!$C$2:$C$72,"Mon",Slots!$I$2:$I$72,"Available")</f>
        <v/>
      </c>
      <c r="C77" s="19">
        <f>COUNTIFS(Slots!$A$2:$A$72,$A77,Slots!$C$2:$C$72,"Tue",Slots!$I$2:$I$72,"Available")</f>
        <v/>
      </c>
      <c r="D77" s="19">
        <f>COUNTIFS(Slots!$A$2:$A$72,$A77,Slots!$C$2:$C$72,"Wed",Slots!$I$2:$I$72,"Available")</f>
        <v/>
      </c>
      <c r="E77" s="19">
        <f>COUNTIFS(Slots!$A$2:$A$72,$A77,Slots!$C$2:$C$72,"Thu",Slots!$I$2:$I$72,"Available")</f>
        <v/>
      </c>
      <c r="F77" s="19">
        <f>COUNTIFS(Slots!$A$2:$A$72,$A77,Slots!$C$2:$C$72,"Fri",Slots!$I$2:$I$72,"Available")</f>
        <v/>
      </c>
      <c r="G77" s="21">
        <f>SUM(B77:F77)</f>
        <v/>
      </c>
    </row>
    <row r="78">
      <c r="A78" s="19" t="inlineStr">
        <is>
          <t>Fives Dockland Centre (E14 9GW)</t>
        </is>
      </c>
      <c r="B78" s="19">
        <f>COUNTIFS(Slots!$A$2:$A$72,$A78,Slots!$C$2:$C$72,"Mon",Slots!$I$2:$I$72,"Available")</f>
        <v/>
      </c>
      <c r="C78" s="19">
        <f>COUNTIFS(Slots!$A$2:$A$72,$A78,Slots!$C$2:$C$72,"Tue",Slots!$I$2:$I$72,"Available")</f>
        <v/>
      </c>
      <c r="D78" s="19">
        <f>COUNTIFS(Slots!$A$2:$A$72,$A78,Slots!$C$2:$C$72,"Wed",Slots!$I$2:$I$72,"Available")</f>
        <v/>
      </c>
      <c r="E78" s="19">
        <f>COUNTIFS(Slots!$A$2:$A$72,$A78,Slots!$C$2:$C$72,"Thu",Slots!$I$2:$I$72,"Available")</f>
        <v/>
      </c>
      <c r="F78" s="19">
        <f>COUNTIFS(Slots!$A$2:$A$72,$A78,Slots!$C$2:$C$72,"Fri",Slots!$I$2:$I$72,"Available")</f>
        <v/>
      </c>
      <c r="G78" s="21">
        <f>SUM(B78:F78)</f>
        <v/>
      </c>
    </row>
    <row r="79">
      <c r="A79" s="21" t="inlineStr">
        <is>
          <t>Total</t>
        </is>
      </c>
      <c r="B79" s="21">
        <f>SUM(B65:B78)</f>
        <v/>
      </c>
      <c r="C79" s="21">
        <f>SUM(C65:C78)</f>
        <v/>
      </c>
      <c r="D79" s="21">
        <f>SUM(D65:D78)</f>
        <v/>
      </c>
      <c r="E79" s="21">
        <f>SUM(E65:E78)</f>
        <v/>
      </c>
      <c r="F79" s="21">
        <f>SUM(F65:F78)</f>
        <v/>
      </c>
      <c r="G79" s="21">
        <f>SUM(G65:G78)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8" t="inlineStr">
        <is>
          <t>FC Urban · City of London &amp; Canary Wharf corporates</t>
        </is>
      </c>
    </row>
    <row r="2">
      <c r="A2" s="19" t="inlineStr">
        <is>
          <t>400 companies (law firms, banks, public/state-owned banks, private banks, fund administrators, then fund managers and insurers) within a 19-minute walk of a pitch. Each row leads with a specific pitch, slot and price per player.</t>
        </is>
      </c>
    </row>
    <row r="3">
      <c r="A3" s="19" t="inlineStr"/>
    </row>
    <row r="4">
      <c r="A4" s="21" t="inlineStr">
        <is>
          <t>Tabs</t>
        </is>
      </c>
    </row>
    <row r="5">
      <c r="A5" s="19" t="inlineStr">
        <is>
          <t>Outreach — one row per company. Find a contact (LinkedIn search link on the row), fill the yellow Contact columns, send the drafts, log the Tracking columns.</t>
        </is>
      </c>
    </row>
    <row r="6">
      <c r="A6" s="19" t="inlineStr">
        <is>
          <t>Offer — price per player, default sender, joining link and commit deadline. These feed every draft.</t>
        </is>
      </c>
    </row>
    <row r="7">
      <c r="A7" s="19" t="inlineStr">
        <is>
          <t>Venues — 14 pitches (12 FC Urban venues + others found nearby): open slots, earliest slot, cost per player, who to call. Put a confirmed slot in Chosen slot (override) and every draft for that pitch uses it.</t>
        </is>
      </c>
    </row>
    <row r="8">
      <c r="A8" s="19" t="inlineStr">
        <is>
          <t>Slots — every open after-work slot found (weekdays, 17:30–20:30 kick-off, 28 Sep – 23 Oct 2026).</t>
        </is>
      </c>
    </row>
    <row r="9">
      <c r="A9" s="19" t="inlineStr">
        <is>
          <t>Totals — companies by segment, area, priority and pitch; the outreach funnel; slots by weekday.</t>
        </is>
      </c>
    </row>
    <row r="10">
      <c r="A10" s="19" t="inlineStr"/>
    </row>
    <row r="11">
      <c r="A11" s="21" t="inlineStr">
        <is>
          <t>Colours</t>
        </is>
      </c>
    </row>
    <row r="12">
      <c r="A12" s="19" t="inlineStr">
        <is>
          <t>Yellow = fill in. Blue text = values typed from a source. Green text = formulas; leave those alone.</t>
        </is>
      </c>
    </row>
    <row r="13">
      <c r="A13" s="19" t="inlineStr"/>
    </row>
    <row r="14">
      <c r="A14" s="21" t="inlineStr">
        <is>
          <t>How the list was built</t>
        </is>
      </c>
    </row>
    <row r="15">
      <c r="A15" s="19" t="inlineStr">
        <is>
          <t>1. Companies House bulk data (September 2026), active companies registered in EC1–EC4, E1, E1W, E14, SE1, WC1 and WC2.</t>
        </is>
      </c>
    </row>
    <row r="16">
      <c r="A16" s="19" t="inlineStr">
        <is>
          <t>2. Kept sectors by SIC code: legal (69101/69102/69109), banks (64110/64191/64192), fund management and admin (66300, 64301–64306, 66190), insurance (65110–65300, 66220), plus LLPs identified by name.</t>
        </is>
      </c>
    </row>
    <row r="17">
      <c r="A17" s="19" t="inlineStr">
        <is>
          <t>3. Kept only companies that file full, group or medium-sized accounts (no micro or small-company filers), so they can afford a team game.</t>
        </is>
      </c>
    </row>
    <row r="18">
      <c r="A18" s="19" t="inlineStr">
        <is>
          <t>4. Removed shells and vehicles (holdco/bidco/topco, nominees, trustees, funding/issuer SPVs, numbered funds, investment trusts, VCTs, Lloyd's corporate members) and formation-agent addresses (more than 12 unrelated brands at one address).</t>
        </is>
      </c>
    </row>
    <row r="19">
      <c r="A19" s="19" t="inlineStr">
        <is>
          <t>5. One row per company group: foreign-practice LLPs and subsidiaries collapse into the main entity (Group entities collapsed in the CSV).</t>
        </is>
      </c>
    </row>
    <row r="20">
      <c r="A20" s="19" t="inlineStr">
        <is>
          <t>6. No duplicates: removed anything already in the FC Urban London sheet, the City finance top 100 (Joep), the 117-company LinkedIn list or the Haggerston Park leads (matched on name and brand). Companies that are only in the earlier 933-company research list (never messaged) are kept and marked "In 933 research list? = Yes".</t>
        </is>
      </c>
    </row>
    <row r="21">
      <c r="A21" s="19" t="inlineStr">
        <is>
          <t>7. Geocoded each registered-office postcode (postcodes.io). Kept companies within 1.8 km of Bank or Canary Wharf and within a 19-minute walk of a pitch (straight line × 1.3, 4.8 km/h).</t>
        </is>
      </c>
    </row>
    <row r="22">
      <c r="A22" s="19" t="inlineStr">
        <is>
          <t>8. Picked all target-sector companies (law, banks, public banks, private banks, fund admin), then filled to 400 with fund managers, insurers and advisory firms, balanced between them, largest accounts and shortest walk first.</t>
        </is>
      </c>
    </row>
    <row r="23">
      <c r="A23" s="19" t="inlineStr"/>
    </row>
    <row r="24">
      <c r="A24" s="21" t="inlineStr">
        <is>
          <t>Caveats</t>
        </is>
      </c>
    </row>
    <row r="25">
      <c r="A25" s="19" t="inlineStr">
        <is>
          <t>Registered office ≠ always the working office (some firms register at their accountant or lawyer). Check the walk time before you send.</t>
        </is>
      </c>
    </row>
    <row r="26">
      <c r="A26" s="19" t="inlineStr">
        <is>
          <t>Contact names, emails and LinkedIn URLs are not in Companies House — the Contact columns are for you to fill.</t>
        </is>
      </c>
    </row>
    <row r="27">
      <c r="A27" s="19" t="inlineStr">
        <is>
          <t>Better (GLL) venues release slots about 6 days ahead, and school pitches are often enquiry-only: those show as Contact required. Call, then put the agreed slot in Venues › Chosen slot (override).</t>
        </is>
      </c>
    </row>
    <row r="28">
      <c r="A28" s="19" t="inlineStr">
        <is>
          <t>Bank of England is a statutory body, not on Companies House; it was added by hand. Public / state-owned banks are those owned by a government (e.g. Indian, Korean, Chinese and Ghanaian state banks).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2026-09-24T18:36:16Z</dcterms:created>
  <dcterms:modified xsi:type="dcterms:W3CDTF">2026-09-24T18:36:16Z</dcterms:modified>
</cp:coreProperties>
</file>