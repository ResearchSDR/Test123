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Offer" sheetId="2" state="visible" r:id="rId2"/>
    <sheet name="Slots" sheetId="3" state="visible" r:id="rId3"/>
    <sheet name="Venues" sheetId="4" state="visible" r:id="rId4"/>
    <sheet name="Totals" sheetId="5" state="visible" r:id="rId5"/>
    <sheet name="Read me" sheetId="6" state="visible" r:id="rId6"/>
  </sheets>
  <definedNames>
    <definedName name="_xlnm._FilterDatabase" localSheetId="0" hidden="1">'Outreach'!$A$2:$AX$402</definedName>
    <definedName name="_xlnm._FilterDatabase" localSheetId="2" hidden="1">'Slots'!$A$1:$R$46</definedName>
    <definedName name="_xlnm._FilterDatabase" localSheetId="3" hidden="1">'Venues'!$A$1:$X$17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d d mmm yyyy"/>
    <numFmt numFmtId="165" formatCode="hh:mm"/>
    <numFmt numFmtId="166" formatCode="ddd d mmm yyyy hh:mm"/>
    <numFmt numFmtId="167" formatCode="£#,##0.00;-£#,##0.00;-"/>
    <numFmt numFmtId="168" formatCode="yyyy-mm-dd"/>
    <numFmt numFmtId="169" formatCode="d mmm yyyy"/>
    <numFmt numFmtId="170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color rgb="001155CC"/>
      <sz val="10"/>
      <u val="single"/>
    </font>
    <font>
      <name val="Arial"/>
      <b val="1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BF9000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4" borderId="0" applyAlignment="1" pivotButton="0" quotePrefix="0" xfId="0">
      <alignment vertical="center"/>
    </xf>
    <xf numFmtId="0" fontId="0" fillId="4" borderId="0" pivotButton="0" quotePrefix="0" xfId="0"/>
    <xf numFmtId="0" fontId="1" fillId="5" borderId="0" applyAlignment="1" pivotButton="0" quotePrefix="0" xfId="0">
      <alignment vertical="center"/>
    </xf>
    <xf numFmtId="0" fontId="0" fillId="5" borderId="0" pivotButton="0" quotePrefix="0" xfId="0"/>
    <xf numFmtId="0" fontId="1" fillId="6" borderId="0" applyAlignment="1" pivotButton="0" quotePrefix="0" xfId="0">
      <alignment vertical="center"/>
    </xf>
    <xf numFmtId="0" fontId="0" fillId="6" borderId="0" pivotButton="0" quotePrefix="0" xfId="0"/>
    <xf numFmtId="0" fontId="1" fillId="7" borderId="0" applyAlignment="1" pivotButton="0" quotePrefix="0" xfId="0">
      <alignment vertical="center"/>
    </xf>
    <xf numFmtId="0" fontId="0" fillId="7" borderId="0" pivotButton="0" quotePrefix="0" xfId="0"/>
    <xf numFmtId="0" fontId="1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167" fontId="3" fillId="0" borderId="1" applyAlignment="1" pivotButton="0" quotePrefix="0" xfId="0">
      <alignment vertical="top"/>
    </xf>
    <xf numFmtId="164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167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4" fontId="4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167" fontId="4" fillId="0" borderId="1" pivotButton="0" quotePrefix="0" xfId="0"/>
    <xf numFmtId="167" fontId="3" fillId="0" borderId="1" pivotButton="0" quotePrefix="0" xfId="0"/>
    <xf numFmtId="0" fontId="5" fillId="0" borderId="1" pivotButton="0" quotePrefix="0" xfId="0"/>
    <xf numFmtId="166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7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FC Urban</author>
  </authors>
  <commentList>
    <comment ref="B2" authorId="0" shapeId="0">
      <text>
        <t>1 = target sector (law, bank, public bank, private bank, fund admin) with group/large accounts. 2 = target sector, or any sector with group accounts. 3 = fund managers / insurers / advisory with full accounts.</t>
      </text>
    </comment>
    <comment ref="Q2" authorId="0" shapeId="0">
      <text>
        <t>Yes = the company also appears in the earlier 933-company City research list, which was never messaged. It is not in the top-100 (Joep), the 117 LinkedIn list, the Haggerston leads or the FC Urban London sheet.</t>
      </text>
    </comment>
    <comment ref="X2" authorId="0" shapeId="0">
      <text>
        <t>Straight-line distance × 1.3 for streets, at 4.8 km/h. From the registered office postcode.</t>
      </text>
    </comment>
    <comment ref="Z2" authorId="0" shapeId="0">
      <text>
        <t>Nearest pitch within 19 min that had open after-work slots when checked; otherwise the nearest pitch. Change the slot for all companies at once on Venues › Chosen slot (override).</t>
      </text>
    </comment>
  </commentList>
</comments>
</file>

<file path=xl/comments/comment2.xml><?xml version="1.0" encoding="utf-8"?>
<comments xmlns="http://schemas.openxmlformats.org/spreadsheetml/2006/main">
  <authors>
    <author>FC Urban</author>
  </authors>
  <commentList>
    <comment ref="J1" authorId="0" shapeId="0">
      <text>
        <t>Whole-pitch price per slot as listed by the venue on the day it was checked.</t>
      </text>
    </comment>
  </commentList>
</comments>
</file>

<file path=xl/comments/comment3.xml><?xml version="1.0" encoding="utf-8"?>
<comments xmlns="http://schemas.openxmlformats.org/spreadsheetml/2006/main">
  <authors>
    <author>FC Urban</author>
  </authors>
  <commentList>
    <comment ref="K1" authorId="0" shapeId="0">
      <text>
        <t>Fill once a slot is confirmed with the venue (date + time, e.g. 6/10/2026 19:00). Overrides the earliest open slot everywhere, including the drafts. Use this for "Contact required" venues.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oshearman.com" TargetMode="External" Id="rId1" /><Relationship Type="http://schemas.openxmlformats.org/officeDocument/2006/relationships/hyperlink" Target="https://www.aoshearman.com/en/industries/private-capital/family-office" TargetMode="External" Id="rId2" /><Relationship Type="http://schemas.openxmlformats.org/officeDocument/2006/relationships/hyperlink" Target="https://find-and-update.company-information.service.gov.uk/company/OC306763" TargetMode="External" Id="rId3" /><Relationship Type="http://schemas.openxmlformats.org/officeDocument/2006/relationships/hyperlink" Target="https://www.bakermckenzie.com" TargetMode="External" Id="rId4" /><Relationship Type="http://schemas.openxmlformats.org/officeDocument/2006/relationships/hyperlink" Target="https://www.bakermckenzie.com/en/locations/asia-pacific/china/hong-kong" TargetMode="External" Id="rId5" /><Relationship Type="http://schemas.openxmlformats.org/officeDocument/2006/relationships/hyperlink" Target="https://find-and-update.company-information.service.gov.uk/company/OC311297" TargetMode="External" Id="rId6" /><Relationship Type="http://schemas.openxmlformats.org/officeDocument/2006/relationships/hyperlink" Target="https://www.shoosmiths.com" TargetMode="External" Id="rId7" /><Relationship Type="http://schemas.openxmlformats.org/officeDocument/2006/relationships/hyperlink" Target="https://www.shoosmiths.com/contact" TargetMode="External" Id="rId8" /><Relationship Type="http://schemas.openxmlformats.org/officeDocument/2006/relationships/hyperlink" Target="https://find-and-update.company-information.service.gov.uk/company/OC374987" TargetMode="External" Id="rId9" /><Relationship Type="http://schemas.openxmlformats.org/officeDocument/2006/relationships/hyperlink" Target="https://www.hsfkramer.com" TargetMode="External" Id="rId10" /><Relationship Type="http://schemas.openxmlformats.org/officeDocument/2006/relationships/hyperlink" Target="https://find-and-update.company-information.service.gov.uk/company/OC375784" TargetMode="External" Id="rId11" /><Relationship Type="http://schemas.openxmlformats.org/officeDocument/2006/relationships/hyperlink" Target="https://www.ashurstperkinscoie.com" TargetMode="External" Id="rId12" /><Relationship Type="http://schemas.openxmlformats.org/officeDocument/2006/relationships/hyperlink" Target="https://www.ashurstperkinscoie.com/en/our-locations/london-duval-square/" TargetMode="External" Id="rId13" /><Relationship Type="http://schemas.openxmlformats.org/officeDocument/2006/relationships/hyperlink" Target="https://find-and-update.company-information.service.gov.uk/company/OC330252" TargetMode="External" Id="rId14" /><Relationship Type="http://schemas.openxmlformats.org/officeDocument/2006/relationships/hyperlink" Target="https://www.careyolsen.com" TargetMode="External" Id="rId15" /><Relationship Type="http://schemas.openxmlformats.org/officeDocument/2006/relationships/hyperlink" Target="https://www.careyolsen.com/locations/london" TargetMode="External" Id="rId16" /><Relationship Type="http://schemas.openxmlformats.org/officeDocument/2006/relationships/hyperlink" Target="https://find-and-update.company-information.service.gov.uk/company/OC345292" TargetMode="External" Id="rId17" /><Relationship Type="http://schemas.openxmlformats.org/officeDocument/2006/relationships/hyperlink" Target="https://www.eversheds-sutherland.com" TargetMode="External" Id="rId18" /><Relationship Type="http://schemas.openxmlformats.org/officeDocument/2006/relationships/hyperlink" Target="https://www.eversheds-sutherland.com/en/global/capabilities/services/data-privacy-security-and-technology/cybersecurity" TargetMode="External" Id="rId19" /><Relationship Type="http://schemas.openxmlformats.org/officeDocument/2006/relationships/hyperlink" Target="https://find-and-update.company-information.service.gov.uk/company/OC304065" TargetMode="External" Id="rId20" /><Relationship Type="http://schemas.openxmlformats.org/officeDocument/2006/relationships/hyperlink" Target="https://www.goodwinlaw.com" TargetMode="External" Id="rId21" /><Relationship Type="http://schemas.openxmlformats.org/officeDocument/2006/relationships/hyperlink" Target="https://www.goodwinlaw.com/en/about/about-us" TargetMode="External" Id="rId22" /><Relationship Type="http://schemas.openxmlformats.org/officeDocument/2006/relationships/hyperlink" Target="https://find-and-update.company-information.service.gov.uk/company/OC362294" TargetMode="External" Id="rId23" /><Relationship Type="http://schemas.openxmlformats.org/officeDocument/2006/relationships/hyperlink" Target="https://www.withersworldwide.com" TargetMode="External" Id="rId24" /><Relationship Type="http://schemas.openxmlformats.org/officeDocument/2006/relationships/hyperlink" Target="https://www.withersworldwide.com/en-gb/locations/europe/london" TargetMode="External" Id="rId25" /><Relationship Type="http://schemas.openxmlformats.org/officeDocument/2006/relationships/hyperlink" Target="https://find-and-update.company-information.service.gov.uk/company/OC301149" TargetMode="External" Id="rId26" /><Relationship Type="http://schemas.openxmlformats.org/officeDocument/2006/relationships/hyperlink" Target="https://www.charlesrussellspeechlys.com" TargetMode="External" Id="rId27" /><Relationship Type="http://schemas.openxmlformats.org/officeDocument/2006/relationships/hyperlink" Target="https://www.charlesrussellspeechlys.com/en/our-locations/offices/london/" TargetMode="External" Id="rId28" /><Relationship Type="http://schemas.openxmlformats.org/officeDocument/2006/relationships/hyperlink" Target="https://find-and-update.company-information.service.gov.uk/company/OC311850" TargetMode="External" Id="rId29" /><Relationship Type="http://schemas.openxmlformats.org/officeDocument/2006/relationships/hyperlink" Target="https://cms.law" TargetMode="External" Id="rId30" /><Relationship Type="http://schemas.openxmlformats.org/officeDocument/2006/relationships/hyperlink" Target="https://find-and-update.company-information.service.gov.uk/company/OC310335" TargetMode="External" Id="rId31" /><Relationship Type="http://schemas.openxmlformats.org/officeDocument/2006/relationships/hyperlink" Target="https://www.bclplaw.com" TargetMode="External" Id="rId32" /><Relationship Type="http://schemas.openxmlformats.org/officeDocument/2006/relationships/hyperlink" Target="https://www.bclplaw.com/en-US/about/about-bclp.html" TargetMode="External" Id="rId33" /><Relationship Type="http://schemas.openxmlformats.org/officeDocument/2006/relationships/hyperlink" Target="https://find-and-update.company-information.service.gov.uk/company/OC315919" TargetMode="External" Id="rId34" /><Relationship Type="http://schemas.openxmlformats.org/officeDocument/2006/relationships/hyperlink" Target="https://www.osborneclarke.com" TargetMode="External" Id="rId35" /><Relationship Type="http://schemas.openxmlformats.org/officeDocument/2006/relationships/hyperlink" Target="https://www.osborneclarke.com/what-our-clients-are-talking-about/green-hydrogen" TargetMode="External" Id="rId36" /><Relationship Type="http://schemas.openxmlformats.org/officeDocument/2006/relationships/hyperlink" Target="https://find-and-update.company-information.service.gov.uk/company/OC397443" TargetMode="External" Id="rId37" /><Relationship Type="http://schemas.openxmlformats.org/officeDocument/2006/relationships/hyperlink" Target="https://www.fragomen.com" TargetMode="External" Id="rId38" /><Relationship Type="http://schemas.openxmlformats.org/officeDocument/2006/relationships/hyperlink" Target="https://www.fragomen.com/offices/london.html" TargetMode="External" Id="rId39" /><Relationship Type="http://schemas.openxmlformats.org/officeDocument/2006/relationships/hyperlink" Target="https://find-and-update.company-information.service.gov.uk/company/04732334" TargetMode="External" Id="rId40" /><Relationship Type="http://schemas.openxmlformats.org/officeDocument/2006/relationships/hyperlink" Target="https://www.fieldfisher.com" TargetMode="External" Id="rId41" /><Relationship Type="http://schemas.openxmlformats.org/officeDocument/2006/relationships/hyperlink" Target="https://www.fieldfisher.com/en/locations/united-kingdom/contact-us/offices/london" TargetMode="External" Id="rId42" /><Relationship Type="http://schemas.openxmlformats.org/officeDocument/2006/relationships/hyperlink" Target="https://find-and-update.company-information.service.gov.uk/company/OC318472" TargetMode="External" Id="rId43" /><Relationship Type="http://schemas.openxmlformats.org/officeDocument/2006/relationships/hyperlink" Target="https://www.hlc.com" TargetMode="External" Id="rId44" /><Relationship Type="http://schemas.openxmlformats.org/officeDocument/2006/relationships/hyperlink" Target="https://www.hlc.com/en/locations/connect" TargetMode="External" Id="rId45" /><Relationship Type="http://schemas.openxmlformats.org/officeDocument/2006/relationships/hyperlink" Target="https://find-and-update.company-information.service.gov.uk/company/OC323639" TargetMode="External" Id="rId46" /><Relationship Type="http://schemas.openxmlformats.org/officeDocument/2006/relationships/hyperlink" Target="https://www.mills-reeve.com" TargetMode="External" Id="rId47" /><Relationship Type="http://schemas.openxmlformats.org/officeDocument/2006/relationships/hyperlink" Target="https://www.mills-reeve.com/" TargetMode="External" Id="rId48" /><Relationship Type="http://schemas.openxmlformats.org/officeDocument/2006/relationships/hyperlink" Target="https://find-and-update.company-information.service.gov.uk/company/OC326165" TargetMode="External" Id="rId49" /><Relationship Type="http://schemas.openxmlformats.org/officeDocument/2006/relationships/hyperlink" Target="https://www.dlapiper.com" TargetMode="External" Id="rId50" /><Relationship Type="http://schemas.openxmlformats.org/officeDocument/2006/relationships/hyperlink" Target="https://www.dlapiper.com/en-us/legal-notices/additional/privacy-policy" TargetMode="External" Id="rId51" /><Relationship Type="http://schemas.openxmlformats.org/officeDocument/2006/relationships/hyperlink" Target="https://find-and-update.company-information.service.gov.uk/company/OC305357" TargetMode="External" Id="rId52" /><Relationship Type="http://schemas.openxmlformats.org/officeDocument/2006/relationships/hyperlink" Target="https://lighthouse.com" TargetMode="External" Id="rId53" /><Relationship Type="http://schemas.openxmlformats.org/officeDocument/2006/relationships/hyperlink" Target="https://find-and-update.company-information.service.gov.uk/company/09610972" TargetMode="External" Id="rId54" /><Relationship Type="http://schemas.openxmlformats.org/officeDocument/2006/relationships/hyperlink" Target="https://www.howardkennedy.com" TargetMode="External" Id="rId55" /><Relationship Type="http://schemas.openxmlformats.org/officeDocument/2006/relationships/hyperlink" Target="https://www.howardkennedy.com/contact-us" TargetMode="External" Id="rId56" /><Relationship Type="http://schemas.openxmlformats.org/officeDocument/2006/relationships/hyperlink" Target="https://find-and-update.company-information.service.gov.uk/company/OC361417" TargetMode="External" Id="rId57" /><Relationship Type="http://schemas.openxmlformats.org/officeDocument/2006/relationships/hyperlink" Target="https://www.linklaters.com" TargetMode="External" Id="rId58" /><Relationship Type="http://schemas.openxmlformats.org/officeDocument/2006/relationships/hyperlink" Target="https://www.linklaters.com/" TargetMode="External" Id="rId59" /><Relationship Type="http://schemas.openxmlformats.org/officeDocument/2006/relationships/hyperlink" Target="https://find-and-update.company-information.service.gov.uk/company/OC326345" TargetMode="External" Id="rId60" /><Relationship Type="http://schemas.openxmlformats.org/officeDocument/2006/relationships/hyperlink" Target="https://www.threecrownsllp.com" TargetMode="External" Id="rId61" /><Relationship Type="http://schemas.openxmlformats.org/officeDocument/2006/relationships/hyperlink" Target="https://www.threecrownsllp.com/contact/" TargetMode="External" Id="rId62" /><Relationship Type="http://schemas.openxmlformats.org/officeDocument/2006/relationships/hyperlink" Target="https://find-and-update.company-information.service.gov.uk/company/OC389628" TargetMode="External" Id="rId63" /><Relationship Type="http://schemas.openxmlformats.org/officeDocument/2006/relationships/hyperlink" Target="https://www.stephensonharwood.com" TargetMode="External" Id="rId64" /><Relationship Type="http://schemas.openxmlformats.org/officeDocument/2006/relationships/hyperlink" Target="https://www.stephensonharwood.com/contact-us/" TargetMode="External" Id="rId65" /><Relationship Type="http://schemas.openxmlformats.org/officeDocument/2006/relationships/hyperlink" Target="https://find-and-update.company-information.service.gov.uk/company/OC373597" TargetMode="External" Id="rId66" /><Relationship Type="http://schemas.openxmlformats.org/officeDocument/2006/relationships/hyperlink" Target="https://www.devonshires.com" TargetMode="External" Id="rId67" /><Relationship Type="http://schemas.openxmlformats.org/officeDocument/2006/relationships/hyperlink" Target="https://www.devonshires.com/" TargetMode="External" Id="rId68" /><Relationship Type="http://schemas.openxmlformats.org/officeDocument/2006/relationships/hyperlink" Target="https://find-and-update.company-information.service.gov.uk/company/OC397401" TargetMode="External" Id="rId69" /><Relationship Type="http://schemas.openxmlformats.org/officeDocument/2006/relationships/hyperlink" Target="https://pogustgoodhead.com" TargetMode="External" Id="rId70" /><Relationship Type="http://schemas.openxmlformats.org/officeDocument/2006/relationships/hyperlink" Target="https://pogustgoodhead.com/gdpr-privacy-policy/" TargetMode="External" Id="rId71" /><Relationship Type="http://schemas.openxmlformats.org/officeDocument/2006/relationships/hyperlink" Target="https://find-and-update.company-information.service.gov.uk/company/11468874" TargetMode="External" Id="rId72" /><Relationship Type="http://schemas.openxmlformats.org/officeDocument/2006/relationships/hyperlink" Target="https://www.squirepattonboggs.com" TargetMode="External" Id="rId73" /><Relationship Type="http://schemas.openxmlformats.org/officeDocument/2006/relationships/hyperlink" Target="https://www.squirepattonboggs.com/contact-us/" TargetMode="External" Id="rId74" /><Relationship Type="http://schemas.openxmlformats.org/officeDocument/2006/relationships/hyperlink" Target="https://find-and-update.company-information.service.gov.uk/company/OC335584" TargetMode="External" Id="rId75" /><Relationship Type="http://schemas.openxmlformats.org/officeDocument/2006/relationships/hyperlink" Target="https://www.simmons-simmons.com" TargetMode="External" Id="rId76" /><Relationship Type="http://schemas.openxmlformats.org/officeDocument/2006/relationships/hyperlink" Target="https://www.simmons-simmons.com/en/offices/london" TargetMode="External" Id="rId77" /><Relationship Type="http://schemas.openxmlformats.org/officeDocument/2006/relationships/hyperlink" Target="https://find-and-update.company-information.service.gov.uk/company/OC352713" TargetMode="External" Id="rId78" /><Relationship Type="http://schemas.openxmlformats.org/officeDocument/2006/relationships/hyperlink" Target="https://beale.co.uk" TargetMode="External" Id="rId79" /><Relationship Type="http://schemas.openxmlformats.org/officeDocument/2006/relationships/hyperlink" Target="https://beale.co.uk/" TargetMode="External" Id="rId80" /><Relationship Type="http://schemas.openxmlformats.org/officeDocument/2006/relationships/hyperlink" Target="https://find-and-update.company-information.service.gov.uk/company/OC310010" TargetMode="External" Id="rId81" /><Relationship Type="http://schemas.openxmlformats.org/officeDocument/2006/relationships/hyperlink" Target="https://www.kennedyslaw.com" TargetMode="External" Id="rId82" /><Relationship Type="http://schemas.openxmlformats.org/officeDocument/2006/relationships/hyperlink" Target="https://www.kennedyslaw.com/en/" TargetMode="External" Id="rId83" /><Relationship Type="http://schemas.openxmlformats.org/officeDocument/2006/relationships/hyperlink" Target="https://find-and-update.company-information.service.gov.uk/company/OC353214" TargetMode="External" Id="rId84" /><Relationship Type="http://schemas.openxmlformats.org/officeDocument/2006/relationships/hyperlink" Target="https://www.hfw.com" TargetMode="External" Id="rId85" /><Relationship Type="http://schemas.openxmlformats.org/officeDocument/2006/relationships/hyperlink" Target="https://www.hfw.com/contact-us" TargetMode="External" Id="rId86" /><Relationship Type="http://schemas.openxmlformats.org/officeDocument/2006/relationships/hyperlink" Target="https://find-and-update.company-information.service.gov.uk/company/OC343361" TargetMode="External" Id="rId87" /><Relationship Type="http://schemas.openxmlformats.org/officeDocument/2006/relationships/hyperlink" Target="https://www.duncanlewis.co.uk" TargetMode="External" Id="rId88" /><Relationship Type="http://schemas.openxmlformats.org/officeDocument/2006/relationships/hyperlink" Target="https://www.duncanlewis.co.uk/Home/Contact" TargetMode="External" Id="rId89" /><Relationship Type="http://schemas.openxmlformats.org/officeDocument/2006/relationships/hyperlink" Target="https://find-and-update.company-information.service.gov.uk/company/03718422" TargetMode="External" Id="rId90" /><Relationship Type="http://schemas.openxmlformats.org/officeDocument/2006/relationships/hyperlink" Target="https://www.cynergybank.co.uk" TargetMode="External" Id="rId91" /><Relationship Type="http://schemas.openxmlformats.org/officeDocument/2006/relationships/hyperlink" Target="https://www.cynergybank.co.uk/support/contact-us" TargetMode="External" Id="rId92" /><Relationship Type="http://schemas.openxmlformats.org/officeDocument/2006/relationships/hyperlink" Target="https://find-and-update.company-information.service.gov.uk/company/04728421" TargetMode="External" Id="rId93" /><Relationship Type="http://schemas.openxmlformats.org/officeDocument/2006/relationships/hyperlink" Target="https://www.itaubba.eu" TargetMode="External" Id="rId94" /><Relationship Type="http://schemas.openxmlformats.org/officeDocument/2006/relationships/hyperlink" Target="https://www.itaubba.eu" TargetMode="External" Id="rId95" /><Relationship Type="http://schemas.openxmlformats.org/officeDocument/2006/relationships/hyperlink" Target="https://find-and-update.company-information.service.gov.uk/company/07425398" TargetMode="External" Id="rId96" /><Relationship Type="http://schemas.openxmlformats.org/officeDocument/2006/relationships/hyperlink" Target="https://www.mizuho.com" TargetMode="External" Id="rId97" /><Relationship Type="http://schemas.openxmlformats.org/officeDocument/2006/relationships/hyperlink" Target="https://www.mizuho.com/" TargetMode="External" Id="rId98" /><Relationship Type="http://schemas.openxmlformats.org/officeDocument/2006/relationships/hyperlink" Target="https://find-and-update.company-information.service.gov.uk/company/01203696" TargetMode="External" Id="rId99" /><Relationship Type="http://schemas.openxmlformats.org/officeDocument/2006/relationships/hyperlink" Target="https://www.natwest.com" TargetMode="External" Id="rId100" /><Relationship Type="http://schemas.openxmlformats.org/officeDocument/2006/relationships/hyperlink" Target="https://find-and-update.company-information.service.gov.uk/company/00929027" TargetMode="External" Id="rId101" /><Relationship Type="http://schemas.openxmlformats.org/officeDocument/2006/relationships/hyperlink" Target="https://www.starlingbank.com" TargetMode="External" Id="rId102" /><Relationship Type="http://schemas.openxmlformats.org/officeDocument/2006/relationships/hyperlink" Target="https://www.starlingbank.com/contact/" TargetMode="External" Id="rId103" /><Relationship Type="http://schemas.openxmlformats.org/officeDocument/2006/relationships/hyperlink" Target="https://find-and-update.company-information.service.gov.uk/company/09092149" TargetMode="External" Id="rId104" /><Relationship Type="http://schemas.openxmlformats.org/officeDocument/2006/relationships/hyperlink" Target="https://www.lloydsbank.com" TargetMode="External" Id="rId105" /><Relationship Type="http://schemas.openxmlformats.org/officeDocument/2006/relationships/hyperlink" Target="https://www.lloydsbank.com/help-guidance/call-us.html" TargetMode="External" Id="rId106" /><Relationship Type="http://schemas.openxmlformats.org/officeDocument/2006/relationships/hyperlink" Target="https://find-and-update.company-information.service.gov.uk/company/00002065" TargetMode="External" Id="rId107" /><Relationship Type="http://schemas.openxmlformats.org/officeDocument/2006/relationships/hyperlink" Target="https://www.allica.bank" TargetMode="External" Id="rId108" /><Relationship Type="http://schemas.openxmlformats.org/officeDocument/2006/relationships/hyperlink" Target="https://www.allica.bank/contact" TargetMode="External" Id="rId109" /><Relationship Type="http://schemas.openxmlformats.org/officeDocument/2006/relationships/hyperlink" Target="https://find-and-update.company-information.service.gov.uk/company/07706156" TargetMode="External" Id="rId110" /><Relationship Type="http://schemas.openxmlformats.org/officeDocument/2006/relationships/hyperlink" Target="https://www.sc.com" TargetMode="External" Id="rId111" /><Relationship Type="http://schemas.openxmlformats.org/officeDocument/2006/relationships/hyperlink" Target="https://www.sc.com/uk/contact/" TargetMode="External" Id="rId112" /><Relationship Type="http://schemas.openxmlformats.org/officeDocument/2006/relationships/hyperlink" Target="https://find-and-update.company-information.service.gov.uk/company/ZC000018" TargetMode="External" Id="rId113" /><Relationship Type="http://schemas.openxmlformats.org/officeDocument/2006/relationships/hyperlink" Target="https://gatehousebank.com" TargetMode="External" Id="rId114" /><Relationship Type="http://schemas.openxmlformats.org/officeDocument/2006/relationships/hyperlink" Target="https://gatehousebank.com/intermediaries/contact-us-1" TargetMode="External" Id="rId115" /><Relationship Type="http://schemas.openxmlformats.org/officeDocument/2006/relationships/hyperlink" Target="https://find-and-update.company-information.service.gov.uk/company/06260053" TargetMode="External" Id="rId116" /><Relationship Type="http://schemas.openxmlformats.org/officeDocument/2006/relationships/hyperlink" Target="https://www.htb.co.uk" TargetMode="External" Id="rId117" /><Relationship Type="http://schemas.openxmlformats.org/officeDocument/2006/relationships/hyperlink" Target="https://www.htb.co.uk/about-us/contact/" TargetMode="External" Id="rId118" /><Relationship Type="http://schemas.openxmlformats.org/officeDocument/2006/relationships/hyperlink" Target="https://find-and-update.company-information.service.gov.uk/company/01311315" TargetMode="External" Id="rId119" /><Relationship Type="http://schemas.openxmlformats.org/officeDocument/2006/relationships/hyperlink" Target="https://www.shawbrook.co.uk" TargetMode="External" Id="rId120" /><Relationship Type="http://schemas.openxmlformats.org/officeDocument/2006/relationships/hyperlink" Target="https://www.shawbrook.co.uk/about-us/media-centre/" TargetMode="External" Id="rId121" /><Relationship Type="http://schemas.openxmlformats.org/officeDocument/2006/relationships/hyperlink" Target="https://find-and-update.company-information.service.gov.uk/company/00388466" TargetMode="External" Id="rId122" /><Relationship Type="http://schemas.openxmlformats.org/officeDocument/2006/relationships/hyperlink" Target="https://www.icbcstandard.com" TargetMode="External" Id="rId123" /><Relationship Type="http://schemas.openxmlformats.org/officeDocument/2006/relationships/hyperlink" Target="https://www.icbcstandard.com" TargetMode="External" Id="rId124" /><Relationship Type="http://schemas.openxmlformats.org/officeDocument/2006/relationships/hyperlink" Target="https://find-and-update.company-information.service.gov.uk/company/02130447" TargetMode="External" Id="rId125" /><Relationship Type="http://schemas.openxmlformats.org/officeDocument/2006/relationships/hyperlink" Target="https://www.bankofengland.co.uk" TargetMode="External" Id="rId126" /><Relationship Type="http://schemas.openxmlformats.org/officeDocument/2006/relationships/hyperlink" Target="https://www.bankofengland.co.uk/about/get-involved/citizens-panels" TargetMode="External" Id="rId127" /><Relationship Type="http://schemas.openxmlformats.org/officeDocument/2006/relationships/hyperlink" Target="https://www.agdevco.com" TargetMode="External" Id="rId128" /><Relationship Type="http://schemas.openxmlformats.org/officeDocument/2006/relationships/hyperlink" Target="https://www.agdevco.com/contact-us/" TargetMode="External" Id="rId129" /><Relationship Type="http://schemas.openxmlformats.org/officeDocument/2006/relationships/hyperlink" Target="https://find-and-update.company-information.service.gov.uk/company/07026479" TargetMode="External" Id="rId130" /><Relationship Type="http://schemas.openxmlformats.org/officeDocument/2006/relationships/hyperlink" Target="https://www.investec.com" TargetMode="External" Id="rId131" /><Relationship Type="http://schemas.openxmlformats.org/officeDocument/2006/relationships/hyperlink" Target="https://find-and-update.company-information.service.gov.uk/company/00489604" TargetMode="External" Id="rId132" /><Relationship Type="http://schemas.openxmlformats.org/officeDocument/2006/relationships/hyperlink" Target="https://www.morganlewis.com" TargetMode="External" Id="rId133" /><Relationship Type="http://schemas.openxmlformats.org/officeDocument/2006/relationships/hyperlink" Target="https://www.morganlewis.com/contact-us" TargetMode="External" Id="rId134" /><Relationship Type="http://schemas.openxmlformats.org/officeDocument/2006/relationships/hyperlink" Target="https://find-and-update.company-information.service.gov.uk/company/OC378797" TargetMode="External" Id="rId135" /><Relationship Type="http://schemas.openxmlformats.org/officeDocument/2006/relationships/hyperlink" Target="https://www.dechert.com" TargetMode="External" Id="rId136" /><Relationship Type="http://schemas.openxmlformats.org/officeDocument/2006/relationships/hyperlink" Target="https://www.dechert.com/about/contact-us.html" TargetMode="External" Id="rId137" /><Relationship Type="http://schemas.openxmlformats.org/officeDocument/2006/relationships/hyperlink" Target="https://find-and-update.company-information.service.gov.uk/company/OC306029" TargetMode="External" Id="rId138" /><Relationship Type="http://schemas.openxmlformats.org/officeDocument/2006/relationships/hyperlink" Target="https://www.klgates.com" TargetMode="External" Id="rId139" /><Relationship Type="http://schemas.openxmlformats.org/officeDocument/2006/relationships/hyperlink" Target="https://www.klgates.com/privacy-policy" TargetMode="External" Id="rId140" /><Relationship Type="http://schemas.openxmlformats.org/officeDocument/2006/relationships/hyperlink" Target="https://find-and-update.company-information.service.gov.uk/company/OC309508" TargetMode="External" Id="rId141" /><Relationship Type="http://schemas.openxmlformats.org/officeDocument/2006/relationships/hyperlink" Target="https://burford.com" TargetMode="External" Id="rId142" /><Relationship Type="http://schemas.openxmlformats.org/officeDocument/2006/relationships/hyperlink" Target="https://burford.com/" TargetMode="External" Id="rId143" /><Relationship Type="http://schemas.openxmlformats.org/officeDocument/2006/relationships/hyperlink" Target="https://find-and-update.company-information.service.gov.uk/company/13128424" TargetMode="External" Id="rId144" /><Relationship Type="http://schemas.openxmlformats.org/officeDocument/2006/relationships/hyperlink" Target="https://katten.com" TargetMode="External" Id="rId145" /><Relationship Type="http://schemas.openxmlformats.org/officeDocument/2006/relationships/hyperlink" Target="https://katten.com/about" TargetMode="External" Id="rId146" /><Relationship Type="http://schemas.openxmlformats.org/officeDocument/2006/relationships/hyperlink" Target="https://find-and-update.company-information.service.gov.uk/company/OC312814" TargetMode="External" Id="rId147" /><Relationship Type="http://schemas.openxmlformats.org/officeDocument/2006/relationships/hyperlink" Target="https://www.bristows.com" TargetMode="External" Id="rId148" /><Relationship Type="http://schemas.openxmlformats.org/officeDocument/2006/relationships/hyperlink" Target="https://www.bristows.com/contact/" TargetMode="External" Id="rId149" /><Relationship Type="http://schemas.openxmlformats.org/officeDocument/2006/relationships/hyperlink" Target="https://find-and-update.company-information.service.gov.uk/company/07422632" TargetMode="External" Id="rId150" /><Relationship Type="http://schemas.openxmlformats.org/officeDocument/2006/relationships/hyperlink" Target="https://maples.com" TargetMode="External" Id="rId151" /><Relationship Type="http://schemas.openxmlformats.org/officeDocument/2006/relationships/hyperlink" Target="https://maples.com" TargetMode="External" Id="rId152" /><Relationship Type="http://schemas.openxmlformats.org/officeDocument/2006/relationships/hyperlink" Target="https://find-and-update.company-information.service.gov.uk/company/03369233" TargetMode="External" Id="rId153" /><Relationship Type="http://schemas.openxmlformats.org/officeDocument/2006/relationships/hyperlink" Target="https://enyo.co.uk" TargetMode="External" Id="rId154" /><Relationship Type="http://schemas.openxmlformats.org/officeDocument/2006/relationships/hyperlink" Target="https://enyolaw.com/contact/" TargetMode="External" Id="rId155" /><Relationship Type="http://schemas.openxmlformats.org/officeDocument/2006/relationships/hyperlink" Target="https://find-and-update.company-information.service.gov.uk/company/OC356313" TargetMode="External" Id="rId156" /><Relationship Type="http://schemas.openxmlformats.org/officeDocument/2006/relationships/hyperlink" Target="https://bates-wells.co.uk" TargetMode="External" Id="rId157" /><Relationship Type="http://schemas.openxmlformats.org/officeDocument/2006/relationships/hyperlink" Target="https://bates-wells.co.uk/" TargetMode="External" Id="rId158" /><Relationship Type="http://schemas.openxmlformats.org/officeDocument/2006/relationships/hyperlink" Target="https://find-and-update.company-information.service.gov.uk/company/OC325522" TargetMode="External" Id="rId159" /><Relationship Type="http://schemas.openxmlformats.org/officeDocument/2006/relationships/hyperlink" Target="https://abion.com" TargetMode="External" Id="rId160" /><Relationship Type="http://schemas.openxmlformats.org/officeDocument/2006/relationships/hyperlink" Target="https://abion.com/contact/" TargetMode="External" Id="rId161" /><Relationship Type="http://schemas.openxmlformats.org/officeDocument/2006/relationships/hyperlink" Target="https://find-and-update.company-information.service.gov.uk/company/08093380" TargetMode="External" Id="rId162" /><Relationship Type="http://schemas.openxmlformats.org/officeDocument/2006/relationships/hyperlink" Target="https://www.orrick.com" TargetMode="External" Id="rId163" /><Relationship Type="http://schemas.openxmlformats.org/officeDocument/2006/relationships/hyperlink" Target="https://www.orrick.com" TargetMode="External" Id="rId164" /><Relationship Type="http://schemas.openxmlformats.org/officeDocument/2006/relationships/hyperlink" Target="https://find-and-update.company-information.service.gov.uk/company/OC347108" TargetMode="External" Id="rId165" /><Relationship Type="http://schemas.openxmlformats.org/officeDocument/2006/relationships/hyperlink" Target="https://nationallegalservice.co.uk" TargetMode="External" Id="rId166" /><Relationship Type="http://schemas.openxmlformats.org/officeDocument/2006/relationships/hyperlink" Target="https://nationallegalservice.co.uk/" TargetMode="External" Id="rId167" /><Relationship Type="http://schemas.openxmlformats.org/officeDocument/2006/relationships/hyperlink" Target="https://find-and-update.company-information.service.gov.uk/company/10786983" TargetMode="External" Id="rId168" /><Relationship Type="http://schemas.openxmlformats.org/officeDocument/2006/relationships/hyperlink" Target="https://www.marriottharrison.com" TargetMode="External" Id="rId169" /><Relationship Type="http://schemas.openxmlformats.org/officeDocument/2006/relationships/hyperlink" Target="https://www.marriottharrison.com/" TargetMode="External" Id="rId170" /><Relationship Type="http://schemas.openxmlformats.org/officeDocument/2006/relationships/hyperlink" Target="https://find-and-update.company-information.service.gov.uk/company/OC372774" TargetMode="External" Id="rId171" /><Relationship Type="http://schemas.openxmlformats.org/officeDocument/2006/relationships/hyperlink" Target="https://www.wfw.com" TargetMode="External" Id="rId172" /><Relationship Type="http://schemas.openxmlformats.org/officeDocument/2006/relationships/hyperlink" Target="https://www.wfw.com/legal-and-regulatory/" TargetMode="External" Id="rId173" /><Relationship Type="http://schemas.openxmlformats.org/officeDocument/2006/relationships/hyperlink" Target="https://find-and-update.company-information.service.gov.uk/company/OC312252" TargetMode="External" Id="rId174" /><Relationship Type="http://schemas.openxmlformats.org/officeDocument/2006/relationships/hyperlink" Target="https://www.sackers.com" TargetMode="External" Id="rId175" /><Relationship Type="http://schemas.openxmlformats.org/officeDocument/2006/relationships/hyperlink" Target="https://www.sackers.com/" TargetMode="External" Id="rId176" /><Relationship Type="http://schemas.openxmlformats.org/officeDocument/2006/relationships/hyperlink" Target="https://find-and-update.company-information.service.gov.uk/company/OC308089" TargetMode="External" Id="rId177" /><Relationship Type="http://schemas.openxmlformats.org/officeDocument/2006/relationships/hyperlink" Target="https://www.haynesboone.com" TargetMode="External" Id="rId178" /><Relationship Type="http://schemas.openxmlformats.org/officeDocument/2006/relationships/hyperlink" Target="https://www.haynesboone.com/locations/london" TargetMode="External" Id="rId179" /><Relationship Type="http://schemas.openxmlformats.org/officeDocument/2006/relationships/hyperlink" Target="https://find-and-update.company-information.service.gov.uk/company/OC317056" TargetMode="External" Id="rId180" /><Relationship Type="http://schemas.openxmlformats.org/officeDocument/2006/relationships/hyperlink" Target="https://www.broadfield.com" TargetMode="External" Id="rId181" /><Relationship Type="http://schemas.openxmlformats.org/officeDocument/2006/relationships/hyperlink" Target="https://www.broadfield.com/" TargetMode="External" Id="rId182" /><Relationship Type="http://schemas.openxmlformats.org/officeDocument/2006/relationships/hyperlink" Target="https://find-and-update.company-information.service.gov.uk/company/OC320798" TargetMode="External" Id="rId183" /><Relationship Type="http://schemas.openxmlformats.org/officeDocument/2006/relationships/hyperlink" Target="https://www.steptoe.com" TargetMode="External" Id="rId184" /><Relationship Type="http://schemas.openxmlformats.org/officeDocument/2006/relationships/hyperlink" Target="https://www.steptoe.com/en/offices/london.html" TargetMode="External" Id="rId185" /><Relationship Type="http://schemas.openxmlformats.org/officeDocument/2006/relationships/hyperlink" Target="https://find-and-update.company-information.service.gov.uk/company/OC395074" TargetMode="External" Id="rId186" /><Relationship Type="http://schemas.openxmlformats.org/officeDocument/2006/relationships/hyperlink" Target="https://www.winston.com" TargetMode="External" Id="rId187" /><Relationship Type="http://schemas.openxmlformats.org/officeDocument/2006/relationships/hyperlink" Target="https://www.winston.com" TargetMode="External" Id="rId188" /><Relationship Type="http://schemas.openxmlformats.org/officeDocument/2006/relationships/hyperlink" Target="https://find-and-update.company-information.service.gov.uk/company/OC386268" TargetMode="External" Id="rId189" /><Relationship Type="http://schemas.openxmlformats.org/officeDocument/2006/relationships/hyperlink" Target="https://www.petersandpeters.com" TargetMode="External" Id="rId190" /><Relationship Type="http://schemas.openxmlformats.org/officeDocument/2006/relationships/hyperlink" Target="https://www.petersandpeters.com/" TargetMode="External" Id="rId191" /><Relationship Type="http://schemas.openxmlformats.org/officeDocument/2006/relationships/hyperlink" Target="https://find-and-update.company-information.service.gov.uk/company/OC352134" TargetMode="External" Id="rId192" /><Relationship Type="http://schemas.openxmlformats.org/officeDocument/2006/relationships/hyperlink" Target="https://www.dacbeachcroft.com" TargetMode="External" Id="rId193" /><Relationship Type="http://schemas.openxmlformats.org/officeDocument/2006/relationships/hyperlink" Target="https://www.dacbeachcroft.com/en/Location/United-Kingdom/England/London" TargetMode="External" Id="rId194" /><Relationship Type="http://schemas.openxmlformats.org/officeDocument/2006/relationships/hyperlink" Target="https://find-and-update.company-information.service.gov.uk/company/04218278" TargetMode="External" Id="rId195" /><Relationship Type="http://schemas.openxmlformats.org/officeDocument/2006/relationships/hyperlink" Target="http://www.m-f-b.co.uk" TargetMode="External" Id="rId196" /><Relationship Type="http://schemas.openxmlformats.org/officeDocument/2006/relationships/hyperlink" Target="http://www.m-f-b.co.uk/contact-us" TargetMode="External" Id="rId197" /><Relationship Type="http://schemas.openxmlformats.org/officeDocument/2006/relationships/hyperlink" Target="https://find-and-update.company-information.service.gov.uk/company/15399140" TargetMode="External" Id="rId198" /><Relationship Type="http://schemas.openxmlformats.org/officeDocument/2006/relationships/hyperlink" Target="https://stewarts.com" TargetMode="External" Id="rId199" /><Relationship Type="http://schemas.openxmlformats.org/officeDocument/2006/relationships/hyperlink" Target="https://stewarts.com/" TargetMode="External" Id="rId200" /><Relationship Type="http://schemas.openxmlformats.org/officeDocument/2006/relationships/hyperlink" Target="https://find-and-update.company-information.service.gov.uk/company/OC329883" TargetMode="External" Id="rId201" /><Relationship Type="http://schemas.openxmlformats.org/officeDocument/2006/relationships/hyperlink" Target="https://www.rawlinson-hunter.com" TargetMode="External" Id="rId202" /><Relationship Type="http://schemas.openxmlformats.org/officeDocument/2006/relationships/hyperlink" Target="https://www.rawlinson-hunter.com/" TargetMode="External" Id="rId203" /><Relationship Type="http://schemas.openxmlformats.org/officeDocument/2006/relationships/hyperlink" Target="https://find-and-update.company-information.service.gov.uk/company/OC430503" TargetMode="External" Id="rId204" /><Relationship Type="http://schemas.openxmlformats.org/officeDocument/2006/relationships/hyperlink" Target="https://www.conyers.com" TargetMode="External" Id="rId205" /><Relationship Type="http://schemas.openxmlformats.org/officeDocument/2006/relationships/hyperlink" Target="https://www.conyers.com" TargetMode="External" Id="rId206" /><Relationship Type="http://schemas.openxmlformats.org/officeDocument/2006/relationships/hyperlink" Target="https://find-and-update.company-information.service.gov.uk/company/03495343" TargetMode="External" Id="rId207" /><Relationship Type="http://schemas.openxmlformats.org/officeDocument/2006/relationships/hyperlink" Target="https://www.bsfllp.com" TargetMode="External" Id="rId208" /><Relationship Type="http://schemas.openxmlformats.org/officeDocument/2006/relationships/hyperlink" Target="https://www.bsfllp.com/london-legal-notices.html" TargetMode="External" Id="rId209" /><Relationship Type="http://schemas.openxmlformats.org/officeDocument/2006/relationships/hyperlink" Target="https://find-and-update.company-information.service.gov.uk/company/OC385463" TargetMode="External" Id="rId210" /><Relationship Type="http://schemas.openxmlformats.org/officeDocument/2006/relationships/hyperlink" Target="https://www.paulhastings.com" TargetMode="External" Id="rId211" /><Relationship Type="http://schemas.openxmlformats.org/officeDocument/2006/relationships/hyperlink" Target="https://www.paulhastings.com/contact" TargetMode="External" Id="rId212" /><Relationship Type="http://schemas.openxmlformats.org/officeDocument/2006/relationships/hyperlink" Target="https://find-and-update.company-information.service.gov.uk/company/OC306535" TargetMode="External" Id="rId213" /><Relationship Type="http://schemas.openxmlformats.org/officeDocument/2006/relationships/hyperlink" Target="https://find-and-update.company-information.service.gov.uk/company/07233723" TargetMode="External" Id="rId214" /><Relationship Type="http://schemas.openxmlformats.org/officeDocument/2006/relationships/hyperlink" Target="https://www.runnymede.com" TargetMode="External" Id="rId215" /><Relationship Type="http://schemas.openxmlformats.org/officeDocument/2006/relationships/hyperlink" Target="https://find-and-update.company-information.service.gov.uk/company/09248715" TargetMode="External" Id="rId216" /><Relationship Type="http://schemas.openxmlformats.org/officeDocument/2006/relationships/hyperlink" Target="https://doyleclayton.co.uk" TargetMode="External" Id="rId217" /><Relationship Type="http://schemas.openxmlformats.org/officeDocument/2006/relationships/hyperlink" Target="https://doyleclayton.co.uk/" TargetMode="External" Id="rId218" /><Relationship Type="http://schemas.openxmlformats.org/officeDocument/2006/relationships/hyperlink" Target="https://find-and-update.company-information.service.gov.uk/company/06963121" TargetMode="External" Id="rId219" /><Relationship Type="http://schemas.openxmlformats.org/officeDocument/2006/relationships/hyperlink" Target="https://osborneslaw.com" TargetMode="External" Id="rId220" /><Relationship Type="http://schemas.openxmlformats.org/officeDocument/2006/relationships/hyperlink" Target="https://osborneslaw.com/contact-us/" TargetMode="External" Id="rId221" /><Relationship Type="http://schemas.openxmlformats.org/officeDocument/2006/relationships/hyperlink" Target="https://find-and-update.company-information.service.gov.uk/company/OC322220" TargetMode="External" Id="rId222" /><Relationship Type="http://schemas.openxmlformats.org/officeDocument/2006/relationships/hyperlink" Target="https://www.stewartslaw.com" TargetMode="External" Id="rId223" /><Relationship Type="http://schemas.openxmlformats.org/officeDocument/2006/relationships/hyperlink" Target="https://www.stewartslaw.com/contact-us/" TargetMode="External" Id="rId224" /><Relationship Type="http://schemas.openxmlformats.org/officeDocument/2006/relationships/hyperlink" Target="https://find-and-update.company-information.service.gov.uk/company/OC321631" TargetMode="External" Id="rId225" /><Relationship Type="http://schemas.openxmlformats.org/officeDocument/2006/relationships/hyperlink" Target="https://www.almglobal.com" TargetMode="External" Id="rId226" /><Relationship Type="http://schemas.openxmlformats.org/officeDocument/2006/relationships/hyperlink" Target="https://www.almglobal.com" TargetMode="External" Id="rId227" /><Relationship Type="http://schemas.openxmlformats.org/officeDocument/2006/relationships/hyperlink" Target="https://find-and-update.company-information.service.gov.uk/company/04110598" TargetMode="External" Id="rId228" /><Relationship Type="http://schemas.openxmlformats.org/officeDocument/2006/relationships/hyperlink" Target="https://www.39essex.com" TargetMode="External" Id="rId229" /><Relationship Type="http://schemas.openxmlformats.org/officeDocument/2006/relationships/hyperlink" Target="https://www.39essex.com" TargetMode="External" Id="rId230" /><Relationship Type="http://schemas.openxmlformats.org/officeDocument/2006/relationships/hyperlink" Target="https://find-and-update.company-information.service.gov.uk/company/07385894" TargetMode="External" Id="rId231" /><Relationship Type="http://schemas.openxmlformats.org/officeDocument/2006/relationships/hyperlink" Target="https://www.whitecase.co.uk" TargetMode="External" Id="rId232" /><Relationship Type="http://schemas.openxmlformats.org/officeDocument/2006/relationships/hyperlink" Target="https://www.whitecase.com/locations/emea/london" TargetMode="External" Id="rId233" /><Relationship Type="http://schemas.openxmlformats.org/officeDocument/2006/relationships/hyperlink" Target="https://find-and-update.company-information.service.gov.uk/company/OC324340" TargetMode="External" Id="rId234" /><Relationship Type="http://schemas.openxmlformats.org/officeDocument/2006/relationships/hyperlink" Target="https://www.gtlaw.com" TargetMode="External" Id="rId235" /><Relationship Type="http://schemas.openxmlformats.org/officeDocument/2006/relationships/hyperlink" Target="https://www.gtlaw.com/en/locations/london" TargetMode="External" Id="rId236" /><Relationship Type="http://schemas.openxmlformats.org/officeDocument/2006/relationships/hyperlink" Target="https://find-and-update.company-information.service.gov.uk/company/OC346053" TargetMode="External" Id="rId237" /><Relationship Type="http://schemas.openxmlformats.org/officeDocument/2006/relationships/hyperlink" Target="https://www.keystone.com" TargetMode="External" Id="rId238" /><Relationship Type="http://schemas.openxmlformats.org/officeDocument/2006/relationships/hyperlink" Target="https://www.keystone.com/" TargetMode="External" Id="rId239" /><Relationship Type="http://schemas.openxmlformats.org/officeDocument/2006/relationships/hyperlink" Target="https://find-and-update.company-information.service.gov.uk/company/04650763" TargetMode="External" Id="rId240" /><Relationship Type="http://schemas.openxmlformats.org/officeDocument/2006/relationships/hyperlink" Target="https://shearwater.com" TargetMode="External" Id="rId241" /><Relationship Type="http://schemas.openxmlformats.org/officeDocument/2006/relationships/hyperlink" Target="https://shearwater.com/pages/contact" TargetMode="External" Id="rId242" /><Relationship Type="http://schemas.openxmlformats.org/officeDocument/2006/relationships/hyperlink" Target="https://find-and-update.company-information.service.gov.uk/company/08589434" TargetMode="External" Id="rId243" /><Relationship Type="http://schemas.openxmlformats.org/officeDocument/2006/relationships/hyperlink" Target="https://anthonygold.co.uk" TargetMode="External" Id="rId244" /><Relationship Type="http://schemas.openxmlformats.org/officeDocument/2006/relationships/hyperlink" Target="https://anthonygold.co.uk/" TargetMode="External" Id="rId245" /><Relationship Type="http://schemas.openxmlformats.org/officeDocument/2006/relationships/hyperlink" Target="https://find-and-update.company-information.service.gov.uk/company/OC433560" TargetMode="External" Id="rId246" /><Relationship Type="http://schemas.openxmlformats.org/officeDocument/2006/relationships/hyperlink" Target="https://www.kslaw.com" TargetMode="External" Id="rId247" /><Relationship Type="http://schemas.openxmlformats.org/officeDocument/2006/relationships/hyperlink" Target="https://www.kslaw.com/offices/london" TargetMode="External" Id="rId248" /><Relationship Type="http://schemas.openxmlformats.org/officeDocument/2006/relationships/hyperlink" Target="https://find-and-update.company-information.service.gov.uk/company/OC303151" TargetMode="External" Id="rId249" /><Relationship Type="http://schemas.openxmlformats.org/officeDocument/2006/relationships/hyperlink" Target="https://www.mcdermottlaw.com" TargetMode="External" Id="rId250" /><Relationship Type="http://schemas.openxmlformats.org/officeDocument/2006/relationships/hyperlink" Target="https://find-and-update.company-information.service.gov.uk/company/OC311909" TargetMode="External" Id="rId251" /><Relationship Type="http://schemas.openxmlformats.org/officeDocument/2006/relationships/hyperlink" Target="https://www.phb.co.uk" TargetMode="External" Id="rId252" /><Relationship Type="http://schemas.openxmlformats.org/officeDocument/2006/relationships/hyperlink" Target="https://www.phb.co.uk/" TargetMode="External" Id="rId253" /><Relationship Type="http://schemas.openxmlformats.org/officeDocument/2006/relationships/hyperlink" Target="https://find-and-update.company-information.service.gov.uk/company/OC430964" TargetMode="External" Id="rId254" /><Relationship Type="http://schemas.openxmlformats.org/officeDocument/2006/relationships/hyperlink" Target="https://secretariat-intl.com" TargetMode="External" Id="rId255" /><Relationship Type="http://schemas.openxmlformats.org/officeDocument/2006/relationships/hyperlink" Target="https://secretariat-intl.com/privacy-policy/" TargetMode="External" Id="rId256" /><Relationship Type="http://schemas.openxmlformats.org/officeDocument/2006/relationships/hyperlink" Target="https://find-and-update.company-information.service.gov.uk/company/09692990" TargetMode="External" Id="rId257" /><Relationship Type="http://schemas.openxmlformats.org/officeDocument/2006/relationships/hyperlink" Target="https://clear.bank" TargetMode="External" Id="rId258" /><Relationship Type="http://schemas.openxmlformats.org/officeDocument/2006/relationships/hyperlink" Target="https://clear.bank/contact-us" TargetMode="External" Id="rId259" /><Relationship Type="http://schemas.openxmlformats.org/officeDocument/2006/relationships/hyperlink" Target="https://find-and-update.company-information.service.gov.uk/company/09736376" TargetMode="External" Id="rId260" /><Relationship Type="http://schemas.openxmlformats.org/officeDocument/2006/relationships/hyperlink" Target="https://www.ubagroup.com" TargetMode="External" Id="rId261" /><Relationship Type="http://schemas.openxmlformats.org/officeDocument/2006/relationships/hyperlink" Target="https://www.ubagroup.com" TargetMode="External" Id="rId262" /><Relationship Type="http://schemas.openxmlformats.org/officeDocument/2006/relationships/hyperlink" Target="https://find-and-update.company-information.service.gov.uk/company/03104974" TargetMode="External" Id="rId263" /><Relationship Type="http://schemas.openxmlformats.org/officeDocument/2006/relationships/hyperlink" Target="https://monzo.com" TargetMode="External" Id="rId264" /><Relationship Type="http://schemas.openxmlformats.org/officeDocument/2006/relationships/hyperlink" Target="https://monzo.com/legal/terms-and-conditions" TargetMode="External" Id="rId265" /><Relationship Type="http://schemas.openxmlformats.org/officeDocument/2006/relationships/hyperlink" Target="https://find-and-update.company-information.service.gov.uk/company/09446231" TargetMode="External" Id="rId266" /><Relationship Type="http://schemas.openxmlformats.org/officeDocument/2006/relationships/hyperlink" Target="https://www.fire.com" TargetMode="External" Id="rId267" /><Relationship Type="http://schemas.openxmlformats.org/officeDocument/2006/relationships/hyperlink" Target="https://www.fire.com/" TargetMode="External" Id="rId268" /><Relationship Type="http://schemas.openxmlformats.org/officeDocument/2006/relationships/hyperlink" Target="https://find-and-update.company-information.service.gov.uk/company/11549793" TargetMode="External" Id="rId269" /><Relationship Type="http://schemas.openxmlformats.org/officeDocument/2006/relationships/hyperlink" Target="https://kroo.com" TargetMode="External" Id="rId270" /><Relationship Type="http://schemas.openxmlformats.org/officeDocument/2006/relationships/hyperlink" Target="https://help.kroo.com/hc/en-gb/articles/9285279736721-Contacting-Customer-Support" TargetMode="External" Id="rId271" /><Relationship Type="http://schemas.openxmlformats.org/officeDocument/2006/relationships/hyperlink" Target="https://find-and-update.company-information.service.gov.uk/company/10359002" TargetMode="External" Id="rId272" /><Relationship Type="http://schemas.openxmlformats.org/officeDocument/2006/relationships/hyperlink" Target="https://www.adib.com" TargetMode="External" Id="rId273" /><Relationship Type="http://schemas.openxmlformats.org/officeDocument/2006/relationships/hyperlink" Target="https://www.adib.com/contact-us" TargetMode="External" Id="rId274" /><Relationship Type="http://schemas.openxmlformats.org/officeDocument/2006/relationships/hyperlink" Target="https://find-and-update.company-information.service.gov.uk/company/07327879" TargetMode="External" Id="rId275" /><Relationship Type="http://schemas.openxmlformats.org/officeDocument/2006/relationships/hyperlink" Target="https://www.dnb.com" TargetMode="External" Id="rId276" /><Relationship Type="http://schemas.openxmlformats.org/officeDocument/2006/relationships/hyperlink" Target="https://www.dnb.com/en-us/about/careers.html" TargetMode="External" Id="rId277" /><Relationship Type="http://schemas.openxmlformats.org/officeDocument/2006/relationships/hyperlink" Target="https://find-and-update.company-information.service.gov.uk/company/03342104" TargetMode="External" Id="rId278" /><Relationship Type="http://schemas.openxmlformats.org/officeDocument/2006/relationships/hyperlink" Target="https://www.nomura.com" TargetMode="External" Id="rId279" /><Relationship Type="http://schemas.openxmlformats.org/officeDocument/2006/relationships/hyperlink" Target="https://www.nomura.com" TargetMode="External" Id="rId280" /><Relationship Type="http://schemas.openxmlformats.org/officeDocument/2006/relationships/hyperlink" Target="https://find-and-update.company-information.service.gov.uk/company/01981122" TargetMode="External" Id="rId281" /><Relationship Type="http://schemas.openxmlformats.org/officeDocument/2006/relationships/hyperlink" Target="https://www.ubs.com" TargetMode="External" Id="rId282" /><Relationship Type="http://schemas.openxmlformats.org/officeDocument/2006/relationships/hyperlink" Target="https://www.ubs.com/locations/united-kingdom/london/5-broadgate/" TargetMode="External" Id="rId283" /><Relationship Type="http://schemas.openxmlformats.org/officeDocument/2006/relationships/hyperlink" Target="https://find-and-update.company-information.service.gov.uk/company/01767389" TargetMode="External" Id="rId284" /><Relationship Type="http://schemas.openxmlformats.org/officeDocument/2006/relationships/hyperlink" Target="https://www.bacb.co.uk/" TargetMode="External" Id="rId285" /><Relationship Type="http://schemas.openxmlformats.org/officeDocument/2006/relationships/hyperlink" Target="https://www.bacb.co.uk/" TargetMode="External" Id="rId286" /><Relationship Type="http://schemas.openxmlformats.org/officeDocument/2006/relationships/hyperlink" Target="https://find-and-update.company-information.service.gov.uk/company/01047302" TargetMode="External" Id="rId287" /><Relationship Type="http://schemas.openxmlformats.org/officeDocument/2006/relationships/hyperlink" Target="https://recognisebank.co.uk" TargetMode="External" Id="rId288" /><Relationship Type="http://schemas.openxmlformats.org/officeDocument/2006/relationships/hyperlink" Target="https://recognisebank.co.uk/contact-us/" TargetMode="External" Id="rId289" /><Relationship Type="http://schemas.openxmlformats.org/officeDocument/2006/relationships/hyperlink" Target="https://find-and-update.company-information.service.gov.uk/company/10603119" TargetMode="External" Id="rId290" /><Relationship Type="http://schemas.openxmlformats.org/officeDocument/2006/relationships/hyperlink" Target="https://www.goldmansachs.com" TargetMode="External" Id="rId291" /><Relationship Type="http://schemas.openxmlformats.org/officeDocument/2006/relationships/hyperlink" Target="https://find-and-update.company-information.service.gov.uk/company/01122503" TargetMode="External" Id="rId292" /><Relationship Type="http://schemas.openxmlformats.org/officeDocument/2006/relationships/hyperlink" Target="https://www.birminghambank.com" TargetMode="External" Id="rId293" /><Relationship Type="http://schemas.openxmlformats.org/officeDocument/2006/relationships/hyperlink" Target="https://www.birminghambank.com/" TargetMode="External" Id="rId294" /><Relationship Type="http://schemas.openxmlformats.org/officeDocument/2006/relationships/hyperlink" Target="https://find-and-update.company-information.service.gov.uk/company/00555071" TargetMode="External" Id="rId295" /><Relationship Type="http://schemas.openxmlformats.org/officeDocument/2006/relationships/hyperlink" Target="https://thisbank.co.uk/" TargetMode="External" Id="rId296" /><Relationship Type="http://schemas.openxmlformats.org/officeDocument/2006/relationships/hyperlink" Target="https://thisbank.co.uk/contact-us" TargetMode="External" Id="rId297" /><Relationship Type="http://schemas.openxmlformats.org/officeDocument/2006/relationships/hyperlink" Target="https://find-and-update.company-information.service.gov.uk/company/11734380" TargetMode="External" Id="rId298" /><Relationship Type="http://schemas.openxmlformats.org/officeDocument/2006/relationships/hyperlink" Target="https://www.enersys.com" TargetMode="External" Id="rId299" /><Relationship Type="http://schemas.openxmlformats.org/officeDocument/2006/relationships/hyperlink" Target="https://www.enersys.com/en/about-us/suppliers/" TargetMode="External" Id="rId300" /><Relationship Type="http://schemas.openxmlformats.org/officeDocument/2006/relationships/hyperlink" Target="https://find-and-update.company-information.service.gov.uk/company/00185070" TargetMode="External" Id="rId301" /><Relationship Type="http://schemas.openxmlformats.org/officeDocument/2006/relationships/hyperlink" Target="https://www.smbcgroup.com" TargetMode="External" Id="rId302" /><Relationship Type="http://schemas.openxmlformats.org/officeDocument/2006/relationships/hyperlink" Target="https://www.smbcgroup.com/emea/privacy" TargetMode="External" Id="rId303" /><Relationship Type="http://schemas.openxmlformats.org/officeDocument/2006/relationships/hyperlink" Target="https://find-and-update.company-information.service.gov.uk/company/04684034" TargetMode="External" Id="rId304" /><Relationship Type="http://schemas.openxmlformats.org/officeDocument/2006/relationships/hyperlink" Target="https://fidbank.co.uk" TargetMode="External" Id="rId305" /><Relationship Type="http://schemas.openxmlformats.org/officeDocument/2006/relationships/hyperlink" Target="https://fidbank.co.uk/contact-us.html" TargetMode="External" Id="rId306" /><Relationship Type="http://schemas.openxmlformats.org/officeDocument/2006/relationships/hyperlink" Target="https://find-and-update.company-information.service.gov.uk/company/04661188" TargetMode="External" Id="rId307" /><Relationship Type="http://schemas.openxmlformats.org/officeDocument/2006/relationships/hyperlink" Target="https://zenith.com" TargetMode="External" Id="rId308" /><Relationship Type="http://schemas.openxmlformats.org/officeDocument/2006/relationships/hyperlink" Target="https://zenith.com/" TargetMode="External" Id="rId309" /><Relationship Type="http://schemas.openxmlformats.org/officeDocument/2006/relationships/hyperlink" Target="https://find-and-update.company-information.service.gov.uk/company/05713749" TargetMode="External" Id="rId310" /><Relationship Type="http://schemas.openxmlformats.org/officeDocument/2006/relationships/hyperlink" Target="https://scventures.io/" TargetMode="External" Id="rId311" /><Relationship Type="http://schemas.openxmlformats.org/officeDocument/2006/relationships/hyperlink" Target="https://find-and-update.company-information.service.gov.uk/company/00106502" TargetMode="External" Id="rId312" /><Relationship Type="http://schemas.openxmlformats.org/officeDocument/2006/relationships/hyperlink" Target="https://afinbank.com" TargetMode="External" Id="rId313" /><Relationship Type="http://schemas.openxmlformats.org/officeDocument/2006/relationships/hyperlink" Target="https://afinbank.com/about/media-centre/" TargetMode="External" Id="rId314" /><Relationship Type="http://schemas.openxmlformats.org/officeDocument/2006/relationships/hyperlink" Target="https://find-and-update.company-information.service.gov.uk/company/13090556" TargetMode="External" Id="rId315" /><Relationship Type="http://schemas.openxmlformats.org/officeDocument/2006/relationships/hyperlink" Target="https://rbc.co.uk" TargetMode="External" Id="rId316" /><Relationship Type="http://schemas.openxmlformats.org/officeDocument/2006/relationships/hyperlink" Target="https://rbc.co.uk/" TargetMode="External" Id="rId317" /><Relationship Type="http://schemas.openxmlformats.org/officeDocument/2006/relationships/hyperlink" Target="https://find-and-update.company-information.service.gov.uk/company/00995939" TargetMode="External" Id="rId318" /><Relationship Type="http://schemas.openxmlformats.org/officeDocument/2006/relationships/hyperlink" Target="https://www.lhv.com" TargetMode="External" Id="rId319" /><Relationship Type="http://schemas.openxmlformats.org/officeDocument/2006/relationships/hyperlink" Target="https://www.lhv.com/about/contact" TargetMode="External" Id="rId320" /><Relationship Type="http://schemas.openxmlformats.org/officeDocument/2006/relationships/hyperlink" Target="https://find-and-update.company-information.service.gov.uk/company/13180211" TargetMode="External" Id="rId321" /><Relationship Type="http://schemas.openxmlformats.org/officeDocument/2006/relationships/hyperlink" Target="https://turkish.co.uk" TargetMode="External" Id="rId322" /><Relationship Type="http://schemas.openxmlformats.org/officeDocument/2006/relationships/hyperlink" Target="https://find-and-update.company-information.service.gov.uk/company/02643004" TargetMode="External" Id="rId323" /><Relationship Type="http://schemas.openxmlformats.org/officeDocument/2006/relationships/hyperlink" Target="https://www.fbnbank.co.uk/" TargetMode="External" Id="rId324" /><Relationship Type="http://schemas.openxmlformats.org/officeDocument/2006/relationships/hyperlink" Target="https://www.fbnbank.co.uk/contact-us/" TargetMode="External" Id="rId325" /><Relationship Type="http://schemas.openxmlformats.org/officeDocument/2006/relationships/hyperlink" Target="https://find-and-update.company-information.service.gov.uk/company/04459383" TargetMode="External" Id="rId326" /><Relationship Type="http://schemas.openxmlformats.org/officeDocument/2006/relationships/hyperlink" Target="https://www.reliance.com" TargetMode="External" Id="rId327" /><Relationship Type="http://schemas.openxmlformats.org/officeDocument/2006/relationships/hyperlink" Target="https://www.reliance.com/about/faq/" TargetMode="External" Id="rId328" /><Relationship Type="http://schemas.openxmlformats.org/officeDocument/2006/relationships/hyperlink" Target="https://find-and-update.company-information.service.gov.uk/company/00068835" TargetMode="External" Id="rId329" /><Relationship Type="http://schemas.openxmlformats.org/officeDocument/2006/relationships/hyperlink" Target="https://www.db.com" TargetMode="External" Id="rId330" /><Relationship Type="http://schemas.openxmlformats.org/officeDocument/2006/relationships/hyperlink" Target="https://country.db.com/uk/press" TargetMode="External" Id="rId331" /><Relationship Type="http://schemas.openxmlformats.org/officeDocument/2006/relationships/hyperlink" Target="https://find-and-update.company-information.service.gov.uk/company/00315841" TargetMode="External" Id="rId332" /><Relationship Type="http://schemas.openxmlformats.org/officeDocument/2006/relationships/hyperlink" Target="https://fcmbuk.com/" TargetMode="External" Id="rId333" /><Relationship Type="http://schemas.openxmlformats.org/officeDocument/2006/relationships/hyperlink" Target="https://fcmbuk.com/contact/" TargetMode="External" Id="rId334" /><Relationship Type="http://schemas.openxmlformats.org/officeDocument/2006/relationships/hyperlink" Target="https://find-and-update.company-information.service.gov.uk/company/06621225" TargetMode="External" Id="rId335" /><Relationship Type="http://schemas.openxmlformats.org/officeDocument/2006/relationships/hyperlink" Target="https://ghana.com" TargetMode="External" Id="rId336" /><Relationship Type="http://schemas.openxmlformats.org/officeDocument/2006/relationships/hyperlink" Target="https://ghana.com/" TargetMode="External" Id="rId337" /><Relationship Type="http://schemas.openxmlformats.org/officeDocument/2006/relationships/hyperlink" Target="https://find-and-update.company-information.service.gov.uk/company/03468216" TargetMode="External" Id="rId338" /><Relationship Type="http://schemas.openxmlformats.org/officeDocument/2006/relationships/hyperlink" Target="https://www.unionbankofindiauk.co.uk/" TargetMode="External" Id="rId339" /><Relationship Type="http://schemas.openxmlformats.org/officeDocument/2006/relationships/hyperlink" Target="https://www.unionbankofindiauk.co.uk/personal-banking" TargetMode="External" Id="rId340" /><Relationship Type="http://schemas.openxmlformats.org/officeDocument/2006/relationships/hyperlink" Target="https://find-and-update.company-information.service.gov.uk/company/07653660" TargetMode="External" Id="rId341" /><Relationship Type="http://schemas.openxmlformats.org/officeDocument/2006/relationships/hyperlink" Target="https://www.pnbint.co.uk/" TargetMode="External" Id="rId342" /><Relationship Type="http://schemas.openxmlformats.org/officeDocument/2006/relationships/hyperlink" Target="https://rocketreach.co/punjab-national-bank-international-limited-london-email-format_b5d20405f42e3b91" TargetMode="External" Id="rId343" /><Relationship Type="http://schemas.openxmlformats.org/officeDocument/2006/relationships/hyperlink" Target="https://find-and-update.company-information.service.gov.uk/company/05781326" TargetMode="External" Id="rId344" /><Relationship Type="http://schemas.openxmlformats.org/officeDocument/2006/relationships/hyperlink" Target="https://www.pidg.com" TargetMode="External" Id="rId345" /><Relationship Type="http://schemas.openxmlformats.org/officeDocument/2006/relationships/hyperlink" Target="https://find-and-update.company-information.service.gov.uk/company/11265124" TargetMode="External" Id="rId346" /><Relationship Type="http://schemas.openxmlformats.org/officeDocument/2006/relationships/hyperlink" Target="https://www.kexim.co.uk/" TargetMode="External" Id="rId347" /><Relationship Type="http://schemas.openxmlformats.org/officeDocument/2006/relationships/hyperlink" Target="https://bankchart.co.uk/catalogue/banks/id/134" TargetMode="External" Id="rId348" /><Relationship Type="http://schemas.openxmlformats.org/officeDocument/2006/relationships/hyperlink" Target="https://find-and-update.company-information.service.gov.uk/company/02693038" TargetMode="External" Id="rId349" /><Relationship Type="http://schemas.openxmlformats.org/officeDocument/2006/relationships/hyperlink" Target="http://www.nmrothschild.com" TargetMode="External" Id="rId350" /><Relationship Type="http://schemas.openxmlformats.org/officeDocument/2006/relationships/hyperlink" Target="https://find-and-update.company-information.service.gov.uk/company/00925279" TargetMode="External" Id="rId351" /><Relationship Type="http://schemas.openxmlformats.org/officeDocument/2006/relationships/hyperlink" Target="https://brownshipley.com" TargetMode="External" Id="rId352" /><Relationship Type="http://schemas.openxmlformats.org/officeDocument/2006/relationships/hyperlink" Target="https://brownshipley.com/en-gb/contact-us" TargetMode="External" Id="rId353" /><Relationship Type="http://schemas.openxmlformats.org/officeDocument/2006/relationships/hyperlink" Target="https://find-and-update.company-information.service.gov.uk/company/00398426" TargetMode="External" Id="rId354" /><Relationship Type="http://schemas.openxmlformats.org/officeDocument/2006/relationships/hyperlink" Target="https://habibbank.com/gb/" TargetMode="External" Id="rId355" /><Relationship Type="http://schemas.openxmlformats.org/officeDocument/2006/relationships/hyperlink" Target="https://habibbank.com/gb/contact-us/" TargetMode="External" Id="rId356" /><Relationship Type="http://schemas.openxmlformats.org/officeDocument/2006/relationships/hyperlink" Target="https://find-and-update.company-information.service.gov.uk/company/08864609" TargetMode="External" Id="rId357" /><Relationship Type="http://schemas.openxmlformats.org/officeDocument/2006/relationships/hyperlink" Target="https://www.bny.com" TargetMode="External" Id="rId358" /><Relationship Type="http://schemas.openxmlformats.org/officeDocument/2006/relationships/hyperlink" Target="https://www.bny.com/investments/uk/en/institutional/contact-us.html" TargetMode="External" Id="rId359" /><Relationship Type="http://schemas.openxmlformats.org/officeDocument/2006/relationships/hyperlink" Target="https://find-and-update.company-information.service.gov.uk/company/05640740" TargetMode="External" Id="rId360" /><Relationship Type="http://schemas.openxmlformats.org/officeDocument/2006/relationships/hyperlink" Target="https://www.langhamhall.com" TargetMode="External" Id="rId361" /><Relationship Type="http://schemas.openxmlformats.org/officeDocument/2006/relationships/hyperlink" Target="https://www.langhamhall.com/locations/shenzhen" TargetMode="External" Id="rId362" /><Relationship Type="http://schemas.openxmlformats.org/officeDocument/2006/relationships/hyperlink" Target="https://find-and-update.company-information.service.gov.uk/company/OC319723" TargetMode="External" Id="rId363" /><Relationship Type="http://schemas.openxmlformats.org/officeDocument/2006/relationships/hyperlink" Target="https://www.fnz.com" TargetMode="External" Id="rId364" /><Relationship Type="http://schemas.openxmlformats.org/officeDocument/2006/relationships/hyperlink" Target="https://www.fnz.com/contact" TargetMode="External" Id="rId365" /><Relationship Type="http://schemas.openxmlformats.org/officeDocument/2006/relationships/hyperlink" Target="https://find-and-update.company-information.service.gov.uk/company/09486463" TargetMode="External" Id="rId366" /><Relationship Type="http://schemas.openxmlformats.org/officeDocument/2006/relationships/hyperlink" Target="https://www.morningstar.com" TargetMode="External" Id="rId367" /><Relationship Type="http://schemas.openxmlformats.org/officeDocument/2006/relationships/hyperlink" Target="https://www.morningstar.com/" TargetMode="External" Id="rId368" /><Relationship Type="http://schemas.openxmlformats.org/officeDocument/2006/relationships/hyperlink" Target="https://find-and-update.company-information.service.gov.uk/company/06016828" TargetMode="External" Id="rId369" /><Relationship Type="http://schemas.openxmlformats.org/officeDocument/2006/relationships/hyperlink" Target="https://find-and-update.company-information.service.gov.uk/company/15989908" TargetMode="External" Id="rId370" /><Relationship Type="http://schemas.openxmlformats.org/officeDocument/2006/relationships/hyperlink" Target="https://www.carnegroup.com" TargetMode="External" Id="rId371" /><Relationship Type="http://schemas.openxmlformats.org/officeDocument/2006/relationships/hyperlink" Target="https://www.carnegroup.com/get-in-touch/" TargetMode="External" Id="rId372" /><Relationship Type="http://schemas.openxmlformats.org/officeDocument/2006/relationships/hyperlink" Target="https://find-and-update.company-information.service.gov.uk/company/11555138" TargetMode="External" Id="rId373" /><Relationship Type="http://schemas.openxmlformats.org/officeDocument/2006/relationships/hyperlink" Target="https://www.apex.co.uk" TargetMode="External" Id="rId374" /><Relationship Type="http://schemas.openxmlformats.org/officeDocument/2006/relationships/hyperlink" Target="https://www.apex.co.uk/" TargetMode="External" Id="rId375" /><Relationship Type="http://schemas.openxmlformats.org/officeDocument/2006/relationships/hyperlink" Target="https://find-and-update.company-information.service.gov.uk/company/03853848" TargetMode="External" Id="rId376" /><Relationship Type="http://schemas.openxmlformats.org/officeDocument/2006/relationships/hyperlink" Target="https://alterdomus.com" TargetMode="External" Id="rId377" /><Relationship Type="http://schemas.openxmlformats.org/officeDocument/2006/relationships/hyperlink" Target="https://find-and-update.company-information.service.gov.uk/company/08962253" TargetMode="External" Id="rId378" /><Relationship Type="http://schemas.openxmlformats.org/officeDocument/2006/relationships/hyperlink" Target="https://www.hearthstone.com" TargetMode="External" Id="rId379" /><Relationship Type="http://schemas.openxmlformats.org/officeDocument/2006/relationships/hyperlink" Target="https://www.hearthstone.com/" TargetMode="External" Id="rId380" /><Relationship Type="http://schemas.openxmlformats.org/officeDocument/2006/relationships/hyperlink" Target="https://find-and-update.company-information.service.gov.uk/company/06379066" TargetMode="External" Id="rId381" /><Relationship Type="http://schemas.openxmlformats.org/officeDocument/2006/relationships/hyperlink" Target="https://nmr.oxinst.com" TargetMode="External" Id="rId382" /><Relationship Type="http://schemas.openxmlformats.org/officeDocument/2006/relationships/hyperlink" Target="https://www.oxinst.com/corporate-content/privacy" TargetMode="External" Id="rId383" /><Relationship Type="http://schemas.openxmlformats.org/officeDocument/2006/relationships/hyperlink" Target="https://find-and-update.company-information.service.gov.uk/company/09028327" TargetMode="External" Id="rId384" /><Relationship Type="http://schemas.openxmlformats.org/officeDocument/2006/relationships/hyperlink" Target="https://www.stafford.co.uk" TargetMode="External" Id="rId385" /><Relationship Type="http://schemas.openxmlformats.org/officeDocument/2006/relationships/hyperlink" Target="https://www.stafford.co.uk/privacy.aspx" TargetMode="External" Id="rId386" /><Relationship Type="http://schemas.openxmlformats.org/officeDocument/2006/relationships/hyperlink" Target="https://find-and-update.company-information.service.gov.uk/company/04752750" TargetMode="External" Id="rId387" /><Relationship Type="http://schemas.openxmlformats.org/officeDocument/2006/relationships/hyperlink" Target="https://tritax.co.uk" TargetMode="External" Id="rId388" /><Relationship Type="http://schemas.openxmlformats.org/officeDocument/2006/relationships/hyperlink" Target="https://tritax.co.uk/" TargetMode="External" Id="rId389" /><Relationship Type="http://schemas.openxmlformats.org/officeDocument/2006/relationships/hyperlink" Target="https://find-and-update.company-information.service.gov.uk/company/OC326500" TargetMode="External" Id="rId390" /><Relationship Type="http://schemas.openxmlformats.org/officeDocument/2006/relationships/hyperlink" Target="https://www.microsoft.com" TargetMode="External" Id="rId391" /><Relationship Type="http://schemas.openxmlformats.org/officeDocument/2006/relationships/hyperlink" Target="https://www.microsoft.com/en-us/legal/compliance/recycling" TargetMode="External" Id="rId392" /><Relationship Type="http://schemas.openxmlformats.org/officeDocument/2006/relationships/hyperlink" Target="https://find-and-update.company-information.service.gov.uk/company/02215798" TargetMode="External" Id="rId393" /><Relationship Type="http://schemas.openxmlformats.org/officeDocument/2006/relationships/hyperlink" Target="https://www.crowdcube.com" TargetMode="External" Id="rId394" /><Relationship Type="http://schemas.openxmlformats.org/officeDocument/2006/relationships/hyperlink" Target="https://www.crowdcube.com/contact" TargetMode="External" Id="rId395" /><Relationship Type="http://schemas.openxmlformats.org/officeDocument/2006/relationships/hyperlink" Target="https://find-and-update.company-information.service.gov.uk/company/07014587" TargetMode="External" Id="rId396" /><Relationship Type="http://schemas.openxmlformats.org/officeDocument/2006/relationships/hyperlink" Target="https://www.steamshipmutual.com" TargetMode="External" Id="rId397" /><Relationship Type="http://schemas.openxmlformats.org/officeDocument/2006/relationships/hyperlink" Target="https://find-and-update.company-information.service.gov.uk/company/00105461" TargetMode="External" Id="rId398" /><Relationship Type="http://schemas.openxmlformats.org/officeDocument/2006/relationships/hyperlink" Target="https://momentafinance.co.uk" TargetMode="External" Id="rId399" /><Relationship Type="http://schemas.openxmlformats.org/officeDocument/2006/relationships/hyperlink" Target="https://momentafinance.co.uk/" TargetMode="External" Id="rId400" /><Relationship Type="http://schemas.openxmlformats.org/officeDocument/2006/relationships/hyperlink" Target="https://find-and-update.company-information.service.gov.uk/company/14423247" TargetMode="External" Id="rId401" /><Relationship Type="http://schemas.openxmlformats.org/officeDocument/2006/relationships/hyperlink" Target="https://apventures.com" TargetMode="External" Id="rId402" /><Relationship Type="http://schemas.openxmlformats.org/officeDocument/2006/relationships/hyperlink" Target="https://apventures.com/get-in-touch" TargetMode="External" Id="rId403" /><Relationship Type="http://schemas.openxmlformats.org/officeDocument/2006/relationships/hyperlink" Target="https://find-and-update.company-information.service.gov.uk/company/OC414076" TargetMode="External" Id="rId404" /><Relationship Type="http://schemas.openxmlformats.org/officeDocument/2006/relationships/hyperlink" Target="https://investor.vanguard.com" TargetMode="External" Id="rId405" /><Relationship Type="http://schemas.openxmlformats.org/officeDocument/2006/relationships/hyperlink" Target="https://investor.vanguard.com/privacy-center/do-not-sell" TargetMode="External" Id="rId406" /><Relationship Type="http://schemas.openxmlformats.org/officeDocument/2006/relationships/hyperlink" Target="https://find-and-update.company-information.service.gov.uk/company/07242969" TargetMode="External" Id="rId407" /><Relationship Type="http://schemas.openxmlformats.org/officeDocument/2006/relationships/hyperlink" Target="https://www.scottishwidows.co.uk" TargetMode="External" Id="rId408" /><Relationship Type="http://schemas.openxmlformats.org/officeDocument/2006/relationships/hyperlink" Target="https://find-and-update.company-information.service.gov.uk/company/03196171" TargetMode="External" Id="rId409" /><Relationship Type="http://schemas.openxmlformats.org/officeDocument/2006/relationships/hyperlink" Target="https://www.picapital.com" TargetMode="External" Id="rId410" /><Relationship Type="http://schemas.openxmlformats.org/officeDocument/2006/relationships/hyperlink" Target="https://www.picapital.com/" TargetMode="External" Id="rId411" /><Relationship Type="http://schemas.openxmlformats.org/officeDocument/2006/relationships/hyperlink" Target="https://find-and-update.company-information.service.gov.uk/company/01387182" TargetMode="External" Id="rId412" /><Relationship Type="http://schemas.openxmlformats.org/officeDocument/2006/relationships/hyperlink" Target="https://crydercapital.com" TargetMode="External" Id="rId413" /><Relationship Type="http://schemas.openxmlformats.org/officeDocument/2006/relationships/hyperlink" Target="https://crydercapital.com/contact-us/" TargetMode="External" Id="rId414" /><Relationship Type="http://schemas.openxmlformats.org/officeDocument/2006/relationships/hyperlink" Target="https://find-and-update.company-information.service.gov.uk/company/OC360410" TargetMode="External" Id="rId415" /><Relationship Type="http://schemas.openxmlformats.org/officeDocument/2006/relationships/hyperlink" Target="https://www.prytania.com" TargetMode="External" Id="rId416" /><Relationship Type="http://schemas.openxmlformats.org/officeDocument/2006/relationships/hyperlink" Target="https://www.prytania.com/contact" TargetMode="External" Id="rId417" /><Relationship Type="http://schemas.openxmlformats.org/officeDocument/2006/relationships/hyperlink" Target="https://find-and-update.company-information.service.gov.uk/company/10500586" TargetMode="External" Id="rId418" /><Relationship Type="http://schemas.openxmlformats.org/officeDocument/2006/relationships/hyperlink" Target="https://tindallriley.co.uk" TargetMode="External" Id="rId419" /><Relationship Type="http://schemas.openxmlformats.org/officeDocument/2006/relationships/hyperlink" Target="https://tindallriley.co.uk/contact-us/" TargetMode="External" Id="rId420" /><Relationship Type="http://schemas.openxmlformats.org/officeDocument/2006/relationships/hyperlink" Target="https://find-and-update.company-information.service.gov.uk/company/08451968" TargetMode="External" Id="rId421" /><Relationship Type="http://schemas.openxmlformats.org/officeDocument/2006/relationships/hyperlink" Target="https://find-and-update.company-information.service.gov.uk/company/03985522" TargetMode="External" Id="rId422" /><Relationship Type="http://schemas.openxmlformats.org/officeDocument/2006/relationships/hyperlink" Target="https://www.aberforth.co.uk" TargetMode="External" Id="rId423" /><Relationship Type="http://schemas.openxmlformats.org/officeDocument/2006/relationships/hyperlink" Target="https://www.aberforth.co.uk/" TargetMode="External" Id="rId424" /><Relationship Type="http://schemas.openxmlformats.org/officeDocument/2006/relationships/hyperlink" Target="https://find-and-update.company-information.service.gov.uk/company/OC313353" TargetMode="External" Id="rId425" /><Relationship Type="http://schemas.openxmlformats.org/officeDocument/2006/relationships/hyperlink" Target="https://dale.com" TargetMode="External" Id="rId426" /><Relationship Type="http://schemas.openxmlformats.org/officeDocument/2006/relationships/hyperlink" Target="https://dale.com/privacy" TargetMode="External" Id="rId427" /><Relationship Type="http://schemas.openxmlformats.org/officeDocument/2006/relationships/hyperlink" Target="https://find-and-update.company-information.service.gov.uk/company/08698094" TargetMode="External" Id="rId428" /><Relationship Type="http://schemas.openxmlformats.org/officeDocument/2006/relationships/hyperlink" Target="https://mmc.vc/contact-us/" TargetMode="External" Id="rId429" /><Relationship Type="http://schemas.openxmlformats.org/officeDocument/2006/relationships/hyperlink" Target="https://find-and-update.company-information.service.gov.uk/company/OC450941" TargetMode="External" Id="rId430" /><Relationship Type="http://schemas.openxmlformats.org/officeDocument/2006/relationships/hyperlink" Target="https://www.aeriusassociates.com" TargetMode="External" Id="rId431" /><Relationship Type="http://schemas.openxmlformats.org/officeDocument/2006/relationships/hyperlink" Target="https://www.aeriusassociates.com/" TargetMode="External" Id="rId432" /><Relationship Type="http://schemas.openxmlformats.org/officeDocument/2006/relationships/hyperlink" Target="https://find-and-update.company-information.service.gov.uk/company/OC392744" TargetMode="External" Id="rId433" /><Relationship Type="http://schemas.openxmlformats.org/officeDocument/2006/relationships/hyperlink" Target="https://www.iris.co.uk" TargetMode="External" Id="rId434" /><Relationship Type="http://schemas.openxmlformats.org/officeDocument/2006/relationships/hyperlink" Target="https://www.iris.co.uk/" TargetMode="External" Id="rId435" /><Relationship Type="http://schemas.openxmlformats.org/officeDocument/2006/relationships/hyperlink" Target="https://find-and-update.company-information.service.gov.uk/company/04072404" TargetMode="External" Id="rId436" /><Relationship Type="http://schemas.openxmlformats.org/officeDocument/2006/relationships/hyperlink" Target="https://www.stockdalestreet.co.uk" TargetMode="External" Id="rId437" /><Relationship Type="http://schemas.openxmlformats.org/officeDocument/2006/relationships/hyperlink" Target="https://www.stockdalestreet.co.uk/" TargetMode="External" Id="rId438" /><Relationship Type="http://schemas.openxmlformats.org/officeDocument/2006/relationships/hyperlink" Target="https://find-and-update.company-information.service.gov.uk/company/04481271" TargetMode="External" Id="rId439" /><Relationship Type="http://schemas.openxmlformats.org/officeDocument/2006/relationships/hyperlink" Target="https://www.ttint.com/get-in-touch/" TargetMode="External" Id="rId440" /><Relationship Type="http://schemas.openxmlformats.org/officeDocument/2006/relationships/hyperlink" Target="https://find-and-update.company-information.service.gov.uk/company/12093921" TargetMode="External" Id="rId441" /><Relationship Type="http://schemas.openxmlformats.org/officeDocument/2006/relationships/hyperlink" Target="https://www.platina.com" TargetMode="External" Id="rId442" /><Relationship Type="http://schemas.openxmlformats.org/officeDocument/2006/relationships/hyperlink" Target="https://www.platina.com/" TargetMode="External" Id="rId443" /><Relationship Type="http://schemas.openxmlformats.org/officeDocument/2006/relationships/hyperlink" Target="https://find-and-update.company-information.service.gov.uk/company/OC332872" TargetMode="External" Id="rId444" /><Relationship Type="http://schemas.openxmlformats.org/officeDocument/2006/relationships/hyperlink" Target="https://appositecapital.com" TargetMode="External" Id="rId445" /><Relationship Type="http://schemas.openxmlformats.org/officeDocument/2006/relationships/hyperlink" Target="https://appositecapital.com/" TargetMode="External" Id="rId446" /><Relationship Type="http://schemas.openxmlformats.org/officeDocument/2006/relationships/hyperlink" Target="https://find-and-update.company-information.service.gov.uk/company/OC318626" TargetMode="External" Id="rId447" /><Relationship Type="http://schemas.openxmlformats.org/officeDocument/2006/relationships/hyperlink" Target="https://montanaro.co.uk" TargetMode="External" Id="rId448" /><Relationship Type="http://schemas.openxmlformats.org/officeDocument/2006/relationships/hyperlink" Target="https://montanaro.co.uk/" TargetMode="External" Id="rId449" /><Relationship Type="http://schemas.openxmlformats.org/officeDocument/2006/relationships/hyperlink" Target="https://find-and-update.company-information.service.gov.uk/company/03246931" TargetMode="External" Id="rId450" /><Relationship Type="http://schemas.openxmlformats.org/officeDocument/2006/relationships/hyperlink" Target="https://risksolutions.com" TargetMode="External" Id="rId451" /><Relationship Type="http://schemas.openxmlformats.org/officeDocument/2006/relationships/hyperlink" Target="https://risksolutions.com/" TargetMode="External" Id="rId452" /><Relationship Type="http://schemas.openxmlformats.org/officeDocument/2006/relationships/hyperlink" Target="https://find-and-update.company-information.service.gov.uk/company/03978143" TargetMode="External" Id="rId453" /><Relationship Type="http://schemas.openxmlformats.org/officeDocument/2006/relationships/hyperlink" Target="https://www.panmureliberum.com" TargetMode="External" Id="rId454" /><Relationship Type="http://schemas.openxmlformats.org/officeDocument/2006/relationships/hyperlink" Target="https://www.panmureliberum.com/contact/" TargetMode="External" Id="rId455" /><Relationship Type="http://schemas.openxmlformats.org/officeDocument/2006/relationships/hyperlink" Target="https://find-and-update.company-information.service.gov.uk/company/05912554" TargetMode="External" Id="rId456" /><Relationship Type="http://schemas.openxmlformats.org/officeDocument/2006/relationships/hyperlink" Target="https://www.chartindustries.com" TargetMode="External" Id="rId457" /><Relationship Type="http://schemas.openxmlformats.org/officeDocument/2006/relationships/hyperlink" Target="https://www.chartindustries.com/Businesses-Brands/Howden" TargetMode="External" Id="rId458" /><Relationship Type="http://schemas.openxmlformats.org/officeDocument/2006/relationships/hyperlink" Target="https://find-and-update.company-information.service.gov.uk/company/02937398" TargetMode="External" Id="rId459" /><Relationship Type="http://schemas.openxmlformats.org/officeDocument/2006/relationships/hyperlink" Target="https://www.meacockcapital.co.uk" TargetMode="External" Id="rId460" /><Relationship Type="http://schemas.openxmlformats.org/officeDocument/2006/relationships/hyperlink" Target="https://find-and-update.company-information.service.gov.uk/company/03600178" TargetMode="External" Id="rId461" /><Relationship Type="http://schemas.openxmlformats.org/officeDocument/2006/relationships/hyperlink" Target="https://arcusip.com" TargetMode="External" Id="rId462" /><Relationship Type="http://schemas.openxmlformats.org/officeDocument/2006/relationships/hyperlink" Target="https://find-and-update.company-information.service.gov.uk/company/OC343340" TargetMode="External" Id="rId463" /><Relationship Type="http://schemas.openxmlformats.org/officeDocument/2006/relationships/hyperlink" Target="https://www.epic.com" TargetMode="External" Id="rId464" /><Relationship Type="http://schemas.openxmlformats.org/officeDocument/2006/relationships/hyperlink" Target="https://www.epic.com/contact/" TargetMode="External" Id="rId465" /><Relationship Type="http://schemas.openxmlformats.org/officeDocument/2006/relationships/hyperlink" Target="https://find-and-update.company-information.service.gov.uk/company/OC318938" TargetMode="External" Id="rId466" /><Relationship Type="http://schemas.openxmlformats.org/officeDocument/2006/relationships/hyperlink" Target="https://find-and-update.company-information.service.gov.uk/company/02512067" TargetMode="External" Id="rId467" /><Relationship Type="http://schemas.openxmlformats.org/officeDocument/2006/relationships/hyperlink" Target="https://www.primary.com" TargetMode="External" Id="rId468" /><Relationship Type="http://schemas.openxmlformats.org/officeDocument/2006/relationships/hyperlink" Target="https://www.primary.com/" TargetMode="External" Id="rId469" /><Relationship Type="http://schemas.openxmlformats.org/officeDocument/2006/relationships/hyperlink" Target="https://find-and-update.company-information.service.gov.uk/company/OC390504" TargetMode="External" Id="rId470" /><Relationship Type="http://schemas.openxmlformats.org/officeDocument/2006/relationships/hyperlink" Target="https://robus.com" TargetMode="External" Id="rId471" /><Relationship Type="http://schemas.openxmlformats.org/officeDocument/2006/relationships/hyperlink" Target="https://robus.com/" TargetMode="External" Id="rId472" /><Relationship Type="http://schemas.openxmlformats.org/officeDocument/2006/relationships/hyperlink" Target="https://find-and-update.company-information.service.gov.uk/company/07745735" TargetMode="External" Id="rId473" /><Relationship Type="http://schemas.openxmlformats.org/officeDocument/2006/relationships/hyperlink" Target="https://euclidtransactional.com" TargetMode="External" Id="rId474" /><Relationship Type="http://schemas.openxmlformats.org/officeDocument/2006/relationships/hyperlink" Target="https://euclidtransactional.com/" TargetMode="External" Id="rId475" /><Relationship Type="http://schemas.openxmlformats.org/officeDocument/2006/relationships/hyperlink" Target="https://find-and-update.company-information.service.gov.uk/company/11237103" TargetMode="External" Id="rId476" /><Relationship Type="http://schemas.openxmlformats.org/officeDocument/2006/relationships/hyperlink" Target="https://shackletonventures.com/contact/" TargetMode="External" Id="rId477" /><Relationship Type="http://schemas.openxmlformats.org/officeDocument/2006/relationships/hyperlink" Target="https://find-and-update.company-information.service.gov.uk/company/06010019" TargetMode="External" Id="rId478" /><Relationship Type="http://schemas.openxmlformats.org/officeDocument/2006/relationships/hyperlink" Target="https://sharegain.com" TargetMode="External" Id="rId479" /><Relationship Type="http://schemas.openxmlformats.org/officeDocument/2006/relationships/hyperlink" Target="https://sharegain.com/" TargetMode="External" Id="rId480" /><Relationship Type="http://schemas.openxmlformats.org/officeDocument/2006/relationships/hyperlink" Target="https://find-and-update.company-information.service.gov.uk/company/09600298" TargetMode="External" Id="rId481" /><Relationship Type="http://schemas.openxmlformats.org/officeDocument/2006/relationships/hyperlink" Target="https://www.westonwilliamson.com/contact" TargetMode="External" Id="rId482" /><Relationship Type="http://schemas.openxmlformats.org/officeDocument/2006/relationships/hyperlink" Target="https://find-and-update.company-information.service.gov.uk/company/OC375867" TargetMode="External" Id="rId483" /><Relationship Type="http://schemas.openxmlformats.org/officeDocument/2006/relationships/hyperlink" Target="https://find-and-update.company-information.service.gov.uk/company/02725312" TargetMode="External" Id="rId484" /><Relationship Type="http://schemas.openxmlformats.org/officeDocument/2006/relationships/hyperlink" Target="https://find-and-update.company-information.service.gov.uk/company/00022215" TargetMode="External" Id="rId485" /><Relationship Type="http://schemas.openxmlformats.org/officeDocument/2006/relationships/hyperlink" Target="https://find-and-update.company-information.service.gov.uk/company/00010341" TargetMode="External" Id="rId486" /><Relationship Type="http://schemas.openxmlformats.org/officeDocument/2006/relationships/hyperlink" Target="https://find-and-update.company-information.service.gov.uk/company/15884169" TargetMode="External" Id="rId487" /><Relationship Type="http://schemas.openxmlformats.org/officeDocument/2006/relationships/hyperlink" Target="https://www.pinewalkcapital.com" TargetMode="External" Id="rId488" /><Relationship Type="http://schemas.openxmlformats.org/officeDocument/2006/relationships/hyperlink" Target="https://find-and-update.company-information.service.gov.uk/company/10846939" TargetMode="External" Id="rId489" /><Relationship Type="http://schemas.openxmlformats.org/officeDocument/2006/relationships/hyperlink" Target="https://company.wizards.com" TargetMode="External" Id="rId490" /><Relationship Type="http://schemas.openxmlformats.org/officeDocument/2006/relationships/hyperlink" Target="https://company.wizards.com/en" TargetMode="External" Id="rId491" /><Relationship Type="http://schemas.openxmlformats.org/officeDocument/2006/relationships/hyperlink" Target="https://find-and-update.company-information.service.gov.uk/company/07014133" TargetMode="External" Id="rId492" /><Relationship Type="http://schemas.openxmlformats.org/officeDocument/2006/relationships/hyperlink" Target="https://www.barkerpoland.co.uk" TargetMode="External" Id="rId493" /><Relationship Type="http://schemas.openxmlformats.org/officeDocument/2006/relationships/hyperlink" Target="https://www.barkerpoland.co.uk/" TargetMode="External" Id="rId494" /><Relationship Type="http://schemas.openxmlformats.org/officeDocument/2006/relationships/hyperlink" Target="https://find-and-update.company-information.service.gov.uk/company/OC341149" TargetMode="External" Id="rId495" /><Relationship Type="http://schemas.openxmlformats.org/officeDocument/2006/relationships/hyperlink" Target="https://clearbrook.com" TargetMode="External" Id="rId496" /><Relationship Type="http://schemas.openxmlformats.org/officeDocument/2006/relationships/hyperlink" Target="https://clearbrook.com/" TargetMode="External" Id="rId497" /><Relationship Type="http://schemas.openxmlformats.org/officeDocument/2006/relationships/hyperlink" Target="https://find-and-update.company-information.service.gov.uk/company/OC306653" TargetMode="External" Id="rId498" /><Relationship Type="http://schemas.openxmlformats.org/officeDocument/2006/relationships/hyperlink" Target="https://find-and-update.company-information.service.gov.uk/company/01131216" TargetMode="External" Id="rId499" /><Relationship Type="http://schemas.openxmlformats.org/officeDocument/2006/relationships/hyperlink" Target="https://trustmarqueultima.com" TargetMode="External" Id="rId500" /><Relationship Type="http://schemas.openxmlformats.org/officeDocument/2006/relationships/hyperlink" Target="https://trustmarqueultima.com/contact-us" TargetMode="External" Id="rId501" /><Relationship Type="http://schemas.openxmlformats.org/officeDocument/2006/relationships/hyperlink" Target="https://find-and-update.company-information.service.gov.uk/company/06249714" TargetMode="External" Id="rId502" /><Relationship Type="http://schemas.openxmlformats.org/officeDocument/2006/relationships/hyperlink" Target="https://www.heronsgatecapital.com" TargetMode="External" Id="rId503" /><Relationship Type="http://schemas.openxmlformats.org/officeDocument/2006/relationships/hyperlink" Target="https://www.heronsgatecapital.com/contact/" TargetMode="External" Id="rId504" /><Relationship Type="http://schemas.openxmlformats.org/officeDocument/2006/relationships/hyperlink" Target="https://find-and-update.company-information.service.gov.uk/company/OC430243" TargetMode="External" Id="rId505" /><Relationship Type="http://schemas.openxmlformats.org/officeDocument/2006/relationships/hyperlink" Target="https://www.irg.com" TargetMode="External" Id="rId506" /><Relationship Type="http://schemas.openxmlformats.org/officeDocument/2006/relationships/hyperlink" Target="https://www.irg.com/" TargetMode="External" Id="rId507" /><Relationship Type="http://schemas.openxmlformats.org/officeDocument/2006/relationships/hyperlink" Target="https://find-and-update.company-information.service.gov.uk/company/OC354226" TargetMode="External" Id="rId508" /><Relationship Type="http://schemas.openxmlformats.org/officeDocument/2006/relationships/hyperlink" Target="https://www.tenaxcapital.com" TargetMode="External" Id="rId509" /><Relationship Type="http://schemas.openxmlformats.org/officeDocument/2006/relationships/hyperlink" Target="https://www.tenaxcapital.com/" TargetMode="External" Id="rId510" /><Relationship Type="http://schemas.openxmlformats.org/officeDocument/2006/relationships/hyperlink" Target="https://find-and-update.company-information.service.gov.uk/company/05193344" TargetMode="External" Id="rId511" /><Relationship Type="http://schemas.openxmlformats.org/officeDocument/2006/relationships/hyperlink" Target="https://www.allspring.com" TargetMode="External" Id="rId512" /><Relationship Type="http://schemas.openxmlformats.org/officeDocument/2006/relationships/hyperlink" Target="https://www.allspringglobal.com/contact-us" TargetMode="External" Id="rId513" /><Relationship Type="http://schemas.openxmlformats.org/officeDocument/2006/relationships/hyperlink" Target="https://find-and-update.company-information.service.gov.uk/company/03710963" TargetMode="External" Id="rId514" /><Relationship Type="http://schemas.openxmlformats.org/officeDocument/2006/relationships/hyperlink" Target="https://sparrowscapital.com" TargetMode="External" Id="rId515" /><Relationship Type="http://schemas.openxmlformats.org/officeDocument/2006/relationships/hyperlink" Target="https://sparrowscapital.com/contact/" TargetMode="External" Id="rId516" /><Relationship Type="http://schemas.openxmlformats.org/officeDocument/2006/relationships/hyperlink" Target="https://find-and-update.company-information.service.gov.uk/company/08623416" TargetMode="External" Id="rId517" /><Relationship Type="http://schemas.openxmlformats.org/officeDocument/2006/relationships/hyperlink" Target="https://www.postoffice.com" TargetMode="External" Id="rId518" /><Relationship Type="http://schemas.openxmlformats.org/officeDocument/2006/relationships/hyperlink" Target="https://find-and-update.company-information.service.gov.uk/company/08459718" TargetMode="External" Id="rId519" /><Relationship Type="http://schemas.openxmlformats.org/officeDocument/2006/relationships/hyperlink" Target="https://www.janushenderson.com" TargetMode="External" Id="rId520" /><Relationship Type="http://schemas.openxmlformats.org/officeDocument/2006/relationships/hyperlink" Target="https://www.janushenderson.com/contact-us" TargetMode="External" Id="rId521" /><Relationship Type="http://schemas.openxmlformats.org/officeDocument/2006/relationships/hyperlink" Target="https://find-and-update.company-information.service.gov.uk/company/03594615" TargetMode="External" Id="rId522" /><Relationship Type="http://schemas.openxmlformats.org/officeDocument/2006/relationships/hyperlink" Target="https://www.nordstar.com" TargetMode="External" Id="rId523" /><Relationship Type="http://schemas.openxmlformats.org/officeDocument/2006/relationships/hyperlink" Target="https://www.nordstar.com/contact" TargetMode="External" Id="rId524" /><Relationship Type="http://schemas.openxmlformats.org/officeDocument/2006/relationships/hyperlink" Target="https://find-and-update.company-information.service.gov.uk/company/OC435429" TargetMode="External" Id="rId525" /><Relationship Type="http://schemas.openxmlformats.org/officeDocument/2006/relationships/hyperlink" Target="https://www.premiermiton.com" TargetMode="External" Id="rId526" /><Relationship Type="http://schemas.openxmlformats.org/officeDocument/2006/relationships/hyperlink" Target="https://www.premiermiton.com/contact/" TargetMode="External" Id="rId527" /><Relationship Type="http://schemas.openxmlformats.org/officeDocument/2006/relationships/hyperlink" Target="https://find-and-update.company-information.service.gov.uk/company/01235867" TargetMode="External" Id="rId528" /><Relationship Type="http://schemas.openxmlformats.org/officeDocument/2006/relationships/hyperlink" Target="https://www.tabulaim.com" TargetMode="External" Id="rId529" /><Relationship Type="http://schemas.openxmlformats.org/officeDocument/2006/relationships/hyperlink" Target="https://www.tabulaim.com" TargetMode="External" Id="rId530" /><Relationship Type="http://schemas.openxmlformats.org/officeDocument/2006/relationships/hyperlink" Target="https://find-and-update.company-information.service.gov.uk/company/11286661" TargetMode="External" Id="rId531" /><Relationship Type="http://schemas.openxmlformats.org/officeDocument/2006/relationships/hyperlink" Target="https://www.premiermiton.com" TargetMode="External" Id="rId532" /><Relationship Type="http://schemas.openxmlformats.org/officeDocument/2006/relationships/hyperlink" Target="https://www.premiermiton.com/tellworth-funds/" TargetMode="External" Id="rId533" /><Relationship Type="http://schemas.openxmlformats.org/officeDocument/2006/relationships/hyperlink" Target="https://find-and-update.company-information.service.gov.uk/company/OC417414" TargetMode="External" Id="rId534" /><Relationship Type="http://schemas.openxmlformats.org/officeDocument/2006/relationships/hyperlink" Target="https://finalto.com" TargetMode="External" Id="rId535" /><Relationship Type="http://schemas.openxmlformats.org/officeDocument/2006/relationships/hyperlink" Target="https://finalto.com/contact-us/" TargetMode="External" Id="rId536" /><Relationship Type="http://schemas.openxmlformats.org/officeDocument/2006/relationships/hyperlink" Target="https://find-and-update.company-information.service.gov.uk/company/06557752" TargetMode="External" Id="rId537" /><Relationship Type="http://schemas.openxmlformats.org/officeDocument/2006/relationships/hyperlink" Target="https://astatineip.com" TargetMode="External" Id="rId538" /><Relationship Type="http://schemas.openxmlformats.org/officeDocument/2006/relationships/hyperlink" Target="https://astatineip.com/contact/" TargetMode="External" Id="rId539" /><Relationship Type="http://schemas.openxmlformats.org/officeDocument/2006/relationships/hyperlink" Target="https://find-and-update.company-information.service.gov.uk/company/OC376508" TargetMode="External" Id="rId540" /><Relationship Type="http://schemas.openxmlformats.org/officeDocument/2006/relationships/hyperlink" Target="https://www.bain.com" TargetMode="External" Id="rId541" /><Relationship Type="http://schemas.openxmlformats.org/officeDocument/2006/relationships/hyperlink" Target="https://www.bain.com/offices/bogota/" TargetMode="External" Id="rId542" /><Relationship Type="http://schemas.openxmlformats.org/officeDocument/2006/relationships/hyperlink" Target="https://find-and-update.company-information.service.gov.uk/company/OC380135" TargetMode="External" Id="rId543" /><Relationship Type="http://schemas.openxmlformats.org/officeDocument/2006/relationships/hyperlink" Target="https://www.lseg.com" TargetMode="External" Id="rId544" /><Relationship Type="http://schemas.openxmlformats.org/officeDocument/2006/relationships/hyperlink" Target="https://www.lseg.com/en/contact-us" TargetMode="External" Id="rId545" /><Relationship Type="http://schemas.openxmlformats.org/officeDocument/2006/relationships/hyperlink" Target="https://find-and-update.company-information.service.gov.uk/company/08530763" TargetMode="External" Id="rId546" /><Relationship Type="http://schemas.openxmlformats.org/officeDocument/2006/relationships/hyperlink" Target="https://autonomycapital.com" TargetMode="External" Id="rId547" /><Relationship Type="http://schemas.openxmlformats.org/officeDocument/2006/relationships/hyperlink" Target="https://autonomycapital.com/contact/" TargetMode="External" Id="rId548" /><Relationship Type="http://schemas.openxmlformats.org/officeDocument/2006/relationships/hyperlink" Target="https://find-and-update.company-information.service.gov.uk/company/OC303616" TargetMode="External" Id="rId549" /><Relationship Type="http://schemas.openxmlformats.org/officeDocument/2006/relationships/hyperlink" Target="https://www.trading.com" TargetMode="External" Id="rId550" /><Relationship Type="http://schemas.openxmlformats.org/officeDocument/2006/relationships/hyperlink" Target="https://www.trading.com/uk/" TargetMode="External" Id="rId551" /><Relationship Type="http://schemas.openxmlformats.org/officeDocument/2006/relationships/hyperlink" Target="https://find-and-update.company-information.service.gov.uk/company/OC300617" TargetMode="External" Id="rId552" /><Relationship Type="http://schemas.openxmlformats.org/officeDocument/2006/relationships/hyperlink" Target="https://www.flywire.com" TargetMode="External" Id="rId553" /><Relationship Type="http://schemas.openxmlformats.org/officeDocument/2006/relationships/hyperlink" Target="https://www.flywire.com/legal/us-states-disclosure" TargetMode="External" Id="rId554" /><Relationship Type="http://schemas.openxmlformats.org/officeDocument/2006/relationships/hyperlink" Target="https://find-and-update.company-information.service.gov.uk/company/07677601" TargetMode="External" Id="rId555" /><Relationship Type="http://schemas.openxmlformats.org/officeDocument/2006/relationships/hyperlink" Target="https://navera.co.uk" TargetMode="External" Id="rId556" /><Relationship Type="http://schemas.openxmlformats.org/officeDocument/2006/relationships/hyperlink" Target="https://navera.co.uk/" TargetMode="External" Id="rId557" /><Relationship Type="http://schemas.openxmlformats.org/officeDocument/2006/relationships/hyperlink" Target="https://find-and-update.company-information.service.gov.uk/company/12516583" TargetMode="External" Id="rId558" /><Relationship Type="http://schemas.openxmlformats.org/officeDocument/2006/relationships/hyperlink" Target="https://vertis.com" TargetMode="External" Id="rId559" /><Relationship Type="http://schemas.openxmlformats.org/officeDocument/2006/relationships/hyperlink" Target="https://www.vertiscapital.com/" TargetMode="External" Id="rId560" /><Relationship Type="http://schemas.openxmlformats.org/officeDocument/2006/relationships/hyperlink" Target="https://find-and-update.company-information.service.gov.uk/company/15354221" TargetMode="External" Id="rId561" /><Relationship Type="http://schemas.openxmlformats.org/officeDocument/2006/relationships/hyperlink" Target="http://v-risk.com/" TargetMode="External" Id="rId562" /><Relationship Type="http://schemas.openxmlformats.org/officeDocument/2006/relationships/hyperlink" Target="https://find-and-update.company-information.service.gov.uk/company/08633249" TargetMode="External" Id="rId563" /><Relationship Type="http://schemas.openxmlformats.org/officeDocument/2006/relationships/hyperlink" Target="https://www.alvarezandmarsal.com" TargetMode="External" Id="rId564" /><Relationship Type="http://schemas.openxmlformats.org/officeDocument/2006/relationships/hyperlink" Target="https://find-and-update.company-information.service.gov.uk/company/OC332080" TargetMode="External" Id="rId565" /><Relationship Type="http://schemas.openxmlformats.org/officeDocument/2006/relationships/hyperlink" Target="https://www.guaranty.co.uk" TargetMode="External" Id="rId566" /><Relationship Type="http://schemas.openxmlformats.org/officeDocument/2006/relationships/hyperlink" Target="https://find-and-update.company-information.service.gov.uk/company/05030956" TargetMode="External" Id="rId567" /><Relationship Type="http://schemas.openxmlformats.org/officeDocument/2006/relationships/hyperlink" Target="https://www.tompayment.com" TargetMode="External" Id="rId568" /><Relationship Type="http://schemas.openxmlformats.org/officeDocument/2006/relationships/hyperlink" Target="https://register.fca.org.uk/s/firm?id=0014G00002WzXEEQA3" TargetMode="External" Id="rId569" /><Relationship Type="http://schemas.openxmlformats.org/officeDocument/2006/relationships/hyperlink" Target="https://find-and-update.company-information.service.gov.uk/company/12484741" TargetMode="External" Id="rId570" /><Relationship Type="http://schemas.openxmlformats.org/officeDocument/2006/relationships/hyperlink" Target="https://www.ebs.ltd.uk" TargetMode="External" Id="rId571" /><Relationship Type="http://schemas.openxmlformats.org/officeDocument/2006/relationships/hyperlink" Target="https://www.ebs.ltd.uk/" TargetMode="External" Id="rId572" /><Relationship Type="http://schemas.openxmlformats.org/officeDocument/2006/relationships/hyperlink" Target="https://find-and-update.company-information.service.gov.uk/company/02669861" TargetMode="External" Id="rId573" /><Relationship Type="http://schemas.openxmlformats.org/officeDocument/2006/relationships/hyperlink" Target="https://osttra.com" TargetMode="External" Id="rId574" /><Relationship Type="http://schemas.openxmlformats.org/officeDocument/2006/relationships/hyperlink" Target="https://osttra.com/contact/" TargetMode="External" Id="rId575" /><Relationship Type="http://schemas.openxmlformats.org/officeDocument/2006/relationships/hyperlink" Target="https://find-and-update.company-information.service.gov.uk/company/06292563" TargetMode="External" Id="rId576" /><Relationship Type="http://schemas.openxmlformats.org/officeDocument/2006/relationships/hyperlink" Target="https://stellex.co.uk" TargetMode="External" Id="rId577" /><Relationship Type="http://schemas.openxmlformats.org/officeDocument/2006/relationships/hyperlink" Target="https://stellex.co.uk/" TargetMode="External" Id="rId578" /><Relationship Type="http://schemas.openxmlformats.org/officeDocument/2006/relationships/hyperlink" Target="https://find-and-update.company-information.service.gov.uk/company/OC393743" TargetMode="External" Id="rId579" /><Relationship Type="http://schemas.openxmlformats.org/officeDocument/2006/relationships/hyperlink" Target="https://www.crunchbase.com/organization/traiana" TargetMode="External" Id="rId580" /><Relationship Type="http://schemas.openxmlformats.org/officeDocument/2006/relationships/hyperlink" Target="https://find-and-update.company-information.service.gov.uk/company/04839268" TargetMode="External" Id="rId581" /><Relationship Type="http://schemas.openxmlformats.org/officeDocument/2006/relationships/hyperlink" Target="https://trg.com" TargetMode="External" Id="rId582" /><Relationship Type="http://schemas.openxmlformats.org/officeDocument/2006/relationships/hyperlink" Target="https://trg.com/contact/" TargetMode="External" Id="rId583" /><Relationship Type="http://schemas.openxmlformats.org/officeDocument/2006/relationships/hyperlink" Target="https://find-and-update.company-information.service.gov.uk/company/OC349549" TargetMode="External" Id="rId584" /><Relationship Type="http://schemas.openxmlformats.org/officeDocument/2006/relationships/hyperlink" Target="https://www.diagramcapital.co.uk" TargetMode="External" Id="rId585" /><Relationship Type="http://schemas.openxmlformats.org/officeDocument/2006/relationships/hyperlink" Target="https://www.diagramcapital.co.uk/" TargetMode="External" Id="rId586" /><Relationship Type="http://schemas.openxmlformats.org/officeDocument/2006/relationships/hyperlink" Target="https://find-and-update.company-information.service.gov.uk/company/10437925" TargetMode="External" Id="rId587" /><Relationship Type="http://schemas.openxmlformats.org/officeDocument/2006/relationships/hyperlink" Target="https://www.entioffice.com" TargetMode="External" Id="rId588" /><Relationship Type="http://schemas.openxmlformats.org/officeDocument/2006/relationships/hyperlink" Target="https://www.salezshark.com/company/the-entrepreneur-s-investment-office" TargetMode="External" Id="rId589" /><Relationship Type="http://schemas.openxmlformats.org/officeDocument/2006/relationships/hyperlink" Target="https://find-and-update.company-information.service.gov.uk/company/10351774" TargetMode="External" Id="rId590" /><Relationship Type="http://schemas.openxmlformats.org/officeDocument/2006/relationships/hyperlink" Target="https://floww.com" TargetMode="External" Id="rId591" /><Relationship Type="http://schemas.openxmlformats.org/officeDocument/2006/relationships/hyperlink" Target="https://floww.com/" TargetMode="External" Id="rId592" /><Relationship Type="http://schemas.openxmlformats.org/officeDocument/2006/relationships/hyperlink" Target="https://find-and-update.company-information.service.gov.uk/company/14244727" TargetMode="External" Id="rId593" /><Relationship Type="http://schemas.openxmlformats.org/officeDocument/2006/relationships/hyperlink" Target="https://forsale.dynadot.com" TargetMode="External" Id="rId594" /><Relationship Type="http://schemas.openxmlformats.org/officeDocument/2006/relationships/hyperlink" Target="https://find-and-update.company-information.service.gov.uk/company/00832566" TargetMode="External" Id="rId595" /><Relationship Type="http://schemas.openxmlformats.org/officeDocument/2006/relationships/hyperlink" Target="https://www.stbridesmanagers.com" TargetMode="External" Id="rId596" /><Relationship Type="http://schemas.openxmlformats.org/officeDocument/2006/relationships/hyperlink" Target="https://www.stbridesmanagers.com/contact" TargetMode="External" Id="rId597" /><Relationship Type="http://schemas.openxmlformats.org/officeDocument/2006/relationships/hyperlink" Target="https://find-and-update.company-information.service.gov.uk/company/OC350592" TargetMode="External" Id="rId598" /><Relationship Type="http://schemas.openxmlformats.org/officeDocument/2006/relationships/hyperlink" Target="https://www.im.natixis.com/en-gb" TargetMode="External" Id="rId599" /><Relationship Type="http://schemas.openxmlformats.org/officeDocument/2006/relationships/hyperlink" Target="https://www.im.natixis.com/en-gb/about/contact-us" TargetMode="External" Id="rId600" /><Relationship Type="http://schemas.openxmlformats.org/officeDocument/2006/relationships/hyperlink" Target="https://find-and-update.company-information.service.gov.uk/company/03680538" TargetMode="External" Id="rId601" /><Relationship Type="http://schemas.openxmlformats.org/officeDocument/2006/relationships/hyperlink" Target="https://www.names.co.uk" TargetMode="External" Id="rId602" /><Relationship Type="http://schemas.openxmlformats.org/officeDocument/2006/relationships/hyperlink" Target="https://www.names.co.uk/default/holding/index/domain/www.hedge.co.uk" TargetMode="External" Id="rId603" /><Relationship Type="http://schemas.openxmlformats.org/officeDocument/2006/relationships/hyperlink" Target="https://find-and-update.company-information.service.gov.uk/company/03591241" TargetMode="External" Id="rId604" /><Relationship Type="http://schemas.openxmlformats.org/officeDocument/2006/relationships/hyperlink" Target="https://amicuscapitalgroup.com/contact-us/" TargetMode="External" Id="rId605" /><Relationship Type="http://schemas.openxmlformats.org/officeDocument/2006/relationships/hyperlink" Target="https://find-and-update.company-information.service.gov.uk/company/OC369335" TargetMode="External" Id="rId606" /><Relationship Type="http://schemas.openxmlformats.org/officeDocument/2006/relationships/hyperlink" Target="https://sociicapital.com" TargetMode="External" Id="rId607" /><Relationship Type="http://schemas.openxmlformats.org/officeDocument/2006/relationships/hyperlink" Target="https://sociicapital.com/" TargetMode="External" Id="rId608" /><Relationship Type="http://schemas.openxmlformats.org/officeDocument/2006/relationships/hyperlink" Target="https://find-and-update.company-information.service.gov.uk/company/OC414735" TargetMode="External" Id="rId609" /><Relationship Type="http://schemas.openxmlformats.org/officeDocument/2006/relationships/hyperlink" Target="https://find-and-update.company-information.service.gov.uk/company/00798365" TargetMode="External" Id="rId610" /><Relationship Type="http://schemas.openxmlformats.org/officeDocument/2006/relationships/hyperlink" Target="https://www.rsmuk.com" TargetMode="External" Id="rId611" /><Relationship Type="http://schemas.openxmlformats.org/officeDocument/2006/relationships/hyperlink" Target="https://find-and-update.company-information.service.gov.uk/company/OC325349" TargetMode="External" Id="rId612" /><Relationship Type="http://schemas.openxmlformats.org/officeDocument/2006/relationships/hyperlink" Target="https://www.swgroup.com" TargetMode="External" Id="rId613" /><Relationship Type="http://schemas.openxmlformats.org/officeDocument/2006/relationships/hyperlink" Target="https://www.swgroup.com/" TargetMode="External" Id="rId614" /><Relationship Type="http://schemas.openxmlformats.org/officeDocument/2006/relationships/hyperlink" Target="https://find-and-update.company-information.service.gov.uk/company/OC369631" TargetMode="External" Id="rId615" /><Relationship Type="http://schemas.openxmlformats.org/officeDocument/2006/relationships/hyperlink" Target="https://www.evelyn.com" TargetMode="External" Id="rId616" /><Relationship Type="http://schemas.openxmlformats.org/officeDocument/2006/relationships/hyperlink" Target="https://www.evelyn.com/" TargetMode="External" Id="rId617" /><Relationship Type="http://schemas.openxmlformats.org/officeDocument/2006/relationships/hyperlink" Target="https://find-and-update.company-information.service.gov.uk/company/02830297" TargetMode="External" Id="rId618" /><Relationship Type="http://schemas.openxmlformats.org/officeDocument/2006/relationships/hyperlink" Target="https://www.ardea.com.au" TargetMode="External" Id="rId619" /><Relationship Type="http://schemas.openxmlformats.org/officeDocument/2006/relationships/hyperlink" Target="https://www.ardea.com.au/contact-us/" TargetMode="External" Id="rId620" /><Relationship Type="http://schemas.openxmlformats.org/officeDocument/2006/relationships/hyperlink" Target="https://find-and-update.company-information.service.gov.uk/company/13043903" TargetMode="External" Id="rId621" /><Relationship Type="http://schemas.openxmlformats.org/officeDocument/2006/relationships/hyperlink" Target="https://www.columbiathreadneedle.com" TargetMode="External" Id="rId622" /><Relationship Type="http://schemas.openxmlformats.org/officeDocument/2006/relationships/hyperlink" Target="https://www.columbiathreadneedle.com/en/gb/institutional/contact/" TargetMode="External" Id="rId623" /><Relationship Type="http://schemas.openxmlformats.org/officeDocument/2006/relationships/hyperlink" Target="https://find-and-update.company-information.service.gov.uk/company/02096061" TargetMode="External" Id="rId624" /><Relationship Type="http://schemas.openxmlformats.org/officeDocument/2006/relationships/hyperlink" Target="https://www.columbiathreadneedle.com" TargetMode="External" Id="rId625" /><Relationship Type="http://schemas.openxmlformats.org/officeDocument/2006/relationships/hyperlink" Target="https://www.columbiathreadneedle.com/en/gb/institutional/contact/" TargetMode="External" Id="rId626" /><Relationship Type="http://schemas.openxmlformats.org/officeDocument/2006/relationships/hyperlink" Target="https://find-and-update.company-information.service.gov.uk/company/00573204" TargetMode="External" Id="rId627" /><Relationship Type="http://schemas.openxmlformats.org/officeDocument/2006/relationships/hyperlink" Target="https://www.hsf.co.uk" TargetMode="External" Id="rId628" /><Relationship Type="http://schemas.openxmlformats.org/officeDocument/2006/relationships/hyperlink" Target="https://find-and-update.company-information.service.gov.uk/company/00030869" TargetMode="External" Id="rId629" /><Relationship Type="http://schemas.openxmlformats.org/officeDocument/2006/relationships/hyperlink" Target="https://www.anchormaninsurance.co.uk" TargetMode="External" Id="rId630" /><Relationship Type="http://schemas.openxmlformats.org/officeDocument/2006/relationships/hyperlink" Target="https://www.anchormaninsurance.co.uk/contact-us" TargetMode="External" Id="rId631" /><Relationship Type="http://schemas.openxmlformats.org/officeDocument/2006/relationships/hyperlink" Target="https://find-and-update.company-information.service.gov.uk/company/03631690" TargetMode="External" Id="rId632" /><Relationship Type="http://schemas.openxmlformats.org/officeDocument/2006/relationships/hyperlink" Target="https://www.assuredpartners.com" TargetMode="External" Id="rId633" /><Relationship Type="http://schemas.openxmlformats.org/officeDocument/2006/relationships/hyperlink" Target="https://www.assuredpartners.com" TargetMode="External" Id="rId634" /><Relationship Type="http://schemas.openxmlformats.org/officeDocument/2006/relationships/hyperlink" Target="https://find-and-update.company-information.service.gov.uk/company/04152499" TargetMode="External" Id="rId635" /><Relationship Type="http://schemas.openxmlformats.org/officeDocument/2006/relationships/hyperlink" Target="https://www.evolin.com" TargetMode="External" Id="rId636" /><Relationship Type="http://schemas.openxmlformats.org/officeDocument/2006/relationships/hyperlink" Target="https://evolinbroking.com/contact/" TargetMode="External" Id="rId637" /><Relationship Type="http://schemas.openxmlformats.org/officeDocument/2006/relationships/hyperlink" Target="https://find-and-update.company-information.service.gov.uk/company/04031704" TargetMode="External" Id="rId638" /><Relationship Type="http://schemas.openxmlformats.org/officeDocument/2006/relationships/hyperlink" Target="https://continuumadvisory.com" TargetMode="External" Id="rId639" /><Relationship Type="http://schemas.openxmlformats.org/officeDocument/2006/relationships/hyperlink" Target="https://continuumadvisory.com/" TargetMode="External" Id="rId640" /><Relationship Type="http://schemas.openxmlformats.org/officeDocument/2006/relationships/hyperlink" Target="https://find-and-update.company-information.service.gov.uk/company/14189636" TargetMode="External" Id="rId641" /><Relationship Type="http://schemas.openxmlformats.org/officeDocument/2006/relationships/hyperlink" Target="https://londonciv.org.uk" TargetMode="External" Id="rId642" /><Relationship Type="http://schemas.openxmlformats.org/officeDocument/2006/relationships/hyperlink" Target="https://londonciv.org.uk/contact" TargetMode="External" Id="rId643" /><Relationship Type="http://schemas.openxmlformats.org/officeDocument/2006/relationships/hyperlink" Target="https://find-and-update.company-information.service.gov.uk/company/09136445" TargetMode="External" Id="rId644" /><Relationship Type="http://schemas.openxmlformats.org/officeDocument/2006/relationships/hyperlink" Target="https://find-and-update.company-information.service.gov.uk/company/05058019" TargetMode="External" Id="rId645" /><Relationship Type="http://schemas.openxmlformats.org/officeDocument/2006/relationships/hyperlink" Target="https://cobaltuw.com" TargetMode="External" Id="rId646" /><Relationship Type="http://schemas.openxmlformats.org/officeDocument/2006/relationships/hyperlink" Target="https://cobaltuw.com/" TargetMode="External" Id="rId647" /><Relationship Type="http://schemas.openxmlformats.org/officeDocument/2006/relationships/hyperlink" Target="https://find-and-update.company-information.service.gov.uk/company/07979365" TargetMode="External" Id="rId648" /><Relationship Type="http://schemas.openxmlformats.org/officeDocument/2006/relationships/hyperlink" Target="https://tpicap.com" TargetMode="External" Id="rId649" /><Relationship Type="http://schemas.openxmlformats.org/officeDocument/2006/relationships/hyperlink" Target="https://tpicap.com/tpicap/contact-us" TargetMode="External" Id="rId650" /><Relationship Type="http://schemas.openxmlformats.org/officeDocument/2006/relationships/hyperlink" Target="https://find-and-update.company-information.service.gov.uk/company/03635229" TargetMode="External" Id="rId651" /><Relationship Type="http://schemas.openxmlformats.org/officeDocument/2006/relationships/hyperlink" Target="https://www.louiscapital.com" TargetMode="External" Id="rId652" /><Relationship Type="http://schemas.openxmlformats.org/officeDocument/2006/relationships/hyperlink" Target="https://www.louiscapital.com/contact-london.php" TargetMode="External" Id="rId653" /><Relationship Type="http://schemas.openxmlformats.org/officeDocument/2006/relationships/hyperlink" Target="https://find-and-update.company-information.service.gov.uk/company/OC305139" TargetMode="External" Id="rId654" /><Relationship Type="http://schemas.openxmlformats.org/officeDocument/2006/relationships/hyperlink" Target="https://www.vantage.com" TargetMode="External" Id="rId655" /><Relationship Type="http://schemas.openxmlformats.org/officeDocument/2006/relationships/hyperlink" Target="https://www.vantage.com/privacy-policy" TargetMode="External" Id="rId656" /><Relationship Type="http://schemas.openxmlformats.org/officeDocument/2006/relationships/hyperlink" Target="https://find-and-update.company-information.service.gov.uk/company/OC308882" TargetMode="External" Id="rId657" /><Relationship Type="http://schemas.openxmlformats.org/officeDocument/2006/relationships/hyperlink" Target="https://www.helfordcapitalpartners.com" TargetMode="External" Id="rId658" /><Relationship Type="http://schemas.openxmlformats.org/officeDocument/2006/relationships/hyperlink" Target="https://www.helfordcapitalpartners.com/" TargetMode="External" Id="rId659" /><Relationship Type="http://schemas.openxmlformats.org/officeDocument/2006/relationships/hyperlink" Target="https://find-and-update.company-information.service.gov.uk/company/OC374783" TargetMode="External" Id="rId660" /><Relationship Type="http://schemas.openxmlformats.org/officeDocument/2006/relationships/hyperlink" Target="https://insightsolutions.com" TargetMode="External" Id="rId661" /><Relationship Type="http://schemas.openxmlformats.org/officeDocument/2006/relationships/hyperlink" Target="https://insightsolutions.com/contact/" TargetMode="External" Id="rId662" /><Relationship Type="http://schemas.openxmlformats.org/officeDocument/2006/relationships/hyperlink" Target="https://find-and-update.company-information.service.gov.uk/company/15446806" TargetMode="External" Id="rId663" /><Relationship Type="http://schemas.openxmlformats.org/officeDocument/2006/relationships/hyperlink" Target="https://www.lbv.co.uk" TargetMode="External" Id="rId664" /><Relationship Type="http://schemas.openxmlformats.org/officeDocument/2006/relationships/hyperlink" Target="https://www.lbv.co.uk/contact/" TargetMode="External" Id="rId665" /><Relationship Type="http://schemas.openxmlformats.org/officeDocument/2006/relationships/hyperlink" Target="https://find-and-update.company-information.service.gov.uk/company/OC335914" TargetMode="External" Id="rId666" /><Relationship Type="http://schemas.openxmlformats.org/officeDocument/2006/relationships/hyperlink" Target="https://www.verso.com" TargetMode="External" Id="rId667" /><Relationship Type="http://schemas.openxmlformats.org/officeDocument/2006/relationships/hyperlink" Target="https://www.versoim.com/" TargetMode="External" Id="rId668" /><Relationship Type="http://schemas.openxmlformats.org/officeDocument/2006/relationships/hyperlink" Target="https://find-and-update.company-information.service.gov.uk/company/OC351100" TargetMode="External" Id="rId669" /><Relationship Type="http://schemas.openxmlformats.org/officeDocument/2006/relationships/hyperlink" Target="https://www.mminsurance.co.uk" TargetMode="External" Id="rId670" /><Relationship Type="http://schemas.openxmlformats.org/officeDocument/2006/relationships/hyperlink" Target="https://www.mminsurance.co.uk/data-privacy-policy" TargetMode="External" Id="rId671" /><Relationship Type="http://schemas.openxmlformats.org/officeDocument/2006/relationships/hyperlink" Target="https://find-and-update.company-information.service.gov.uk/company/00076678" TargetMode="External" Id="rId672" /><Relationship Type="http://schemas.openxmlformats.org/officeDocument/2006/relationships/hyperlink" Target="https://www.cgasset.com" TargetMode="External" Id="rId673" /><Relationship Type="http://schemas.openxmlformats.org/officeDocument/2006/relationships/hyperlink" Target="https://www.cgasset.com/contact/" TargetMode="External" Id="rId674" /><Relationship Type="http://schemas.openxmlformats.org/officeDocument/2006/relationships/hyperlink" Target="https://find-and-update.company-information.service.gov.uk/company/04056163" TargetMode="External" Id="rId675" /><Relationship Type="http://schemas.openxmlformats.org/officeDocument/2006/relationships/hyperlink" Target="https://www.altitude.com" TargetMode="External" Id="rId676" /><Relationship Type="http://schemas.openxmlformats.org/officeDocument/2006/relationships/hyperlink" Target="https://www.altitude-investments.com/contact/" TargetMode="External" Id="rId677" /><Relationship Type="http://schemas.openxmlformats.org/officeDocument/2006/relationships/hyperlink" Target="https://find-and-update.company-information.service.gov.uk/company/11971482" TargetMode="External" Id="rId678" /><Relationship Type="http://schemas.openxmlformats.org/officeDocument/2006/relationships/hyperlink" Target="https://www.quantiletechnologies.com/about/" TargetMode="External" Id="rId679" /><Relationship Type="http://schemas.openxmlformats.org/officeDocument/2006/relationships/hyperlink" Target="https://find-and-update.company-information.service.gov.uk/company/09622720" TargetMode="External" Id="rId680" /><Relationship Type="http://schemas.openxmlformats.org/officeDocument/2006/relationships/hyperlink" Target="https://broadstone.co.uk/contact-us/" TargetMode="External" Id="rId681" /><Relationship Type="http://schemas.openxmlformats.org/officeDocument/2006/relationships/hyperlink" Target="https://find-and-update.company-information.service.gov.uk/company/02131269" TargetMode="External" Id="rId682" /><Relationship Type="http://schemas.openxmlformats.org/officeDocument/2006/relationships/hyperlink" Target="https://freetrade.io" TargetMode="External" Id="rId683" /><Relationship Type="http://schemas.openxmlformats.org/officeDocument/2006/relationships/hyperlink" Target="https://freetrade.io/" TargetMode="External" Id="rId684" /><Relationship Type="http://schemas.openxmlformats.org/officeDocument/2006/relationships/hyperlink" Target="https://find-and-update.company-information.service.gov.uk/company/09797821" TargetMode="External" Id="rId685" /><Relationship Type="http://schemas.openxmlformats.org/officeDocument/2006/relationships/hyperlink" Target="https://laven.com" TargetMode="External" Id="rId686" /><Relationship Type="http://schemas.openxmlformats.org/officeDocument/2006/relationships/hyperlink" Target="https://laven.com/" TargetMode="External" Id="rId687" /><Relationship Type="http://schemas.openxmlformats.org/officeDocument/2006/relationships/hyperlink" Target="https://find-and-update.company-information.service.gov.uk/company/OC312558" TargetMode="External" Id="rId688" /><Relationship Type="http://schemas.openxmlformats.org/officeDocument/2006/relationships/hyperlink" Target="https://www.lumen.com" TargetMode="External" Id="rId689" /><Relationship Type="http://schemas.openxmlformats.org/officeDocument/2006/relationships/hyperlink" Target="https://www.lumen.com/en-us/about/corporate-responsibility.html" TargetMode="External" Id="rId690" /><Relationship Type="http://schemas.openxmlformats.org/officeDocument/2006/relationships/hyperlink" Target="https://find-and-update.company-information.service.gov.uk/company/11880792" TargetMode="External" Id="rId691" /><Relationship Type="http://schemas.openxmlformats.org/officeDocument/2006/relationships/hyperlink" Target="https://www.jll.com" TargetMode="External" Id="rId692" /><Relationship Type="http://schemas.openxmlformats.org/officeDocument/2006/relationships/hyperlink" Target="https://www.jll.com/en-us/about-jll" TargetMode="External" Id="rId693" /><Relationship Type="http://schemas.openxmlformats.org/officeDocument/2006/relationships/hyperlink" Target="https://find-and-update.company-information.service.gov.uk/company/01144849" TargetMode="External" Id="rId694" /><Relationship Type="http://schemas.openxmlformats.org/officeDocument/2006/relationships/hyperlink" Target="https://www.naisbittking.com" TargetMode="External" Id="rId695" /><Relationship Type="http://schemas.openxmlformats.org/officeDocument/2006/relationships/hyperlink" Target="https://www.naisbittking.com/contact-us/" TargetMode="External" Id="rId696" /><Relationship Type="http://schemas.openxmlformats.org/officeDocument/2006/relationships/hyperlink" Target="https://find-and-update.company-information.service.gov.uk/company/09922315" TargetMode="External" Id="rId697" /><Relationship Type="http://schemas.openxmlformats.org/officeDocument/2006/relationships/hyperlink" Target="https://slaterinvestments.com" TargetMode="External" Id="rId698" /><Relationship Type="http://schemas.openxmlformats.org/officeDocument/2006/relationships/hyperlink" Target="https://slaterinvestments.com/" TargetMode="External" Id="rId699" /><Relationship Type="http://schemas.openxmlformats.org/officeDocument/2006/relationships/hyperlink" Target="https://find-and-update.company-information.service.gov.uk/company/02863882" TargetMode="External" Id="rId700" /><Relationship Type="http://schemas.openxmlformats.org/officeDocument/2006/relationships/hyperlink" Target="https://www.conduit-ventures.com" TargetMode="External" Id="rId701" /><Relationship Type="http://schemas.openxmlformats.org/officeDocument/2006/relationships/hyperlink" Target="https://www.conduit-ventures.com/" TargetMode="External" Id="rId702" /><Relationship Type="http://schemas.openxmlformats.org/officeDocument/2006/relationships/hyperlink" Target="https://find-and-update.company-information.service.gov.uk/company/04293385" TargetMode="External" Id="rId703" /><Relationship Type="http://schemas.openxmlformats.org/officeDocument/2006/relationships/hyperlink" Target="https://www.marylebonepartners.com" TargetMode="External" Id="rId704" /><Relationship Type="http://schemas.openxmlformats.org/officeDocument/2006/relationships/hyperlink" Target="https://www.marylebonepartners.com/" TargetMode="External" Id="rId705" /><Relationship Type="http://schemas.openxmlformats.org/officeDocument/2006/relationships/hyperlink" Target="https://find-and-update.company-information.service.gov.uk/company/OC381480" TargetMode="External" Id="rId706" /><Relationship Type="http://schemas.openxmlformats.org/officeDocument/2006/relationships/hyperlink" Target="https://kps.com" TargetMode="External" Id="rId707" /><Relationship Type="http://schemas.openxmlformats.org/officeDocument/2006/relationships/hyperlink" Target="https://kps.com/" TargetMode="External" Id="rId708" /><Relationship Type="http://schemas.openxmlformats.org/officeDocument/2006/relationships/hyperlink" Target="https://find-and-update.company-information.service.gov.uk/company/10738819" TargetMode="External" Id="rId709" /><Relationship Type="http://schemas.openxmlformats.org/officeDocument/2006/relationships/hyperlink" Target="https://www.marnix.com" TargetMode="External" Id="rId710" /><Relationship Type="http://schemas.openxmlformats.org/officeDocument/2006/relationships/hyperlink" Target="https://find-and-update.company-information.service.gov.uk/company/02448482" TargetMode="External" Id="rId711" /><Relationship Type="http://schemas.openxmlformats.org/officeDocument/2006/relationships/hyperlink" Target="https://www.icenrisk.com" TargetMode="External" Id="rId712" /><Relationship Type="http://schemas.openxmlformats.org/officeDocument/2006/relationships/hyperlink" Target="https://www.icenrisk.com/" TargetMode="External" Id="rId713" /><Relationship Type="http://schemas.openxmlformats.org/officeDocument/2006/relationships/hyperlink" Target="https://find-and-update.company-information.service.gov.uk/company/11691390" TargetMode="External" Id="rId714" /><Relationship Type="http://schemas.openxmlformats.org/officeDocument/2006/relationships/hyperlink" Target="https://milltech.com" TargetMode="External" Id="rId715" /><Relationship Type="http://schemas.openxmlformats.org/officeDocument/2006/relationships/hyperlink" Target="https://milltech.com/" TargetMode="External" Id="rId716" /><Relationship Type="http://schemas.openxmlformats.org/officeDocument/2006/relationships/hyperlink" Target="https://find-and-update.company-information.service.gov.uk/company/02964847" TargetMode="External" Id="rId717" /><Relationship Type="http://schemas.openxmlformats.org/officeDocument/2006/relationships/hyperlink" Target="https://www.twosigma.com" TargetMode="External" Id="rId718" /><Relationship Type="http://schemas.openxmlformats.org/officeDocument/2006/relationships/hyperlink" Target="https://www.twosigma.com/privacy-policies/?entity=two-sigma-investments-lp&amp;disclosure=privacy-policy" TargetMode="External" Id="rId719" /><Relationship Type="http://schemas.openxmlformats.org/officeDocument/2006/relationships/hyperlink" Target="https://find-and-update.company-information.service.gov.uk/company/06486331" TargetMode="External" Id="rId720" /><Relationship Type="http://schemas.openxmlformats.org/officeDocument/2006/relationships/hyperlink" Target="https://www.northcrosscapital.com" TargetMode="External" Id="rId721" /><Relationship Type="http://schemas.openxmlformats.org/officeDocument/2006/relationships/hyperlink" Target="https://www.northcrosscapital.com/" TargetMode="External" Id="rId722" /><Relationship Type="http://schemas.openxmlformats.org/officeDocument/2006/relationships/hyperlink" Target="https://find-and-update.company-information.service.gov.uk/company/OC313454" TargetMode="External" Id="rId723" /><Relationship Type="http://schemas.openxmlformats.org/officeDocument/2006/relationships/hyperlink" Target="https://www.squaretrade.com" TargetMode="External" Id="rId724" /><Relationship Type="http://schemas.openxmlformats.org/officeDocument/2006/relationships/hyperlink" Target="https://www.squaretrade.com/legal-notices" TargetMode="External" Id="rId725" /><Relationship Type="http://schemas.openxmlformats.org/officeDocument/2006/relationships/hyperlink" Target="https://find-and-update.company-information.service.gov.uk/company/07165194" TargetMode="External" Id="rId726" /><Relationship Type="http://schemas.openxmlformats.org/officeDocument/2006/relationships/hyperlink" Target="https://bettersocietycapital.com" TargetMode="External" Id="rId727" /><Relationship Type="http://schemas.openxmlformats.org/officeDocument/2006/relationships/hyperlink" Target="https://bettersocietycapital.com/contact/" TargetMode="External" Id="rId728" /><Relationship Type="http://schemas.openxmlformats.org/officeDocument/2006/relationships/hyperlink" Target="https://find-and-update.company-information.service.gov.uk/company/07599565" TargetMode="External" Id="rId729" /><Relationship Type="http://schemas.openxmlformats.org/officeDocument/2006/relationships/hyperlink" Target="https://www.imc.com" TargetMode="External" Id="rId730" /><Relationship Type="http://schemas.openxmlformats.org/officeDocument/2006/relationships/hyperlink" Target="https://www.imc.com/us/contact/offices/zug" TargetMode="External" Id="rId731" /><Relationship Type="http://schemas.openxmlformats.org/officeDocument/2006/relationships/hyperlink" Target="https://find-and-update.company-information.service.gov.uk/company/15698735" TargetMode="External" Id="rId732" /><Relationship Type="http://schemas.openxmlformats.org/officeDocument/2006/relationships/hyperlink" Target="https://www.nedgroupinvestments.com" TargetMode="External" Id="rId733" /><Relationship Type="http://schemas.openxmlformats.org/officeDocument/2006/relationships/hyperlink" Target="https://www.nedgroupinvestments.com/content/NGISingleSiteContent/Local/Individual-Investor/Contact-Us.html" TargetMode="External" Id="rId734" /><Relationship Type="http://schemas.openxmlformats.org/officeDocument/2006/relationships/hyperlink" Target="https://find-and-update.company-information.service.gov.uk/company/02627187" TargetMode="External" Id="rId735" /><Relationship Type="http://schemas.openxmlformats.org/officeDocument/2006/relationships/hyperlink" Target="https://find-and-update.company-information.service.gov.uk/company/OC429945" TargetMode="External" Id="rId736" /><Relationship Type="http://schemas.openxmlformats.org/officeDocument/2006/relationships/hyperlink" Target="https://www.qsm.com" TargetMode="External" Id="rId737" /><Relationship Type="http://schemas.openxmlformats.org/officeDocument/2006/relationships/hyperlink" Target="https://www.qsm.com/contact-us-0" TargetMode="External" Id="rId738" /><Relationship Type="http://schemas.openxmlformats.org/officeDocument/2006/relationships/hyperlink" Target="https://find-and-update.company-information.service.gov.uk/company/14955733" TargetMode="External" Id="rId739" /><Relationship Type="http://schemas.openxmlformats.org/officeDocument/2006/relationships/hyperlink" Target="https://www.triplepoint.co.uk" TargetMode="External" Id="rId740" /><Relationship Type="http://schemas.openxmlformats.org/officeDocument/2006/relationships/hyperlink" Target="https://www.triplepoint.co.uk/" TargetMode="External" Id="rId741" /><Relationship Type="http://schemas.openxmlformats.org/officeDocument/2006/relationships/hyperlink" Target="https://find-and-update.company-information.service.gov.uk/company/OC321250" TargetMode="External" Id="rId742" /><Relationship Type="http://schemas.openxmlformats.org/officeDocument/2006/relationships/hyperlink" Target="https://www.cigna.co.uk" TargetMode="External" Id="rId743" /><Relationship Type="http://schemas.openxmlformats.org/officeDocument/2006/relationships/hyperlink" Target="https://www.dnb.com/business-directory/company-profiles.cigna_walnut_holdings_ltd.90d0c01b7d99d9411094a22cd2556073.html" TargetMode="External" Id="rId744" /><Relationship Type="http://schemas.openxmlformats.org/officeDocument/2006/relationships/hyperlink" Target="https://find-and-update.company-information.service.gov.uk/company/04617115" TargetMode="External" Id="rId745" /><Relationship Type="http://schemas.openxmlformats.org/officeDocument/2006/relationships/hyperlink" Target="https://www.adg.com" TargetMode="External" Id="rId746" /><Relationship Type="http://schemas.openxmlformats.org/officeDocument/2006/relationships/hyperlink" Target="https://www.adg.com/contact" TargetMode="External" Id="rId747" /><Relationship Type="http://schemas.openxmlformats.org/officeDocument/2006/relationships/hyperlink" Target="https://find-and-update.company-information.service.gov.uk/company/OC342915" TargetMode="External" Id="rId748" /><Relationship Type="http://schemas.openxmlformats.org/officeDocument/2006/relationships/hyperlink" Target="https://www.ceresioinvestors.com" TargetMode="External" Id="rId749" /><Relationship Type="http://schemas.openxmlformats.org/officeDocument/2006/relationships/hyperlink" Target="https://www.ceresioinvestors.com/societa/belgrave-capital-management.html" TargetMode="External" Id="rId750" /><Relationship Type="http://schemas.openxmlformats.org/officeDocument/2006/relationships/hyperlink" Target="https://find-and-update.company-information.service.gov.uk/company/03105821" TargetMode="External" Id="rId751" /><Relationship Type="http://schemas.openxmlformats.org/officeDocument/2006/relationships/hyperlink" Target="https://www.rippling.com" TargetMode="External" Id="rId752" /><Relationship Type="http://schemas.openxmlformats.org/officeDocument/2006/relationships/hyperlink" Target="https://www.rippling.com/company/contact" TargetMode="External" Id="rId753" /><Relationship Type="http://schemas.openxmlformats.org/officeDocument/2006/relationships/hyperlink" Target="https://find-and-update.company-information.service.gov.uk/company/13914364" TargetMode="External" Id="rId754" /><Relationship Type="http://schemas.openxmlformats.org/officeDocument/2006/relationships/hyperlink" Target="https://www.marshmallow.com" TargetMode="External" Id="rId755" /><Relationship Type="http://schemas.openxmlformats.org/officeDocument/2006/relationships/hyperlink" Target="https://find-and-update.company-information.service.gov.uk/company/11005345" TargetMode="External" Id="rId756" /><Relationship Type="http://schemas.openxmlformats.org/officeDocument/2006/relationships/hyperlink" Target="https://investengine.com" TargetMode="External" Id="rId757" /><Relationship Type="http://schemas.openxmlformats.org/officeDocument/2006/relationships/hyperlink" Target="https://investengine.com/" TargetMode="External" Id="rId758" /><Relationship Type="http://schemas.openxmlformats.org/officeDocument/2006/relationships/hyperlink" Target="https://find-and-update.company-information.service.gov.uk/company/10438231" TargetMode="External" Id="rId759" /><Relationship Type="http://schemas.openxmlformats.org/officeDocument/2006/relationships/hyperlink" Target="https://kingsway.com" TargetMode="External" Id="rId760" /><Relationship Type="http://schemas.openxmlformats.org/officeDocument/2006/relationships/hyperlink" Target="https://kingsway.com/" TargetMode="External" Id="rId761" /><Relationship Type="http://schemas.openxmlformats.org/officeDocument/2006/relationships/hyperlink" Target="https://find-and-update.company-information.service.gov.uk/company/OC416750" TargetMode="External" Id="rId762" /><Relationship Type="http://schemas.openxmlformats.org/officeDocument/2006/relationships/hyperlink" Target="https://www.floodre.co.uk" TargetMode="External" Id="rId763" /><Relationship Type="http://schemas.openxmlformats.org/officeDocument/2006/relationships/hyperlink" Target="https://www.floodre.co.uk/about-us/" TargetMode="External" Id="rId764" /><Relationship Type="http://schemas.openxmlformats.org/officeDocument/2006/relationships/hyperlink" Target="https://find-and-update.company-information.service.gov.uk/company/08670444" TargetMode="External" Id="rId765" /><Relationship Type="http://schemas.openxmlformats.org/officeDocument/2006/relationships/hyperlink" Target="https://riskpoint.com" TargetMode="External" Id="rId766" /><Relationship Type="http://schemas.openxmlformats.org/officeDocument/2006/relationships/hyperlink" Target="https://riskpoint.com/" TargetMode="External" Id="rId767" /><Relationship Type="http://schemas.openxmlformats.org/officeDocument/2006/relationships/hyperlink" Target="https://find-and-update.company-information.service.gov.uk/company/13272780" TargetMode="External" Id="rId768" /><Relationship Type="http://schemas.openxmlformats.org/officeDocument/2006/relationships/hyperlink" Target="https://find-and-update.company-information.service.gov.uk/company/02774470" TargetMode="External" Id="rId769" /><Relationship Type="http://schemas.openxmlformats.org/officeDocument/2006/relationships/hyperlink" Target="https://www.pallaspartners.com" TargetMode="External" Id="rId770" /><Relationship Type="http://schemas.openxmlformats.org/officeDocument/2006/relationships/hyperlink" Target="https://www.pallaspartners.com/contact-us" TargetMode="External" Id="rId771" /><Relationship Type="http://schemas.openxmlformats.org/officeDocument/2006/relationships/hyperlink" Target="https://find-and-update.company-information.service.gov.uk/company/OC437491" TargetMode="External" Id="rId772" /><Relationship Type="http://schemas.openxmlformats.org/officeDocument/2006/relationships/hyperlink" Target="https://securis.com" TargetMode="External" Id="rId773" /><Relationship Type="http://schemas.openxmlformats.org/officeDocument/2006/relationships/hyperlink" Target="https://securis.com/privacy-policy/" TargetMode="External" Id="rId774" /><Relationship Type="http://schemas.openxmlformats.org/officeDocument/2006/relationships/hyperlink" Target="https://find-and-update.company-information.service.gov.uk/company/05424896" TargetMode="External" Id="rId775" /><Relationship Type="http://schemas.openxmlformats.org/officeDocument/2006/relationships/hyperlink" Target="https://griffin-insurance.co.uk" TargetMode="External" Id="rId776" /><Relationship Type="http://schemas.openxmlformats.org/officeDocument/2006/relationships/hyperlink" Target="https://find-and-update.company-information.service.gov.uk/company/02134231" TargetMode="External" Id="rId777" /><Relationship Type="http://schemas.openxmlformats.org/officeDocument/2006/relationships/hyperlink" Target="https://find-and-update.company-information.service.gov.uk/company/03985640" TargetMode="External" Id="rId778" /><Relationship Type="http://schemas.openxmlformats.org/officeDocument/2006/relationships/hyperlink" Target="https://find-and-update.company-information.service.gov.uk/company/07151701" TargetMode="External" Id="rId779" /><Relationship Type="http://schemas.openxmlformats.org/officeDocument/2006/relationships/hyperlink" Target="https://find-and-update.company-information.service.gov.uk/company/02054592" TargetMode="External" Id="rId780" /><Relationship Type="http://schemas.openxmlformats.org/officeDocument/2006/relationships/hyperlink" Target="https://www.ellington.com" TargetMode="External" Id="rId781" /><Relationship Type="http://schemas.openxmlformats.org/officeDocument/2006/relationships/hyperlink" Target="https://www.ellington.com/" TargetMode="External" Id="rId782" /><Relationship Type="http://schemas.openxmlformats.org/officeDocument/2006/relationships/hyperlink" Target="https://find-and-update.company-information.service.gov.uk/company/OC387072" TargetMode="External" Id="rId783" /><Relationship Type="http://schemas.openxmlformats.org/officeDocument/2006/relationships/hyperlink" Target="https://find-and-update.company-information.service.gov.uk/company/10985073" TargetMode="External" Id="rId784" /><Relationship Type="http://schemas.openxmlformats.org/officeDocument/2006/relationships/hyperlink" Target="https://find-and-update.company-information.service.gov.uk/company/14525552" TargetMode="External" Id="rId785" /><Relationship Type="http://schemas.openxmlformats.org/officeDocument/2006/relationships/hyperlink" Target="https://www.helios.co.uk" TargetMode="External" Id="rId786" /><Relationship Type="http://schemas.openxmlformats.org/officeDocument/2006/relationships/hyperlink" Target="https://find-and-update.company-information.service.gov.uk/company/05892671" TargetMode="External" Id="rId787" /><Relationship Type="http://schemas.openxmlformats.org/officeDocument/2006/relationships/hyperlink" Target="https://www.artexrisk.com" TargetMode="External" Id="rId788" /><Relationship Type="http://schemas.openxmlformats.org/officeDocument/2006/relationships/hyperlink" Target="https://www.artexrisk.com/global-privacy-notice/" TargetMode="External" Id="rId789" /><Relationship Type="http://schemas.openxmlformats.org/officeDocument/2006/relationships/hyperlink" Target="https://find-and-update.company-information.service.gov.uk/company/08213668" TargetMode="External" Id="rId790" /><Relationship Type="http://schemas.openxmlformats.org/officeDocument/2006/relationships/hyperlink" Target="https://www.farringdon.com" TargetMode="External" Id="rId791" /><Relationship Type="http://schemas.openxmlformats.org/officeDocument/2006/relationships/hyperlink" Target="https://www.farringdon.com/" TargetMode="External" Id="rId792" /><Relationship Type="http://schemas.openxmlformats.org/officeDocument/2006/relationships/hyperlink" Target="https://find-and-update.company-information.service.gov.uk/company/11270472" TargetMode="External" Id="rId793" /><Relationship Type="http://schemas.openxmlformats.org/officeDocument/2006/relationships/hyperlink" Target="https://find-and-update.company-information.service.gov.uk/company/OC300263" TargetMode="External" Id="rId794" /><Relationship Type="http://schemas.openxmlformats.org/officeDocument/2006/relationships/hyperlink" Target="https://rossiehouse.com" TargetMode="External" Id="rId795" /><Relationship Type="http://schemas.openxmlformats.org/officeDocument/2006/relationships/hyperlink" Target="https://rossiehouse.com/" TargetMode="External" Id="rId796" /><Relationship Type="http://schemas.openxmlformats.org/officeDocument/2006/relationships/hyperlink" Target="https://find-and-update.company-information.service.gov.uk/company/OC419374" TargetMode="External" Id="rId797" /><Relationship Type="http://schemas.openxmlformats.org/officeDocument/2006/relationships/hyperlink" Target="https://www.asilpartners.com" TargetMode="External" Id="rId798" /><Relationship Type="http://schemas.openxmlformats.org/officeDocument/2006/relationships/hyperlink" Target="https://www.asilpartners.com/contact/" TargetMode="External" Id="rId799" /><Relationship Type="http://schemas.openxmlformats.org/officeDocument/2006/relationships/hyperlink" Target="https://find-and-update.company-information.service.gov.uk/company/OC376489" TargetMode="External" Id="rId800" /><Relationship Type="http://schemas.openxmlformats.org/officeDocument/2006/relationships/hyperlink" Target="https://www.clearance.com" TargetMode="External" Id="rId801" /><Relationship Type="http://schemas.openxmlformats.org/officeDocument/2006/relationships/hyperlink" Target="https://www.clearance.com/contact.htm" TargetMode="External" Id="rId802" /><Relationship Type="http://schemas.openxmlformats.org/officeDocument/2006/relationships/hyperlink" Target="https://find-and-update.company-information.service.gov.uk/company/06760235" TargetMode="External" Id="rId803" /><Relationship Type="http://schemas.openxmlformats.org/officeDocument/2006/relationships/hyperlink" Target="https://www.wakam.com" TargetMode="External" Id="rId804" /><Relationship Type="http://schemas.openxmlformats.org/officeDocument/2006/relationships/hyperlink" Target="https://find-and-update.company-information.service.gov.uk/company/14778827" TargetMode="External" Id="rId805" /><Relationship Type="http://schemas.openxmlformats.org/officeDocument/2006/relationships/hyperlink" Target="https://www.nurseryroadcapital.com" TargetMode="External" Id="rId806" /><Relationship Type="http://schemas.openxmlformats.org/officeDocument/2006/relationships/hyperlink" Target="https://www.nurseryroadcapital.com/" TargetMode="External" Id="rId807" /><Relationship Type="http://schemas.openxmlformats.org/officeDocument/2006/relationships/hyperlink" Target="https://find-and-update.company-information.service.gov.uk/company/13126020" TargetMode="External" Id="rId808" /><Relationship Type="http://schemas.openxmlformats.org/officeDocument/2006/relationships/hyperlink" Target="https://www.btomorrowv.com" TargetMode="External" Id="rId809" /><Relationship Type="http://schemas.openxmlformats.org/officeDocument/2006/relationships/hyperlink" Target="https://www.btomorrowv.com/legal/privacy-policy" TargetMode="External" Id="rId810" /><Relationship Type="http://schemas.openxmlformats.org/officeDocument/2006/relationships/hyperlink" Target="https://find-and-update.company-information.service.gov.uk/company/12068843" TargetMode="External" Id="rId811" /><Relationship Type="http://schemas.openxmlformats.org/officeDocument/2006/relationships/hyperlink" Target="https://www.gam.com" TargetMode="External" Id="rId812" /><Relationship Type="http://schemas.openxmlformats.org/officeDocument/2006/relationships/hyperlink" Target="https://www.gam.com/en/our-company/contacts-and-locations" TargetMode="External" Id="rId813" /><Relationship Type="http://schemas.openxmlformats.org/officeDocument/2006/relationships/hyperlink" Target="https://find-and-update.company-information.service.gov.uk/company/00874802" TargetMode="External" Id="rId814" /><Relationship Type="http://schemas.openxmlformats.org/officeDocument/2006/relationships/hyperlink" Target="https://www.arielre.com" TargetMode="External" Id="rId815" /><Relationship Type="http://schemas.openxmlformats.org/officeDocument/2006/relationships/hyperlink" Target="http://www.arielre.com/contact-us/" TargetMode="External" Id="rId816" /><Relationship Type="http://schemas.openxmlformats.org/officeDocument/2006/relationships/hyperlink" Target="https://find-and-update.company-information.service.gov.uk/company/12808840" TargetMode="External" Id="rId817" /><Relationship Type="http://schemas.openxmlformats.org/officeDocument/2006/relationships/hyperlink" Target="https://www.mosaic.com" TargetMode="External" Id="rId818" /><Relationship Type="http://schemas.openxmlformats.org/officeDocument/2006/relationships/hyperlink" Target="https://www.mosaic.com/en/contact" TargetMode="External" Id="rId819" /><Relationship Type="http://schemas.openxmlformats.org/officeDocument/2006/relationships/hyperlink" Target="https://find-and-update.company-information.service.gov.uk/company/13075335" TargetMode="External" Id="rId820" /><Relationship Type="http://schemas.openxmlformats.org/officeDocument/2006/relationships/hyperlink" Target="https://www.ftportfolios.com" TargetMode="External" Id="rId821" /><Relationship Type="http://schemas.openxmlformats.org/officeDocument/2006/relationships/hyperlink" Target="https://www.ftportfolios.com/retail/contactus/contactus.aspx" TargetMode="External" Id="rId822" /><Relationship Type="http://schemas.openxmlformats.org/officeDocument/2006/relationships/hyperlink" Target="https://find-and-update.company-information.service.gov.uk/company/07874049" TargetMode="External" Id="rId823" /><Relationship Type="http://schemas.openxmlformats.org/officeDocument/2006/relationships/hyperlink" Target="https://ripple.com" TargetMode="External" Id="rId824" /><Relationship Type="http://schemas.openxmlformats.org/officeDocument/2006/relationships/hyperlink" Target="https://ripple.com/legal/terms-of-use/" TargetMode="External" Id="rId825" /><Relationship Type="http://schemas.openxmlformats.org/officeDocument/2006/relationships/hyperlink" Target="https://find-and-update.company-information.service.gov.uk/company/OC425449" TargetMode="External" Id="rId826" /><Relationship Type="http://schemas.openxmlformats.org/officeDocument/2006/relationships/hyperlink" Target="https://www.metage.com" TargetMode="External" Id="rId827" /><Relationship Type="http://schemas.openxmlformats.org/officeDocument/2006/relationships/hyperlink" Target="https://www.metage.com/" TargetMode="External" Id="rId828" /><Relationship Type="http://schemas.openxmlformats.org/officeDocument/2006/relationships/hyperlink" Target="https://find-and-update.company-information.service.gov.uk/company/03525123" TargetMode="External" Id="rId829" /><Relationship Type="http://schemas.openxmlformats.org/officeDocument/2006/relationships/hyperlink" Target="https://partnerswealthmanagement.co.uk" TargetMode="External" Id="rId830" /><Relationship Type="http://schemas.openxmlformats.org/officeDocument/2006/relationships/hyperlink" Target="https://partnerswealthmanagement.co.uk/" TargetMode="External" Id="rId831" /><Relationship Type="http://schemas.openxmlformats.org/officeDocument/2006/relationships/hyperlink" Target="https://find-and-update.company-information.service.gov.uk/company/OC307751" TargetMode="External" Id="rId832" /><Relationship Type="http://schemas.openxmlformats.org/officeDocument/2006/relationships/hyperlink" Target="https://www.seven.co.uk" TargetMode="External" Id="rId833" /><Relationship Type="http://schemas.openxmlformats.org/officeDocument/2006/relationships/hyperlink" Target="https://www.seven.co.uk/" TargetMode="External" Id="rId834" /><Relationship Type="http://schemas.openxmlformats.org/officeDocument/2006/relationships/hyperlink" Target="https://find-and-update.company-information.service.gov.uk/company/OC378740" TargetMode="External" Id="rId835" /><Relationship Type="http://schemas.openxmlformats.org/officeDocument/2006/relationships/hyperlink" Target="https://find-and-update.company-information.service.gov.uk/company/06965856" TargetMode="External" Id="rId836" /><Relationship Type="http://schemas.openxmlformats.org/officeDocument/2006/relationships/hyperlink" Target="https://www.bupa.com" TargetMode="External" Id="rId837" /><Relationship Type="http://schemas.openxmlformats.org/officeDocument/2006/relationships/hyperlink" Target="https://www.bupa.com/contact-us" TargetMode="External" Id="rId838" /><Relationship Type="http://schemas.openxmlformats.org/officeDocument/2006/relationships/hyperlink" Target="https://find-and-update.company-information.service.gov.uk/company/03956433" TargetMode="External" Id="rId839" /><Relationship Type="http://schemas.openxmlformats.org/officeDocument/2006/relationships/hyperlink" Target="https://find-and-update.company-information.service.gov.uk/company/03149879" TargetMode="External" Id="rId840" /><Relationship Type="http://schemas.openxmlformats.org/officeDocument/2006/relationships/hyperlink" Target="https://www.tmhcc.com" TargetMode="External" Id="rId841" /><Relationship Type="http://schemas.openxmlformats.org/officeDocument/2006/relationships/hyperlink" Target="https://find-and-update.company-information.service.gov.uk/company/01575839" TargetMode="External" Id="rId842" /><Relationship Type="http://schemas.openxmlformats.org/officeDocument/2006/relationships/hyperlink" Target="https://www.domainstore.co.uk" TargetMode="External" Id="rId843" /><Relationship Type="http://schemas.openxmlformats.org/officeDocument/2006/relationships/hyperlink" Target="https://find-and-update.company-information.service.gov.uk/company/03849918" TargetMode="External" Id="rId844" /><Relationship Type="http://schemas.openxmlformats.org/officeDocument/2006/relationships/hyperlink" Target="https://www.tmclaims.com" TargetMode="External" Id="rId845" /><Relationship Type="http://schemas.openxmlformats.org/officeDocument/2006/relationships/hyperlink" Target="https://find-and-update.company-information.service.gov.uk/company/01183719" TargetMode="External" Id="rId846" /><Relationship Type="http://schemas.openxmlformats.org/officeDocument/2006/relationships/hyperlink" Target="https://find-and-update.company-information.service.gov.uk/company/07061914" TargetMode="External" Id="rId847" /><Relationship Type="http://schemas.openxmlformats.org/officeDocument/2006/relationships/hyperlink" Target="https://www.alanblunden.co.uk" TargetMode="External" Id="rId848" /><Relationship Type="http://schemas.openxmlformats.org/officeDocument/2006/relationships/hyperlink" Target="https://www.alanblunden.co.uk/" TargetMode="External" Id="rId849" /><Relationship Type="http://schemas.openxmlformats.org/officeDocument/2006/relationships/hyperlink" Target="https://find-and-update.company-information.service.gov.uk/company/03476249" TargetMode="External" Id="rId850" /><Relationship Type="http://schemas.openxmlformats.org/officeDocument/2006/relationships/hyperlink" Target="https://www.balimited.co.uk" TargetMode="External" Id="rId851" /><Relationship Type="http://schemas.openxmlformats.org/officeDocument/2006/relationships/hyperlink" Target="https://www.balimited.co.uk/" TargetMode="External" Id="rId852" /><Relationship Type="http://schemas.openxmlformats.org/officeDocument/2006/relationships/hyperlink" Target="https://find-and-update.company-information.service.gov.uk/company/00003002" TargetMode="External" Id="rId853" /><Relationship Type="http://schemas.openxmlformats.org/officeDocument/2006/relationships/hyperlink" Target="https://www.edge.co.uk" TargetMode="External" Id="rId854" /><Relationship Type="http://schemas.openxmlformats.org/officeDocument/2006/relationships/hyperlink" Target="https://www.edge.co.uk/about-edge/contact-us/" TargetMode="External" Id="rId855" /><Relationship Type="http://schemas.openxmlformats.org/officeDocument/2006/relationships/hyperlink" Target="https://find-and-update.company-information.service.gov.uk/company/03721499" TargetMode="External" Id="rId856" /><Relationship Type="http://schemas.openxmlformats.org/officeDocument/2006/relationships/hyperlink" Target="https://www.equitas.co.uk" TargetMode="External" Id="rId857" /><Relationship Type="http://schemas.openxmlformats.org/officeDocument/2006/relationships/hyperlink" Target="https://www.equitas.co.uk/contact.html" TargetMode="External" Id="rId858" /><Relationship Type="http://schemas.openxmlformats.org/officeDocument/2006/relationships/hyperlink" Target="https://find-and-update.company-information.service.gov.uk/company/03136300" TargetMode="External" Id="rId859" /><Relationship Type="http://schemas.openxmlformats.org/officeDocument/2006/relationships/hyperlink" Target="https://mxunderwriting.com" TargetMode="External" Id="rId860" /><Relationship Type="http://schemas.openxmlformats.org/officeDocument/2006/relationships/hyperlink" Target="https://mxunderwriting.com/commecial-legal-indemnity" TargetMode="External" Id="rId861" /><Relationship Type="http://schemas.openxmlformats.org/officeDocument/2006/relationships/hyperlink" Target="https://find-and-update.company-information.service.gov.uk/company/04692971" TargetMode="External" Id="rId862" /><Relationship Type="http://schemas.openxmlformats.org/officeDocument/2006/relationships/hyperlink" Target="https://mxunderwriting.com" TargetMode="External" Id="rId863" /><Relationship Type="http://schemas.openxmlformats.org/officeDocument/2006/relationships/hyperlink" Target="https://mxunderwriting.com/commecial-legal-indemnity" TargetMode="External" Id="rId864" /><Relationship Type="http://schemas.openxmlformats.org/officeDocument/2006/relationships/hyperlink" Target="https://find-and-update.company-information.service.gov.uk/company/05545292" TargetMode="External" Id="rId865" /><Relationship Type="http://schemas.openxmlformats.org/officeDocument/2006/relationships/hyperlink" Target="https://qualisuk.com" TargetMode="External" Id="rId866" /><Relationship Type="http://schemas.openxmlformats.org/officeDocument/2006/relationships/hyperlink" Target="https://qualisuk.com/" TargetMode="External" Id="rId867" /><Relationship Type="http://schemas.openxmlformats.org/officeDocument/2006/relationships/hyperlink" Target="https://find-and-update.company-information.service.gov.uk/company/12099030" TargetMode="External" Id="rId868" /><Relationship Type="http://schemas.openxmlformats.org/officeDocument/2006/relationships/hyperlink" Target="https://specialistrisk.com" TargetMode="External" Id="rId869" /><Relationship Type="http://schemas.openxmlformats.org/officeDocument/2006/relationships/hyperlink" Target="https://specialistrisk.com/contact-us" TargetMode="External" Id="rId870" /><Relationship Type="http://schemas.openxmlformats.org/officeDocument/2006/relationships/hyperlink" Target="https://find-and-update.company-information.service.gov.uk/company/06368755" TargetMode="External" Id="rId871" /><Relationship Type="http://schemas.openxmlformats.org/officeDocument/2006/relationships/hyperlink" Target="https://www.convex.com" TargetMode="External" Id="rId872" /><Relationship Type="http://schemas.openxmlformats.org/officeDocument/2006/relationships/hyperlink" Target="https://www.convex.com/data-sourcing-and-privacy-compliance" TargetMode="External" Id="rId873" /><Relationship Type="http://schemas.openxmlformats.org/officeDocument/2006/relationships/hyperlink" Target="https://find-and-update.company-information.service.gov.uk/company/08075698" TargetMode="External" Id="rId874" /><Relationship Type="http://schemas.openxmlformats.org/officeDocument/2006/relationships/hyperlink" Target="https://www.emergingmarkets.com" TargetMode="External" Id="rId875" /><Relationship Type="http://schemas.openxmlformats.org/officeDocument/2006/relationships/hyperlink" Target="https://www.emergingmarkets.com/" TargetMode="External" Id="rId876" /><Relationship Type="http://schemas.openxmlformats.org/officeDocument/2006/relationships/hyperlink" Target="https://find-and-update.company-information.service.gov.uk/company/10788629" TargetMode="External" Id="rId877" /><Relationship Type="http://schemas.openxmlformats.org/officeDocument/2006/relationships/hyperlink" Target="https://www.lindisfarne.com" TargetMode="External" Id="rId878" /><Relationship Type="http://schemas.openxmlformats.org/officeDocument/2006/relationships/hyperlink" Target="https://www.lindisfarne.com/" TargetMode="External" Id="rId879" /><Relationship Type="http://schemas.openxmlformats.org/officeDocument/2006/relationships/hyperlink" Target="https://find-and-update.company-information.service.gov.uk/company/OC346898" TargetMode="External" Id="rId880" /><Relationship Type="http://schemas.openxmlformats.org/officeDocument/2006/relationships/hyperlink" Target="https://www.wmcapitalmanagement.com" TargetMode="External" Id="rId881" /><Relationship Type="http://schemas.openxmlformats.org/officeDocument/2006/relationships/hyperlink" Target="https://www.wmcapitalmanagement.com/contact-us/" TargetMode="External" Id="rId882" /><Relationship Type="http://schemas.openxmlformats.org/officeDocument/2006/relationships/hyperlink" Target="https://find-and-update.company-information.service.gov.uk/company/07042526" TargetMode="External" Id="rId883" /><Relationship Type="http://schemas.openxmlformats.org/officeDocument/2006/relationships/hyperlink" Target="https://find-and-update.company-information.service.gov.uk/company/01229676" TargetMode="External" Id="rId884" /><Relationship Type="http://schemas.openxmlformats.org/officeDocument/2006/relationships/hyperlink" Target="https://british-aviation.co.uk" TargetMode="External" Id="rId885" /><Relationship Type="http://schemas.openxmlformats.org/officeDocument/2006/relationships/hyperlink" Target="https://find-and-update.company-information.service.gov.uk/company/00246018" TargetMode="External" Id="rId886" /><Relationship Type="http://schemas.openxmlformats.org/officeDocument/2006/relationships/hyperlink" Target="https://cbc.co.uk" TargetMode="External" Id="rId887" /><Relationship Type="http://schemas.openxmlformats.org/officeDocument/2006/relationships/hyperlink" Target="https://find-and-update.company-information.service.gov.uk/company/01973536" TargetMode="External" Id="rId888" /><Relationship Type="http://schemas.openxmlformats.org/officeDocument/2006/relationships/hyperlink" Target="https://kbis.com" TargetMode="External" Id="rId889" /><Relationship Type="http://schemas.openxmlformats.org/officeDocument/2006/relationships/hyperlink" Target="https://find-and-update.company-information.service.gov.uk/company/02208091" TargetMode="External" Id="rId890" /><Relationship Type="http://schemas.openxmlformats.org/officeDocument/2006/relationships/hyperlink" Target="https://find-and-update.company-information.service.gov.uk/company/01235521" TargetMode="External" Id="rId891" /><Relationship Type="http://schemas.openxmlformats.org/officeDocument/2006/relationships/hyperlink" Target="https://www.legalandgeneral.com" TargetMode="External" Id="rId892" /><Relationship Type="http://schemas.openxmlformats.org/officeDocument/2006/relationships/hyperlink" Target="https://find-and-update.company-information.service.gov.uk/company/00166055" TargetMode="External" Id="rId893" /><Relationship Type="http://schemas.openxmlformats.org/officeDocument/2006/relationships/hyperlink" Target="https://www.centerviewpartners.com" TargetMode="External" Id="rId894" /><Relationship Type="http://schemas.openxmlformats.org/officeDocument/2006/relationships/hyperlink" Target="https://find-and-update.company-information.service.gov.uk/company/OC345806" TargetMode="External" Id="rId895" /><Relationship Type="http://schemas.openxmlformats.org/officeDocument/2006/relationships/hyperlink" Target="https://hartford.com" TargetMode="External" Id="rId896" /><Relationship Type="http://schemas.openxmlformats.org/officeDocument/2006/relationships/hyperlink" Target="https://hartford.com/" TargetMode="External" Id="rId897" /><Relationship Type="http://schemas.openxmlformats.org/officeDocument/2006/relationships/hyperlink" Target="https://find-and-update.company-information.service.gov.uk/company/01380715" TargetMode="External" Id="rId898" /><Relationship Type="http://schemas.openxmlformats.org/officeDocument/2006/relationships/hyperlink" Target="https://marcocapital.net" TargetMode="External" Id="rId899" /><Relationship Type="http://schemas.openxmlformats.org/officeDocument/2006/relationships/hyperlink" Target="https://marcocapital.net/" TargetMode="External" Id="rId900" /><Relationship Type="http://schemas.openxmlformats.org/officeDocument/2006/relationships/hyperlink" Target="https://find-and-update.company-information.service.gov.uk/company/01335239" TargetMode="External" Id="rId901" /><Relationship Type="http://schemas.openxmlformats.org/officeDocument/2006/relationships/hyperlink" Target="https://renaissanceaf.com" TargetMode="External" Id="rId902" /><Relationship Type="http://schemas.openxmlformats.org/officeDocument/2006/relationships/hyperlink" Target="https://renaissanceaf.com/" TargetMode="External" Id="rId903" /><Relationship Type="http://schemas.openxmlformats.org/officeDocument/2006/relationships/hyperlink" Target="https://find-and-update.company-information.service.gov.uk/company/08885289" TargetMode="External" Id="rId904" /><Relationship Type="http://schemas.openxmlformats.org/officeDocument/2006/relationships/hyperlink" Target="https://walshams.co.uk" TargetMode="External" Id="rId905" /><Relationship Type="http://schemas.openxmlformats.org/officeDocument/2006/relationships/hyperlink" Target="https://walshams.co.uk/" TargetMode="External" Id="rId906" /><Relationship Type="http://schemas.openxmlformats.org/officeDocument/2006/relationships/hyperlink" Target="https://find-and-update.company-information.service.gov.uk/company/00162264" TargetMode="External" Id="rId907" /><Relationship Type="http://schemas.openxmlformats.org/officeDocument/2006/relationships/hyperlink" Target="https://www.partners.com" TargetMode="External" Id="rId908" /><Relationship Type="http://schemas.openxmlformats.org/officeDocument/2006/relationships/hyperlink" Target="https://www.partners.com/en" TargetMode="External" Id="rId909" /><Relationship Type="http://schemas.openxmlformats.org/officeDocument/2006/relationships/hyperlink" Target="https://find-and-update.company-information.service.gov.uk/company/05113447" TargetMode="External" Id="rId910" /><Relationship Type="http://schemas.openxmlformats.org/officeDocument/2006/relationships/hyperlink" Target="https://www.iprism.co.uk" TargetMode="External" Id="rId911" /><Relationship Type="http://schemas.openxmlformats.org/officeDocument/2006/relationships/hyperlink" Target="https://www.iprism.co.uk/" TargetMode="External" Id="rId912" /><Relationship Type="http://schemas.openxmlformats.org/officeDocument/2006/relationships/hyperlink" Target="https://find-and-update.company-information.service.gov.uk/company/05604278" TargetMode="External" Id="rId913" /><Relationship Type="http://schemas.openxmlformats.org/officeDocument/2006/relationships/hyperlink" Target="https://alphidence.capital" TargetMode="External" Id="rId914" /><Relationship Type="http://schemas.openxmlformats.org/officeDocument/2006/relationships/hyperlink" Target="https://alphidence.capital/" TargetMode="External" Id="rId915" /><Relationship Type="http://schemas.openxmlformats.org/officeDocument/2006/relationships/hyperlink" Target="https://find-and-update.company-information.service.gov.uk/company/12590895" TargetMode="External" Id="rId916" /><Relationship Type="http://schemas.openxmlformats.org/officeDocument/2006/relationships/hyperlink" Target="https://standrewsinsurance.com" TargetMode="External" Id="rId917" /><Relationship Type="http://schemas.openxmlformats.org/officeDocument/2006/relationships/hyperlink" Target="https://standrewsinsurance.com/privacy-policy/" TargetMode="External" Id="rId918" /><Relationship Type="http://schemas.openxmlformats.org/officeDocument/2006/relationships/hyperlink" Target="https://find-and-update.company-information.service.gov.uk/company/03104671" TargetMode="External" Id="rId919" /><Relationship Type="http://schemas.openxmlformats.org/officeDocument/2006/relationships/hyperlink" Target="https://www.embark.com" TargetMode="External" Id="rId920" /><Relationship Type="http://schemas.openxmlformats.org/officeDocument/2006/relationships/hyperlink" Target="https://www.embark.com/contact/" TargetMode="External" Id="rId921" /><Relationship Type="http://schemas.openxmlformats.org/officeDocument/2006/relationships/hyperlink" Target="https://find-and-update.company-information.service.gov.uk/company/03383730" TargetMode="External" Id="rId922" /><Relationship Type="http://schemas.openxmlformats.org/officeDocument/2006/relationships/hyperlink" Target="https://www.johnstreetcapital.com" TargetMode="External" Id="rId923" /><Relationship Type="http://schemas.openxmlformats.org/officeDocument/2006/relationships/hyperlink" Target="https://www.johnstreetcapital.com/contact.aspx" TargetMode="External" Id="rId924" /><Relationship Type="http://schemas.openxmlformats.org/officeDocument/2006/relationships/hyperlink" Target="https://find-and-update.company-information.service.gov.uk/company/12142117" TargetMode="External" Id="rId925" /><Relationship Type="http://schemas.openxmlformats.org/officeDocument/2006/relationships/hyperlink" Target="https://uk.cntaiping.com" TargetMode="External" Id="rId926" /><Relationship Type="http://schemas.openxmlformats.org/officeDocument/2006/relationships/hyperlink" Target="https://uk.cntaiping.com/uk-lo/" TargetMode="External" Id="rId927" /><Relationship Type="http://schemas.openxmlformats.org/officeDocument/2006/relationships/hyperlink" Target="https://find-and-update.company-information.service.gov.uk/company/01766035" TargetMode="External" Id="rId928" /><Relationship Type="http://schemas.openxmlformats.org/officeDocument/2006/relationships/hyperlink" Target="https://www.sidekickmoney.com" TargetMode="External" Id="rId929" /><Relationship Type="http://schemas.openxmlformats.org/officeDocument/2006/relationships/hyperlink" Target="https://www.sidekickmoney.com/" TargetMode="External" Id="rId930" /><Relationship Type="http://schemas.openxmlformats.org/officeDocument/2006/relationships/hyperlink" Target="https://find-and-update.company-information.service.gov.uk/company/13882980" TargetMode="External" Id="rId931" /><Relationship Type="http://schemas.openxmlformats.org/officeDocument/2006/relationships/hyperlink" Target="https://www.stubbenedge.com" TargetMode="External" Id="rId932" /><Relationship Type="http://schemas.openxmlformats.org/officeDocument/2006/relationships/hyperlink" Target="https://www.stubbenedge.com/privacy-policy" TargetMode="External" Id="rId933" /><Relationship Type="http://schemas.openxmlformats.org/officeDocument/2006/relationships/hyperlink" Target="https://find-and-update.company-information.service.gov.uk/company/03317764" TargetMode="External" Id="rId934" /><Relationship Type="http://schemas.openxmlformats.org/officeDocument/2006/relationships/hyperlink" Target="https://www.angelriskmanagement.com" TargetMode="External" Id="rId935" /><Relationship Type="http://schemas.openxmlformats.org/officeDocument/2006/relationships/hyperlink" Target="https://www.angelriskmanagement.com/contact-us/" TargetMode="External" Id="rId936" /><Relationship Type="http://schemas.openxmlformats.org/officeDocument/2006/relationships/hyperlink" Target="https://find-and-update.company-information.service.gov.uk/company/02942487" TargetMode="External" Id="rId937" /><Relationship Type="http://schemas.openxmlformats.org/officeDocument/2006/relationships/hyperlink" Target="https://healthon.com" TargetMode="External" Id="rId938" /><Relationship Type="http://schemas.openxmlformats.org/officeDocument/2006/relationships/hyperlink" Target="https://healthon.com/pages/contact" TargetMode="External" Id="rId939" /><Relationship Type="http://schemas.openxmlformats.org/officeDocument/2006/relationships/hyperlink" Target="https://find-and-update.company-information.service.gov.uk/company/03655704" TargetMode="External" Id="rId940" /><Relationship Type="http://schemas.openxmlformats.org/officeDocument/2006/relationships/hyperlink" Target="https://www.thephc.co.uk/" TargetMode="External" Id="rId941" /><Relationship Type="http://schemas.openxmlformats.org/officeDocument/2006/relationships/hyperlink" Target="https://www.thephc.co.uk/contact-us/" TargetMode="External" Id="rId942" /><Relationship Type="http://schemas.openxmlformats.org/officeDocument/2006/relationships/hyperlink" Target="https://find-and-update.company-information.service.gov.uk/company/02933772" TargetMode="External" Id="rId943" /><Relationship Type="http://schemas.openxmlformats.org/officeDocument/2006/relationships/hyperlink" Target="https://www.bannermanrendell.com" TargetMode="External" Id="rId944" /><Relationship Type="http://schemas.openxmlformats.org/officeDocument/2006/relationships/hyperlink" Target="https://www.bannermanrendell.com/" TargetMode="External" Id="rId945" /><Relationship Type="http://schemas.openxmlformats.org/officeDocument/2006/relationships/hyperlink" Target="https://find-and-update.company-information.service.gov.uk/company/00609004" TargetMode="External" Id="rId946" /><Relationship Type="http://schemas.openxmlformats.org/officeDocument/2006/relationships/hyperlink" Target="https://www.awbury.com" TargetMode="External" Id="rId947" /><Relationship Type="http://schemas.openxmlformats.org/officeDocument/2006/relationships/hyperlink" Target="https://www.awbury.com/" TargetMode="External" Id="rId948" /><Relationship Type="http://schemas.openxmlformats.org/officeDocument/2006/relationships/hyperlink" Target="https://find-and-update.company-information.service.gov.uk/company/15903985" TargetMode="External" Id="rId949" /><Relationship Type="http://schemas.openxmlformats.org/officeDocument/2006/relationships/hyperlink" Target="https://rondinecapital.com" TargetMode="External" Id="rId950" /><Relationship Type="http://schemas.openxmlformats.org/officeDocument/2006/relationships/hyperlink" Target="https://rondinecapital.com/contact/" TargetMode="External" Id="rId951" /><Relationship Type="http://schemas.openxmlformats.org/officeDocument/2006/relationships/hyperlink" Target="https://find-and-update.company-information.service.gov.uk/company/OC394732" TargetMode="External" Id="rId952" /><Relationship Type="http://schemas.openxmlformats.org/officeDocument/2006/relationships/hyperlink" Target="https://find-and-update.company-information.service.gov.uk/company/06498431" TargetMode="External" Id="rId953" /><Relationship Type="http://schemas.openxmlformats.org/officeDocument/2006/relationships/hyperlink" Target="https://www.dual.com" TargetMode="External" Id="rId954" /><Relationship Type="http://schemas.openxmlformats.org/officeDocument/2006/relationships/hyperlink" Target="https://www.dualinsurance.com/uk-en/contact" TargetMode="External" Id="rId955" /><Relationship Type="http://schemas.openxmlformats.org/officeDocument/2006/relationships/hyperlink" Target="https://find-and-update.company-information.service.gov.uk/company/03540129" TargetMode="External" Id="rId956" /><Relationship Type="http://schemas.openxmlformats.org/officeDocument/2006/relationships/hyperlink" Target="https://tcc.group" TargetMode="External" Id="rId957" /><Relationship Type="http://schemas.openxmlformats.org/officeDocument/2006/relationships/hyperlink" Target="https://tcc.group/" TargetMode="External" Id="rId958" /><Relationship Type="http://schemas.openxmlformats.org/officeDocument/2006/relationships/hyperlink" Target="https://find-and-update.company-information.service.gov.uk/company/04144405" TargetMode="External" Id="rId959" /><Relationship Type="http://schemas.openxmlformats.org/officeDocument/2006/relationships/hyperlink" Target="https://www.cranbrook.com" TargetMode="External" Id="rId960" /><Relationship Type="http://schemas.openxmlformats.org/officeDocument/2006/relationships/hyperlink" Target="https://find-and-update.company-information.service.gov.uk/company/04286691" TargetMode="External" Id="rId961" /><Relationship Type="http://schemas.openxmlformats.org/officeDocument/2006/relationships/hyperlink" Target="https://find-and-update.company-information.service.gov.uk/company/04286691" TargetMode="External" Id="rId962" /><Relationship Type="http://schemas.openxmlformats.org/officeDocument/2006/relationships/hyperlink" Target="https://www.first.co.uk" TargetMode="External" Id="rId963" /><Relationship Type="http://schemas.openxmlformats.org/officeDocument/2006/relationships/hyperlink" Target="https://www.first.co.uk/contact/" TargetMode="External" Id="rId964" /><Relationship Type="http://schemas.openxmlformats.org/officeDocument/2006/relationships/hyperlink" Target="https://find-and-update.company-information.service.gov.uk/company/07857938" TargetMode="External" Id="rId965" /><Relationship Type="http://schemas.openxmlformats.org/officeDocument/2006/relationships/hyperlink" Target="https://node.uk" TargetMode="External" Id="rId966" /><Relationship Type="http://schemas.openxmlformats.org/officeDocument/2006/relationships/hyperlink" Target="https://node.uk/contact-us/" TargetMode="External" Id="rId967" /><Relationship Type="http://schemas.openxmlformats.org/officeDocument/2006/relationships/hyperlink" Target="https://find-and-update.company-information.service.gov.uk/company/09744661" TargetMode="External" Id="rId968" /><Relationship Type="http://schemas.openxmlformats.org/officeDocument/2006/relationships/hyperlink" Target="https://oneglobal.com" TargetMode="External" Id="rId969" /><Relationship Type="http://schemas.openxmlformats.org/officeDocument/2006/relationships/hyperlink" Target="https://oneglobal.com/about-us/" TargetMode="External" Id="rId970" /><Relationship Type="http://schemas.openxmlformats.org/officeDocument/2006/relationships/hyperlink" Target="https://find-and-update.company-information.service.gov.uk/company/03717612" TargetMode="External" Id="rId971" /><Relationship Type="http://schemas.openxmlformats.org/officeDocument/2006/relationships/hyperlink" Target="https://osmosis.com" TargetMode="External" Id="rId972" /><Relationship Type="http://schemas.openxmlformats.org/officeDocument/2006/relationships/hyperlink" Target="https://osmosis.com/" TargetMode="External" Id="rId973" /><Relationship Type="http://schemas.openxmlformats.org/officeDocument/2006/relationships/hyperlink" Target="https://find-and-update.company-information.service.gov.uk/company/09960550" TargetMode="External" Id="rId974" /><Relationship Type="http://schemas.openxmlformats.org/officeDocument/2006/relationships/hyperlink" Target="https://www.arcadian-risk.com" TargetMode="External" Id="rId975" /><Relationship Type="http://schemas.openxmlformats.org/officeDocument/2006/relationships/hyperlink" Target="https://www.arcadian-risk.com/locations/bermuda/" TargetMode="External" Id="rId976" /><Relationship Type="http://schemas.openxmlformats.org/officeDocument/2006/relationships/hyperlink" Target="https://find-and-update.company-information.service.gov.uk/company/12765929" TargetMode="External" Id="rId977" /><Relationship Type="http://schemas.openxmlformats.org/officeDocument/2006/relationships/hyperlink" Target="https://www.fairtree.com" TargetMode="External" Id="rId978" /><Relationship Type="http://schemas.openxmlformats.org/officeDocument/2006/relationships/hyperlink" Target="https://www.fairtree.com/" TargetMode="External" Id="rId979" /><Relationship Type="http://schemas.openxmlformats.org/officeDocument/2006/relationships/hyperlink" Target="https://find-and-update.company-information.service.gov.uk/company/OC420877" TargetMode="External" Id="rId980" /><Relationship Type="http://schemas.openxmlformats.org/officeDocument/2006/relationships/hyperlink" Target="https://firmament.com" TargetMode="External" Id="rId981" /><Relationship Type="http://schemas.openxmlformats.org/officeDocument/2006/relationships/hyperlink" Target="https://firmament.com/contact/" TargetMode="External" Id="rId982" /><Relationship Type="http://schemas.openxmlformats.org/officeDocument/2006/relationships/hyperlink" Target="https://find-and-update.company-information.service.gov.uk/company/OC413430" TargetMode="External" Id="rId983" /><Relationship Type="http://schemas.openxmlformats.org/officeDocument/2006/relationships/hyperlink" Target="https://www.glmx.com" TargetMode="External" Id="rId984" /><Relationship Type="http://schemas.openxmlformats.org/officeDocument/2006/relationships/hyperlink" Target="https://www.glmx.com/contact" TargetMode="External" Id="rId985" /><Relationship Type="http://schemas.openxmlformats.org/officeDocument/2006/relationships/hyperlink" Target="https://find-and-update.company-information.service.gov.uk/company/11476871" TargetMode="External" Id="rId986" /><Relationship Type="http://schemas.openxmlformats.org/officeDocument/2006/relationships/hyperlink" Target="https://www.allianz.com" TargetMode="External" Id="rId987" /><Relationship Type="http://schemas.openxmlformats.org/officeDocument/2006/relationships/hyperlink" Target="https://www.allianz.com/en.html" TargetMode="External" Id="rId988" /><Relationship Type="http://schemas.openxmlformats.org/officeDocument/2006/relationships/hyperlink" Target="https://find-and-update.company-information.service.gov.uk/company/00084638" TargetMode="External" Id="rId989" /><Relationship Type="http://schemas.openxmlformats.org/officeDocument/2006/relationships/hyperlink" Target="https://www.amspecialty.com" TargetMode="External" Id="rId990" /><Relationship Type="http://schemas.openxmlformats.org/officeDocument/2006/relationships/hyperlink" Target="https://www.amspecialty.com/contact" TargetMode="External" Id="rId991" /><Relationship Type="http://schemas.openxmlformats.org/officeDocument/2006/relationships/hyperlink" Target="https://find-and-update.company-information.service.gov.uk/company/16608704" TargetMode="External" Id="rId992" /><Relationship Type="http://schemas.openxmlformats.org/officeDocument/2006/relationships/hyperlink" Target="https://www.antares.com" TargetMode="External" Id="rId993" /><Relationship Type="http://schemas.openxmlformats.org/officeDocument/2006/relationships/hyperlink" Target="https://antaresglobal.com/contact-us" TargetMode="External" Id="rId994" /><Relationship Type="http://schemas.openxmlformats.org/officeDocument/2006/relationships/hyperlink" Target="https://find-and-update.company-information.service.gov.uk/company/02676622" TargetMode="External" Id="rId995" /><Relationship Type="http://schemas.openxmlformats.org/officeDocument/2006/relationships/hyperlink" Target="https://scorpiusmga.com" TargetMode="External" Id="rId996" /><Relationship Type="http://schemas.openxmlformats.org/officeDocument/2006/relationships/hyperlink" Target="https://scorpiusmga.com/" TargetMode="External" Id="rId997" /><Relationship Type="http://schemas.openxmlformats.org/officeDocument/2006/relationships/hyperlink" Target="https://find-and-update.company-information.service.gov.uk/company/15049064" TargetMode="External" Id="rId998" /><Relationship Type="http://schemas.openxmlformats.org/officeDocument/2006/relationships/hyperlink" Target="https://www.ascot.com" TargetMode="External" Id="rId999" /><Relationship Type="http://schemas.openxmlformats.org/officeDocument/2006/relationships/hyperlink" Target="https://www.ascot.com/about/contact" TargetMode="External" Id="rId1000" /><Relationship Type="http://schemas.openxmlformats.org/officeDocument/2006/relationships/hyperlink" Target="https://find-and-update.company-information.service.gov.uk/company/04098461" TargetMode="External" Id="rId1001" /><Relationship Type="http://schemas.openxmlformats.org/officeDocument/2006/relationships/hyperlink" Target="https://www.hardy.co.uk" TargetMode="External" Id="rId1002" /><Relationship Type="http://schemas.openxmlformats.org/officeDocument/2006/relationships/hyperlink" Target="https://www.hardy.co.uk/" TargetMode="External" Id="rId1003" /><Relationship Type="http://schemas.openxmlformats.org/officeDocument/2006/relationships/hyperlink" Target="https://find-and-update.company-information.service.gov.uk/company/02981735" TargetMode="External" Id="rId1004" /><Relationship Type="http://schemas.openxmlformats.org/officeDocument/2006/relationships/hyperlink" Target="https://kiln.com" TargetMode="External" Id="rId1005" /><Relationship Type="http://schemas.openxmlformats.org/officeDocument/2006/relationships/hyperlink" Target="https://kiln.com/privacy-policy/" TargetMode="External" Id="rId1006" /><Relationship Type="http://schemas.openxmlformats.org/officeDocument/2006/relationships/hyperlink" Target="https://find-and-update.company-information.service.gov.uk/company/02938183" TargetMode="External" Id="rId1007" /><Relationship Type="http://schemas.openxmlformats.org/officeDocument/2006/relationships/hyperlink" Target="https://www.libertylondon.com" TargetMode="External" Id="rId1008" /><Relationship Type="http://schemas.openxmlformats.org/officeDocument/2006/relationships/hyperlink" Target="https://www.libertylondon.com/" TargetMode="External" Id="rId1009" /><Relationship Type="http://schemas.openxmlformats.org/officeDocument/2006/relationships/hyperlink" Target="https://find-and-update.company-information.service.gov.uk/company/03003606" TargetMode="External" Id="rId1010" /><Relationship Type="http://schemas.openxmlformats.org/officeDocument/2006/relationships/hyperlink" Target="https://www.markel.com" TargetMode="External" Id="rId1011" /><Relationship Type="http://schemas.openxmlformats.org/officeDocument/2006/relationships/hyperlink" Target="https://www.markel.com/about-us/news-and-press" TargetMode="External" Id="rId1012" /><Relationship Type="http://schemas.openxmlformats.org/officeDocument/2006/relationships/hyperlink" Target="https://find-and-update.company-information.service.gov.uk/company/00966670" TargetMode="External" Id="rId1013" /><Relationship Type="http://schemas.openxmlformats.org/officeDocument/2006/relationships/hyperlink" Target="https://www.northstar.co.uk" TargetMode="External" Id="rId1014" /><Relationship Type="http://schemas.openxmlformats.org/officeDocument/2006/relationships/hyperlink" Target="https://www.northstar.co.uk/" TargetMode="External" Id="rId1015" /><Relationship Type="http://schemas.openxmlformats.org/officeDocument/2006/relationships/hyperlink" Target="https://find-and-update.company-information.service.gov.uk/company/04575038" TargetMode="External" Id="rId1016" /><Relationship Type="http://schemas.openxmlformats.org/officeDocument/2006/relationships/hyperlink" Target="https://www.shepherdcompello.com" TargetMode="External" Id="rId1017" /><Relationship Type="http://schemas.openxmlformats.org/officeDocument/2006/relationships/hyperlink" Target="https://www.shepherdcompello.com/" TargetMode="External" Id="rId1018" /><Relationship Type="http://schemas.openxmlformats.org/officeDocument/2006/relationships/hyperlink" Target="https://find-and-update.company-information.service.gov.uk/company/04695072" TargetMode="External" Id="rId1019" /><Relationship Type="http://schemas.openxmlformats.org/officeDocument/2006/relationships/hyperlink" Target="https://whiteoak.com" TargetMode="External" Id="rId1020" /><Relationship Type="http://schemas.openxmlformats.org/officeDocument/2006/relationships/hyperlink" Target="https://whiteoak.com/" TargetMode="External" Id="rId1021" /><Relationship Type="http://schemas.openxmlformats.org/officeDocument/2006/relationships/hyperlink" Target="https://find-and-update.company-information.service.gov.uk/company/06832820" TargetMode="External" Id="rId1022" /><Relationship Type="http://schemas.openxmlformats.org/officeDocument/2006/relationships/hyperlink" Target="https://www.bmg.com" TargetMode="External" Id="rId1023" /><Relationship Type="http://schemas.openxmlformats.org/officeDocument/2006/relationships/hyperlink" Target="https://www.bmg.com/" TargetMode="External" Id="rId1024" /><Relationship Type="http://schemas.openxmlformats.org/officeDocument/2006/relationships/hyperlink" Target="https://find-and-update.company-information.service.gov.uk/company/04791109" TargetMode="External" Id="rId1025" /><Relationship Type="http://schemas.openxmlformats.org/officeDocument/2006/relationships/hyperlink" Target="https://uk.sanctuary.com" TargetMode="External" Id="rId1026" /><Relationship Type="http://schemas.openxmlformats.org/officeDocument/2006/relationships/hyperlink" Target="https://uk.sanctuary.com/contact-us/" TargetMode="External" Id="rId1027" /><Relationship Type="http://schemas.openxmlformats.org/officeDocument/2006/relationships/hyperlink" Target="https://find-and-update.company-information.service.gov.uk/company/05050608" TargetMode="External" Id="rId1028" /><Relationship Type="http://schemas.openxmlformats.org/officeDocument/2006/relationships/hyperlink" Target="https://www.acrisure.com" TargetMode="External" Id="rId1029" /><Relationship Type="http://schemas.openxmlformats.org/officeDocument/2006/relationships/hyperlink" Target="https://www.acrisure.com/legal" TargetMode="External" Id="rId1030" /><Relationship Type="http://schemas.openxmlformats.org/officeDocument/2006/relationships/hyperlink" Target="https://find-and-update.company-information.service.gov.uk/company/12038556" TargetMode="External" Id="rId1031" /><Relationship Type="http://schemas.openxmlformats.org/officeDocument/2006/relationships/hyperlink" Target="https://alcor.com" TargetMode="External" Id="rId1032" /><Relationship Type="http://schemas.openxmlformats.org/officeDocument/2006/relationships/hyperlink" Target="https://alcor.com/contact-us/" TargetMode="External" Id="rId1033" /><Relationship Type="http://schemas.openxmlformats.org/officeDocument/2006/relationships/hyperlink" Target="https://find-and-update.company-information.service.gov.uk/company/12663118" TargetMode="External" Id="rId1034" /><Relationship Type="http://schemas.openxmlformats.org/officeDocument/2006/relationships/hyperlink" Target="https://www.amwins.com" TargetMode="External" Id="rId1035" /><Relationship Type="http://schemas.openxmlformats.org/officeDocument/2006/relationships/hyperlink" Target="https://www.amwins.com/privacy-amwins-global-risks" TargetMode="External" Id="rId1036" /><Relationship Type="http://schemas.openxmlformats.org/officeDocument/2006/relationships/hyperlink" Target="https://find-and-update.company-information.service.gov.uk/company/00929224" TargetMode="External" Id="rId1037" /><Relationship Type="http://schemas.openxmlformats.org/officeDocument/2006/relationships/hyperlink" Target="https://brace.co.uk" TargetMode="External" Id="rId1038" /><Relationship Type="http://schemas.openxmlformats.org/officeDocument/2006/relationships/hyperlink" Target="https://brace.co.uk/" TargetMode="External" Id="rId1039" /><Relationship Type="http://schemas.openxmlformats.org/officeDocument/2006/relationships/hyperlink" Target="https://find-and-update.company-information.service.gov.uk/company/12157605" TargetMode="External" Id="rId1040" /><Relationship Type="http://schemas.openxmlformats.org/officeDocument/2006/relationships/hyperlink" Target="https://www.cfc.com" TargetMode="External" Id="rId1041" /><Relationship Type="http://schemas.openxmlformats.org/officeDocument/2006/relationships/hyperlink" Target="https://www.cfc.com/en-us/contact/" TargetMode="External" Id="rId1042" /><Relationship Type="http://schemas.openxmlformats.org/officeDocument/2006/relationships/hyperlink" Target="https://find-and-update.company-information.service.gov.uk/company/03302887" TargetMode="External" Id="rId1043" /><Relationship Type="http://schemas.openxmlformats.org/officeDocument/2006/relationships/hyperlink" Target="https://chord.co.uk" TargetMode="External" Id="rId1044" /><Relationship Type="http://schemas.openxmlformats.org/officeDocument/2006/relationships/hyperlink" Target="https://chord.co.uk/privacy-policy/" TargetMode="External" Id="rId1045" /><Relationship Type="http://schemas.openxmlformats.org/officeDocument/2006/relationships/hyperlink" Target="https://find-and-update.company-information.service.gov.uk/company/10819967" TargetMode="External" Id="rId1046" /><Relationship Type="http://schemas.openxmlformats.org/officeDocument/2006/relationships/hyperlink" Target="https://www.chubb.com" TargetMode="External" Id="rId1047" /><Relationship Type="http://schemas.openxmlformats.org/officeDocument/2006/relationships/hyperlink" Target="https://www.chubb.com/us-en/contact.html" TargetMode="External" Id="rId1048" /><Relationship Type="http://schemas.openxmlformats.org/officeDocument/2006/relationships/hyperlink" Target="https://find-and-update.company-information.service.gov.uk/company/09042647" TargetMode="External" Id="rId1049" /><Relationship Type="http://schemas.openxmlformats.org/officeDocument/2006/relationships/hyperlink" Target="https://www.mcgill.ca" TargetMode="External" Id="rId1050" /><Relationship Type="http://schemas.openxmlformats.org/officeDocument/2006/relationships/hyperlink" Target="https://www.mcgill.ca/facilities/contact/fcc" TargetMode="External" Id="rId1051" /><Relationship Type="http://schemas.openxmlformats.org/officeDocument/2006/relationships/hyperlink" Target="https://find-and-update.company-information.service.gov.uk/company/11877412" TargetMode="External" Id="rId1052" /><Relationship Type="http://schemas.openxmlformats.org/officeDocument/2006/relationships/hyperlink" Target="https://munitus.co.uk" TargetMode="External" Id="rId1053" /><Relationship Type="http://schemas.openxmlformats.org/officeDocument/2006/relationships/hyperlink" Target="https://munitus.co.uk/" TargetMode="External" Id="rId1054" /><Relationship Type="http://schemas.openxmlformats.org/officeDocument/2006/relationships/hyperlink" Target="https://find-and-update.company-information.service.gov.uk/company/12147775" TargetMode="External" Id="rId1055" /><Relationship Type="http://schemas.openxmlformats.org/officeDocument/2006/relationships/hyperlink" Target="https://www.naviummarine.com" TargetMode="External" Id="rId1056" /><Relationship Type="http://schemas.openxmlformats.org/officeDocument/2006/relationships/hyperlink" Target="https://www.naviummarine.com/contact/" TargetMode="External" Id="rId1057" /><Relationship Type="http://schemas.openxmlformats.org/officeDocument/2006/relationships/hyperlink" Target="https://find-and-update.company-information.service.gov.uk/company/13297194" TargetMode="External" Id="rId1058" /><Relationship Type="http://schemas.openxmlformats.org/officeDocument/2006/relationships/hyperlink" Target="https://www.oaksidesurety.com" TargetMode="External" Id="rId1059" /><Relationship Type="http://schemas.openxmlformats.org/officeDocument/2006/relationships/hyperlink" Target="https://www.oaksidesurety.com/contact-us/" TargetMode="External" Id="rId1060" /><Relationship Type="http://schemas.openxmlformats.org/officeDocument/2006/relationships/hyperlink" Target="https://find-and-update.company-information.service.gov.uk/company/11061884" TargetMode="External" Id="rId1061" /><Relationship Type="http://schemas.openxmlformats.org/officeDocument/2006/relationships/hyperlink" Target="https://www.omnilife.com" TargetMode="External" Id="rId1062" /><Relationship Type="http://schemas.openxmlformats.org/officeDocument/2006/relationships/hyperlink" Target="https://www.omnilife.com/" TargetMode="External" Id="rId1063" /><Relationship Type="http://schemas.openxmlformats.org/officeDocument/2006/relationships/hyperlink" Target="https://find-and-update.company-information.service.gov.uk/company/02294080" TargetMode="External" Id="rId1064" /><Relationship Type="http://schemas.openxmlformats.org/officeDocument/2006/relationships/hyperlink" Target="https://www.pelagos.com" TargetMode="External" Id="rId1065" /><Relationship Type="http://schemas.openxmlformats.org/officeDocument/2006/relationships/hyperlink" Target="https://www.pelagos.com/contact" TargetMode="External" Id="rId1066" /><Relationship Type="http://schemas.openxmlformats.org/officeDocument/2006/relationships/hyperlink" Target="https://find-and-update.company-information.service.gov.uk/company/09753615" TargetMode="External" Id="rId1067" /><Relationship Type="http://schemas.openxmlformats.org/officeDocument/2006/relationships/hyperlink" Target="https://redriff.cola.org.uk" TargetMode="External" Id="rId1068" /><Relationship Type="http://schemas.openxmlformats.org/officeDocument/2006/relationships/hyperlink" Target="https://redriff.cola.org.uk/latest-news/job-opportunity-chief-executive-officer-at-city-of-london-academies-trust/" TargetMode="External" Id="rId1069" /><Relationship Type="http://schemas.openxmlformats.org/officeDocument/2006/relationships/hyperlink" Target="https://find-and-update.company-information.service.gov.uk/company/15266996" TargetMode="External" Id="rId1070" /><Relationship Type="http://schemas.openxmlformats.org/officeDocument/2006/relationships/hyperlink" Target="https://www.rga.com" TargetMode="External" Id="rId1071" /><Relationship Type="http://schemas.openxmlformats.org/officeDocument/2006/relationships/hyperlink" Target="https://www.rga.com/offices/australia" TargetMode="External" Id="rId1072" /><Relationship Type="http://schemas.openxmlformats.org/officeDocument/2006/relationships/hyperlink" Target="https://find-and-update.company-information.service.gov.uk/company/03095865" TargetMode="External" Id="rId1073" /><Relationship Type="http://schemas.openxmlformats.org/officeDocument/2006/relationships/hyperlink" Target="https://www.scor.com" TargetMode="External" Id="rId1074" /><Relationship Type="http://schemas.openxmlformats.org/officeDocument/2006/relationships/hyperlink" Target="https://www.scor.com/en/terms-use-legal-notice" TargetMode="External" Id="rId1075" /><Relationship Type="http://schemas.openxmlformats.org/officeDocument/2006/relationships/hyperlink" Target="https://find-and-update.company-information.service.gov.uk/company/01334736" TargetMode="External" Id="rId1076" /><Relationship Type="http://schemas.openxmlformats.org/officeDocument/2006/relationships/hyperlink" Target="https://www.sevantaspecialty.com" TargetMode="External" Id="rId1077" /><Relationship Type="http://schemas.openxmlformats.org/officeDocument/2006/relationships/hyperlink" Target="https://www.sevantaspecialty.com/" TargetMode="External" Id="rId1078" /><Relationship Type="http://schemas.openxmlformats.org/officeDocument/2006/relationships/hyperlink" Target="https://find-and-update.company-information.service.gov.uk/company/15961326" TargetMode="External" Id="rId1079" /><Relationship Type="http://schemas.openxmlformats.org/officeDocument/2006/relationships/hyperlink" Target="https://www.silverflamere.com" TargetMode="External" Id="rId1080" /><Relationship Type="http://schemas.openxmlformats.org/officeDocument/2006/relationships/hyperlink" Target="https://www.silverflamere.com/" TargetMode="External" Id="rId1081" /><Relationship Type="http://schemas.openxmlformats.org/officeDocument/2006/relationships/hyperlink" Target="https://find-and-update.company-information.service.gov.uk/company/15787646" TargetMode="External" Id="rId1082" /><Relationship Type="http://schemas.openxmlformats.org/officeDocument/2006/relationships/hyperlink" Target="https://www.statera.co.uk" TargetMode="External" Id="rId1083" /><Relationship Type="http://schemas.openxmlformats.org/officeDocument/2006/relationships/hyperlink" Target="https://www.statera.co.uk/" TargetMode="External" Id="rId1084" /><Relationship Type="http://schemas.openxmlformats.org/officeDocument/2006/relationships/hyperlink" Target="https://find-and-update.company-information.service.gov.uk/company/16059213" TargetMode="External" Id="rId1085" /><Relationship Type="http://schemas.openxmlformats.org/officeDocument/2006/relationships/hyperlink" Target="https://tegronspecialty.com" TargetMode="External" Id="rId1086" /><Relationship Type="http://schemas.openxmlformats.org/officeDocument/2006/relationships/hyperlink" Target="https://tegronspecialty.com/get-in-touch/" TargetMode="External" Id="rId1087" /><Relationship Type="http://schemas.openxmlformats.org/officeDocument/2006/relationships/hyperlink" Target="https://find-and-update.company-information.service.gov.uk/company/13367163" TargetMode="External" Id="rId1088" /><Relationship Type="http://schemas.openxmlformats.org/officeDocument/2006/relationships/hyperlink" Target="https://www.tiomantaspecialty.com" TargetMode="External" Id="rId1089" /><Relationship Type="http://schemas.openxmlformats.org/officeDocument/2006/relationships/hyperlink" Target="https://www.tiomantaspecialty.com/contact-us/" TargetMode="External" Id="rId1090" /><Relationship Type="http://schemas.openxmlformats.org/officeDocument/2006/relationships/hyperlink" Target="https://find-and-update.company-information.service.gov.uk/company/11197968" TargetMode="External" Id="rId1091" /><Relationship Type="http://schemas.openxmlformats.org/officeDocument/2006/relationships/hyperlink" Target="https://www.toyota.com" TargetMode="External" Id="rId1092" /><Relationship Type="http://schemas.openxmlformats.org/officeDocument/2006/relationships/hyperlink" Target="https://www.toyota.com/support/legal-terms/" TargetMode="External" Id="rId1093" /><Relationship Type="http://schemas.openxmlformats.org/officeDocument/2006/relationships/hyperlink" Target="https://find-and-update.company-information.service.gov.uk/company/14297877" TargetMode="External" Id="rId1094" /><Relationship Type="http://schemas.openxmlformats.org/officeDocument/2006/relationships/hyperlink" Target="https://www.trenwick.com" TargetMode="External" Id="rId1095" /><Relationship Type="http://schemas.openxmlformats.org/officeDocument/2006/relationships/hyperlink" Target="https://www.trenwick.com/" TargetMode="External" Id="rId1096" /><Relationship Type="http://schemas.openxmlformats.org/officeDocument/2006/relationships/hyperlink" Target="https://find-and-update.company-information.service.gov.uk/company/02549227" TargetMode="External" Id="rId1097" /><Relationship Type="http://schemas.openxmlformats.org/officeDocument/2006/relationships/hyperlink" Target="https://mediaoptions.com" TargetMode="External" Id="rId1098" /><Relationship Type="http://schemas.openxmlformats.org/officeDocument/2006/relationships/hyperlink" Target="https://mediaoptions.com/contact-us/" TargetMode="External" Id="rId1099" /><Relationship Type="http://schemas.openxmlformats.org/officeDocument/2006/relationships/hyperlink" Target="https://find-and-update.company-information.service.gov.uk/company/03712209" TargetMode="External" Id="rId1100" /><Relationship Type="http://schemas.openxmlformats.org/officeDocument/2006/relationships/hyperlink" Target="https://www.ulyssere.com" TargetMode="External" Id="rId1101" /><Relationship Type="http://schemas.openxmlformats.org/officeDocument/2006/relationships/hyperlink" Target="https://www.ulyssere.com/" TargetMode="External" Id="rId1102" /><Relationship Type="http://schemas.openxmlformats.org/officeDocument/2006/relationships/hyperlink" Target="https://find-and-update.company-information.service.gov.uk/company/03606440" TargetMode="External" Id="rId110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pitchbooking.com/partners/MULBERRYSPORTSLEISURECENTRE" TargetMode="External" Id="rId1" /><Relationship Type="http://schemas.openxmlformats.org/officeDocument/2006/relationships/hyperlink" Target="https://bookings.better.org.uk/location/britannia-leisure-centre/3g-cage/2026-09-28/by-time" TargetMode="External" Id="rId2" /><Relationship Type="http://schemas.openxmlformats.org/officeDocument/2006/relationships/hyperlink" Target="https://www.playfootball.net/venues/old-street-moreland-school/book-a-pitch/87/6-a-side3gpitchhire" TargetMode="External" Id="rId3" /><Relationship Type="http://schemas.openxmlformats.org/officeDocument/2006/relationships/hyperlink" Target="https://www.playfootball.net/venues/old-street-moreland-school/book-a-pitch/87/6-a-side3gpitchhire" TargetMode="External" Id="rId4" /><Relationship Type="http://schemas.openxmlformats.org/officeDocument/2006/relationships/hyperlink" Target="https://www.playfootball.net/venues/old-street-moreland-school/book-a-pitch/87/6-a-side3gpitchhire" TargetMode="External" Id="rId5" /><Relationship Type="http://schemas.openxmlformats.org/officeDocument/2006/relationships/hyperlink" Target="https://www.playfootball.net/venues/old-street-moreland-school/book-a-pitch/87/6-a-side3gpitchhire" TargetMode="External" Id="rId6" /><Relationship Type="http://schemas.openxmlformats.org/officeDocument/2006/relationships/hyperlink" Target="https://www.playfootball.net/venues/old-street-moreland-school/book-a-pitch/87/6-a-side3gpitchhire" TargetMode="External" Id="rId7" /><Relationship Type="http://schemas.openxmlformats.org/officeDocument/2006/relationships/hyperlink" Target="https://www.playfootball.net/venues/old-street-moreland-school/book-a-pitch/87/6-a-side3gpitchhire" TargetMode="External" Id="rId8" /><Relationship Type="http://schemas.openxmlformats.org/officeDocument/2006/relationships/hyperlink" Target="https://www.playfootball.net/venues/old-street-moreland-school/book-a-pitch/87/6-a-side3gpitchhire" TargetMode="External" Id="rId9" /><Relationship Type="http://schemas.openxmlformats.org/officeDocument/2006/relationships/hyperlink" Target="https://www.playfootball.net/venues/old-street-moreland-school/book-a-pitch/87/6-a-side3gpitchhire" TargetMode="External" Id="rId10" /><Relationship Type="http://schemas.openxmlformats.org/officeDocument/2006/relationships/hyperlink" Target="https://www.playfootball.net/venues/old-street-moreland-school/book-a-pitch/87/6-a-side3gpitchhire" TargetMode="External" Id="rId11" /><Relationship Type="http://schemas.openxmlformats.org/officeDocument/2006/relationships/hyperlink" Target="https://www.playfootball.net/venues/old-street-moreland-school/book-a-pitch/87/6-a-side3gpitchhire" TargetMode="External" Id="rId12" /><Relationship Type="http://schemas.openxmlformats.org/officeDocument/2006/relationships/hyperlink" Target="https://www.playfootball.net/venues/old-street-moreland-school/book-a-pitch/87/6-a-side3gpitchhire" TargetMode="External" Id="rId13" /><Relationship Type="http://schemas.openxmlformats.org/officeDocument/2006/relationships/hyperlink" Target="https://www.playfootball.net/venues/old-street-moreland-school/book-a-pitch/87/6-a-side3gpitchhire" TargetMode="External" Id="rId14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5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6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7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8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9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0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1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2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3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4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5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6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27" /><Relationship Type="http://schemas.openxmlformats.org/officeDocument/2006/relationships/hyperlink" Target="https://attleecentre.org/hire-our-spaces/" TargetMode="External" Id="rId28" /><Relationship Type="http://schemas.openxmlformats.org/officeDocument/2006/relationships/hyperlink" Target="https://coramsfields.org/facility-hire/sport-facility-hire/" TargetMode="External" Id="rId29" /><Relationship Type="http://schemas.openxmlformats.org/officeDocument/2006/relationships/hyperlink" Target="https://www.vivifyvenues.com/venues/borough-academy/3g-pitch-borough" TargetMode="External" Id="rId30" /><Relationship Type="http://schemas.openxmlformats.org/officeDocument/2006/relationships/hyperlink" Target="https://fcurban.typeform.com/to/p2vDaixk" TargetMode="External" Id="rId31" /><Relationship Type="http://schemas.openxmlformats.org/officeDocument/2006/relationships/hyperlink" Target="https://fcurban.typeform.com/to/p2vDaixk" TargetMode="External" Id="rId32" /><Relationship Type="http://schemas.openxmlformats.org/officeDocument/2006/relationships/hyperlink" Target="https://fcurban.typeform.com/to/p2vDaixk" TargetMode="External" Id="rId33" /><Relationship Type="http://schemas.openxmlformats.org/officeDocument/2006/relationships/hyperlink" Target="https://www.playfootball.net/venues/canary-wharf/book-a-pitch/85/5-a-side3gpitchhire" TargetMode="External" Id="rId34" /><Relationship Type="http://schemas.openxmlformats.org/officeDocument/2006/relationships/hyperlink" Target="https://www.football5s.com/docklands/" TargetMode="External" Id="rId35" /><Relationship Type="http://schemas.openxmlformats.org/officeDocument/2006/relationships/hyperlink" Target="https://schoolhire.co.uk/london-city-of-london/cityoflondonmain/football-pitch/26084" TargetMode="External" Id="rId36" /><Relationship Type="http://schemas.openxmlformats.org/officeDocument/2006/relationships/hyperlink" Target="https://schoolhire.co.uk/london-city-of-london/cityoflondonmain/football-pitch/26084" TargetMode="External" Id="rId37" /><Relationship Type="http://schemas.openxmlformats.org/officeDocument/2006/relationships/hyperlink" Target="https://schoolhire.co.uk/london-city-of-london/cityoflondonmain/football-pitch/26084" TargetMode="External" Id="rId38" /><Relationship Type="http://schemas.openxmlformats.org/officeDocument/2006/relationships/hyperlink" Target="https://schoolhire.co.uk/london-city-of-london/cityoflondonmain/football-pitch/26084" TargetMode="External" Id="rId39" /><Relationship Type="http://schemas.openxmlformats.org/officeDocument/2006/relationships/hyperlink" Target="https://schoolhire.co.uk/london-city-of-london/cityoflondonmain/sports-hall/26089" TargetMode="External" Id="rId40" /><Relationship Type="http://schemas.openxmlformats.org/officeDocument/2006/relationships/hyperlink" Target="https://widget.bookteq.com/coramsfields/9401847d-d903-40d0-af50-65340bb5c326/book-online" TargetMode="External" Id="rId41" /><Relationship Type="http://schemas.openxmlformats.org/officeDocument/2006/relationships/hyperlink" Target="https://widget.bookteq.com/coramsfields/9401847d-d903-40d0-af50-65340bb5c326/book-online" TargetMode="External" Id="rId42" /><Relationship Type="http://schemas.openxmlformats.org/officeDocument/2006/relationships/hyperlink" Target="https://www.playfootball.net/venues/marlborough-sports-garden/book-a-pitch" TargetMode="External" Id="rId43" /><Relationship Type="http://schemas.openxmlformats.org/officeDocument/2006/relationships/hyperlink" Target="https://schoolhire.co.uk/london-islington/angelcentre/football/35397" TargetMode="External" Id="rId44" /><Relationship Type="http://schemas.openxmlformats.org/officeDocument/2006/relationships/hyperlink" Target="https://www.better.org.uk/leisure-centre/london/islington/finsbury/timetable" TargetMode="External" Id="rId4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fcurban.typeform.com/to/p2vDaixk" TargetMode="External" Id="rId1" /><Relationship Type="http://schemas.openxmlformats.org/officeDocument/2006/relationships/hyperlink" Target="https://www.fcurban.com/locations/bermondsey-riverside" TargetMode="External" Id="rId2" /><Relationship Type="http://schemas.openxmlformats.org/officeDocument/2006/relationships/hyperlink" Target="https://www.vivifyvenues.com/venues/borough-academy/3g-pitch-borough" TargetMode="External" Id="rId3" /><Relationship Type="http://schemas.openxmlformats.org/officeDocument/2006/relationships/hyperlink" Target="https://www.fcurban.com/locations/borough-academy" TargetMode="External" Id="rId4" /><Relationship Type="http://schemas.openxmlformats.org/officeDocument/2006/relationships/hyperlink" Target="https://fcurban.typeform.com/to/p2vDaixk" TargetMode="External" Id="rId5" /><Relationship Type="http://schemas.openxmlformats.org/officeDocument/2006/relationships/hyperlink" Target="https://www.fcurban.com/locations/isle-of-dogs-canary-wharf-george-greens-school" TargetMode="External" Id="rId6" /><Relationship Type="http://schemas.openxmlformats.org/officeDocument/2006/relationships/hyperlink" Target="https://attleecentre.org/hire-our-spaces/" TargetMode="External" Id="rId7" /><Relationship Type="http://schemas.openxmlformats.org/officeDocument/2006/relationships/hyperlink" Target="https://www.fcurban.com/locations/liverpool-st-attlee-centre" TargetMode="External" Id="rId8" /><Relationship Type="http://schemas.openxmlformats.org/officeDocument/2006/relationships/hyperlink" Target="https://www.playfootball.net/venues/old-street-moreland-school/book-a-pitch/87/6-a-side3gpitchhire" TargetMode="External" Id="rId9" /><Relationship Type="http://schemas.openxmlformats.org/officeDocument/2006/relationships/hyperlink" Target="https://www.fcurban.com/locations/old-st-moreland-primary-school" TargetMode="External" Id="rId10" /><Relationship Type="http://schemas.openxmlformats.org/officeDocument/2006/relationships/hyperlink" Target="https://fcurban.typeform.com/to/p2vDaixk" TargetMode="External" Id="rId11" /><Relationship Type="http://schemas.openxmlformats.org/officeDocument/2006/relationships/hyperlink" Target="https://www.fcurban.com/locations/poplar" TargetMode="External" Id="rId12" /><Relationship Type="http://schemas.openxmlformats.org/officeDocument/2006/relationships/hyperlink" Target="https://www.powerleague.com/select-time?search_location_id=a20a54a1-3bdd-57b8-e211-6f44da11e82f&amp;search_booking_type_name=5-a-side%20Football" TargetMode="External" Id="rId13" /><Relationship Type="http://schemas.openxmlformats.org/officeDocument/2006/relationships/hyperlink" Target="https://www.fcurban.com/locations/shoreditch-powerleague" TargetMode="External" Id="rId14" /><Relationship Type="http://schemas.openxmlformats.org/officeDocument/2006/relationships/hyperlink" Target="https://bookings.better.org.uk/location/britannia-leisure-centre/3g-cage/2026-09-28/by-time" TargetMode="External" Id="rId15" /><Relationship Type="http://schemas.openxmlformats.org/officeDocument/2006/relationships/hyperlink" Target="https://www.fcurban.com/locations/shoreditch-rooftop" TargetMode="External" Id="rId16" /><Relationship Type="http://schemas.openxmlformats.org/officeDocument/2006/relationships/hyperlink" Target="https://coramsfields.org/facility-hire/sport-facility-hire/" TargetMode="External" Id="rId17" /><Relationship Type="http://schemas.openxmlformats.org/officeDocument/2006/relationships/hyperlink" Target="https://www.fcurban.com/locations/st-pancras-corams-fields-3g" TargetMode="External" Id="rId18" /><Relationship Type="http://schemas.openxmlformats.org/officeDocument/2006/relationships/hyperlink" Target="https://pitchbooking.com/partners/MULBERRYSPORTSLEISURECENTRE" TargetMode="External" Id="rId19" /><Relationship Type="http://schemas.openxmlformats.org/officeDocument/2006/relationships/hyperlink" Target="https://www.fcurban.com/locations/whitechapel" TargetMode="External" Id="rId20" /><Relationship Type="http://schemas.openxmlformats.org/officeDocument/2006/relationships/hyperlink" Target="https://www.playfootball.net/venues/canary-wharf/book-a-pitch/85/5-a-side3gpitchhire" TargetMode="External" Id="rId21" /><Relationship Type="http://schemas.openxmlformats.org/officeDocument/2006/relationships/hyperlink" Target="https://www.football5s.com/docklands/" TargetMode="External" Id="rId22" /><Relationship Type="http://schemas.openxmlformats.org/officeDocument/2006/relationships/hyperlink" Target="https://schoolhire.co.uk/london-city-of-london/cityoflondonmain/football-pitch/26084" TargetMode="External" Id="rId23" /><Relationship Type="http://schemas.openxmlformats.org/officeDocument/2006/relationships/hyperlink" Target="https://www.playfootball.net/venues/marlborough-sports-garden/book-a-pitch" TargetMode="External" Id="rId24" /><Relationship Type="http://schemas.openxmlformats.org/officeDocument/2006/relationships/hyperlink" Target="https://schoolhire.co.uk/london-islington/angelcentre/football/35397" TargetMode="External" Id="rId25" /><Relationship Type="http://schemas.openxmlformats.org/officeDocument/2006/relationships/hyperlink" Target="https://www.better.org.uk/leisure-centre/london/islington/finsbury/timetable" TargetMode="External" Id="rId26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0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13" customWidth="1" min="4" max="4"/>
    <col width="36" customWidth="1" min="5" max="5"/>
    <col width="26" customWidth="1" min="6" max="6"/>
    <col width="26" customWidth="1" min="7" max="7"/>
    <col width="30" customWidth="1" min="8" max="8"/>
    <col width="13" customWidth="1" min="9" max="9"/>
    <col width="14" customWidth="1" min="10" max="10"/>
    <col width="11" customWidth="1" min="11" max="11"/>
    <col width="12" customWidth="1" min="12" max="12"/>
    <col width="9" customWidth="1" min="13" max="13"/>
    <col width="11" customWidth="1" min="14" max="14"/>
    <col width="34" customWidth="1" min="15" max="15"/>
    <col width="10" customWidth="1" min="16" max="16"/>
    <col width="16" customWidth="1" min="17" max="17"/>
    <col width="12" customWidth="1" min="18" max="18"/>
    <col width="20" customWidth="1" min="19" max="19"/>
    <col width="22" customWidth="1" min="20" max="20"/>
    <col width="28" customWidth="1" min="21" max="21"/>
    <col width="14" customWidth="1" min="22" max="22"/>
    <col width="28" customWidth="1" min="23" max="23"/>
    <col width="7" customWidth="1" min="24" max="24"/>
    <col width="34" customWidth="1" min="25" max="25"/>
    <col width="28" customWidth="1" min="26" max="26"/>
    <col width="7" customWidth="1" min="27" max="27"/>
    <col width="15" customWidth="1" min="28" max="28"/>
    <col width="7" customWidth="1" min="29" max="29"/>
    <col width="19" customWidth="1" min="30" max="30"/>
    <col width="10" customWidth="1" min="31" max="31"/>
    <col width="9" customWidth="1" min="32" max="32"/>
    <col width="56" customWidth="1" min="33" max="33"/>
    <col width="30" customWidth="1" min="34" max="34"/>
    <col width="44" customWidth="1" min="35" max="35"/>
    <col width="60" customWidth="1" min="36" max="36"/>
    <col width="50" customWidth="1" min="37" max="37"/>
    <col width="16" customWidth="1" min="38" max="38"/>
    <col width="9" customWidth="1" min="39" max="39"/>
    <col width="11" customWidth="1" min="40" max="40"/>
    <col width="12" customWidth="1" min="41" max="41"/>
    <col width="1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40" customWidth="1" min="48" max="48"/>
    <col width="28" customWidth="1" min="49" max="49"/>
    <col width="30" customWidth="1" min="50" max="50"/>
  </cols>
  <sheetData>
    <row r="1">
      <c r="A1" s="1" t="inlineStr">
        <is>
          <t>Company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inlineStr">
        <is>
          <t>Contact — fill in</t>
        </is>
      </c>
      <c r="S1" s="4" t="n"/>
      <c r="T1" s="4" t="n"/>
      <c r="U1" s="4" t="n"/>
      <c r="V1" s="4" t="n"/>
      <c r="W1" s="5" t="inlineStr">
        <is>
          <t>Nearest pitch</t>
        </is>
      </c>
      <c r="X1" s="6" t="n"/>
      <c r="Y1" s="6" t="n"/>
      <c r="Z1" s="7" t="inlineStr">
        <is>
          <t>Lead with (message)</t>
        </is>
      </c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3" t="inlineStr">
        <is>
          <t>Tracking — fill in</t>
        </is>
      </c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42" customHeight="1">
      <c r="A2" s="9" t="inlineStr">
        <is>
          <t>#</t>
        </is>
      </c>
      <c r="B2" s="9" t="inlineStr">
        <is>
          <t>Priority</t>
        </is>
      </c>
      <c r="C2" s="9" t="inlineStr">
        <is>
          <t>Segment</t>
        </is>
      </c>
      <c r="D2" s="9" t="inlineStr">
        <is>
          <t>Area</t>
        </is>
      </c>
      <c r="E2" s="9" t="inlineStr">
        <is>
          <t>Company</t>
        </is>
      </c>
      <c r="F2" s="9" t="inlineStr">
        <is>
          <t>Name for messages</t>
        </is>
      </c>
      <c r="G2" s="9" t="inlineStr">
        <is>
          <t>Website</t>
        </is>
      </c>
      <c r="H2" s="9" t="inlineStr">
        <is>
          <t>Email</t>
        </is>
      </c>
      <c r="I2" s="9" t="inlineStr">
        <is>
          <t>Email type</t>
        </is>
      </c>
      <c r="J2" s="9" t="inlineStr">
        <is>
          <t>Email source</t>
        </is>
      </c>
      <c r="K2" s="9" t="inlineStr">
        <is>
          <t>Companies House no.</t>
        </is>
      </c>
      <c r="L2" s="9" t="inlineStr">
        <is>
          <t>Companies House</t>
        </is>
      </c>
      <c r="M2" s="9" t="inlineStr">
        <is>
          <t>Accounts</t>
        </is>
      </c>
      <c r="N2" s="9" t="inlineStr">
        <is>
          <t>Incorporated</t>
        </is>
      </c>
      <c r="O2" s="9" t="inlineStr">
        <is>
          <t>Registered address</t>
        </is>
      </c>
      <c r="P2" s="9" t="inlineStr">
        <is>
          <t>Postcode</t>
        </is>
      </c>
      <c r="Q2" s="9" t="inlineStr">
        <is>
          <t>In 933 research list?</t>
        </is>
      </c>
      <c r="R2" s="10" t="inlineStr">
        <is>
          <t>Contact first name</t>
        </is>
      </c>
      <c r="S2" s="10" t="inlineStr">
        <is>
          <t>Contact full name</t>
        </is>
      </c>
      <c r="T2" s="10" t="inlineStr">
        <is>
          <t>Job title</t>
        </is>
      </c>
      <c r="U2" s="10" t="inlineStr">
        <is>
          <t>Direct email</t>
        </is>
      </c>
      <c r="V2" s="10" t="inlineStr">
        <is>
          <t>Phone</t>
        </is>
      </c>
      <c r="W2" s="9" t="inlineStr">
        <is>
          <t>Nearest pitch</t>
        </is>
      </c>
      <c r="X2" s="9" t="inlineStr">
        <is>
          <t>Walk (min)</t>
        </is>
      </c>
      <c r="Y2" s="9" t="inlineStr">
        <is>
          <t>Other pitches ≤19 min</t>
        </is>
      </c>
      <c r="Z2" s="9" t="inlineStr">
        <is>
          <t>Lead with: pitch</t>
        </is>
      </c>
      <c r="AA2" s="9" t="inlineStr">
        <is>
          <t>Walk to it (min)</t>
        </is>
      </c>
      <c r="AB2" s="9" t="inlineStr">
        <is>
          <t>Pitch status</t>
        </is>
      </c>
      <c r="AC2" s="9" t="inlineStr">
        <is>
          <t>Open slots</t>
        </is>
      </c>
      <c r="AD2" s="9" t="inlineStr">
        <is>
          <t>Lead with: slot</t>
        </is>
      </c>
      <c r="AE2" s="9" t="inlineStr">
        <is>
          <t>Lead with: format</t>
        </is>
      </c>
      <c r="AF2" s="9" t="inlineStr">
        <is>
          <t>Price per player (£)</t>
        </is>
      </c>
      <c r="AG2" s="9" t="inlineStr">
        <is>
          <t>Lead-with line</t>
        </is>
      </c>
      <c r="AH2" s="9" t="inlineStr">
        <is>
          <t>Send to</t>
        </is>
      </c>
      <c r="AI2" s="9" t="inlineStr">
        <is>
          <t>Subject</t>
        </is>
      </c>
      <c r="AJ2" s="9" t="inlineStr">
        <is>
          <t>Email draft</t>
        </is>
      </c>
      <c r="AK2" s="9" t="inlineStr">
        <is>
          <t>Follow-up email (day 4)</t>
        </is>
      </c>
      <c r="AL2" s="9" t="inlineStr">
        <is>
          <t>Draft status</t>
        </is>
      </c>
      <c r="AM2" s="10" t="inlineStr">
        <is>
          <t>Owner</t>
        </is>
      </c>
      <c r="AN2" s="10" t="inlineStr">
        <is>
          <t>Channel</t>
        </is>
      </c>
      <c r="AO2" s="10" t="inlineStr">
        <is>
          <t>Contacted on</t>
        </is>
      </c>
      <c r="AP2" s="10" t="inlineStr">
        <is>
          <t>Follow-up sent on</t>
        </is>
      </c>
      <c r="AQ2" s="10" t="inlineStr">
        <is>
          <t>Replied</t>
        </is>
      </c>
      <c r="AR2" s="10" t="inlineStr">
        <is>
          <t>Call booked</t>
        </is>
      </c>
      <c r="AS2" s="10" t="inlineStr">
        <is>
          <t>Group created</t>
        </is>
      </c>
      <c r="AT2" s="10" t="inlineStr">
        <is>
          <t>First game booked</t>
        </is>
      </c>
      <c r="AU2" s="10" t="inlineStr">
        <is>
          <t>Second game booked</t>
        </is>
      </c>
      <c r="AV2" s="10" t="inlineStr">
        <is>
          <t>Objection (exact words)</t>
        </is>
      </c>
      <c r="AW2" s="10" t="inlineStr">
        <is>
          <t>Next step</t>
        </is>
      </c>
      <c r="AX2" s="10" t="inlineStr">
        <is>
          <t>Notes</t>
        </is>
      </c>
    </row>
    <row r="3">
      <c r="A3" s="11" t="n">
        <v>1</v>
      </c>
      <c r="B3" s="11" t="n">
        <v>1</v>
      </c>
      <c r="C3" s="11" t="inlineStr">
        <is>
          <t>Law firm</t>
        </is>
      </c>
      <c r="D3" s="11" t="inlineStr">
        <is>
          <t>City of London</t>
        </is>
      </c>
      <c r="E3" s="11" t="inlineStr">
        <is>
          <t>Allen Overy Shearman Sterling LLP</t>
        </is>
      </c>
      <c r="F3" s="11" t="inlineStr">
        <is>
          <t>A&amp;O Shearman</t>
        </is>
      </c>
      <c r="G3" s="12" t="inlineStr">
        <is>
          <t>https://www.aoshearman.com</t>
        </is>
      </c>
      <c r="H3" s="11" t="inlineStr">
        <is>
          <t>dparisi@aoshearman.com</t>
        </is>
      </c>
      <c r="I3" s="11" t="inlineStr">
        <is>
          <t>named person</t>
        </is>
      </c>
      <c r="J3" s="12" t="inlineStr">
        <is>
          <t>Open page</t>
        </is>
      </c>
      <c r="K3" s="11" t="inlineStr">
        <is>
          <t>OC306763</t>
        </is>
      </c>
      <c r="L3" s="12" t="inlineStr">
        <is>
          <t>Open</t>
        </is>
      </c>
      <c r="M3" s="11" t="inlineStr">
        <is>
          <t>Group</t>
        </is>
      </c>
      <c r="N3" s="13" t="n">
        <v>38016</v>
      </c>
      <c r="O3" s="11" t="inlineStr">
        <is>
          <t>One Bishops  Square, London</t>
        </is>
      </c>
      <c r="P3" s="11" t="inlineStr">
        <is>
          <t>E1 6AD</t>
        </is>
      </c>
      <c r="Q3" s="11" t="inlineStr">
        <is>
          <t>No</t>
        </is>
      </c>
      <c r="W3" s="11" t="inlineStr">
        <is>
          <t>Liverpool St - Attlee Centre</t>
        </is>
      </c>
      <c r="X3" s="11" t="n">
        <v>6</v>
      </c>
      <c r="Y3" s="11" t="inlineStr">
        <is>
          <t>Shoreditch Powerleague (6.5)</t>
        </is>
      </c>
      <c r="Z3" s="11" t="inlineStr">
        <is>
          <t>Shoreditch Powerleague</t>
        </is>
      </c>
      <c r="AA3" s="11" t="n">
        <v>6</v>
      </c>
      <c r="AB3" s="14">
        <f>IFERROR(INDEX(Venues!$E$2:$E$17,MATCH(Z3,Venues!$A$2:$A$17,0)),"Not checked")</f>
        <v/>
      </c>
      <c r="AC3" s="14">
        <f>IFERROR(INDEX(Venues!$F$2:$F$17,MATCH(Z3,Venues!$A$2:$A$17,0)),0)</f>
        <v/>
      </c>
      <c r="AD3" s="15">
        <f>IFERROR(INDEX(Venues!$M$2:$M$17,MATCH(Z3,Venues!$A$2:$A$17,0)),"")</f>
        <v/>
      </c>
      <c r="AE3" s="14">
        <f>IFERROR(INDEX(Venues!$N$2:$N$17,MATCH(Z3,Venues!$A$2:$A$17,0)),"5-a-side")</f>
        <v/>
      </c>
      <c r="AF3" s="16">
        <f>IF(Offer!$C$4="","",Offer!$C$4)</f>
        <v/>
      </c>
      <c r="AG3" s="14">
        <f>Z3&amp;" ("&amp;AA3&amp;" min walk) · "&amp;IF(ISNUMBER(AD3),TEXT(AD3,"ddd d mmm, hh:mm"),"slot to confirm with venue")&amp;" · "&amp;AE3&amp;" · "&amp;IF(AF3&lt;&gt;"","£"&amp;TEXT(AF3,"0.00")&amp;" pp","price TBC")</f>
        <v/>
      </c>
      <c r="AH3" s="14">
        <f>IF(U3&lt;&gt;"",U3,IF(H3&lt;&gt;"",H3,""))</f>
        <v/>
      </c>
      <c r="AI3" s="14">
        <f>"After-work football for "&amp;F3&amp;" · "&amp;Z3&amp;", "&amp;AA3&amp;" min from your office"</f>
        <v/>
      </c>
      <c r="AJ3" s="14">
        <f>"Hi "&amp;IF(R3&lt;&gt;"",R3,F3&amp;" team")&amp;","&amp;CHAR(10)&amp;CHAR(10)&amp;"I'm "&amp;IF(AM3&lt;&gt;"",AM3,IF(Offer!$C$5&lt;&gt;"",Offer!$C$5,"[NAME]"))&amp;" from FC Urban. We organise after-work football for teams in the City and Canary Wharf."&amp;CHAR(10)&amp;CHAR(10)&amp;"We have a "&amp;AE3&amp;" pitch at "&amp;Z3&amp;", "&amp;IF(OR(AA3=8,AA3=11,AA3=18),"an ","a ")&amp;AA3&amp;"-minute walk from your "&amp;P3&amp;" office, "&amp;IF(ISNUMBER(AD3),"on "&amp;TEXT(AD3,"dddd d mmmm")&amp;" at "&amp;TEXT(AD3,"hh:mm"),"on a weekday evening that suits your team")&amp;". It's "&amp;IF(AF3&lt;&gt;"","£"&amp;IF(AF3=INT(AF3),TEXT(AF3,"0"),TEXT(AF3,"0.00")),"[PRICE PER PLAYER]")&amp;" a player and we handle the pitch booking, sign-ups and payments, so all it takes is one person sharing a link with the team."&amp;CHAR(10)&amp;CHAR(10)&amp;"It works well as a team social or "&amp;IF(ISNUMBER(SEARCH(LEFT(F3,1),"AEIOU")),"an ","a ")&amp;F3&amp;"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LINK]")&amp;CHAR(10)&amp;CHAR(10)&amp;"Best,"&amp;CHAR(10)&amp;IF(AM3&lt;&gt;"",AM3,IF(Offer!$C$5&lt;&gt;"",Offer!$C$5,"[NAME]"))&amp;CHAR(10)&amp;"FC Urban"</f>
        <v/>
      </c>
      <c r="AK3" s="14">
        <f>"Hi "&amp;IF(R3&lt;&gt;"",R3,F3&amp;" team")&amp;","&amp;CHAR(10)&amp;CHAR(10)&amp;"Just bumping this up. The "&amp;AE3&amp;" pitch at "&amp;Z3&amp;" is still free "&amp;IF(ISNUMBER(AD3),TEXT(AD3,"ddd d mmm")&amp;", "&amp;TEXT(AD3,"hh:mm"),"weekday evenings")&amp;", "&amp;IF(OR(AA3=8,AA3=11,AA3=18),"an ","a ")&amp;AA3&amp;"-minute walk from your office, "&amp;IF(AF3&lt;&gt;"","£"&amp;IF(AF3=INT(AF3),TEXT(AF3,"0"),TEXT(AF3,"0.00")),"[PRICE PER PLAYER]")&amp;" a player. Happy to hold it for "&amp;F3&amp;"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LINK]")&amp;CHAR(10)&amp;CHAR(10)&amp;"Best,"&amp;CHAR(10)&amp;IF(AM3&lt;&gt;"",AM3,IF(Offer!$C$5&lt;&gt;"",Offer!$C$5,"[NAME]"))&amp;CHAR(10)&amp;"FC Urban"</f>
        <v/>
      </c>
      <c r="AL3" s="14">
        <f>IF(AH3="","No email yet",IF(ISNUMBER(SEARCH("[",AJ3)),"Fill placeholders",IF(ISNUMBER(AD3),"Ready to send","Ready · no fixed slot")))</f>
        <v/>
      </c>
      <c r="AO3" s="17" t="n"/>
      <c r="AP3" s="17" t="n"/>
    </row>
    <row r="4">
      <c r="A4" s="11" t="n">
        <v>2</v>
      </c>
      <c r="B4" s="11" t="n">
        <v>1</v>
      </c>
      <c r="C4" s="11" t="inlineStr">
        <is>
          <t>Law firm</t>
        </is>
      </c>
      <c r="D4" s="11" t="inlineStr">
        <is>
          <t>City of London</t>
        </is>
      </c>
      <c r="E4" s="11" t="inlineStr">
        <is>
          <t>Baker &amp; McKenzie LLP</t>
        </is>
      </c>
      <c r="F4" s="11" t="inlineStr">
        <is>
          <t>Baker McKenzie</t>
        </is>
      </c>
      <c r="G4" s="12" t="inlineStr">
        <is>
          <t>https://www.bakermckenzie.com</t>
        </is>
      </c>
      <c r="H4" s="11" t="inlineStr">
        <is>
          <t>hkalumni@bakermckenzie.com</t>
        </is>
      </c>
      <c r="I4" s="11" t="inlineStr">
        <is>
          <t>named person</t>
        </is>
      </c>
      <c r="J4" s="12" t="inlineStr">
        <is>
          <t>Open page</t>
        </is>
      </c>
      <c r="K4" s="11" t="inlineStr">
        <is>
          <t>OC311297</t>
        </is>
      </c>
      <c r="L4" s="12" t="inlineStr">
        <is>
          <t>Open</t>
        </is>
      </c>
      <c r="M4" s="11" t="inlineStr">
        <is>
          <t>Group</t>
        </is>
      </c>
      <c r="N4" s="13" t="n">
        <v>38384</v>
      </c>
      <c r="O4" s="11" t="inlineStr">
        <is>
          <t>280 Bishopsgate, London</t>
        </is>
      </c>
      <c r="P4" s="11" t="inlineStr">
        <is>
          <t>EC2M 4AG</t>
        </is>
      </c>
      <c r="Q4" s="11" t="inlineStr">
        <is>
          <t>No</t>
        </is>
      </c>
      <c r="W4" s="11" t="inlineStr">
        <is>
          <t>Shoreditch Powerleague</t>
        </is>
      </c>
      <c r="X4" s="11" t="n">
        <v>7</v>
      </c>
      <c r="Y4" s="11" t="inlineStr">
        <is>
          <t>Liverpool St - Attlee Centre (7.1)</t>
        </is>
      </c>
      <c r="Z4" s="11" t="inlineStr">
        <is>
          <t>Shoreditch Powerleague</t>
        </is>
      </c>
      <c r="AA4" s="11" t="n">
        <v>7</v>
      </c>
      <c r="AB4" s="14">
        <f>IFERROR(INDEX(Venues!$E$2:$E$17,MATCH(Z4,Venues!$A$2:$A$17,0)),"Not checked")</f>
        <v/>
      </c>
      <c r="AC4" s="14">
        <f>IFERROR(INDEX(Venues!$F$2:$F$17,MATCH(Z4,Venues!$A$2:$A$17,0)),0)</f>
        <v/>
      </c>
      <c r="AD4" s="15">
        <f>IFERROR(INDEX(Venues!$M$2:$M$17,MATCH(Z4,Venues!$A$2:$A$17,0)),"")</f>
        <v/>
      </c>
      <c r="AE4" s="14">
        <f>IFERROR(INDEX(Venues!$N$2:$N$17,MATCH(Z4,Venues!$A$2:$A$17,0)),"5-a-side")</f>
        <v/>
      </c>
      <c r="AF4" s="16">
        <f>IF(Offer!$C$4="","",Offer!$C$4)</f>
        <v/>
      </c>
      <c r="AG4" s="14">
        <f>Z4&amp;" ("&amp;AA4&amp;" min walk) · "&amp;IF(ISNUMBER(AD4),TEXT(AD4,"ddd d mmm, hh:mm"),"slot to confirm with venue")&amp;" · "&amp;AE4&amp;" · "&amp;IF(AF4&lt;&gt;"","£"&amp;TEXT(AF4,"0.00")&amp;" pp","price TBC")</f>
        <v/>
      </c>
      <c r="AH4" s="14">
        <f>IF(U4&lt;&gt;"",U4,IF(H4&lt;&gt;"",H4,""))</f>
        <v/>
      </c>
      <c r="AI4" s="14">
        <f>"After-work football for "&amp;F4&amp;" · "&amp;Z4&amp;", "&amp;AA4&amp;" min from your office"</f>
        <v/>
      </c>
      <c r="AJ4" s="14">
        <f>"Hi "&amp;IF(R4&lt;&gt;"",R4,F4&amp;" team")&amp;","&amp;CHAR(10)&amp;CHAR(10)&amp;"I'm "&amp;IF(AM4&lt;&gt;"",AM4,IF(Offer!$C$5&lt;&gt;"",Offer!$C$5,"[NAME]"))&amp;" from FC Urban. We organise after-work football for teams in the City and Canary Wharf."&amp;CHAR(10)&amp;CHAR(10)&amp;"We have a "&amp;AE4&amp;" pitch at "&amp;Z4&amp;", "&amp;IF(OR(AA4=8,AA4=11,AA4=18),"an ","a ")&amp;AA4&amp;"-minute walk from your "&amp;P4&amp;" office, "&amp;IF(ISNUMBER(AD4),"on "&amp;TEXT(AD4,"dddd d mmmm")&amp;" at "&amp;TEXT(AD4,"hh:mm"),"on a weekday evening that suits your team")&amp;". It's "&amp;IF(AF4&lt;&gt;"","£"&amp;IF(AF4=INT(AF4),TEXT(AF4,"0"),TEXT(AF4,"0.00")),"[PRICE PER PLAYER]")&amp;" a player and we handle the pitch booking, sign-ups and payments, so all it takes is one person sharing a link with the team."&amp;CHAR(10)&amp;CHAR(10)&amp;"It works well as a team social or "&amp;IF(ISNUMBER(SEARCH(LEFT(F4,1),"AEIOU")),"an ","a ")&amp;F4&amp;"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LINK]")&amp;CHAR(10)&amp;CHAR(10)&amp;"Best,"&amp;CHAR(10)&amp;IF(AM4&lt;&gt;"",AM4,IF(Offer!$C$5&lt;&gt;"",Offer!$C$5,"[NAME]"))&amp;CHAR(10)&amp;"FC Urban"</f>
        <v/>
      </c>
      <c r="AK4" s="14">
        <f>"Hi "&amp;IF(R4&lt;&gt;"",R4,F4&amp;" team")&amp;","&amp;CHAR(10)&amp;CHAR(10)&amp;"Just bumping this up. The "&amp;AE4&amp;" pitch at "&amp;Z4&amp;" is still free "&amp;IF(ISNUMBER(AD4),TEXT(AD4,"ddd d mmm")&amp;", "&amp;TEXT(AD4,"hh:mm"),"weekday evenings")&amp;", "&amp;IF(OR(AA4=8,AA4=11,AA4=18),"an ","a ")&amp;AA4&amp;"-minute walk from your office, "&amp;IF(AF4&lt;&gt;"","£"&amp;IF(AF4=INT(AF4),TEXT(AF4,"0"),TEXT(AF4,"0.00")),"[PRICE PER PLAYER]")&amp;" a player. Happy to hold it for "&amp;F4&amp;"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LINK]")&amp;CHAR(10)&amp;CHAR(10)&amp;"Best,"&amp;CHAR(10)&amp;IF(AM4&lt;&gt;"",AM4,IF(Offer!$C$5&lt;&gt;"",Offer!$C$5,"[NAME]"))&amp;CHAR(10)&amp;"FC Urban"</f>
        <v/>
      </c>
      <c r="AL4" s="14">
        <f>IF(AH4="","No email yet",IF(ISNUMBER(SEARCH("[",AJ4)),"Fill placeholders",IF(ISNUMBER(AD4),"Ready to send","Ready · no fixed slot")))</f>
        <v/>
      </c>
      <c r="AO4" s="17" t="n"/>
      <c r="AP4" s="17" t="n"/>
    </row>
    <row r="5">
      <c r="A5" s="11" t="n">
        <v>3</v>
      </c>
      <c r="B5" s="11" t="n">
        <v>1</v>
      </c>
      <c r="C5" s="11" t="inlineStr">
        <is>
          <t>Law firm</t>
        </is>
      </c>
      <c r="D5" s="11" t="inlineStr">
        <is>
          <t>City of London</t>
        </is>
      </c>
      <c r="E5" s="11" t="inlineStr">
        <is>
          <t>Shoosmiths LLP</t>
        </is>
      </c>
      <c r="F5" s="11" t="inlineStr">
        <is>
          <t>Shoosmiths</t>
        </is>
      </c>
      <c r="G5" s="12" t="inlineStr">
        <is>
          <t>https://www.shoosmiths.com</t>
        </is>
      </c>
      <c r="H5" s="11" t="inlineStr">
        <is>
          <t>generalenquiries@shoosmiths.com</t>
        </is>
      </c>
      <c r="I5" s="11" t="inlineStr">
        <is>
          <t>named person</t>
        </is>
      </c>
      <c r="J5" s="12" t="inlineStr">
        <is>
          <t>Open page</t>
        </is>
      </c>
      <c r="K5" s="11" t="inlineStr">
        <is>
          <t>OC374987</t>
        </is>
      </c>
      <c r="L5" s="12" t="inlineStr">
        <is>
          <t>Open</t>
        </is>
      </c>
      <c r="M5" s="11" t="inlineStr">
        <is>
          <t>Group</t>
        </is>
      </c>
      <c r="N5" s="13" t="n">
        <v>41033</v>
      </c>
      <c r="O5" s="11" t="inlineStr">
        <is>
          <t>1 Bow Churchyard, London</t>
        </is>
      </c>
      <c r="P5" s="11" t="inlineStr">
        <is>
          <t>EC4M 9DQ</t>
        </is>
      </c>
      <c r="Q5" s="11" t="inlineStr">
        <is>
          <t>No</t>
        </is>
      </c>
      <c r="W5" s="11" t="inlineStr">
        <is>
          <t>City of London School (EC4V 3AL)</t>
        </is>
      </c>
      <c r="X5" s="11" t="n">
        <v>8</v>
      </c>
      <c r="Y5" s="11" t="inlineStr">
        <is>
          <t>Marlborough Sports Garden (SE1 1SD) (18.1)</t>
        </is>
      </c>
      <c r="Z5" s="11" t="inlineStr">
        <is>
          <t>City of London School (EC4V 3AL)</t>
        </is>
      </c>
      <c r="AA5" s="11" t="n">
        <v>8</v>
      </c>
      <c r="AB5" s="14">
        <f>IFERROR(INDEX(Venues!$E$2:$E$17,MATCH(Z5,Venues!$A$2:$A$17,0)),"Not checked")</f>
        <v/>
      </c>
      <c r="AC5" s="14">
        <f>IFERROR(INDEX(Venues!$F$2:$F$17,MATCH(Z5,Venues!$A$2:$A$17,0)),0)</f>
        <v/>
      </c>
      <c r="AD5" s="15">
        <f>IFERROR(INDEX(Venues!$M$2:$M$17,MATCH(Z5,Venues!$A$2:$A$17,0)),"")</f>
        <v/>
      </c>
      <c r="AE5" s="14">
        <f>IFERROR(INDEX(Venues!$N$2:$N$17,MATCH(Z5,Venues!$A$2:$A$17,0)),"5-a-side")</f>
        <v/>
      </c>
      <c r="AF5" s="16">
        <f>IF(Offer!$C$4="","",Offer!$C$4)</f>
        <v/>
      </c>
      <c r="AG5" s="14">
        <f>Z5&amp;" ("&amp;AA5&amp;" min walk) · "&amp;IF(ISNUMBER(AD5),TEXT(AD5,"ddd d mmm, hh:mm"),"slot to confirm with venue")&amp;" · "&amp;AE5&amp;" · "&amp;IF(AF5&lt;&gt;"","£"&amp;TEXT(AF5,"0.00")&amp;" pp","price TBC")</f>
        <v/>
      </c>
      <c r="AH5" s="14">
        <f>IF(U5&lt;&gt;"",U5,IF(H5&lt;&gt;"",H5,""))</f>
        <v/>
      </c>
      <c r="AI5" s="14">
        <f>"After-work football for "&amp;F5&amp;" · "&amp;Z5&amp;", "&amp;AA5&amp;" min from your office"</f>
        <v/>
      </c>
      <c r="AJ5" s="14">
        <f>"Hi "&amp;IF(R5&lt;&gt;"",R5,F5&amp;" team")&amp;","&amp;CHAR(10)&amp;CHAR(10)&amp;"I'm "&amp;IF(AM5&lt;&gt;"",AM5,IF(Offer!$C$5&lt;&gt;"",Offer!$C$5,"[NAME]"))&amp;" from FC Urban. We organise after-work football for teams in the City and Canary Wharf."&amp;CHAR(10)&amp;CHAR(10)&amp;"We have a "&amp;AE5&amp;" pitch at "&amp;Z5&amp;", "&amp;IF(OR(AA5=8,AA5=11,AA5=18),"an ","a ")&amp;AA5&amp;"-minute walk from your "&amp;P5&amp;" office, "&amp;IF(ISNUMBER(AD5),"on "&amp;TEXT(AD5,"dddd d mmmm")&amp;" at "&amp;TEXT(AD5,"hh:mm"),"on a weekday evening that suits your team")&amp;". It's "&amp;IF(AF5&lt;&gt;"","£"&amp;IF(AF5=INT(AF5),TEXT(AF5,"0"),TEXT(AF5,"0.00")),"[PRICE PER PLAYER]")&amp;" a player and we handle the pitch booking, sign-ups and payments, so all it takes is one person sharing a link with the team."&amp;CHAR(10)&amp;CHAR(10)&amp;"It works well as a team social or "&amp;IF(ISNUMBER(SEARCH(LEFT(F5,1),"AEIOU")),"an ","a ")&amp;F5&amp;"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LINK]")&amp;CHAR(10)&amp;CHAR(10)&amp;"Best,"&amp;CHAR(10)&amp;IF(AM5&lt;&gt;"",AM5,IF(Offer!$C$5&lt;&gt;"",Offer!$C$5,"[NAME]"))&amp;CHAR(10)&amp;"FC Urban"</f>
        <v/>
      </c>
      <c r="AK5" s="14">
        <f>"Hi "&amp;IF(R5&lt;&gt;"",R5,F5&amp;" team")&amp;","&amp;CHAR(10)&amp;CHAR(10)&amp;"Just bumping this up. The "&amp;AE5&amp;" pitch at "&amp;Z5&amp;" is still free "&amp;IF(ISNUMBER(AD5),TEXT(AD5,"ddd d mmm")&amp;", "&amp;TEXT(AD5,"hh:mm"),"weekday evenings")&amp;", "&amp;IF(OR(AA5=8,AA5=11,AA5=18),"an ","a ")&amp;AA5&amp;"-minute walk from your office, "&amp;IF(AF5&lt;&gt;"","£"&amp;IF(AF5=INT(AF5),TEXT(AF5,"0"),TEXT(AF5,"0.00")),"[PRICE PER PLAYER]")&amp;" a player. Happy to hold it for "&amp;F5&amp;"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LINK]")&amp;CHAR(10)&amp;CHAR(10)&amp;"Best,"&amp;CHAR(10)&amp;IF(AM5&lt;&gt;"",AM5,IF(Offer!$C$5&lt;&gt;"",Offer!$C$5,"[NAME]"))&amp;CHAR(10)&amp;"FC Urban"</f>
        <v/>
      </c>
      <c r="AL5" s="14">
        <f>IF(AH5="","No email yet",IF(ISNUMBER(SEARCH("[",AJ5)),"Fill placeholders",IF(ISNUMBER(AD5),"Ready to send","Ready · no fixed slot")))</f>
        <v/>
      </c>
      <c r="AO5" s="17" t="n"/>
      <c r="AP5" s="17" t="n"/>
    </row>
    <row r="6">
      <c r="A6" s="11" t="n">
        <v>4</v>
      </c>
      <c r="B6" s="11" t="n">
        <v>1</v>
      </c>
      <c r="C6" s="11" t="inlineStr">
        <is>
          <t>Law firm</t>
        </is>
      </c>
      <c r="D6" s="11" t="inlineStr">
        <is>
          <t>City of London</t>
        </is>
      </c>
      <c r="E6" s="11" t="inlineStr">
        <is>
          <t>Herbert Smith Freehills Kramer Global LLP</t>
        </is>
      </c>
      <c r="F6" s="11" t="inlineStr">
        <is>
          <t>Herbert Smith Freehills Kramer</t>
        </is>
      </c>
      <c r="G6" s="12" t="inlineStr">
        <is>
          <t>https://www.hsfkramer.com</t>
        </is>
      </c>
      <c r="H6" s="11" t="n"/>
      <c r="I6" s="11" t="inlineStr">
        <is>
          <t>Not found</t>
        </is>
      </c>
      <c r="J6" s="11" t="n"/>
      <c r="K6" s="11" t="inlineStr">
        <is>
          <t>OC375784</t>
        </is>
      </c>
      <c r="L6" s="12" t="inlineStr">
        <is>
          <t>Open</t>
        </is>
      </c>
      <c r="M6" s="11" t="inlineStr">
        <is>
          <t>Group</t>
        </is>
      </c>
      <c r="N6" s="13" t="n">
        <v>41066</v>
      </c>
      <c r="O6" s="11" t="inlineStr">
        <is>
          <t>Exchange House, Primrose Street, London</t>
        </is>
      </c>
      <c r="P6" s="11" t="inlineStr">
        <is>
          <t>EC2A 2EG</t>
        </is>
      </c>
      <c r="Q6" s="11" t="inlineStr">
        <is>
          <t>No</t>
        </is>
      </c>
      <c r="W6" s="11" t="inlineStr">
        <is>
          <t>Shoreditch Powerleague</t>
        </is>
      </c>
      <c r="X6" s="11" t="n">
        <v>8</v>
      </c>
      <c r="Y6" s="11" t="inlineStr">
        <is>
          <t>Liverpool St - Attlee Centre (9.8)</t>
        </is>
      </c>
      <c r="Z6" s="11" t="inlineStr">
        <is>
          <t>Shoreditch Powerleague</t>
        </is>
      </c>
      <c r="AA6" s="11" t="n">
        <v>8</v>
      </c>
      <c r="AB6" s="14">
        <f>IFERROR(INDEX(Venues!$E$2:$E$17,MATCH(Z6,Venues!$A$2:$A$17,0)),"Not checked")</f>
        <v/>
      </c>
      <c r="AC6" s="14">
        <f>IFERROR(INDEX(Venues!$F$2:$F$17,MATCH(Z6,Venues!$A$2:$A$17,0)),0)</f>
        <v/>
      </c>
      <c r="AD6" s="15">
        <f>IFERROR(INDEX(Venues!$M$2:$M$17,MATCH(Z6,Venues!$A$2:$A$17,0)),"")</f>
        <v/>
      </c>
      <c r="AE6" s="14">
        <f>IFERROR(INDEX(Venues!$N$2:$N$17,MATCH(Z6,Venues!$A$2:$A$17,0)),"5-a-side")</f>
        <v/>
      </c>
      <c r="AF6" s="16">
        <f>IF(Offer!$C$4="","",Offer!$C$4)</f>
        <v/>
      </c>
      <c r="AG6" s="14">
        <f>Z6&amp;" ("&amp;AA6&amp;" min walk) · "&amp;IF(ISNUMBER(AD6),TEXT(AD6,"ddd d mmm, hh:mm"),"slot to confirm with venue")&amp;" · "&amp;AE6&amp;" · "&amp;IF(AF6&lt;&gt;"","£"&amp;TEXT(AF6,"0.00")&amp;" pp","price TBC")</f>
        <v/>
      </c>
      <c r="AH6" s="14">
        <f>IF(U6&lt;&gt;"",U6,IF(H6&lt;&gt;"",H6,""))</f>
        <v/>
      </c>
      <c r="AI6" s="14">
        <f>"After-work football for "&amp;F6&amp;" · "&amp;Z6&amp;", "&amp;AA6&amp;" min from your office"</f>
        <v/>
      </c>
      <c r="AJ6" s="14">
        <f>"Hi "&amp;IF(R6&lt;&gt;"",R6,F6&amp;" team")&amp;","&amp;CHAR(10)&amp;CHAR(10)&amp;"I'm "&amp;IF(AM6&lt;&gt;"",AM6,IF(Offer!$C$5&lt;&gt;"",Offer!$C$5,"[NAME]"))&amp;" from FC Urban. We organise after-work football for teams in the City and Canary Wharf."&amp;CHAR(10)&amp;CHAR(10)&amp;"We have a "&amp;AE6&amp;" pitch at "&amp;Z6&amp;", "&amp;IF(OR(AA6=8,AA6=11,AA6=18),"an ","a ")&amp;AA6&amp;"-minute walk from your "&amp;P6&amp;" office, "&amp;IF(ISNUMBER(AD6),"on "&amp;TEXT(AD6,"dddd d mmmm")&amp;" at "&amp;TEXT(AD6,"hh:mm"),"on a weekday evening that suits your team")&amp;". It's "&amp;IF(AF6&lt;&gt;"","£"&amp;IF(AF6=INT(AF6),TEXT(AF6,"0"),TEXT(AF6,"0.00")),"[PRICE PER PLAYER]")&amp;" a player and we handle the pitch booking, sign-ups and payments, so all it takes is one person sharing a link with the team."&amp;CHAR(10)&amp;CHAR(10)&amp;"It works well as a team social or "&amp;IF(ISNUMBER(SEARCH(LEFT(F6,1),"AEIOU")),"an ","a ")&amp;F6&amp;"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LINK]")&amp;CHAR(10)&amp;CHAR(10)&amp;"Best,"&amp;CHAR(10)&amp;IF(AM6&lt;&gt;"",AM6,IF(Offer!$C$5&lt;&gt;"",Offer!$C$5,"[NAME]"))&amp;CHAR(10)&amp;"FC Urban"</f>
        <v/>
      </c>
      <c r="AK6" s="14">
        <f>"Hi "&amp;IF(R6&lt;&gt;"",R6,F6&amp;" team")&amp;","&amp;CHAR(10)&amp;CHAR(10)&amp;"Just bumping this up. The "&amp;AE6&amp;" pitch at "&amp;Z6&amp;" is still free "&amp;IF(ISNUMBER(AD6),TEXT(AD6,"ddd d mmm")&amp;", "&amp;TEXT(AD6,"hh:mm"),"weekday evenings")&amp;", "&amp;IF(OR(AA6=8,AA6=11,AA6=18),"an ","a ")&amp;AA6&amp;"-minute walk from your office, "&amp;IF(AF6&lt;&gt;"","£"&amp;IF(AF6=INT(AF6),TEXT(AF6,"0"),TEXT(AF6,"0.00")),"[PRICE PER PLAYER]")&amp;" a player. Happy to hold it for "&amp;F6&amp;"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LINK]")&amp;CHAR(10)&amp;CHAR(10)&amp;"Best,"&amp;CHAR(10)&amp;IF(AM6&lt;&gt;"",AM6,IF(Offer!$C$5&lt;&gt;"",Offer!$C$5,"[NAME]"))&amp;CHAR(10)&amp;"FC Urban"</f>
        <v/>
      </c>
      <c r="AL6" s="14">
        <f>IF(AH6="","No email yet",IF(ISNUMBER(SEARCH("[",AJ6)),"Fill placeholders",IF(ISNUMBER(AD6),"Ready to send","Ready · no fixed slot")))</f>
        <v/>
      </c>
      <c r="AO6" s="17" t="n"/>
      <c r="AP6" s="17" t="n"/>
    </row>
    <row r="7">
      <c r="A7" s="11" t="n">
        <v>5</v>
      </c>
      <c r="B7" s="11" t="n">
        <v>1</v>
      </c>
      <c r="C7" s="11" t="inlineStr">
        <is>
          <t>Law firm</t>
        </is>
      </c>
      <c r="D7" s="11" t="inlineStr">
        <is>
          <t>City of London</t>
        </is>
      </c>
      <c r="E7" s="11" t="inlineStr">
        <is>
          <t>Ashurst Perkins Coie UK LLP</t>
        </is>
      </c>
      <c r="F7" s="11" t="inlineStr">
        <is>
          <t>Ashurst Perkins Coie</t>
        </is>
      </c>
      <c r="G7" s="12" t="inlineStr">
        <is>
          <t>https://www.ashurstperkinscoie.com</t>
        </is>
      </c>
      <c r="H7" s="11" t="inlineStr">
        <is>
          <t>london@ashurstperkinscoie.com</t>
        </is>
      </c>
      <c r="I7" s="11" t="inlineStr">
        <is>
          <t>general</t>
        </is>
      </c>
      <c r="J7" s="12" t="inlineStr">
        <is>
          <t>Open page</t>
        </is>
      </c>
      <c r="K7" s="11" t="inlineStr">
        <is>
          <t>OC330252</t>
        </is>
      </c>
      <c r="L7" s="12" t="inlineStr">
        <is>
          <t>Open</t>
        </is>
      </c>
      <c r="M7" s="11" t="inlineStr">
        <is>
          <t>Group</t>
        </is>
      </c>
      <c r="N7" s="13" t="n">
        <v>39294</v>
      </c>
      <c r="O7" s="11" t="inlineStr">
        <is>
          <t>1 Duval Square, London Fruit And Wool Exchange, London</t>
        </is>
      </c>
      <c r="P7" s="11" t="inlineStr">
        <is>
          <t>E1 6PW</t>
        </is>
      </c>
      <c r="Q7" s="11" t="inlineStr">
        <is>
          <t>No</t>
        </is>
      </c>
      <c r="W7" s="11" t="inlineStr">
        <is>
          <t>Liverpool St - Attlee Centre</t>
        </is>
      </c>
      <c r="X7" s="11" t="n">
        <v>3</v>
      </c>
      <c r="Y7" s="11" t="inlineStr">
        <is>
          <t>Shoreditch Powerleague (8.1); Whitechapel (18.6)</t>
        </is>
      </c>
      <c r="Z7" s="11" t="inlineStr">
        <is>
          <t>Shoreditch Powerleague</t>
        </is>
      </c>
      <c r="AA7" s="11" t="n">
        <v>8</v>
      </c>
      <c r="AB7" s="14">
        <f>IFERROR(INDEX(Venues!$E$2:$E$17,MATCH(Z7,Venues!$A$2:$A$17,0)),"Not checked")</f>
        <v/>
      </c>
      <c r="AC7" s="14">
        <f>IFERROR(INDEX(Venues!$F$2:$F$17,MATCH(Z7,Venues!$A$2:$A$17,0)),0)</f>
        <v/>
      </c>
      <c r="AD7" s="15">
        <f>IFERROR(INDEX(Venues!$M$2:$M$17,MATCH(Z7,Venues!$A$2:$A$17,0)),"")</f>
        <v/>
      </c>
      <c r="AE7" s="14">
        <f>IFERROR(INDEX(Venues!$N$2:$N$17,MATCH(Z7,Venues!$A$2:$A$17,0)),"5-a-side")</f>
        <v/>
      </c>
      <c r="AF7" s="16">
        <f>IF(Offer!$C$4="","",Offer!$C$4)</f>
        <v/>
      </c>
      <c r="AG7" s="14">
        <f>Z7&amp;" ("&amp;AA7&amp;" min walk) · "&amp;IF(ISNUMBER(AD7),TEXT(AD7,"ddd d mmm, hh:mm"),"slot to confirm with venue")&amp;" · "&amp;AE7&amp;" · "&amp;IF(AF7&lt;&gt;"","£"&amp;TEXT(AF7,"0.00")&amp;" pp","price TBC")</f>
        <v/>
      </c>
      <c r="AH7" s="14">
        <f>IF(U7&lt;&gt;"",U7,IF(H7&lt;&gt;"",H7,""))</f>
        <v/>
      </c>
      <c r="AI7" s="14">
        <f>"After-work football for "&amp;F7&amp;" · "&amp;Z7&amp;", "&amp;AA7&amp;" min from your office"</f>
        <v/>
      </c>
      <c r="AJ7" s="14">
        <f>"Hi "&amp;IF(R7&lt;&gt;"",R7,F7&amp;" team")&amp;","&amp;CHAR(10)&amp;CHAR(10)&amp;"I'm "&amp;IF(AM7&lt;&gt;"",AM7,IF(Offer!$C$5&lt;&gt;"",Offer!$C$5,"[NAME]"))&amp;" from FC Urban. We organise after-work football for teams in the City and Canary Wharf."&amp;CHAR(10)&amp;CHAR(10)&amp;"We have a "&amp;AE7&amp;" pitch at "&amp;Z7&amp;", "&amp;IF(OR(AA7=8,AA7=11,AA7=18),"an ","a ")&amp;AA7&amp;"-minute walk from your "&amp;P7&amp;" office, "&amp;IF(ISNUMBER(AD7),"on "&amp;TEXT(AD7,"dddd d mmmm")&amp;" at "&amp;TEXT(AD7,"hh:mm"),"on a weekday evening that suits your team")&amp;". It's "&amp;IF(AF7&lt;&gt;"","£"&amp;IF(AF7=INT(AF7),TEXT(AF7,"0"),TEXT(AF7,"0.00")),"[PRICE PER PLAYER]")&amp;" a player and we handle the pitch booking, sign-ups and payments, so all it takes is one person sharing a link with the team."&amp;CHAR(10)&amp;CHAR(10)&amp;"It works well as a team social or "&amp;IF(ISNUMBER(SEARCH(LEFT(F7,1),"AEIOU")),"an ","a ")&amp;F7&amp;"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LINK]")&amp;CHAR(10)&amp;CHAR(10)&amp;"Best,"&amp;CHAR(10)&amp;IF(AM7&lt;&gt;"",AM7,IF(Offer!$C$5&lt;&gt;"",Offer!$C$5,"[NAME]"))&amp;CHAR(10)&amp;"FC Urban"</f>
        <v/>
      </c>
      <c r="AK7" s="14">
        <f>"Hi "&amp;IF(R7&lt;&gt;"",R7,F7&amp;" team")&amp;","&amp;CHAR(10)&amp;CHAR(10)&amp;"Just bumping this up. The "&amp;AE7&amp;" pitch at "&amp;Z7&amp;" is still free "&amp;IF(ISNUMBER(AD7),TEXT(AD7,"ddd d mmm")&amp;", "&amp;TEXT(AD7,"hh:mm"),"weekday evenings")&amp;", "&amp;IF(OR(AA7=8,AA7=11,AA7=18),"an ","a ")&amp;AA7&amp;"-minute walk from your office, "&amp;IF(AF7&lt;&gt;"","£"&amp;IF(AF7=INT(AF7),TEXT(AF7,"0"),TEXT(AF7,"0.00")),"[PRICE PER PLAYER]")&amp;" a player. Happy to hold it for "&amp;F7&amp;"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LINK]")&amp;CHAR(10)&amp;CHAR(10)&amp;"Best,"&amp;CHAR(10)&amp;IF(AM7&lt;&gt;"",AM7,IF(Offer!$C$5&lt;&gt;"",Offer!$C$5,"[NAME]"))&amp;CHAR(10)&amp;"FC Urban"</f>
        <v/>
      </c>
      <c r="AL7" s="14">
        <f>IF(AH7="","No email yet",IF(ISNUMBER(SEARCH("[",AJ7)),"Fill placeholders",IF(ISNUMBER(AD7),"Ready to send","Ready · no fixed slot")))</f>
        <v/>
      </c>
      <c r="AO7" s="17" t="n"/>
      <c r="AP7" s="17" t="n"/>
    </row>
    <row r="8">
      <c r="A8" s="11" t="n">
        <v>6</v>
      </c>
      <c r="B8" s="11" t="n">
        <v>1</v>
      </c>
      <c r="C8" s="11" t="inlineStr">
        <is>
          <t>Law firm</t>
        </is>
      </c>
      <c r="D8" s="11" t="inlineStr">
        <is>
          <t>City of London</t>
        </is>
      </c>
      <c r="E8" s="11" t="inlineStr">
        <is>
          <t>Carey Olsen LLP</t>
        </is>
      </c>
      <c r="F8" s="11" t="inlineStr">
        <is>
          <t>Carey Olsen</t>
        </is>
      </c>
      <c r="G8" s="12" t="inlineStr">
        <is>
          <t>https://www.careyolsen.com</t>
        </is>
      </c>
      <c r="H8" s="11" t="inlineStr">
        <is>
          <t>londonco@careyolsen.com</t>
        </is>
      </c>
      <c r="I8" s="11" t="inlineStr">
        <is>
          <t>general</t>
        </is>
      </c>
      <c r="J8" s="12" t="inlineStr">
        <is>
          <t>Open page</t>
        </is>
      </c>
      <c r="K8" s="11" t="inlineStr">
        <is>
          <t>OC345292</t>
        </is>
      </c>
      <c r="L8" s="12" t="inlineStr">
        <is>
          <t>Open</t>
        </is>
      </c>
      <c r="M8" s="11" t="inlineStr">
        <is>
          <t>Group</t>
        </is>
      </c>
      <c r="N8" s="13" t="n">
        <v>39932</v>
      </c>
      <c r="O8" s="11" t="inlineStr">
        <is>
          <t>Forum St Pauls, 33 Gutter Lane, London</t>
        </is>
      </c>
      <c r="P8" s="11" t="inlineStr">
        <is>
          <t>EC2V 8AS</t>
        </is>
      </c>
      <c r="Q8" s="11" t="inlineStr">
        <is>
          <t>No</t>
        </is>
      </c>
      <c r="W8" s="11" t="inlineStr">
        <is>
          <t>City of London School (EC4V 3AL)</t>
        </is>
      </c>
      <c r="X8" s="11" t="n">
        <v>9</v>
      </c>
      <c r="Y8" s="11" t="n"/>
      <c r="Z8" s="11" t="inlineStr">
        <is>
          <t>City of London School (EC4V 3AL)</t>
        </is>
      </c>
      <c r="AA8" s="11" t="n">
        <v>9</v>
      </c>
      <c r="AB8" s="14">
        <f>IFERROR(INDEX(Venues!$E$2:$E$17,MATCH(Z8,Venues!$A$2:$A$17,0)),"Not checked")</f>
        <v/>
      </c>
      <c r="AC8" s="14">
        <f>IFERROR(INDEX(Venues!$F$2:$F$17,MATCH(Z8,Venues!$A$2:$A$17,0)),0)</f>
        <v/>
      </c>
      <c r="AD8" s="15">
        <f>IFERROR(INDEX(Venues!$M$2:$M$17,MATCH(Z8,Venues!$A$2:$A$17,0)),"")</f>
        <v/>
      </c>
      <c r="AE8" s="14">
        <f>IFERROR(INDEX(Venues!$N$2:$N$17,MATCH(Z8,Venues!$A$2:$A$17,0)),"5-a-side")</f>
        <v/>
      </c>
      <c r="AF8" s="16">
        <f>IF(Offer!$C$4="","",Offer!$C$4)</f>
        <v/>
      </c>
      <c r="AG8" s="14">
        <f>Z8&amp;" ("&amp;AA8&amp;" min walk) · "&amp;IF(ISNUMBER(AD8),TEXT(AD8,"ddd d mmm, hh:mm"),"slot to confirm with venue")&amp;" · "&amp;AE8&amp;" · "&amp;IF(AF8&lt;&gt;"","£"&amp;TEXT(AF8,"0.00")&amp;" pp","price TBC")</f>
        <v/>
      </c>
      <c r="AH8" s="14">
        <f>IF(U8&lt;&gt;"",U8,IF(H8&lt;&gt;"",H8,""))</f>
        <v/>
      </c>
      <c r="AI8" s="14">
        <f>"After-work football for "&amp;F8&amp;" · "&amp;Z8&amp;", "&amp;AA8&amp;" min from your office"</f>
        <v/>
      </c>
      <c r="AJ8" s="14">
        <f>"Hi "&amp;IF(R8&lt;&gt;"",R8,F8&amp;" team")&amp;","&amp;CHAR(10)&amp;CHAR(10)&amp;"I'm "&amp;IF(AM8&lt;&gt;"",AM8,IF(Offer!$C$5&lt;&gt;"",Offer!$C$5,"[NAME]"))&amp;" from FC Urban. We organise after-work football for teams in the City and Canary Wharf."&amp;CHAR(10)&amp;CHAR(10)&amp;"We have a "&amp;AE8&amp;" pitch at "&amp;Z8&amp;", "&amp;IF(OR(AA8=8,AA8=11,AA8=18),"an ","a ")&amp;AA8&amp;"-minute walk from your "&amp;P8&amp;" office, "&amp;IF(ISNUMBER(AD8),"on "&amp;TEXT(AD8,"dddd d mmmm")&amp;" at "&amp;TEXT(AD8,"hh:mm"),"on a weekday evening that suits your team")&amp;". It's "&amp;IF(AF8&lt;&gt;"","£"&amp;IF(AF8=INT(AF8),TEXT(AF8,"0"),TEXT(AF8,"0.00")),"[PRICE PER PLAYER]")&amp;" a player and we handle the pitch booking, sign-ups and payments, so all it takes is one person sharing a link with the team."&amp;CHAR(10)&amp;CHAR(10)&amp;"It works well as a team social or "&amp;IF(ISNUMBER(SEARCH(LEFT(F8,1),"AEIOU")),"an ","a ")&amp;F8&amp;"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LINK]")&amp;CHAR(10)&amp;CHAR(10)&amp;"Best,"&amp;CHAR(10)&amp;IF(AM8&lt;&gt;"",AM8,IF(Offer!$C$5&lt;&gt;"",Offer!$C$5,"[NAME]"))&amp;CHAR(10)&amp;"FC Urban"</f>
        <v/>
      </c>
      <c r="AK8" s="14">
        <f>"Hi "&amp;IF(R8&lt;&gt;"",R8,F8&amp;" team")&amp;","&amp;CHAR(10)&amp;CHAR(10)&amp;"Just bumping this up. The "&amp;AE8&amp;" pitch at "&amp;Z8&amp;" is still free "&amp;IF(ISNUMBER(AD8),TEXT(AD8,"ddd d mmm")&amp;", "&amp;TEXT(AD8,"hh:mm"),"weekday evenings")&amp;", "&amp;IF(OR(AA8=8,AA8=11,AA8=18),"an ","a ")&amp;AA8&amp;"-minute walk from your office, "&amp;IF(AF8&lt;&gt;"","£"&amp;IF(AF8=INT(AF8),TEXT(AF8,"0"),TEXT(AF8,"0.00")),"[PRICE PER PLAYER]")&amp;" a player. Happy to hold it for "&amp;F8&amp;"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LINK]")&amp;CHAR(10)&amp;CHAR(10)&amp;"Best,"&amp;CHAR(10)&amp;IF(AM8&lt;&gt;"",AM8,IF(Offer!$C$5&lt;&gt;"",Offer!$C$5,"[NAME]"))&amp;CHAR(10)&amp;"FC Urban"</f>
        <v/>
      </c>
      <c r="AL8" s="14">
        <f>IF(AH8="","No email yet",IF(ISNUMBER(SEARCH("[",AJ8)),"Fill placeholders",IF(ISNUMBER(AD8),"Ready to send","Ready · no fixed slot")))</f>
        <v/>
      </c>
      <c r="AO8" s="17" t="n"/>
      <c r="AP8" s="17" t="n"/>
    </row>
    <row r="9">
      <c r="A9" s="11" t="n">
        <v>7</v>
      </c>
      <c r="B9" s="11" t="n">
        <v>1</v>
      </c>
      <c r="C9" s="11" t="inlineStr">
        <is>
          <t>Law firm</t>
        </is>
      </c>
      <c r="D9" s="11" t="inlineStr">
        <is>
          <t>City of London</t>
        </is>
      </c>
      <c r="E9" s="11" t="inlineStr">
        <is>
          <t>Eversheds Sutherland (International) LLP</t>
        </is>
      </c>
      <c r="F9" s="11" t="inlineStr">
        <is>
          <t>Eversheds Sutherland</t>
        </is>
      </c>
      <c r="G9" s="12" t="inlineStr">
        <is>
          <t>https://www.eversheds-sutherland.com</t>
        </is>
      </c>
      <c r="H9" s="11" t="inlineStr">
        <is>
          <t>rachelreid@eversheds-sutherland.com</t>
        </is>
      </c>
      <c r="I9" s="11" t="inlineStr">
        <is>
          <t>named person</t>
        </is>
      </c>
      <c r="J9" s="12" t="inlineStr">
        <is>
          <t>Open page</t>
        </is>
      </c>
      <c r="K9" s="11" t="inlineStr">
        <is>
          <t>OC304065</t>
        </is>
      </c>
      <c r="L9" s="12" t="inlineStr">
        <is>
          <t>Open</t>
        </is>
      </c>
      <c r="M9" s="11" t="inlineStr">
        <is>
          <t>Group</t>
        </is>
      </c>
      <c r="N9" s="13" t="n">
        <v>37685</v>
      </c>
      <c r="O9" s="11" t="inlineStr">
        <is>
          <t>One Wood Street, London</t>
        </is>
      </c>
      <c r="P9" s="11" t="inlineStr">
        <is>
          <t>EC2V 7WS</t>
        </is>
      </c>
      <c r="Q9" s="11" t="inlineStr">
        <is>
          <t>No</t>
        </is>
      </c>
      <c r="W9" s="11" t="inlineStr">
        <is>
          <t>City of London School (EC4V 3AL)</t>
        </is>
      </c>
      <c r="X9" s="11" t="n">
        <v>9</v>
      </c>
      <c r="Y9" s="11" t="n"/>
      <c r="Z9" s="11" t="inlineStr">
        <is>
          <t>City of London School (EC4V 3AL)</t>
        </is>
      </c>
      <c r="AA9" s="11" t="n">
        <v>9</v>
      </c>
      <c r="AB9" s="14">
        <f>IFERROR(INDEX(Venues!$E$2:$E$17,MATCH(Z9,Venues!$A$2:$A$17,0)),"Not checked")</f>
        <v/>
      </c>
      <c r="AC9" s="14">
        <f>IFERROR(INDEX(Venues!$F$2:$F$17,MATCH(Z9,Venues!$A$2:$A$17,0)),0)</f>
        <v/>
      </c>
      <c r="AD9" s="15">
        <f>IFERROR(INDEX(Venues!$M$2:$M$17,MATCH(Z9,Venues!$A$2:$A$17,0)),"")</f>
        <v/>
      </c>
      <c r="AE9" s="14">
        <f>IFERROR(INDEX(Venues!$N$2:$N$17,MATCH(Z9,Venues!$A$2:$A$17,0)),"5-a-side")</f>
        <v/>
      </c>
      <c r="AF9" s="16">
        <f>IF(Offer!$C$4="","",Offer!$C$4)</f>
        <v/>
      </c>
      <c r="AG9" s="14">
        <f>Z9&amp;" ("&amp;AA9&amp;" min walk) · "&amp;IF(ISNUMBER(AD9),TEXT(AD9,"ddd d mmm, hh:mm"),"slot to confirm with venue")&amp;" · "&amp;AE9&amp;" · "&amp;IF(AF9&lt;&gt;"","£"&amp;TEXT(AF9,"0.00")&amp;" pp","price TBC")</f>
        <v/>
      </c>
      <c r="AH9" s="14">
        <f>IF(U9&lt;&gt;"",U9,IF(H9&lt;&gt;"",H9,""))</f>
        <v/>
      </c>
      <c r="AI9" s="14">
        <f>"After-work football for "&amp;F9&amp;" · "&amp;Z9&amp;", "&amp;AA9&amp;" min from your office"</f>
        <v/>
      </c>
      <c r="AJ9" s="14">
        <f>"Hi "&amp;IF(R9&lt;&gt;"",R9,F9&amp;" team")&amp;","&amp;CHAR(10)&amp;CHAR(10)&amp;"I'm "&amp;IF(AM9&lt;&gt;"",AM9,IF(Offer!$C$5&lt;&gt;"",Offer!$C$5,"[NAME]"))&amp;" from FC Urban. We organise after-work football for teams in the City and Canary Wharf."&amp;CHAR(10)&amp;CHAR(10)&amp;"We have a "&amp;AE9&amp;" pitch at "&amp;Z9&amp;", "&amp;IF(OR(AA9=8,AA9=11,AA9=18),"an ","a ")&amp;AA9&amp;"-minute walk from your "&amp;P9&amp;" office, "&amp;IF(ISNUMBER(AD9),"on "&amp;TEXT(AD9,"dddd d mmmm")&amp;" at "&amp;TEXT(AD9,"hh:mm"),"on a weekday evening that suits your team")&amp;". It's "&amp;IF(AF9&lt;&gt;"","£"&amp;IF(AF9=INT(AF9),TEXT(AF9,"0"),TEXT(AF9,"0.00")),"[PRICE PER PLAYER]")&amp;" a player and we handle the pitch booking, sign-ups and payments, so all it takes is one person sharing a link with the team."&amp;CHAR(10)&amp;CHAR(10)&amp;"It works well as a team social or "&amp;IF(ISNUMBER(SEARCH(LEFT(F9,1),"AEIOU")),"an ","a ")&amp;F9&amp;"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LINK]")&amp;CHAR(10)&amp;CHAR(10)&amp;"Best,"&amp;CHAR(10)&amp;IF(AM9&lt;&gt;"",AM9,IF(Offer!$C$5&lt;&gt;"",Offer!$C$5,"[NAME]"))&amp;CHAR(10)&amp;"FC Urban"</f>
        <v/>
      </c>
      <c r="AK9" s="14">
        <f>"Hi "&amp;IF(R9&lt;&gt;"",R9,F9&amp;" team")&amp;","&amp;CHAR(10)&amp;CHAR(10)&amp;"Just bumping this up. The "&amp;AE9&amp;" pitch at "&amp;Z9&amp;" is still free "&amp;IF(ISNUMBER(AD9),TEXT(AD9,"ddd d mmm")&amp;", "&amp;TEXT(AD9,"hh:mm"),"weekday evenings")&amp;", "&amp;IF(OR(AA9=8,AA9=11,AA9=18),"an ","a ")&amp;AA9&amp;"-minute walk from your office, "&amp;IF(AF9&lt;&gt;"","£"&amp;IF(AF9=INT(AF9),TEXT(AF9,"0"),TEXT(AF9,"0.00")),"[PRICE PER PLAYER]")&amp;" a player. Happy to hold it for "&amp;F9&amp;"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LINK]")&amp;CHAR(10)&amp;CHAR(10)&amp;"Best,"&amp;CHAR(10)&amp;IF(AM9&lt;&gt;"",AM9,IF(Offer!$C$5&lt;&gt;"",Offer!$C$5,"[NAME]"))&amp;CHAR(10)&amp;"FC Urban"</f>
        <v/>
      </c>
      <c r="AL9" s="14">
        <f>IF(AH9="","No email yet",IF(ISNUMBER(SEARCH("[",AJ9)),"Fill placeholders",IF(ISNUMBER(AD9),"Ready to send","Ready · no fixed slot")))</f>
        <v/>
      </c>
      <c r="AO9" s="17" t="n"/>
      <c r="AP9" s="17" t="n"/>
    </row>
    <row r="10">
      <c r="A10" s="11" t="n">
        <v>8</v>
      </c>
      <c r="B10" s="11" t="n">
        <v>1</v>
      </c>
      <c r="C10" s="11" t="inlineStr">
        <is>
          <t>Law firm</t>
        </is>
      </c>
      <c r="D10" s="11" t="inlineStr">
        <is>
          <t>City of London</t>
        </is>
      </c>
      <c r="E10" s="11" t="inlineStr">
        <is>
          <t>Goodwin Procter (UK) LLP</t>
        </is>
      </c>
      <c r="F10" s="11" t="inlineStr">
        <is>
          <t>Goodwin Procter</t>
        </is>
      </c>
      <c r="G10" s="12" t="inlineStr">
        <is>
          <t>https://www.goodwinlaw.com</t>
        </is>
      </c>
      <c r="H10" s="11" t="inlineStr">
        <is>
          <t>etan@goodwinlaw.com</t>
        </is>
      </c>
      <c r="I10" s="11" t="inlineStr">
        <is>
          <t>named person</t>
        </is>
      </c>
      <c r="J10" s="12" t="inlineStr">
        <is>
          <t>Open page</t>
        </is>
      </c>
      <c r="K10" s="11" t="inlineStr">
        <is>
          <t>OC362294</t>
        </is>
      </c>
      <c r="L10" s="12" t="inlineStr">
        <is>
          <t>Open</t>
        </is>
      </c>
      <c r="M10" s="11" t="inlineStr">
        <is>
          <t>Group</t>
        </is>
      </c>
      <c r="N10" s="13" t="n">
        <v>40603</v>
      </c>
      <c r="O10" s="11" t="inlineStr">
        <is>
          <t>Sancroft, Newgate Street, London</t>
        </is>
      </c>
      <c r="P10" s="11" t="inlineStr">
        <is>
          <t>EC1A 7AZ</t>
        </is>
      </c>
      <c r="Q10" s="11" t="inlineStr">
        <is>
          <t>No</t>
        </is>
      </c>
      <c r="W10" s="11" t="inlineStr">
        <is>
          <t>City of London School (EC4V 3AL)</t>
        </is>
      </c>
      <c r="X10" s="11" t="n">
        <v>9</v>
      </c>
      <c r="Y10" s="11" t="n"/>
      <c r="Z10" s="11" t="inlineStr">
        <is>
          <t>City of London School (EC4V 3AL)</t>
        </is>
      </c>
      <c r="AA10" s="11" t="n">
        <v>9</v>
      </c>
      <c r="AB10" s="14">
        <f>IFERROR(INDEX(Venues!$E$2:$E$17,MATCH(Z10,Venues!$A$2:$A$17,0)),"Not checked")</f>
        <v/>
      </c>
      <c r="AC10" s="14">
        <f>IFERROR(INDEX(Venues!$F$2:$F$17,MATCH(Z10,Venues!$A$2:$A$17,0)),0)</f>
        <v/>
      </c>
      <c r="AD10" s="15">
        <f>IFERROR(INDEX(Venues!$M$2:$M$17,MATCH(Z10,Venues!$A$2:$A$17,0)),"")</f>
        <v/>
      </c>
      <c r="AE10" s="14">
        <f>IFERROR(INDEX(Venues!$N$2:$N$17,MATCH(Z10,Venues!$A$2:$A$17,0)),"5-a-side")</f>
        <v/>
      </c>
      <c r="AF10" s="16">
        <f>IF(Offer!$C$4="","",Offer!$C$4)</f>
        <v/>
      </c>
      <c r="AG10" s="14">
        <f>Z10&amp;" ("&amp;AA10&amp;" min walk) · "&amp;IF(ISNUMBER(AD10),TEXT(AD10,"ddd d mmm, hh:mm"),"slot to confirm with venue")&amp;" · "&amp;AE10&amp;" · "&amp;IF(AF10&lt;&gt;"","£"&amp;TEXT(AF10,"0.00")&amp;" pp","price TBC")</f>
        <v/>
      </c>
      <c r="AH10" s="14">
        <f>IF(U10&lt;&gt;"",U10,IF(H10&lt;&gt;"",H10,""))</f>
        <v/>
      </c>
      <c r="AI10" s="14">
        <f>"After-work football for "&amp;F10&amp;" · "&amp;Z10&amp;", "&amp;AA10&amp;" min from your office"</f>
        <v/>
      </c>
      <c r="AJ10" s="14">
        <f>"Hi "&amp;IF(R10&lt;&gt;"",R10,F10&amp;" team")&amp;","&amp;CHAR(10)&amp;CHAR(10)&amp;"I'm "&amp;IF(AM10&lt;&gt;"",AM10,IF(Offer!$C$5&lt;&gt;"",Offer!$C$5,"[NAME]"))&amp;" from FC Urban. We organise after-work football for teams in the City and Canary Wharf."&amp;CHAR(10)&amp;CHAR(10)&amp;"We have a "&amp;AE10&amp;" pitch at "&amp;Z10&amp;", "&amp;IF(OR(AA10=8,AA10=11,AA10=18),"an ","a ")&amp;AA10&amp;"-minute walk from your "&amp;P10&amp;" office, "&amp;IF(ISNUMBER(AD10),"on "&amp;TEXT(AD10,"dddd d mmmm")&amp;" at "&amp;TEXT(AD10,"hh:mm"),"on a weekday evening that suits your team")&amp;". It's "&amp;IF(AF10&lt;&gt;"","£"&amp;IF(AF10=INT(AF10),TEXT(AF10,"0"),TEXT(AF10,"0.00")),"[PRICE PER PLAYER]")&amp;" a player and we handle the pitch booking, sign-ups and payments, so all it takes is one person sharing a link with the team."&amp;CHAR(10)&amp;CHAR(10)&amp;"It works well as a team social or "&amp;IF(ISNUMBER(SEARCH(LEFT(F10,1),"AEIOU")),"an ","a ")&amp;F10&amp;"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LINK]")&amp;CHAR(10)&amp;CHAR(10)&amp;"Best,"&amp;CHAR(10)&amp;IF(AM10&lt;&gt;"",AM10,IF(Offer!$C$5&lt;&gt;"",Offer!$C$5,"[NAME]"))&amp;CHAR(10)&amp;"FC Urban"</f>
        <v/>
      </c>
      <c r="AK10" s="14">
        <f>"Hi "&amp;IF(R10&lt;&gt;"",R10,F10&amp;" team")&amp;","&amp;CHAR(10)&amp;CHAR(10)&amp;"Just bumping this up. The "&amp;AE10&amp;" pitch at "&amp;Z10&amp;" is still free "&amp;IF(ISNUMBER(AD10),TEXT(AD10,"ddd d mmm")&amp;", "&amp;TEXT(AD10,"hh:mm"),"weekday evenings")&amp;", "&amp;IF(OR(AA10=8,AA10=11,AA10=18),"an ","a ")&amp;AA10&amp;"-minute walk from your office, "&amp;IF(AF10&lt;&gt;"","£"&amp;IF(AF10=INT(AF10),TEXT(AF10,"0"),TEXT(AF10,"0.00")),"[PRICE PER PLAYER]")&amp;" a player. Happy to hold it for "&amp;F10&amp;"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LINK]")&amp;CHAR(10)&amp;CHAR(10)&amp;"Best,"&amp;CHAR(10)&amp;IF(AM10&lt;&gt;"",AM10,IF(Offer!$C$5&lt;&gt;"",Offer!$C$5,"[NAME]"))&amp;CHAR(10)&amp;"FC Urban"</f>
        <v/>
      </c>
      <c r="AL10" s="14">
        <f>IF(AH10="","No email yet",IF(ISNUMBER(SEARCH("[",AJ10)),"Fill placeholders",IF(ISNUMBER(AD10),"Ready to send","Ready · no fixed slot")))</f>
        <v/>
      </c>
      <c r="AO10" s="17" t="n"/>
      <c r="AP10" s="17" t="n"/>
    </row>
    <row r="11">
      <c r="A11" s="11" t="n">
        <v>9</v>
      </c>
      <c r="B11" s="11" t="n">
        <v>1</v>
      </c>
      <c r="C11" s="11" t="inlineStr">
        <is>
          <t>Law firm</t>
        </is>
      </c>
      <c r="D11" s="11" t="inlineStr">
        <is>
          <t>City of London</t>
        </is>
      </c>
      <c r="E11" s="11" t="inlineStr">
        <is>
          <t>Withers LLP</t>
        </is>
      </c>
      <c r="F11" s="11" t="inlineStr">
        <is>
          <t>Withers</t>
        </is>
      </c>
      <c r="G11" s="12" t="inlineStr">
        <is>
          <t>https://www.withersworldwide.com</t>
        </is>
      </c>
      <c r="H11" s="11" t="inlineStr">
        <is>
          <t>hello@withersworldwide.com</t>
        </is>
      </c>
      <c r="I11" s="11" t="inlineStr">
        <is>
          <t>general</t>
        </is>
      </c>
      <c r="J11" s="12" t="inlineStr">
        <is>
          <t>Open page</t>
        </is>
      </c>
      <c r="K11" s="11" t="inlineStr">
        <is>
          <t>OC301149</t>
        </is>
      </c>
      <c r="L11" s="12" t="inlineStr">
        <is>
          <t>Open</t>
        </is>
      </c>
      <c r="M11" s="11" t="inlineStr">
        <is>
          <t>Group</t>
        </is>
      </c>
      <c r="N11" s="13" t="n">
        <v>37238</v>
      </c>
      <c r="O11" s="11" t="inlineStr">
        <is>
          <t>Third Floor, 20 Old Bailey, London</t>
        </is>
      </c>
      <c r="P11" s="11" t="inlineStr">
        <is>
          <t>EC4M 7AN</t>
        </is>
      </c>
      <c r="Q11" s="11" t="inlineStr">
        <is>
          <t>No</t>
        </is>
      </c>
      <c r="W11" s="11" t="inlineStr">
        <is>
          <t>City of London School (EC4V 3AL)</t>
        </is>
      </c>
      <c r="X11" s="11" t="n">
        <v>9</v>
      </c>
      <c r="Y11" s="11" t="n"/>
      <c r="Z11" s="11" t="inlineStr">
        <is>
          <t>City of London School (EC4V 3AL)</t>
        </is>
      </c>
      <c r="AA11" s="11" t="n">
        <v>9</v>
      </c>
      <c r="AB11" s="14">
        <f>IFERROR(INDEX(Venues!$E$2:$E$17,MATCH(Z11,Venues!$A$2:$A$17,0)),"Not checked")</f>
        <v/>
      </c>
      <c r="AC11" s="14">
        <f>IFERROR(INDEX(Venues!$F$2:$F$17,MATCH(Z11,Venues!$A$2:$A$17,0)),0)</f>
        <v/>
      </c>
      <c r="AD11" s="15">
        <f>IFERROR(INDEX(Venues!$M$2:$M$17,MATCH(Z11,Venues!$A$2:$A$17,0)),"")</f>
        <v/>
      </c>
      <c r="AE11" s="14">
        <f>IFERROR(INDEX(Venues!$N$2:$N$17,MATCH(Z11,Venues!$A$2:$A$17,0)),"5-a-side")</f>
        <v/>
      </c>
      <c r="AF11" s="16">
        <f>IF(Offer!$C$4="","",Offer!$C$4)</f>
        <v/>
      </c>
      <c r="AG11" s="14">
        <f>Z11&amp;" ("&amp;AA11&amp;" min walk) · "&amp;IF(ISNUMBER(AD11),TEXT(AD11,"ddd d mmm, hh:mm"),"slot to confirm with venue")&amp;" · "&amp;AE11&amp;" · "&amp;IF(AF11&lt;&gt;"","£"&amp;TEXT(AF11,"0.00")&amp;" pp","price TBC")</f>
        <v/>
      </c>
      <c r="AH11" s="14">
        <f>IF(U11&lt;&gt;"",U11,IF(H11&lt;&gt;"",H11,""))</f>
        <v/>
      </c>
      <c r="AI11" s="14">
        <f>"After-work football for "&amp;F11&amp;" · "&amp;Z11&amp;", "&amp;AA11&amp;" min from your office"</f>
        <v/>
      </c>
      <c r="AJ11" s="14">
        <f>"Hi "&amp;IF(R11&lt;&gt;"",R11,F11&amp;" team")&amp;","&amp;CHAR(10)&amp;CHAR(10)&amp;"I'm "&amp;IF(AM11&lt;&gt;"",AM11,IF(Offer!$C$5&lt;&gt;"",Offer!$C$5,"[NAME]"))&amp;" from FC Urban. We organise after-work football for teams in the City and Canary Wharf."&amp;CHAR(10)&amp;CHAR(10)&amp;"We have a "&amp;AE11&amp;" pitch at "&amp;Z11&amp;", "&amp;IF(OR(AA11=8,AA11=11,AA11=18),"an ","a ")&amp;AA11&amp;"-minute walk from your "&amp;P11&amp;" office, "&amp;IF(ISNUMBER(AD11),"on "&amp;TEXT(AD11,"dddd d mmmm")&amp;" at "&amp;TEXT(AD11,"hh:mm"),"on a weekday evening that suits your team")&amp;". It's "&amp;IF(AF11&lt;&gt;"","£"&amp;IF(AF11=INT(AF11),TEXT(AF11,"0"),TEXT(AF11,"0.00")),"[PRICE PER PLAYER]")&amp;" a player and we handle the pitch booking, sign-ups and payments, so all it takes is one person sharing a link with the team."&amp;CHAR(10)&amp;CHAR(10)&amp;"It works well as a team social or "&amp;IF(ISNUMBER(SEARCH(LEFT(F11,1),"AEIOU")),"an ","a ")&amp;F11&amp;"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LINK]")&amp;CHAR(10)&amp;CHAR(10)&amp;"Best,"&amp;CHAR(10)&amp;IF(AM11&lt;&gt;"",AM11,IF(Offer!$C$5&lt;&gt;"",Offer!$C$5,"[NAME]"))&amp;CHAR(10)&amp;"FC Urban"</f>
        <v/>
      </c>
      <c r="AK11" s="14">
        <f>"Hi "&amp;IF(R11&lt;&gt;"",R11,F11&amp;" team")&amp;","&amp;CHAR(10)&amp;CHAR(10)&amp;"Just bumping this up. The "&amp;AE11&amp;" pitch at "&amp;Z11&amp;" is still free "&amp;IF(ISNUMBER(AD11),TEXT(AD11,"ddd d mmm")&amp;", "&amp;TEXT(AD11,"hh:mm"),"weekday evenings")&amp;", "&amp;IF(OR(AA11=8,AA11=11,AA11=18),"an ","a ")&amp;AA11&amp;"-minute walk from your office, "&amp;IF(AF11&lt;&gt;"","£"&amp;IF(AF11=INT(AF11),TEXT(AF11,"0"),TEXT(AF11,"0.00")),"[PRICE PER PLAYER]")&amp;" a player. Happy to hold it for "&amp;F11&amp;"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LINK]")&amp;CHAR(10)&amp;CHAR(10)&amp;"Best,"&amp;CHAR(10)&amp;IF(AM11&lt;&gt;"",AM11,IF(Offer!$C$5&lt;&gt;"",Offer!$C$5,"[NAME]"))&amp;CHAR(10)&amp;"FC Urban"</f>
        <v/>
      </c>
      <c r="AL11" s="14">
        <f>IF(AH11="","No email yet",IF(ISNUMBER(SEARCH("[",AJ11)),"Fill placeholders",IF(ISNUMBER(AD11),"Ready to send","Ready · no fixed slot")))</f>
        <v/>
      </c>
      <c r="AO11" s="17" t="n"/>
      <c r="AP11" s="17" t="n"/>
    </row>
    <row r="12">
      <c r="A12" s="11" t="n">
        <v>10</v>
      </c>
      <c r="B12" s="11" t="n">
        <v>1</v>
      </c>
      <c r="C12" s="11" t="inlineStr">
        <is>
          <t>Law firm</t>
        </is>
      </c>
      <c r="D12" s="11" t="inlineStr">
        <is>
          <t>City of London</t>
        </is>
      </c>
      <c r="E12" s="11" t="inlineStr">
        <is>
          <t>Charles Russell Speechlys LLP</t>
        </is>
      </c>
      <c r="F12" s="11" t="inlineStr">
        <is>
          <t>Charles Russell Speechlys</t>
        </is>
      </c>
      <c r="G12" s="12" t="inlineStr">
        <is>
          <t>https://www.charlesrussellspeechlys.com</t>
        </is>
      </c>
      <c r="H12" s="11" t="inlineStr">
        <is>
          <t>london@charlesrussellspeechlys.com</t>
        </is>
      </c>
      <c r="I12" s="11" t="inlineStr">
        <is>
          <t>general</t>
        </is>
      </c>
      <c r="J12" s="12" t="inlineStr">
        <is>
          <t>Open page</t>
        </is>
      </c>
      <c r="K12" s="11" t="inlineStr">
        <is>
          <t>OC311850</t>
        </is>
      </c>
      <c r="L12" s="12" t="inlineStr">
        <is>
          <t>Open</t>
        </is>
      </c>
      <c r="M12" s="11" t="inlineStr">
        <is>
          <t>Group</t>
        </is>
      </c>
      <c r="N12" s="13" t="n">
        <v>38407</v>
      </c>
      <c r="O12" s="11" t="inlineStr">
        <is>
          <t>5 Fleet Place, London</t>
        </is>
      </c>
      <c r="P12" s="11" t="inlineStr">
        <is>
          <t>EC4M 7RD</t>
        </is>
      </c>
      <c r="Q12" s="11" t="inlineStr">
        <is>
          <t>No</t>
        </is>
      </c>
      <c r="W12" s="11" t="inlineStr">
        <is>
          <t>City of London School (EC4V 3AL)</t>
        </is>
      </c>
      <c r="X12" s="11" t="n">
        <v>9</v>
      </c>
      <c r="Y12" s="11" t="n"/>
      <c r="Z12" s="11" t="inlineStr">
        <is>
          <t>City of London School (EC4V 3AL)</t>
        </is>
      </c>
      <c r="AA12" s="11" t="n">
        <v>9</v>
      </c>
      <c r="AB12" s="14">
        <f>IFERROR(INDEX(Venues!$E$2:$E$17,MATCH(Z12,Venues!$A$2:$A$17,0)),"Not checked")</f>
        <v/>
      </c>
      <c r="AC12" s="14">
        <f>IFERROR(INDEX(Venues!$F$2:$F$17,MATCH(Z12,Venues!$A$2:$A$17,0)),0)</f>
        <v/>
      </c>
      <c r="AD12" s="15">
        <f>IFERROR(INDEX(Venues!$M$2:$M$17,MATCH(Z12,Venues!$A$2:$A$17,0)),"")</f>
        <v/>
      </c>
      <c r="AE12" s="14">
        <f>IFERROR(INDEX(Venues!$N$2:$N$17,MATCH(Z12,Venues!$A$2:$A$17,0)),"5-a-side")</f>
        <v/>
      </c>
      <c r="AF12" s="16">
        <f>IF(Offer!$C$4="","",Offer!$C$4)</f>
        <v/>
      </c>
      <c r="AG12" s="14">
        <f>Z12&amp;" ("&amp;AA12&amp;" min walk) · "&amp;IF(ISNUMBER(AD12),TEXT(AD12,"ddd d mmm, hh:mm"),"slot to confirm with venue")&amp;" · "&amp;AE12&amp;" · "&amp;IF(AF12&lt;&gt;"","£"&amp;TEXT(AF12,"0.00")&amp;" pp","price TBC")</f>
        <v/>
      </c>
      <c r="AH12" s="14">
        <f>IF(U12&lt;&gt;"",U12,IF(H12&lt;&gt;"",H12,""))</f>
        <v/>
      </c>
      <c r="AI12" s="14">
        <f>"After-work football for "&amp;F12&amp;" · "&amp;Z12&amp;", "&amp;AA12&amp;" min from your office"</f>
        <v/>
      </c>
      <c r="AJ12" s="14">
        <f>"Hi "&amp;IF(R12&lt;&gt;"",R12,F12&amp;" team")&amp;","&amp;CHAR(10)&amp;CHAR(10)&amp;"I'm "&amp;IF(AM12&lt;&gt;"",AM12,IF(Offer!$C$5&lt;&gt;"",Offer!$C$5,"[NAME]"))&amp;" from FC Urban. We organise after-work football for teams in the City and Canary Wharf."&amp;CHAR(10)&amp;CHAR(10)&amp;"We have a "&amp;AE12&amp;" pitch at "&amp;Z12&amp;", "&amp;IF(OR(AA12=8,AA12=11,AA12=18),"an ","a ")&amp;AA12&amp;"-minute walk from your "&amp;P12&amp;" office, "&amp;IF(ISNUMBER(AD12),"on "&amp;TEXT(AD12,"dddd d mmmm")&amp;" at "&amp;TEXT(AD12,"hh:mm"),"on a weekday evening that suits your team")&amp;". It's "&amp;IF(AF12&lt;&gt;"","£"&amp;IF(AF12=INT(AF12),TEXT(AF12,"0"),TEXT(AF12,"0.00")),"[PRICE PER PLAYER]")&amp;" a player and we handle the pitch booking, sign-ups and payments, so all it takes is one person sharing a link with the team."&amp;CHAR(10)&amp;CHAR(10)&amp;"It works well as a team social or "&amp;IF(ISNUMBER(SEARCH(LEFT(F12,1),"AEIOU")),"an ","a ")&amp;F12&amp;"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LINK]")&amp;CHAR(10)&amp;CHAR(10)&amp;"Best,"&amp;CHAR(10)&amp;IF(AM12&lt;&gt;"",AM12,IF(Offer!$C$5&lt;&gt;"",Offer!$C$5,"[NAME]"))&amp;CHAR(10)&amp;"FC Urban"</f>
        <v/>
      </c>
      <c r="AK12" s="14">
        <f>"Hi "&amp;IF(R12&lt;&gt;"",R12,F12&amp;" team")&amp;","&amp;CHAR(10)&amp;CHAR(10)&amp;"Just bumping this up. The "&amp;AE12&amp;" pitch at "&amp;Z12&amp;" is still free "&amp;IF(ISNUMBER(AD12),TEXT(AD12,"ddd d mmm")&amp;", "&amp;TEXT(AD12,"hh:mm"),"weekday evenings")&amp;", "&amp;IF(OR(AA12=8,AA12=11,AA12=18),"an ","a ")&amp;AA12&amp;"-minute walk from your office, "&amp;IF(AF12&lt;&gt;"","£"&amp;IF(AF12=INT(AF12),TEXT(AF12,"0"),TEXT(AF12,"0.00")),"[PRICE PER PLAYER]")&amp;" a player. Happy to hold it for "&amp;F12&amp;"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LINK]")&amp;CHAR(10)&amp;CHAR(10)&amp;"Best,"&amp;CHAR(10)&amp;IF(AM12&lt;&gt;"",AM12,IF(Offer!$C$5&lt;&gt;"",Offer!$C$5,"[NAME]"))&amp;CHAR(10)&amp;"FC Urban"</f>
        <v/>
      </c>
      <c r="AL12" s="14">
        <f>IF(AH12="","No email yet",IF(ISNUMBER(SEARCH("[",AJ12)),"Fill placeholders",IF(ISNUMBER(AD12),"Ready to send","Ready · no fixed slot")))</f>
        <v/>
      </c>
      <c r="AO12" s="17" t="n"/>
      <c r="AP12" s="17" t="n"/>
    </row>
    <row r="13">
      <c r="A13" s="11" t="n">
        <v>11</v>
      </c>
      <c r="B13" s="11" t="n">
        <v>1</v>
      </c>
      <c r="C13" s="11" t="inlineStr">
        <is>
          <t>Law firm</t>
        </is>
      </c>
      <c r="D13" s="11" t="inlineStr">
        <is>
          <t>City of London</t>
        </is>
      </c>
      <c r="E13" s="11" t="inlineStr">
        <is>
          <t>CMS Cameron McKenna Nabarro Olswang LLP</t>
        </is>
      </c>
      <c r="F13" s="11" t="inlineStr">
        <is>
          <t>CMS Cameron McKenna Nabarro Olswang</t>
        </is>
      </c>
      <c r="G13" s="12" t="inlineStr">
        <is>
          <t>https://cms.law</t>
        </is>
      </c>
      <c r="H13" s="11" t="n"/>
      <c r="I13" s="11" t="inlineStr">
        <is>
          <t>Not found</t>
        </is>
      </c>
      <c r="J13" s="11" t="n"/>
      <c r="K13" s="11" t="inlineStr">
        <is>
          <t>OC310335</t>
        </is>
      </c>
      <c r="L13" s="12" t="inlineStr">
        <is>
          <t>Open</t>
        </is>
      </c>
      <c r="M13" s="11" t="inlineStr">
        <is>
          <t>Group</t>
        </is>
      </c>
      <c r="N13" s="13" t="n">
        <v>38323</v>
      </c>
      <c r="O13" s="11" t="inlineStr">
        <is>
          <t>Cannon Place, 78 Cannon Street, London</t>
        </is>
      </c>
      <c r="P13" s="11" t="inlineStr">
        <is>
          <t>EC4N 6AF</t>
        </is>
      </c>
      <c r="Q13" s="11" t="inlineStr">
        <is>
          <t>No</t>
        </is>
      </c>
      <c r="W13" s="11" t="inlineStr">
        <is>
          <t>City of London School (EC4V 3AL)</t>
        </is>
      </c>
      <c r="X13" s="11" t="n">
        <v>10</v>
      </c>
      <c r="Y13" s="11" t="inlineStr">
        <is>
          <t>Marlborough Sports Garden (SE1 1SD) (14.7)</t>
        </is>
      </c>
      <c r="Z13" s="11" t="inlineStr">
        <is>
          <t>City of London School (EC4V 3AL)</t>
        </is>
      </c>
      <c r="AA13" s="11" t="n">
        <v>10</v>
      </c>
      <c r="AB13" s="14">
        <f>IFERROR(INDEX(Venues!$E$2:$E$17,MATCH(Z13,Venues!$A$2:$A$17,0)),"Not checked")</f>
        <v/>
      </c>
      <c r="AC13" s="14">
        <f>IFERROR(INDEX(Venues!$F$2:$F$17,MATCH(Z13,Venues!$A$2:$A$17,0)),0)</f>
        <v/>
      </c>
      <c r="AD13" s="15">
        <f>IFERROR(INDEX(Venues!$M$2:$M$17,MATCH(Z13,Venues!$A$2:$A$17,0)),"")</f>
        <v/>
      </c>
      <c r="AE13" s="14">
        <f>IFERROR(INDEX(Venues!$N$2:$N$17,MATCH(Z13,Venues!$A$2:$A$17,0)),"5-a-side")</f>
        <v/>
      </c>
      <c r="AF13" s="16">
        <f>IF(Offer!$C$4="","",Offer!$C$4)</f>
        <v/>
      </c>
      <c r="AG13" s="14">
        <f>Z13&amp;" ("&amp;AA13&amp;" min walk) · "&amp;IF(ISNUMBER(AD13),TEXT(AD13,"ddd d mmm, hh:mm"),"slot to confirm with venue")&amp;" · "&amp;AE13&amp;" · "&amp;IF(AF13&lt;&gt;"","£"&amp;TEXT(AF13,"0.00")&amp;" pp","price TBC")</f>
        <v/>
      </c>
      <c r="AH13" s="14">
        <f>IF(U13&lt;&gt;"",U13,IF(H13&lt;&gt;"",H13,""))</f>
        <v/>
      </c>
      <c r="AI13" s="14">
        <f>"After-work football for "&amp;F13&amp;" · "&amp;Z13&amp;", "&amp;AA13&amp;" min from your office"</f>
        <v/>
      </c>
      <c r="AJ13" s="14">
        <f>"Hi "&amp;IF(R13&lt;&gt;"",R13,F13&amp;" team")&amp;","&amp;CHAR(10)&amp;CHAR(10)&amp;"I'm "&amp;IF(AM13&lt;&gt;"",AM13,IF(Offer!$C$5&lt;&gt;"",Offer!$C$5,"[NAME]"))&amp;" from FC Urban. We organise after-work football for teams in the City and Canary Wharf."&amp;CHAR(10)&amp;CHAR(10)&amp;"We have a "&amp;AE13&amp;" pitch at "&amp;Z13&amp;", "&amp;IF(OR(AA13=8,AA13=11,AA13=18),"an ","a ")&amp;AA13&amp;"-minute walk from your "&amp;P13&amp;" office, "&amp;IF(ISNUMBER(AD13),"on "&amp;TEXT(AD13,"dddd d mmmm")&amp;" at "&amp;TEXT(AD13,"hh:mm"),"on a weekday evening that suits your team")&amp;". It's "&amp;IF(AF13&lt;&gt;"","£"&amp;IF(AF13=INT(AF13),TEXT(AF13,"0"),TEXT(AF13,"0.00")),"[PRICE PER PLAYER]")&amp;" a player and we handle the pitch booking, sign-ups and payments, so all it takes is one person sharing a link with the team."&amp;CHAR(10)&amp;CHAR(10)&amp;"It works well as a team social or "&amp;IF(ISNUMBER(SEARCH(LEFT(F13,1),"AEIOU")),"an ","a ")&amp;F13&amp;"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LINK]")&amp;CHAR(10)&amp;CHAR(10)&amp;"Best,"&amp;CHAR(10)&amp;IF(AM13&lt;&gt;"",AM13,IF(Offer!$C$5&lt;&gt;"",Offer!$C$5,"[NAME]"))&amp;CHAR(10)&amp;"FC Urban"</f>
        <v/>
      </c>
      <c r="AK13" s="14">
        <f>"Hi "&amp;IF(R13&lt;&gt;"",R13,F13&amp;" team")&amp;","&amp;CHAR(10)&amp;CHAR(10)&amp;"Just bumping this up. The "&amp;AE13&amp;" pitch at "&amp;Z13&amp;" is still free "&amp;IF(ISNUMBER(AD13),TEXT(AD13,"ddd d mmm")&amp;", "&amp;TEXT(AD13,"hh:mm"),"weekday evenings")&amp;", "&amp;IF(OR(AA13=8,AA13=11,AA13=18),"an ","a ")&amp;AA13&amp;"-minute walk from your office, "&amp;IF(AF13&lt;&gt;"","£"&amp;IF(AF13=INT(AF13),TEXT(AF13,"0"),TEXT(AF13,"0.00")),"[PRICE PER PLAYER]")&amp;" a player. Happy to hold it for "&amp;F13&amp;"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LINK]")&amp;CHAR(10)&amp;CHAR(10)&amp;"Best,"&amp;CHAR(10)&amp;IF(AM13&lt;&gt;"",AM13,IF(Offer!$C$5&lt;&gt;"",Offer!$C$5,"[NAME]"))&amp;CHAR(10)&amp;"FC Urban"</f>
        <v/>
      </c>
      <c r="AL13" s="14">
        <f>IF(AH13="","No email yet",IF(ISNUMBER(SEARCH("[",AJ13)),"Fill placeholders",IF(ISNUMBER(AD13),"Ready to send","Ready · no fixed slot")))</f>
        <v/>
      </c>
      <c r="AO13" s="17" t="n"/>
      <c r="AP13" s="17" t="n"/>
    </row>
    <row r="14">
      <c r="A14" s="11" t="n">
        <v>12</v>
      </c>
      <c r="B14" s="11" t="n">
        <v>1</v>
      </c>
      <c r="C14" s="11" t="inlineStr">
        <is>
          <t>Law firm</t>
        </is>
      </c>
      <c r="D14" s="11" t="inlineStr">
        <is>
          <t>City of London</t>
        </is>
      </c>
      <c r="E14" s="11" t="inlineStr">
        <is>
          <t>Bryan Cave Leighton Paisner LLP</t>
        </is>
      </c>
      <c r="F14" s="11" t="inlineStr">
        <is>
          <t>Bryan Cave Leighton Paisner</t>
        </is>
      </c>
      <c r="G14" s="12" t="inlineStr">
        <is>
          <t>https://www.bclplaw.com</t>
        </is>
      </c>
      <c r="H14" s="11" t="inlineStr">
        <is>
          <t>kwfries@bclplaw.com</t>
        </is>
      </c>
      <c r="I14" s="11" t="inlineStr">
        <is>
          <t>named person</t>
        </is>
      </c>
      <c r="J14" s="12" t="inlineStr">
        <is>
          <t>Open page</t>
        </is>
      </c>
      <c r="K14" s="11" t="inlineStr">
        <is>
          <t>OC315919</t>
        </is>
      </c>
      <c r="L14" s="12" t="inlineStr">
        <is>
          <t>Open</t>
        </is>
      </c>
      <c r="M14" s="11" t="inlineStr">
        <is>
          <t>Group</t>
        </is>
      </c>
      <c r="N14" s="13" t="n">
        <v>38657</v>
      </c>
      <c r="O14" s="11" t="inlineStr">
        <is>
          <t>Governor'S House, 5 Laurence Pountney Hill, London</t>
        </is>
      </c>
      <c r="P14" s="11" t="inlineStr">
        <is>
          <t>EC4R 0BR</t>
        </is>
      </c>
      <c r="Q14" s="11" t="inlineStr">
        <is>
          <t>No</t>
        </is>
      </c>
      <c r="W14" s="11" t="inlineStr">
        <is>
          <t>City of London School (EC4V 3AL)</t>
        </is>
      </c>
      <c r="X14" s="11" t="n">
        <v>12</v>
      </c>
      <c r="Y14" s="11" t="inlineStr">
        <is>
          <t>Marlborough Sports Garden (SE1 1SD) (13.4)</t>
        </is>
      </c>
      <c r="Z14" s="11" t="inlineStr">
        <is>
          <t>City of London School (EC4V 3AL)</t>
        </is>
      </c>
      <c r="AA14" s="11" t="n">
        <v>12</v>
      </c>
      <c r="AB14" s="14">
        <f>IFERROR(INDEX(Venues!$E$2:$E$17,MATCH(Z14,Venues!$A$2:$A$17,0)),"Not checked")</f>
        <v/>
      </c>
      <c r="AC14" s="14">
        <f>IFERROR(INDEX(Venues!$F$2:$F$17,MATCH(Z14,Venues!$A$2:$A$17,0)),0)</f>
        <v/>
      </c>
      <c r="AD14" s="15">
        <f>IFERROR(INDEX(Venues!$M$2:$M$17,MATCH(Z14,Venues!$A$2:$A$17,0)),"")</f>
        <v/>
      </c>
      <c r="AE14" s="14">
        <f>IFERROR(INDEX(Venues!$N$2:$N$17,MATCH(Z14,Venues!$A$2:$A$17,0)),"5-a-side")</f>
        <v/>
      </c>
      <c r="AF14" s="16">
        <f>IF(Offer!$C$4="","",Offer!$C$4)</f>
        <v/>
      </c>
      <c r="AG14" s="14">
        <f>Z14&amp;" ("&amp;AA14&amp;" min walk) · "&amp;IF(ISNUMBER(AD14),TEXT(AD14,"ddd d mmm, hh:mm"),"slot to confirm with venue")&amp;" · "&amp;AE14&amp;" · "&amp;IF(AF14&lt;&gt;"","£"&amp;TEXT(AF14,"0.00")&amp;" pp","price TBC")</f>
        <v/>
      </c>
      <c r="AH14" s="14">
        <f>IF(U14&lt;&gt;"",U14,IF(H14&lt;&gt;"",H14,""))</f>
        <v/>
      </c>
      <c r="AI14" s="14">
        <f>"After-work football for "&amp;F14&amp;" · "&amp;Z14&amp;", "&amp;AA14&amp;" min from your office"</f>
        <v/>
      </c>
      <c r="AJ14" s="14">
        <f>"Hi "&amp;IF(R14&lt;&gt;"",R14,F14&amp;" team")&amp;","&amp;CHAR(10)&amp;CHAR(10)&amp;"I'm "&amp;IF(AM14&lt;&gt;"",AM14,IF(Offer!$C$5&lt;&gt;"",Offer!$C$5,"[NAME]"))&amp;" from FC Urban. We organise after-work football for teams in the City and Canary Wharf."&amp;CHAR(10)&amp;CHAR(10)&amp;"We have a "&amp;AE14&amp;" pitch at "&amp;Z14&amp;", "&amp;IF(OR(AA14=8,AA14=11,AA14=18),"an ","a ")&amp;AA14&amp;"-minute walk from your "&amp;P14&amp;" office, "&amp;IF(ISNUMBER(AD14),"on "&amp;TEXT(AD14,"dddd d mmmm")&amp;" at "&amp;TEXT(AD14,"hh:mm"),"on a weekday evening that suits your team")&amp;". It's "&amp;IF(AF14&lt;&gt;"","£"&amp;IF(AF14=INT(AF14),TEXT(AF14,"0"),TEXT(AF14,"0.00")),"[PRICE PER PLAYER]")&amp;" a player and we handle the pitch booking, sign-ups and payments, so all it takes is one person sharing a link with the team."&amp;CHAR(10)&amp;CHAR(10)&amp;"It works well as a team social or "&amp;IF(ISNUMBER(SEARCH(LEFT(F14,1),"AEIOU")),"an ","a ")&amp;F14&amp;"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LINK]")&amp;CHAR(10)&amp;CHAR(10)&amp;"Best,"&amp;CHAR(10)&amp;IF(AM14&lt;&gt;"",AM14,IF(Offer!$C$5&lt;&gt;"",Offer!$C$5,"[NAME]"))&amp;CHAR(10)&amp;"FC Urban"</f>
        <v/>
      </c>
      <c r="AK14" s="14">
        <f>"Hi "&amp;IF(R14&lt;&gt;"",R14,F14&amp;" team")&amp;","&amp;CHAR(10)&amp;CHAR(10)&amp;"Just bumping this up. The "&amp;AE14&amp;" pitch at "&amp;Z14&amp;" is still free "&amp;IF(ISNUMBER(AD14),TEXT(AD14,"ddd d mmm")&amp;", "&amp;TEXT(AD14,"hh:mm"),"weekday evenings")&amp;", "&amp;IF(OR(AA14=8,AA14=11,AA14=18),"an ","a ")&amp;AA14&amp;"-minute walk from your office, "&amp;IF(AF14&lt;&gt;"","£"&amp;IF(AF14=INT(AF14),TEXT(AF14,"0"),TEXT(AF14,"0.00")),"[PRICE PER PLAYER]")&amp;" a player. Happy to hold it for "&amp;F14&amp;"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LINK]")&amp;CHAR(10)&amp;CHAR(10)&amp;"Best,"&amp;CHAR(10)&amp;IF(AM14&lt;&gt;"",AM14,IF(Offer!$C$5&lt;&gt;"",Offer!$C$5,"[NAME]"))&amp;CHAR(10)&amp;"FC Urban"</f>
        <v/>
      </c>
      <c r="AL14" s="14">
        <f>IF(AH14="","No email yet",IF(ISNUMBER(SEARCH("[",AJ14)),"Fill placeholders",IF(ISNUMBER(AD14),"Ready to send","Ready · no fixed slot")))</f>
        <v/>
      </c>
      <c r="AO14" s="17" t="n"/>
      <c r="AP14" s="17" t="n"/>
    </row>
    <row r="15">
      <c r="A15" s="11" t="n">
        <v>13</v>
      </c>
      <c r="B15" s="11" t="n">
        <v>1</v>
      </c>
      <c r="C15" s="11" t="inlineStr">
        <is>
          <t>Law firm</t>
        </is>
      </c>
      <c r="D15" s="11" t="inlineStr">
        <is>
          <t>City of London</t>
        </is>
      </c>
      <c r="E15" s="11" t="inlineStr">
        <is>
          <t>Osborne Clarke LLP</t>
        </is>
      </c>
      <c r="F15" s="11" t="inlineStr">
        <is>
          <t>Osborne Clarke</t>
        </is>
      </c>
      <c r="G15" s="12" t="inlineStr">
        <is>
          <t>https://www.osborneclarke.com</t>
        </is>
      </c>
      <c r="H15" s="11" t="inlineStr">
        <is>
          <t>luis.gil@osborneclarke.com</t>
        </is>
      </c>
      <c r="I15" s="11" t="inlineStr">
        <is>
          <t>named person</t>
        </is>
      </c>
      <c r="J15" s="12" t="inlineStr">
        <is>
          <t>Open page</t>
        </is>
      </c>
      <c r="K15" s="11" t="inlineStr">
        <is>
          <t>OC397443</t>
        </is>
      </c>
      <c r="L15" s="12" t="inlineStr">
        <is>
          <t>Open</t>
        </is>
      </c>
      <c r="M15" s="11" t="inlineStr">
        <is>
          <t>Group</t>
        </is>
      </c>
      <c r="N15" s="13" t="n">
        <v>42016</v>
      </c>
      <c r="O15" s="11" t="inlineStr">
        <is>
          <t>One London Wall, London</t>
        </is>
      </c>
      <c r="P15" s="11" t="inlineStr">
        <is>
          <t>EC2Y 5EB</t>
        </is>
      </c>
      <c r="Q15" s="11" t="inlineStr">
        <is>
          <t>No</t>
        </is>
      </c>
      <c r="W15" s="11" t="inlineStr">
        <is>
          <t>City of London School (EC4V 3AL)</t>
        </is>
      </c>
      <c r="X15" s="11" t="n">
        <v>12</v>
      </c>
      <c r="Y15" s="11" t="inlineStr">
        <is>
          <t>Finsbury Leisure Centre (EC1V 3PU) (16)</t>
        </is>
      </c>
      <c r="Z15" s="11" t="inlineStr">
        <is>
          <t>City of London School (EC4V 3AL)</t>
        </is>
      </c>
      <c r="AA15" s="11" t="n">
        <v>12</v>
      </c>
      <c r="AB15" s="14">
        <f>IFERROR(INDEX(Venues!$E$2:$E$17,MATCH(Z15,Venues!$A$2:$A$17,0)),"Not checked")</f>
        <v/>
      </c>
      <c r="AC15" s="14">
        <f>IFERROR(INDEX(Venues!$F$2:$F$17,MATCH(Z15,Venues!$A$2:$A$17,0)),0)</f>
        <v/>
      </c>
      <c r="AD15" s="15">
        <f>IFERROR(INDEX(Venues!$M$2:$M$17,MATCH(Z15,Venues!$A$2:$A$17,0)),"")</f>
        <v/>
      </c>
      <c r="AE15" s="14">
        <f>IFERROR(INDEX(Venues!$N$2:$N$17,MATCH(Z15,Venues!$A$2:$A$17,0)),"5-a-side")</f>
        <v/>
      </c>
      <c r="AF15" s="16">
        <f>IF(Offer!$C$4="","",Offer!$C$4)</f>
        <v/>
      </c>
      <c r="AG15" s="14">
        <f>Z15&amp;" ("&amp;AA15&amp;" min walk) · "&amp;IF(ISNUMBER(AD15),TEXT(AD15,"ddd d mmm, hh:mm"),"slot to confirm with venue")&amp;" · "&amp;AE15&amp;" · "&amp;IF(AF15&lt;&gt;"","£"&amp;TEXT(AF15,"0.00")&amp;" pp","price TBC")</f>
        <v/>
      </c>
      <c r="AH15" s="14">
        <f>IF(U15&lt;&gt;"",U15,IF(H15&lt;&gt;"",H15,""))</f>
        <v/>
      </c>
      <c r="AI15" s="14">
        <f>"After-work football for "&amp;F15&amp;" · "&amp;Z15&amp;", "&amp;AA15&amp;" min from your office"</f>
        <v/>
      </c>
      <c r="AJ15" s="14">
        <f>"Hi "&amp;IF(R15&lt;&gt;"",R15,F15&amp;" team")&amp;","&amp;CHAR(10)&amp;CHAR(10)&amp;"I'm "&amp;IF(AM15&lt;&gt;"",AM15,IF(Offer!$C$5&lt;&gt;"",Offer!$C$5,"[NAME]"))&amp;" from FC Urban. We organise after-work football for teams in the City and Canary Wharf."&amp;CHAR(10)&amp;CHAR(10)&amp;"We have a "&amp;AE15&amp;" pitch at "&amp;Z15&amp;", "&amp;IF(OR(AA15=8,AA15=11,AA15=18),"an ","a ")&amp;AA15&amp;"-minute walk from your "&amp;P15&amp;" office, "&amp;IF(ISNUMBER(AD15),"on "&amp;TEXT(AD15,"dddd d mmmm")&amp;" at "&amp;TEXT(AD15,"hh:mm"),"on a weekday evening that suits your team")&amp;". It's "&amp;IF(AF15&lt;&gt;"","£"&amp;IF(AF15=INT(AF15),TEXT(AF15,"0"),TEXT(AF15,"0.00")),"[PRICE PER PLAYER]")&amp;" a player and we handle the pitch booking, sign-ups and payments, so all it takes is one person sharing a link with the team."&amp;CHAR(10)&amp;CHAR(10)&amp;"It works well as a team social or "&amp;IF(ISNUMBER(SEARCH(LEFT(F15,1),"AEIOU")),"an ","a ")&amp;F15&amp;"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LINK]")&amp;CHAR(10)&amp;CHAR(10)&amp;"Best,"&amp;CHAR(10)&amp;IF(AM15&lt;&gt;"",AM15,IF(Offer!$C$5&lt;&gt;"",Offer!$C$5,"[NAME]"))&amp;CHAR(10)&amp;"FC Urban"</f>
        <v/>
      </c>
      <c r="AK15" s="14">
        <f>"Hi "&amp;IF(R15&lt;&gt;"",R15,F15&amp;" team")&amp;","&amp;CHAR(10)&amp;CHAR(10)&amp;"Just bumping this up. The "&amp;AE15&amp;" pitch at "&amp;Z15&amp;" is still free "&amp;IF(ISNUMBER(AD15),TEXT(AD15,"ddd d mmm")&amp;", "&amp;TEXT(AD15,"hh:mm"),"weekday evenings")&amp;", "&amp;IF(OR(AA15=8,AA15=11,AA15=18),"an ","a ")&amp;AA15&amp;"-minute walk from your office, "&amp;IF(AF15&lt;&gt;"","£"&amp;IF(AF15=INT(AF15),TEXT(AF15,"0"),TEXT(AF15,"0.00")),"[PRICE PER PLAYER]")&amp;" a player. Happy to hold it for "&amp;F15&amp;"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LINK]")&amp;CHAR(10)&amp;CHAR(10)&amp;"Best,"&amp;CHAR(10)&amp;IF(AM15&lt;&gt;"",AM15,IF(Offer!$C$5&lt;&gt;"",Offer!$C$5,"[NAME]"))&amp;CHAR(10)&amp;"FC Urban"</f>
        <v/>
      </c>
      <c r="AL15" s="14">
        <f>IF(AH15="","No email yet",IF(ISNUMBER(SEARCH("[",AJ15)),"Fill placeholders",IF(ISNUMBER(AD15),"Ready to send","Ready · no fixed slot")))</f>
        <v/>
      </c>
      <c r="AO15" s="17" t="n"/>
      <c r="AP15" s="17" t="n"/>
    </row>
    <row r="16">
      <c r="A16" s="11" t="n">
        <v>14</v>
      </c>
      <c r="B16" s="11" t="n">
        <v>1</v>
      </c>
      <c r="C16" s="11" t="inlineStr">
        <is>
          <t>Law firm</t>
        </is>
      </c>
      <c r="D16" s="11" t="inlineStr">
        <is>
          <t>City of London</t>
        </is>
      </c>
      <c r="E16" s="11" t="inlineStr">
        <is>
          <t>Fragomen (GB) Limited</t>
        </is>
      </c>
      <c r="F16" s="11" t="inlineStr">
        <is>
          <t>Fragomen</t>
        </is>
      </c>
      <c r="G16" s="12" t="inlineStr">
        <is>
          <t>https://www.fragomen.com</t>
        </is>
      </c>
      <c r="H16" s="11" t="inlineStr">
        <is>
          <t>london@fragomen.com</t>
        </is>
      </c>
      <c r="I16" s="11" t="inlineStr">
        <is>
          <t>general</t>
        </is>
      </c>
      <c r="J16" s="12" t="inlineStr">
        <is>
          <t>Open page</t>
        </is>
      </c>
      <c r="K16" s="11" t="inlineStr">
        <is>
          <t>04732334</t>
        </is>
      </c>
      <c r="L16" s="12" t="inlineStr">
        <is>
          <t>Open</t>
        </is>
      </c>
      <c r="M16" s="11" t="inlineStr">
        <is>
          <t>Group</t>
        </is>
      </c>
      <c r="N16" s="13" t="n">
        <v>37724</v>
      </c>
      <c r="O16" s="11" t="inlineStr">
        <is>
          <t>95 Gresham Street, 1St Floor, London</t>
        </is>
      </c>
      <c r="P16" s="11" t="inlineStr">
        <is>
          <t>EC2V 7NA</t>
        </is>
      </c>
      <c r="Q16" s="11" t="inlineStr">
        <is>
          <t>No</t>
        </is>
      </c>
      <c r="W16" s="11" t="inlineStr">
        <is>
          <t>City of London School (EC4V 3AL)</t>
        </is>
      </c>
      <c r="X16" s="11" t="n">
        <v>12</v>
      </c>
      <c r="Y16" s="11" t="n"/>
      <c r="Z16" s="11" t="inlineStr">
        <is>
          <t>City of London School (EC4V 3AL)</t>
        </is>
      </c>
      <c r="AA16" s="11" t="n">
        <v>12</v>
      </c>
      <c r="AB16" s="14">
        <f>IFERROR(INDEX(Venues!$E$2:$E$17,MATCH(Z16,Venues!$A$2:$A$17,0)),"Not checked")</f>
        <v/>
      </c>
      <c r="AC16" s="14">
        <f>IFERROR(INDEX(Venues!$F$2:$F$17,MATCH(Z16,Venues!$A$2:$A$17,0)),0)</f>
        <v/>
      </c>
      <c r="AD16" s="15">
        <f>IFERROR(INDEX(Venues!$M$2:$M$17,MATCH(Z16,Venues!$A$2:$A$17,0)),"")</f>
        <v/>
      </c>
      <c r="AE16" s="14">
        <f>IFERROR(INDEX(Venues!$N$2:$N$17,MATCH(Z16,Venues!$A$2:$A$17,0)),"5-a-side")</f>
        <v/>
      </c>
      <c r="AF16" s="16">
        <f>IF(Offer!$C$4="","",Offer!$C$4)</f>
        <v/>
      </c>
      <c r="AG16" s="14">
        <f>Z16&amp;" ("&amp;AA16&amp;" min walk) · "&amp;IF(ISNUMBER(AD16),TEXT(AD16,"ddd d mmm, hh:mm"),"slot to confirm with venue")&amp;" · "&amp;AE16&amp;" · "&amp;IF(AF16&lt;&gt;"","£"&amp;TEXT(AF16,"0.00")&amp;" pp","price TBC")</f>
        <v/>
      </c>
      <c r="AH16" s="14">
        <f>IF(U16&lt;&gt;"",U16,IF(H16&lt;&gt;"",H16,""))</f>
        <v/>
      </c>
      <c r="AI16" s="14">
        <f>"After-work football for "&amp;F16&amp;" · "&amp;Z16&amp;", "&amp;AA16&amp;" min from your office"</f>
        <v/>
      </c>
      <c r="AJ16" s="14">
        <f>"Hi "&amp;IF(R16&lt;&gt;"",R16,F16&amp;" team")&amp;","&amp;CHAR(10)&amp;CHAR(10)&amp;"I'm "&amp;IF(AM16&lt;&gt;"",AM16,IF(Offer!$C$5&lt;&gt;"",Offer!$C$5,"[NAME]"))&amp;" from FC Urban. We organise after-work football for teams in the City and Canary Wharf."&amp;CHAR(10)&amp;CHAR(10)&amp;"We have a "&amp;AE16&amp;" pitch at "&amp;Z16&amp;", "&amp;IF(OR(AA16=8,AA16=11,AA16=18),"an ","a ")&amp;AA16&amp;"-minute walk from your "&amp;P16&amp;" office, "&amp;IF(ISNUMBER(AD16),"on "&amp;TEXT(AD16,"dddd d mmmm")&amp;" at "&amp;TEXT(AD16,"hh:mm"),"on a weekday evening that suits your team")&amp;". It's "&amp;IF(AF16&lt;&gt;"","£"&amp;IF(AF16=INT(AF16),TEXT(AF16,"0"),TEXT(AF16,"0.00")),"[PRICE PER PLAYER]")&amp;" a player and we handle the pitch booking, sign-ups and payments, so all it takes is one person sharing a link with the team."&amp;CHAR(10)&amp;CHAR(10)&amp;"It works well as a team social or "&amp;IF(ISNUMBER(SEARCH(LEFT(F16,1),"AEIOU")),"an ","a ")&amp;F16&amp;"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LINK]")&amp;CHAR(10)&amp;CHAR(10)&amp;"Best,"&amp;CHAR(10)&amp;IF(AM16&lt;&gt;"",AM16,IF(Offer!$C$5&lt;&gt;"",Offer!$C$5,"[NAME]"))&amp;CHAR(10)&amp;"FC Urban"</f>
        <v/>
      </c>
      <c r="AK16" s="14">
        <f>"Hi "&amp;IF(R16&lt;&gt;"",R16,F16&amp;" team")&amp;","&amp;CHAR(10)&amp;CHAR(10)&amp;"Just bumping this up. The "&amp;AE16&amp;" pitch at "&amp;Z16&amp;" is still free "&amp;IF(ISNUMBER(AD16),TEXT(AD16,"ddd d mmm")&amp;", "&amp;TEXT(AD16,"hh:mm"),"weekday evenings")&amp;", "&amp;IF(OR(AA16=8,AA16=11,AA16=18),"an ","a ")&amp;AA16&amp;"-minute walk from your office, "&amp;IF(AF16&lt;&gt;"","£"&amp;IF(AF16=INT(AF16),TEXT(AF16,"0"),TEXT(AF16,"0.00")),"[PRICE PER PLAYER]")&amp;" a player. Happy to hold it for "&amp;F16&amp;"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LINK]")&amp;CHAR(10)&amp;CHAR(10)&amp;"Best,"&amp;CHAR(10)&amp;IF(AM16&lt;&gt;"",AM16,IF(Offer!$C$5&lt;&gt;"",Offer!$C$5,"[NAME]"))&amp;CHAR(10)&amp;"FC Urban"</f>
        <v/>
      </c>
      <c r="AL16" s="14">
        <f>IF(AH16="","No email yet",IF(ISNUMBER(SEARCH("[",AJ16)),"Fill placeholders",IF(ISNUMBER(AD16),"Ready to send","Ready · no fixed slot")))</f>
        <v/>
      </c>
      <c r="AO16" s="17" t="n"/>
      <c r="AP16" s="17" t="n"/>
    </row>
    <row r="17">
      <c r="A17" s="11" t="n">
        <v>15</v>
      </c>
      <c r="B17" s="11" t="n">
        <v>1</v>
      </c>
      <c r="C17" s="11" t="inlineStr">
        <is>
          <t>Law firm</t>
        </is>
      </c>
      <c r="D17" s="11" t="inlineStr">
        <is>
          <t>City of London</t>
        </is>
      </c>
      <c r="E17" s="11" t="inlineStr">
        <is>
          <t>Fieldfisher LLP</t>
        </is>
      </c>
      <c r="F17" s="11" t="inlineStr">
        <is>
          <t>Fieldfisher</t>
        </is>
      </c>
      <c r="G17" s="12" t="inlineStr">
        <is>
          <t>https://www.fieldfisher.com</t>
        </is>
      </c>
      <c r="H17" s="11" t="inlineStr">
        <is>
          <t>london@fieldfisher.com</t>
        </is>
      </c>
      <c r="I17" s="11" t="inlineStr">
        <is>
          <t>general</t>
        </is>
      </c>
      <c r="J17" s="12" t="inlineStr">
        <is>
          <t>Open page</t>
        </is>
      </c>
      <c r="K17" s="11" t="inlineStr">
        <is>
          <t>OC318472</t>
        </is>
      </c>
      <c r="L17" s="12" t="inlineStr">
        <is>
          <t>Open</t>
        </is>
      </c>
      <c r="M17" s="11" t="inlineStr">
        <is>
          <t>Group</t>
        </is>
      </c>
      <c r="N17" s="13" t="n">
        <v>38792</v>
      </c>
      <c r="O17" s="11" t="inlineStr">
        <is>
          <t>Riverbank House, 2 Swan Lane, London</t>
        </is>
      </c>
      <c r="P17" s="11" t="inlineStr">
        <is>
          <t>EC4R 3TT</t>
        </is>
      </c>
      <c r="Q17" s="11" t="inlineStr">
        <is>
          <t>No</t>
        </is>
      </c>
      <c r="W17" s="11" t="inlineStr">
        <is>
          <t>City of London School (EC4V 3AL)</t>
        </is>
      </c>
      <c r="X17" s="11" t="n">
        <v>12</v>
      </c>
      <c r="Y17" s="11" t="inlineStr">
        <is>
          <t>Marlborough Sports Garden (SE1 1SD) (12.4)</t>
        </is>
      </c>
      <c r="Z17" s="11" t="inlineStr">
        <is>
          <t>City of London School (EC4V 3AL)</t>
        </is>
      </c>
      <c r="AA17" s="11" t="n">
        <v>12</v>
      </c>
      <c r="AB17" s="14">
        <f>IFERROR(INDEX(Venues!$E$2:$E$17,MATCH(Z17,Venues!$A$2:$A$17,0)),"Not checked")</f>
        <v/>
      </c>
      <c r="AC17" s="14">
        <f>IFERROR(INDEX(Venues!$F$2:$F$17,MATCH(Z17,Venues!$A$2:$A$17,0)),0)</f>
        <v/>
      </c>
      <c r="AD17" s="15">
        <f>IFERROR(INDEX(Venues!$M$2:$M$17,MATCH(Z17,Venues!$A$2:$A$17,0)),"")</f>
        <v/>
      </c>
      <c r="AE17" s="14">
        <f>IFERROR(INDEX(Venues!$N$2:$N$17,MATCH(Z17,Venues!$A$2:$A$17,0)),"5-a-side")</f>
        <v/>
      </c>
      <c r="AF17" s="16">
        <f>IF(Offer!$C$4="","",Offer!$C$4)</f>
        <v/>
      </c>
      <c r="AG17" s="14">
        <f>Z17&amp;" ("&amp;AA17&amp;" min walk) · "&amp;IF(ISNUMBER(AD17),TEXT(AD17,"ddd d mmm, hh:mm"),"slot to confirm with venue")&amp;" · "&amp;AE17&amp;" · "&amp;IF(AF17&lt;&gt;"","£"&amp;TEXT(AF17,"0.00")&amp;" pp","price TBC")</f>
        <v/>
      </c>
      <c r="AH17" s="14">
        <f>IF(U17&lt;&gt;"",U17,IF(H17&lt;&gt;"",H17,""))</f>
        <v/>
      </c>
      <c r="AI17" s="14">
        <f>"After-work football for "&amp;F17&amp;" · "&amp;Z17&amp;", "&amp;AA17&amp;" min from your office"</f>
        <v/>
      </c>
      <c r="AJ17" s="14">
        <f>"Hi "&amp;IF(R17&lt;&gt;"",R17,F17&amp;" team")&amp;","&amp;CHAR(10)&amp;CHAR(10)&amp;"I'm "&amp;IF(AM17&lt;&gt;"",AM17,IF(Offer!$C$5&lt;&gt;"",Offer!$C$5,"[NAME]"))&amp;" from FC Urban. We organise after-work football for teams in the City and Canary Wharf."&amp;CHAR(10)&amp;CHAR(10)&amp;"We have a "&amp;AE17&amp;" pitch at "&amp;Z17&amp;", "&amp;IF(OR(AA17=8,AA17=11,AA17=18),"an ","a ")&amp;AA17&amp;"-minute walk from your "&amp;P17&amp;" office, "&amp;IF(ISNUMBER(AD17),"on "&amp;TEXT(AD17,"dddd d mmmm")&amp;" at "&amp;TEXT(AD17,"hh:mm"),"on a weekday evening that suits your team")&amp;". It's "&amp;IF(AF17&lt;&gt;"","£"&amp;IF(AF17=INT(AF17),TEXT(AF17,"0"),TEXT(AF17,"0.00")),"[PRICE PER PLAYER]")&amp;" a player and we handle the pitch booking, sign-ups and payments, so all it takes is one person sharing a link with the team."&amp;CHAR(10)&amp;CHAR(10)&amp;"It works well as a team social or "&amp;IF(ISNUMBER(SEARCH(LEFT(F17,1),"AEIOU")),"an ","a ")&amp;F17&amp;"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LINK]")&amp;CHAR(10)&amp;CHAR(10)&amp;"Best,"&amp;CHAR(10)&amp;IF(AM17&lt;&gt;"",AM17,IF(Offer!$C$5&lt;&gt;"",Offer!$C$5,"[NAME]"))&amp;CHAR(10)&amp;"FC Urban"</f>
        <v/>
      </c>
      <c r="AK17" s="14">
        <f>"Hi "&amp;IF(R17&lt;&gt;"",R17,F17&amp;" team")&amp;","&amp;CHAR(10)&amp;CHAR(10)&amp;"Just bumping this up. The "&amp;AE17&amp;" pitch at "&amp;Z17&amp;" is still free "&amp;IF(ISNUMBER(AD17),TEXT(AD17,"ddd d mmm")&amp;", "&amp;TEXT(AD17,"hh:mm"),"weekday evenings")&amp;", "&amp;IF(OR(AA17=8,AA17=11,AA17=18),"an ","a ")&amp;AA17&amp;"-minute walk from your office, "&amp;IF(AF17&lt;&gt;"","£"&amp;IF(AF17=INT(AF17),TEXT(AF17,"0"),TEXT(AF17,"0.00")),"[PRICE PER PLAYER]")&amp;" a player. Happy to hold it for "&amp;F17&amp;"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LINK]")&amp;CHAR(10)&amp;CHAR(10)&amp;"Best,"&amp;CHAR(10)&amp;IF(AM17&lt;&gt;"",AM17,IF(Offer!$C$5&lt;&gt;"",Offer!$C$5,"[NAME]"))&amp;CHAR(10)&amp;"FC Urban"</f>
        <v/>
      </c>
      <c r="AL17" s="14">
        <f>IF(AH17="","No email yet",IF(ISNUMBER(SEARCH("[",AJ17)),"Fill placeholders",IF(ISNUMBER(AD17),"Ready to send","Ready · no fixed slot")))</f>
        <v/>
      </c>
      <c r="AO17" s="17" t="n"/>
      <c r="AP17" s="17" t="n"/>
    </row>
    <row r="18">
      <c r="A18" s="11" t="n">
        <v>16</v>
      </c>
      <c r="B18" s="11" t="n">
        <v>1</v>
      </c>
      <c r="C18" s="11" t="inlineStr">
        <is>
          <t>Law firm</t>
        </is>
      </c>
      <c r="D18" s="11" t="inlineStr">
        <is>
          <t>City of London</t>
        </is>
      </c>
      <c r="E18" s="11" t="inlineStr">
        <is>
          <t>Hogan Lovells Cadwalader International LLP</t>
        </is>
      </c>
      <c r="F18" s="11" t="inlineStr">
        <is>
          <t>Hogan Lovells Cadwalader</t>
        </is>
      </c>
      <c r="G18" s="12" t="inlineStr">
        <is>
          <t>https://www.hlc.com</t>
        </is>
      </c>
      <c r="H18" s="11" t="inlineStr">
        <is>
          <t>connect@hlc.com</t>
        </is>
      </c>
      <c r="I18" s="11" t="inlineStr">
        <is>
          <t>named person</t>
        </is>
      </c>
      <c r="J18" s="12" t="inlineStr">
        <is>
          <t>Open page</t>
        </is>
      </c>
      <c r="K18" s="11" t="inlineStr">
        <is>
          <t>OC323639</t>
        </is>
      </c>
      <c r="L18" s="12" t="inlineStr">
        <is>
          <t>Open</t>
        </is>
      </c>
      <c r="M18" s="11" t="inlineStr">
        <is>
          <t>Group</t>
        </is>
      </c>
      <c r="N18" s="13" t="n">
        <v>39023</v>
      </c>
      <c r="O18" s="11" t="inlineStr">
        <is>
          <t>Atlantic House, Holborn Viaduct, London</t>
        </is>
      </c>
      <c r="P18" s="11" t="inlineStr">
        <is>
          <t>EC1A 2FG</t>
        </is>
      </c>
      <c r="Q18" s="11" t="inlineStr">
        <is>
          <t>Yes</t>
        </is>
      </c>
      <c r="W18" s="11" t="inlineStr">
        <is>
          <t>City of London School (EC4V 3AL)</t>
        </is>
      </c>
      <c r="X18" s="11" t="n">
        <v>14</v>
      </c>
      <c r="Y18" s="11" t="n"/>
      <c r="Z18" s="11" t="inlineStr">
        <is>
          <t>City of London School (EC4V 3AL)</t>
        </is>
      </c>
      <c r="AA18" s="11" t="n">
        <v>14</v>
      </c>
      <c r="AB18" s="14">
        <f>IFERROR(INDEX(Venues!$E$2:$E$17,MATCH(Z18,Venues!$A$2:$A$17,0)),"Not checked")</f>
        <v/>
      </c>
      <c r="AC18" s="14">
        <f>IFERROR(INDEX(Venues!$F$2:$F$17,MATCH(Z18,Venues!$A$2:$A$17,0)),0)</f>
        <v/>
      </c>
      <c r="AD18" s="15">
        <f>IFERROR(INDEX(Venues!$M$2:$M$17,MATCH(Z18,Venues!$A$2:$A$17,0)),"")</f>
        <v/>
      </c>
      <c r="AE18" s="14">
        <f>IFERROR(INDEX(Venues!$N$2:$N$17,MATCH(Z18,Venues!$A$2:$A$17,0)),"5-a-side")</f>
        <v/>
      </c>
      <c r="AF18" s="16">
        <f>IF(Offer!$C$4="","",Offer!$C$4)</f>
        <v/>
      </c>
      <c r="AG18" s="14">
        <f>Z18&amp;" ("&amp;AA18&amp;" min walk) · "&amp;IF(ISNUMBER(AD18),TEXT(AD18,"ddd d mmm, hh:mm"),"slot to confirm with venue")&amp;" · "&amp;AE18&amp;" · "&amp;IF(AF18&lt;&gt;"","£"&amp;TEXT(AF18,"0.00")&amp;" pp","price TBC")</f>
        <v/>
      </c>
      <c r="AH18" s="14">
        <f>IF(U18&lt;&gt;"",U18,IF(H18&lt;&gt;"",H18,""))</f>
        <v/>
      </c>
      <c r="AI18" s="14">
        <f>"After-work football for "&amp;F18&amp;" · "&amp;Z18&amp;", "&amp;AA18&amp;" min from your office"</f>
        <v/>
      </c>
      <c r="AJ18" s="14">
        <f>"Hi "&amp;IF(R18&lt;&gt;"",R18,F18&amp;" team")&amp;","&amp;CHAR(10)&amp;CHAR(10)&amp;"I'm "&amp;IF(AM18&lt;&gt;"",AM18,IF(Offer!$C$5&lt;&gt;"",Offer!$C$5,"[NAME]"))&amp;" from FC Urban. We organise after-work football for teams in the City and Canary Wharf."&amp;CHAR(10)&amp;CHAR(10)&amp;"We have a "&amp;AE18&amp;" pitch at "&amp;Z18&amp;", "&amp;IF(OR(AA18=8,AA18=11,AA18=18),"an ","a ")&amp;AA18&amp;"-minute walk from your "&amp;P18&amp;" office, "&amp;IF(ISNUMBER(AD18),"on "&amp;TEXT(AD18,"dddd d mmmm")&amp;" at "&amp;TEXT(AD18,"hh:mm"),"on a weekday evening that suits your team")&amp;". It's "&amp;IF(AF18&lt;&gt;"","£"&amp;IF(AF18=INT(AF18),TEXT(AF18,"0"),TEXT(AF18,"0.00")),"[PRICE PER PLAYER]")&amp;" a player and we handle the pitch booking, sign-ups and payments, so all it takes is one person sharing a link with the team."&amp;CHAR(10)&amp;CHAR(10)&amp;"It works well as a team social or "&amp;IF(ISNUMBER(SEARCH(LEFT(F18,1),"AEIOU")),"an ","a ")&amp;F18&amp;"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LINK]")&amp;CHAR(10)&amp;CHAR(10)&amp;"Best,"&amp;CHAR(10)&amp;IF(AM18&lt;&gt;"",AM18,IF(Offer!$C$5&lt;&gt;"",Offer!$C$5,"[NAME]"))&amp;CHAR(10)&amp;"FC Urban"</f>
        <v/>
      </c>
      <c r="AK18" s="14">
        <f>"Hi "&amp;IF(R18&lt;&gt;"",R18,F18&amp;" team")&amp;","&amp;CHAR(10)&amp;CHAR(10)&amp;"Just bumping this up. The "&amp;AE18&amp;" pitch at "&amp;Z18&amp;" is still free "&amp;IF(ISNUMBER(AD18),TEXT(AD18,"ddd d mmm")&amp;", "&amp;TEXT(AD18,"hh:mm"),"weekday evenings")&amp;", "&amp;IF(OR(AA18=8,AA18=11,AA18=18),"an ","a ")&amp;AA18&amp;"-minute walk from your office, "&amp;IF(AF18&lt;&gt;"","£"&amp;IF(AF18=INT(AF18),TEXT(AF18,"0"),TEXT(AF18,"0.00")),"[PRICE PER PLAYER]")&amp;" a player. Happy to hold it for "&amp;F18&amp;"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LINK]")&amp;CHAR(10)&amp;CHAR(10)&amp;"Best,"&amp;CHAR(10)&amp;IF(AM18&lt;&gt;"",AM18,IF(Offer!$C$5&lt;&gt;"",Offer!$C$5,"[NAME]"))&amp;CHAR(10)&amp;"FC Urban"</f>
        <v/>
      </c>
      <c r="AL18" s="14">
        <f>IF(AH18="","No email yet",IF(ISNUMBER(SEARCH("[",AJ18)),"Fill placeholders",IF(ISNUMBER(AD18),"Ready to send","Ready · no fixed slot")))</f>
        <v/>
      </c>
      <c r="AO18" s="17" t="n"/>
      <c r="AP18" s="17" t="n"/>
    </row>
    <row r="19">
      <c r="A19" s="11" t="n">
        <v>17</v>
      </c>
      <c r="B19" s="11" t="n">
        <v>1</v>
      </c>
      <c r="C19" s="11" t="inlineStr">
        <is>
          <t>Law firm</t>
        </is>
      </c>
      <c r="D19" s="11" t="inlineStr">
        <is>
          <t>City of London</t>
        </is>
      </c>
      <c r="E19" s="11" t="inlineStr">
        <is>
          <t>Mills &amp; Reeve LLP</t>
        </is>
      </c>
      <c r="F19" s="11" t="inlineStr">
        <is>
          <t>Mills &amp; Reeve</t>
        </is>
      </c>
      <c r="G19" s="12" t="inlineStr">
        <is>
          <t>https://www.mills-reeve.com</t>
        </is>
      </c>
      <c r="H19" s="11" t="inlineStr">
        <is>
          <t>info@mills-reeve.com</t>
        </is>
      </c>
      <c r="I19" s="11" t="inlineStr">
        <is>
          <t>general</t>
        </is>
      </c>
      <c r="J19" s="12" t="inlineStr">
        <is>
          <t>Open page</t>
        </is>
      </c>
      <c r="K19" s="11" t="inlineStr">
        <is>
          <t>OC326165</t>
        </is>
      </c>
      <c r="L19" s="12" t="inlineStr">
        <is>
          <t>Open</t>
        </is>
      </c>
      <c r="M19" s="11" t="inlineStr">
        <is>
          <t>Group</t>
        </is>
      </c>
      <c r="N19" s="13" t="n">
        <v>39133</v>
      </c>
      <c r="O19" s="11" t="inlineStr">
        <is>
          <t>24 King William Street, London</t>
        </is>
      </c>
      <c r="P19" s="11" t="inlineStr">
        <is>
          <t>EC4R 9AT</t>
        </is>
      </c>
      <c r="Q19" s="11" t="inlineStr">
        <is>
          <t>No</t>
        </is>
      </c>
      <c r="W19" s="11" t="inlineStr">
        <is>
          <t>City of London School (EC4V 3AL)</t>
        </is>
      </c>
      <c r="X19" s="11" t="n">
        <v>14</v>
      </c>
      <c r="Y19" s="11" t="inlineStr">
        <is>
          <t>Marlborough Sports Garden (SE1 1SD) (14.5)</t>
        </is>
      </c>
      <c r="Z19" s="11" t="inlineStr">
        <is>
          <t>City of London School (EC4V 3AL)</t>
        </is>
      </c>
      <c r="AA19" s="11" t="n">
        <v>14</v>
      </c>
      <c r="AB19" s="14">
        <f>IFERROR(INDEX(Venues!$E$2:$E$17,MATCH(Z19,Venues!$A$2:$A$17,0)),"Not checked")</f>
        <v/>
      </c>
      <c r="AC19" s="14">
        <f>IFERROR(INDEX(Venues!$F$2:$F$17,MATCH(Z19,Venues!$A$2:$A$17,0)),0)</f>
        <v/>
      </c>
      <c r="AD19" s="15">
        <f>IFERROR(INDEX(Venues!$M$2:$M$17,MATCH(Z19,Venues!$A$2:$A$17,0)),"")</f>
        <v/>
      </c>
      <c r="AE19" s="14">
        <f>IFERROR(INDEX(Venues!$N$2:$N$17,MATCH(Z19,Venues!$A$2:$A$17,0)),"5-a-side")</f>
        <v/>
      </c>
      <c r="AF19" s="16">
        <f>IF(Offer!$C$4="","",Offer!$C$4)</f>
        <v/>
      </c>
      <c r="AG19" s="14">
        <f>Z19&amp;" ("&amp;AA19&amp;" min walk) · "&amp;IF(ISNUMBER(AD19),TEXT(AD19,"ddd d mmm, hh:mm"),"slot to confirm with venue")&amp;" · "&amp;AE19&amp;" · "&amp;IF(AF19&lt;&gt;"","£"&amp;TEXT(AF19,"0.00")&amp;" pp","price TBC")</f>
        <v/>
      </c>
      <c r="AH19" s="14">
        <f>IF(U19&lt;&gt;"",U19,IF(H19&lt;&gt;"",H19,""))</f>
        <v/>
      </c>
      <c r="AI19" s="14">
        <f>"After-work football for "&amp;F19&amp;" · "&amp;Z19&amp;", "&amp;AA19&amp;" min from your office"</f>
        <v/>
      </c>
      <c r="AJ19" s="14">
        <f>"Hi "&amp;IF(R19&lt;&gt;"",R19,F19&amp;" team")&amp;","&amp;CHAR(10)&amp;CHAR(10)&amp;"I'm "&amp;IF(AM19&lt;&gt;"",AM19,IF(Offer!$C$5&lt;&gt;"",Offer!$C$5,"[NAME]"))&amp;" from FC Urban. We organise after-work football for teams in the City and Canary Wharf."&amp;CHAR(10)&amp;CHAR(10)&amp;"We have a "&amp;AE19&amp;" pitch at "&amp;Z19&amp;", "&amp;IF(OR(AA19=8,AA19=11,AA19=18),"an ","a ")&amp;AA19&amp;"-minute walk from your "&amp;P19&amp;" office, "&amp;IF(ISNUMBER(AD19),"on "&amp;TEXT(AD19,"dddd d mmmm")&amp;" at "&amp;TEXT(AD19,"hh:mm"),"on a weekday evening that suits your team")&amp;". It's "&amp;IF(AF19&lt;&gt;"","£"&amp;IF(AF19=INT(AF19),TEXT(AF19,"0"),TEXT(AF19,"0.00")),"[PRICE PER PLAYER]")&amp;" a player and we handle the pitch booking, sign-ups and payments, so all it takes is one person sharing a link with the team."&amp;CHAR(10)&amp;CHAR(10)&amp;"It works well as a team social or "&amp;IF(ISNUMBER(SEARCH(LEFT(F19,1),"AEIOU")),"an ","a ")&amp;F19&amp;"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LINK]")&amp;CHAR(10)&amp;CHAR(10)&amp;"Best,"&amp;CHAR(10)&amp;IF(AM19&lt;&gt;"",AM19,IF(Offer!$C$5&lt;&gt;"",Offer!$C$5,"[NAME]"))&amp;CHAR(10)&amp;"FC Urban"</f>
        <v/>
      </c>
      <c r="AK19" s="14">
        <f>"Hi "&amp;IF(R19&lt;&gt;"",R19,F19&amp;" team")&amp;","&amp;CHAR(10)&amp;CHAR(10)&amp;"Just bumping this up. The "&amp;AE19&amp;" pitch at "&amp;Z19&amp;" is still free "&amp;IF(ISNUMBER(AD19),TEXT(AD19,"ddd d mmm")&amp;", "&amp;TEXT(AD19,"hh:mm"),"weekday evenings")&amp;", "&amp;IF(OR(AA19=8,AA19=11,AA19=18),"an ","a ")&amp;AA19&amp;"-minute walk from your office, "&amp;IF(AF19&lt;&gt;"","£"&amp;IF(AF19=INT(AF19),TEXT(AF19,"0"),TEXT(AF19,"0.00")),"[PRICE PER PLAYER]")&amp;" a player. Happy to hold it for "&amp;F19&amp;"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LINK]")&amp;CHAR(10)&amp;CHAR(10)&amp;"Best,"&amp;CHAR(10)&amp;IF(AM19&lt;&gt;"",AM19,IF(Offer!$C$5&lt;&gt;"",Offer!$C$5,"[NAME]"))&amp;CHAR(10)&amp;"FC Urban"</f>
        <v/>
      </c>
      <c r="AL19" s="14">
        <f>IF(AH19="","No email yet",IF(ISNUMBER(SEARCH("[",AJ19)),"Fill placeholders",IF(ISNUMBER(AD19),"Ready to send","Ready · no fixed slot")))</f>
        <v/>
      </c>
      <c r="AO19" s="17" t="n"/>
      <c r="AP19" s="17" t="n"/>
    </row>
    <row r="20">
      <c r="A20" s="11" t="n">
        <v>18</v>
      </c>
      <c r="B20" s="11" t="n">
        <v>1</v>
      </c>
      <c r="C20" s="11" t="inlineStr">
        <is>
          <t>Law firm</t>
        </is>
      </c>
      <c r="D20" s="11" t="inlineStr">
        <is>
          <t>City of London</t>
        </is>
      </c>
      <c r="E20" s="11" t="inlineStr">
        <is>
          <t>DLA Piper International LLP</t>
        </is>
      </c>
      <c r="F20" s="11" t="inlineStr">
        <is>
          <t>DLA Piper</t>
        </is>
      </c>
      <c r="G20" s="12" t="inlineStr">
        <is>
          <t>https://www.dlapiper.com</t>
        </is>
      </c>
      <c r="H20" s="11" t="inlineStr">
        <is>
          <t>communications@dlapiper.com</t>
        </is>
      </c>
      <c r="I20" s="11" t="inlineStr">
        <is>
          <t>role (press / marketing)</t>
        </is>
      </c>
      <c r="J20" s="12" t="inlineStr">
        <is>
          <t>Open page</t>
        </is>
      </c>
      <c r="K20" s="11" t="inlineStr">
        <is>
          <t>OC305357</t>
        </is>
      </c>
      <c r="L20" s="12" t="inlineStr">
        <is>
          <t>Open</t>
        </is>
      </c>
      <c r="M20" s="11" t="inlineStr">
        <is>
          <t>Group</t>
        </is>
      </c>
      <c r="N20" s="13" t="n">
        <v>37855</v>
      </c>
      <c r="O20" s="11" t="inlineStr">
        <is>
          <t>160 Aldersgate Street, London</t>
        </is>
      </c>
      <c r="P20" s="11" t="inlineStr">
        <is>
          <t>EC1A 4HT</t>
        </is>
      </c>
      <c r="Q20" s="11" t="inlineStr">
        <is>
          <t>No</t>
        </is>
      </c>
      <c r="W20" s="11" t="inlineStr">
        <is>
          <t>Finsbury Leisure Centre (EC1V 3PU)</t>
        </is>
      </c>
      <c r="X20" s="11" t="n">
        <v>14</v>
      </c>
      <c r="Y20" s="11" t="inlineStr">
        <is>
          <t>City of London School (EC4V 3AL) (14); Old St - Moreland Primary School (18.4)</t>
        </is>
      </c>
      <c r="Z20" s="11" t="inlineStr">
        <is>
          <t>City of London School (EC4V 3AL)</t>
        </is>
      </c>
      <c r="AA20" s="11" t="n">
        <v>14</v>
      </c>
      <c r="AB20" s="14">
        <f>IFERROR(INDEX(Venues!$E$2:$E$17,MATCH(Z20,Venues!$A$2:$A$17,0)),"Not checked")</f>
        <v/>
      </c>
      <c r="AC20" s="14">
        <f>IFERROR(INDEX(Venues!$F$2:$F$17,MATCH(Z20,Venues!$A$2:$A$17,0)),0)</f>
        <v/>
      </c>
      <c r="AD20" s="15">
        <f>IFERROR(INDEX(Venues!$M$2:$M$17,MATCH(Z20,Venues!$A$2:$A$17,0)),"")</f>
        <v/>
      </c>
      <c r="AE20" s="14">
        <f>IFERROR(INDEX(Venues!$N$2:$N$17,MATCH(Z20,Venues!$A$2:$A$17,0)),"5-a-side")</f>
        <v/>
      </c>
      <c r="AF20" s="16">
        <f>IF(Offer!$C$4="","",Offer!$C$4)</f>
        <v/>
      </c>
      <c r="AG20" s="14">
        <f>Z20&amp;" ("&amp;AA20&amp;" min walk) · "&amp;IF(ISNUMBER(AD20),TEXT(AD20,"ddd d mmm, hh:mm"),"slot to confirm with venue")&amp;" · "&amp;AE20&amp;" · "&amp;IF(AF20&lt;&gt;"","£"&amp;TEXT(AF20,"0.00")&amp;" pp","price TBC")</f>
        <v/>
      </c>
      <c r="AH20" s="14">
        <f>IF(U20&lt;&gt;"",U20,IF(H20&lt;&gt;"",H20,""))</f>
        <v/>
      </c>
      <c r="AI20" s="14">
        <f>"After-work football for "&amp;F20&amp;" · "&amp;Z20&amp;", "&amp;AA20&amp;" min from your office"</f>
        <v/>
      </c>
      <c r="AJ20" s="14">
        <f>"Hi "&amp;IF(R20&lt;&gt;"",R20,F20&amp;" team")&amp;","&amp;CHAR(10)&amp;CHAR(10)&amp;"I'm "&amp;IF(AM20&lt;&gt;"",AM20,IF(Offer!$C$5&lt;&gt;"",Offer!$C$5,"[NAME]"))&amp;" from FC Urban. We organise after-work football for teams in the City and Canary Wharf."&amp;CHAR(10)&amp;CHAR(10)&amp;"We have a "&amp;AE20&amp;" pitch at "&amp;Z20&amp;", "&amp;IF(OR(AA20=8,AA20=11,AA20=18),"an ","a ")&amp;AA20&amp;"-minute walk from your "&amp;P20&amp;" office, "&amp;IF(ISNUMBER(AD20),"on "&amp;TEXT(AD20,"dddd d mmmm")&amp;" at "&amp;TEXT(AD20,"hh:mm"),"on a weekday evening that suits your team")&amp;". It's "&amp;IF(AF20&lt;&gt;"","£"&amp;IF(AF20=INT(AF20),TEXT(AF20,"0"),TEXT(AF20,"0.00")),"[PRICE PER PLAYER]")&amp;" a player and we handle the pitch booking, sign-ups and payments, so all it takes is one person sharing a link with the team."&amp;CHAR(10)&amp;CHAR(10)&amp;"It works well as a team social or "&amp;IF(ISNUMBER(SEARCH(LEFT(F20,1),"AEIOU")),"an ","a ")&amp;F20&amp;"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LINK]")&amp;CHAR(10)&amp;CHAR(10)&amp;"Best,"&amp;CHAR(10)&amp;IF(AM20&lt;&gt;"",AM20,IF(Offer!$C$5&lt;&gt;"",Offer!$C$5,"[NAME]"))&amp;CHAR(10)&amp;"FC Urban"</f>
        <v/>
      </c>
      <c r="AK20" s="14">
        <f>"Hi "&amp;IF(R20&lt;&gt;"",R20,F20&amp;" team")&amp;","&amp;CHAR(10)&amp;CHAR(10)&amp;"Just bumping this up. The "&amp;AE20&amp;" pitch at "&amp;Z20&amp;" is still free "&amp;IF(ISNUMBER(AD20),TEXT(AD20,"ddd d mmm")&amp;", "&amp;TEXT(AD20,"hh:mm"),"weekday evenings")&amp;", "&amp;IF(OR(AA20=8,AA20=11,AA20=18),"an ","a ")&amp;AA20&amp;"-minute walk from your office, "&amp;IF(AF20&lt;&gt;"","£"&amp;IF(AF20=INT(AF20),TEXT(AF20,"0"),TEXT(AF20,"0.00")),"[PRICE PER PLAYER]")&amp;" a player. Happy to hold it for "&amp;F20&amp;"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LINK]")&amp;CHAR(10)&amp;CHAR(10)&amp;"Best,"&amp;CHAR(10)&amp;IF(AM20&lt;&gt;"",AM20,IF(Offer!$C$5&lt;&gt;"",Offer!$C$5,"[NAME]"))&amp;CHAR(10)&amp;"FC Urban"</f>
        <v/>
      </c>
      <c r="AL20" s="14">
        <f>IF(AH20="","No email yet",IF(ISNUMBER(SEARCH("[",AJ20)),"Fill placeholders",IF(ISNUMBER(AD20),"Ready to send","Ready · no fixed slot")))</f>
        <v/>
      </c>
      <c r="AO20" s="17" t="n"/>
      <c r="AP20" s="17" t="n"/>
    </row>
    <row r="21">
      <c r="A21" s="11" t="n">
        <v>19</v>
      </c>
      <c r="B21" s="11" t="n">
        <v>1</v>
      </c>
      <c r="C21" s="11" t="inlineStr">
        <is>
          <t>Law firm</t>
        </is>
      </c>
      <c r="D21" s="11" t="inlineStr">
        <is>
          <t>City of London</t>
        </is>
      </c>
      <c r="E21" s="11" t="inlineStr">
        <is>
          <t>Lighthouse Global Europe Limited</t>
        </is>
      </c>
      <c r="F21" s="11" t="inlineStr">
        <is>
          <t>Lighthouse</t>
        </is>
      </c>
      <c r="G21" s="12" t="inlineStr">
        <is>
          <t>https://lighthouse.com</t>
        </is>
      </c>
      <c r="H21" s="11" t="n"/>
      <c r="I21" s="11" t="inlineStr">
        <is>
          <t>Not found</t>
        </is>
      </c>
      <c r="J21" s="11" t="n"/>
      <c r="K21" s="11" t="inlineStr">
        <is>
          <t>09610972</t>
        </is>
      </c>
      <c r="L21" s="12" t="inlineStr">
        <is>
          <t>Open</t>
        </is>
      </c>
      <c r="M21" s="11" t="inlineStr">
        <is>
          <t>Group</t>
        </is>
      </c>
      <c r="N21" s="13" t="n">
        <v>42151</v>
      </c>
      <c r="O21" s="11" t="inlineStr">
        <is>
          <t>68 King William Street, London</t>
        </is>
      </c>
      <c r="P21" s="11" t="inlineStr">
        <is>
          <t>EC4N 7HR</t>
        </is>
      </c>
      <c r="Q21" s="11" t="inlineStr">
        <is>
          <t>No</t>
        </is>
      </c>
      <c r="W21" s="11" t="inlineStr">
        <is>
          <t>City of London School (EC4V 3AL)</t>
        </is>
      </c>
      <c r="X21" s="11" t="n">
        <v>14</v>
      </c>
      <c r="Y21" s="11" t="inlineStr">
        <is>
          <t>Marlborough Sports Garden (SE1 1SD) (15.6)</t>
        </is>
      </c>
      <c r="Z21" s="11" t="inlineStr">
        <is>
          <t>City of London School (EC4V 3AL)</t>
        </is>
      </c>
      <c r="AA21" s="11" t="n">
        <v>14</v>
      </c>
      <c r="AB21" s="14">
        <f>IFERROR(INDEX(Venues!$E$2:$E$17,MATCH(Z21,Venues!$A$2:$A$17,0)),"Not checked")</f>
        <v/>
      </c>
      <c r="AC21" s="14">
        <f>IFERROR(INDEX(Venues!$F$2:$F$17,MATCH(Z21,Venues!$A$2:$A$17,0)),0)</f>
        <v/>
      </c>
      <c r="AD21" s="15">
        <f>IFERROR(INDEX(Venues!$M$2:$M$17,MATCH(Z21,Venues!$A$2:$A$17,0)),"")</f>
        <v/>
      </c>
      <c r="AE21" s="14">
        <f>IFERROR(INDEX(Venues!$N$2:$N$17,MATCH(Z21,Venues!$A$2:$A$17,0)),"5-a-side")</f>
        <v/>
      </c>
      <c r="AF21" s="16">
        <f>IF(Offer!$C$4="","",Offer!$C$4)</f>
        <v/>
      </c>
      <c r="AG21" s="14">
        <f>Z21&amp;" ("&amp;AA21&amp;" min walk) · "&amp;IF(ISNUMBER(AD21),TEXT(AD21,"ddd d mmm, hh:mm"),"slot to confirm with venue")&amp;" · "&amp;AE21&amp;" · "&amp;IF(AF21&lt;&gt;"","£"&amp;TEXT(AF21,"0.00")&amp;" pp","price TBC")</f>
        <v/>
      </c>
      <c r="AH21" s="14">
        <f>IF(U21&lt;&gt;"",U21,IF(H21&lt;&gt;"",H21,""))</f>
        <v/>
      </c>
      <c r="AI21" s="14">
        <f>"After-work football for "&amp;F21&amp;" · "&amp;Z21&amp;", "&amp;AA21&amp;" min from your office"</f>
        <v/>
      </c>
      <c r="AJ21" s="14">
        <f>"Hi "&amp;IF(R21&lt;&gt;"",R21,F21&amp;" team")&amp;","&amp;CHAR(10)&amp;CHAR(10)&amp;"I'm "&amp;IF(AM21&lt;&gt;"",AM21,IF(Offer!$C$5&lt;&gt;"",Offer!$C$5,"[NAME]"))&amp;" from FC Urban. We organise after-work football for teams in the City and Canary Wharf."&amp;CHAR(10)&amp;CHAR(10)&amp;"We have a "&amp;AE21&amp;" pitch at "&amp;Z21&amp;", "&amp;IF(OR(AA21=8,AA21=11,AA21=18),"an ","a ")&amp;AA21&amp;"-minute walk from your "&amp;P21&amp;" office, "&amp;IF(ISNUMBER(AD21),"on "&amp;TEXT(AD21,"dddd d mmmm")&amp;" at "&amp;TEXT(AD21,"hh:mm"),"on a weekday evening that suits your team")&amp;". It's "&amp;IF(AF21&lt;&gt;"","£"&amp;IF(AF21=INT(AF21),TEXT(AF21,"0"),TEXT(AF21,"0.00")),"[PRICE PER PLAYER]")&amp;" a player and we handle the pitch booking, sign-ups and payments, so all it takes is one person sharing a link with the team."&amp;CHAR(10)&amp;CHAR(10)&amp;"It works well as a team social or "&amp;IF(ISNUMBER(SEARCH(LEFT(F21,1),"AEIOU")),"an ","a ")&amp;F21&amp;"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LINK]")&amp;CHAR(10)&amp;CHAR(10)&amp;"Best,"&amp;CHAR(10)&amp;IF(AM21&lt;&gt;"",AM21,IF(Offer!$C$5&lt;&gt;"",Offer!$C$5,"[NAME]"))&amp;CHAR(10)&amp;"FC Urban"</f>
        <v/>
      </c>
      <c r="AK21" s="14">
        <f>"Hi "&amp;IF(R21&lt;&gt;"",R21,F21&amp;" team")&amp;","&amp;CHAR(10)&amp;CHAR(10)&amp;"Just bumping this up. The "&amp;AE21&amp;" pitch at "&amp;Z21&amp;" is still free "&amp;IF(ISNUMBER(AD21),TEXT(AD21,"ddd d mmm")&amp;", "&amp;TEXT(AD21,"hh:mm"),"weekday evenings")&amp;", "&amp;IF(OR(AA21=8,AA21=11,AA21=18),"an ","a ")&amp;AA21&amp;"-minute walk from your office, "&amp;IF(AF21&lt;&gt;"","£"&amp;IF(AF21=INT(AF21),TEXT(AF21,"0"),TEXT(AF21,"0.00")),"[PRICE PER PLAYER]")&amp;" a player. Happy to hold it for "&amp;F21&amp;"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LINK]")&amp;CHAR(10)&amp;CHAR(10)&amp;"Best,"&amp;CHAR(10)&amp;IF(AM21&lt;&gt;"",AM21,IF(Offer!$C$5&lt;&gt;"",Offer!$C$5,"[NAME]"))&amp;CHAR(10)&amp;"FC Urban"</f>
        <v/>
      </c>
      <c r="AL21" s="14">
        <f>IF(AH21="","No email yet",IF(ISNUMBER(SEARCH("[",AJ21)),"Fill placeholders",IF(ISNUMBER(AD21),"Ready to send","Ready · no fixed slot")))</f>
        <v/>
      </c>
      <c r="AO21" s="17" t="n"/>
      <c r="AP21" s="17" t="n"/>
    </row>
    <row r="22">
      <c r="A22" s="11" t="n">
        <v>20</v>
      </c>
      <c r="B22" s="11" t="n">
        <v>1</v>
      </c>
      <c r="C22" s="11" t="inlineStr">
        <is>
          <t>Law firm</t>
        </is>
      </c>
      <c r="D22" s="11" t="inlineStr">
        <is>
          <t>City of London</t>
        </is>
      </c>
      <c r="E22" s="11" t="inlineStr">
        <is>
          <t>Howard Kennedy LLP</t>
        </is>
      </c>
      <c r="F22" s="11" t="inlineStr">
        <is>
          <t>Howard Kennedy</t>
        </is>
      </c>
      <c r="G22" s="12" t="inlineStr">
        <is>
          <t>https://www.howardkennedy.com</t>
        </is>
      </c>
      <c r="H22" s="11" t="inlineStr">
        <is>
          <t>london@howardkennedy.com</t>
        </is>
      </c>
      <c r="I22" s="11" t="inlineStr">
        <is>
          <t>general</t>
        </is>
      </c>
      <c r="J22" s="12" t="inlineStr">
        <is>
          <t>Open page</t>
        </is>
      </c>
      <c r="K22" s="11" t="inlineStr">
        <is>
          <t>OC361417</t>
        </is>
      </c>
      <c r="L22" s="12" t="inlineStr">
        <is>
          <t>Open</t>
        </is>
      </c>
      <c r="M22" s="11" t="inlineStr">
        <is>
          <t>Group</t>
        </is>
      </c>
      <c r="N22" s="13" t="n">
        <v>40575</v>
      </c>
      <c r="O22" s="11" t="inlineStr">
        <is>
          <t>No.1, London Bridge, London</t>
        </is>
      </c>
      <c r="P22" s="11" t="inlineStr">
        <is>
          <t>SE1 9BG</t>
        </is>
      </c>
      <c r="Q22" s="11" t="inlineStr">
        <is>
          <t>No</t>
        </is>
      </c>
      <c r="W22" s="11" t="inlineStr">
        <is>
          <t>Marlborough Sports Garden (SE1 1SD)</t>
        </is>
      </c>
      <c r="X22" s="11" t="n">
        <v>8</v>
      </c>
      <c r="Y22" s="11" t="inlineStr">
        <is>
          <t>City of London School (EC4V 3AL) (15.5); Borough Academy (16.1)</t>
        </is>
      </c>
      <c r="Z22" s="11" t="inlineStr">
        <is>
          <t>City of London School (EC4V 3AL)</t>
        </is>
      </c>
      <c r="AA22" s="11" t="n">
        <v>16</v>
      </c>
      <c r="AB22" s="14">
        <f>IFERROR(INDEX(Venues!$E$2:$E$17,MATCH(Z22,Venues!$A$2:$A$17,0)),"Not checked")</f>
        <v/>
      </c>
      <c r="AC22" s="14">
        <f>IFERROR(INDEX(Venues!$F$2:$F$17,MATCH(Z22,Venues!$A$2:$A$17,0)),0)</f>
        <v/>
      </c>
      <c r="AD22" s="15">
        <f>IFERROR(INDEX(Venues!$M$2:$M$17,MATCH(Z22,Venues!$A$2:$A$17,0)),"")</f>
        <v/>
      </c>
      <c r="AE22" s="14">
        <f>IFERROR(INDEX(Venues!$N$2:$N$17,MATCH(Z22,Venues!$A$2:$A$17,0)),"5-a-side")</f>
        <v/>
      </c>
      <c r="AF22" s="16">
        <f>IF(Offer!$C$4="","",Offer!$C$4)</f>
        <v/>
      </c>
      <c r="AG22" s="14">
        <f>Z22&amp;" ("&amp;AA22&amp;" min walk) · "&amp;IF(ISNUMBER(AD22),TEXT(AD22,"ddd d mmm, hh:mm"),"slot to confirm with venue")&amp;" · "&amp;AE22&amp;" · "&amp;IF(AF22&lt;&gt;"","£"&amp;TEXT(AF22,"0.00")&amp;" pp","price TBC")</f>
        <v/>
      </c>
      <c r="AH22" s="14">
        <f>IF(U22&lt;&gt;"",U22,IF(H22&lt;&gt;"",H22,""))</f>
        <v/>
      </c>
      <c r="AI22" s="14">
        <f>"After-work football for "&amp;F22&amp;" · "&amp;Z22&amp;", "&amp;AA22&amp;" min from your office"</f>
        <v/>
      </c>
      <c r="AJ22" s="14">
        <f>"Hi "&amp;IF(R22&lt;&gt;"",R22,F22&amp;" team")&amp;","&amp;CHAR(10)&amp;CHAR(10)&amp;"I'm "&amp;IF(AM22&lt;&gt;"",AM22,IF(Offer!$C$5&lt;&gt;"",Offer!$C$5,"[NAME]"))&amp;" from FC Urban. We organise after-work football for teams in the City and Canary Wharf."&amp;CHAR(10)&amp;CHAR(10)&amp;"We have a "&amp;AE22&amp;" pitch at "&amp;Z22&amp;", "&amp;IF(OR(AA22=8,AA22=11,AA22=18),"an ","a ")&amp;AA22&amp;"-minute walk from your "&amp;P22&amp;" office, "&amp;IF(ISNUMBER(AD22),"on "&amp;TEXT(AD22,"dddd d mmmm")&amp;" at "&amp;TEXT(AD22,"hh:mm"),"on a weekday evening that suits your team")&amp;". It's "&amp;IF(AF22&lt;&gt;"","£"&amp;IF(AF22=INT(AF22),TEXT(AF22,"0"),TEXT(AF22,"0.00")),"[PRICE PER PLAYER]")&amp;" a player and we handle the pitch booking, sign-ups and payments, so all it takes is one person sharing a link with the team."&amp;CHAR(10)&amp;CHAR(10)&amp;"It works well as a team social or "&amp;IF(ISNUMBER(SEARCH(LEFT(F22,1),"AEIOU")),"an ","a ")&amp;F22&amp;"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LINK]")&amp;CHAR(10)&amp;CHAR(10)&amp;"Best,"&amp;CHAR(10)&amp;IF(AM22&lt;&gt;"",AM22,IF(Offer!$C$5&lt;&gt;"",Offer!$C$5,"[NAME]"))&amp;CHAR(10)&amp;"FC Urban"</f>
        <v/>
      </c>
      <c r="AK22" s="14">
        <f>"Hi "&amp;IF(R22&lt;&gt;"",R22,F22&amp;" team")&amp;","&amp;CHAR(10)&amp;CHAR(10)&amp;"Just bumping this up. The "&amp;AE22&amp;" pitch at "&amp;Z22&amp;" is still free "&amp;IF(ISNUMBER(AD22),TEXT(AD22,"ddd d mmm")&amp;", "&amp;TEXT(AD22,"hh:mm"),"weekday evenings")&amp;", "&amp;IF(OR(AA22=8,AA22=11,AA22=18),"an ","a ")&amp;AA22&amp;"-minute walk from your office, "&amp;IF(AF22&lt;&gt;"","£"&amp;IF(AF22=INT(AF22),TEXT(AF22,"0"),TEXT(AF22,"0.00")),"[PRICE PER PLAYER]")&amp;" a player. Happy to hold it for "&amp;F22&amp;"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LINK]")&amp;CHAR(10)&amp;CHAR(10)&amp;"Best,"&amp;CHAR(10)&amp;IF(AM22&lt;&gt;"",AM22,IF(Offer!$C$5&lt;&gt;"",Offer!$C$5,"[NAME]"))&amp;CHAR(10)&amp;"FC Urban"</f>
        <v/>
      </c>
      <c r="AL22" s="14">
        <f>IF(AH22="","No email yet",IF(ISNUMBER(SEARCH("[",AJ22)),"Fill placeholders",IF(ISNUMBER(AD22),"Ready to send","Ready · no fixed slot")))</f>
        <v/>
      </c>
      <c r="AO22" s="17" t="n"/>
      <c r="AP22" s="17" t="n"/>
    </row>
    <row r="23">
      <c r="A23" s="11" t="n">
        <v>21</v>
      </c>
      <c r="B23" s="11" t="n">
        <v>1</v>
      </c>
      <c r="C23" s="11" t="inlineStr">
        <is>
          <t>Law firm</t>
        </is>
      </c>
      <c r="D23" s="11" t="inlineStr">
        <is>
          <t>City of London</t>
        </is>
      </c>
      <c r="E23" s="11" t="inlineStr">
        <is>
          <t>Linklaters LLP</t>
        </is>
      </c>
      <c r="F23" s="11" t="inlineStr">
        <is>
          <t>Linklaters</t>
        </is>
      </c>
      <c r="G23" s="12" t="inlineStr">
        <is>
          <t>https://www.linklaters.com</t>
        </is>
      </c>
      <c r="H23" s="11" t="inlineStr">
        <is>
          <t>pressoffice@linklaters.com</t>
        </is>
      </c>
      <c r="I23" s="11" t="inlineStr">
        <is>
          <t>role (press / marketing)</t>
        </is>
      </c>
      <c r="J23" s="12" t="inlineStr">
        <is>
          <t>Open page</t>
        </is>
      </c>
      <c r="K23" s="11" t="inlineStr">
        <is>
          <t>OC326345</t>
        </is>
      </c>
      <c r="L23" s="12" t="inlineStr">
        <is>
          <t>Open</t>
        </is>
      </c>
      <c r="M23" s="11" t="inlineStr">
        <is>
          <t>Group</t>
        </is>
      </c>
      <c r="N23" s="13" t="n">
        <v>39140</v>
      </c>
      <c r="O23" s="11" t="inlineStr">
        <is>
          <t>20 Ropemaker Street, London</t>
        </is>
      </c>
      <c r="P23" s="11" t="inlineStr">
        <is>
          <t>EC2Y 9AR</t>
        </is>
      </c>
      <c r="Q23" s="11" t="inlineStr">
        <is>
          <t>No</t>
        </is>
      </c>
      <c r="W23" s="11" t="inlineStr">
        <is>
          <t>Finsbury Leisure Centre (EC1V 3PU)</t>
        </is>
      </c>
      <c r="X23" s="11" t="n">
        <v>14</v>
      </c>
      <c r="Y23" s="11" t="inlineStr">
        <is>
          <t>Shoreditch Powerleague (15.7); Liverpool St - Attlee Centre (17.7)</t>
        </is>
      </c>
      <c r="Z23" s="11" t="inlineStr">
        <is>
          <t>Shoreditch Powerleague</t>
        </is>
      </c>
      <c r="AA23" s="11" t="n">
        <v>16</v>
      </c>
      <c r="AB23" s="14">
        <f>IFERROR(INDEX(Venues!$E$2:$E$17,MATCH(Z23,Venues!$A$2:$A$17,0)),"Not checked")</f>
        <v/>
      </c>
      <c r="AC23" s="14">
        <f>IFERROR(INDEX(Venues!$F$2:$F$17,MATCH(Z23,Venues!$A$2:$A$17,0)),0)</f>
        <v/>
      </c>
      <c r="AD23" s="15">
        <f>IFERROR(INDEX(Venues!$M$2:$M$17,MATCH(Z23,Venues!$A$2:$A$17,0)),"")</f>
        <v/>
      </c>
      <c r="AE23" s="14">
        <f>IFERROR(INDEX(Venues!$N$2:$N$17,MATCH(Z23,Venues!$A$2:$A$17,0)),"5-a-side")</f>
        <v/>
      </c>
      <c r="AF23" s="16">
        <f>IF(Offer!$C$4="","",Offer!$C$4)</f>
        <v/>
      </c>
      <c r="AG23" s="14">
        <f>Z23&amp;" ("&amp;AA23&amp;" min walk) · "&amp;IF(ISNUMBER(AD23),TEXT(AD23,"ddd d mmm, hh:mm"),"slot to confirm with venue")&amp;" · "&amp;AE23&amp;" · "&amp;IF(AF23&lt;&gt;"","£"&amp;TEXT(AF23,"0.00")&amp;" pp","price TBC")</f>
        <v/>
      </c>
      <c r="AH23" s="14">
        <f>IF(U23&lt;&gt;"",U23,IF(H23&lt;&gt;"",H23,""))</f>
        <v/>
      </c>
      <c r="AI23" s="14">
        <f>"After-work football for "&amp;F23&amp;" · "&amp;Z23&amp;", "&amp;AA23&amp;" min from your office"</f>
        <v/>
      </c>
      <c r="AJ23" s="14">
        <f>"Hi "&amp;IF(R23&lt;&gt;"",R23,F23&amp;" team")&amp;","&amp;CHAR(10)&amp;CHAR(10)&amp;"I'm "&amp;IF(AM23&lt;&gt;"",AM23,IF(Offer!$C$5&lt;&gt;"",Offer!$C$5,"[NAME]"))&amp;" from FC Urban. We organise after-work football for teams in the City and Canary Wharf."&amp;CHAR(10)&amp;CHAR(10)&amp;"We have a "&amp;AE23&amp;" pitch at "&amp;Z23&amp;", "&amp;IF(OR(AA23=8,AA23=11,AA23=18),"an ","a ")&amp;AA23&amp;"-minute walk from your "&amp;P23&amp;" office, "&amp;IF(ISNUMBER(AD23),"on "&amp;TEXT(AD23,"dddd d mmmm")&amp;" at "&amp;TEXT(AD23,"hh:mm"),"on a weekday evening that suits your team")&amp;". It's "&amp;IF(AF23&lt;&gt;"","£"&amp;IF(AF23=INT(AF23),TEXT(AF23,"0"),TEXT(AF23,"0.00")),"[PRICE PER PLAYER]")&amp;" a player and we handle the pitch booking, sign-ups and payments, so all it takes is one person sharing a link with the team."&amp;CHAR(10)&amp;CHAR(10)&amp;"It works well as a team social or "&amp;IF(ISNUMBER(SEARCH(LEFT(F23,1),"AEIOU")),"an ","a ")&amp;F23&amp;"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LINK]")&amp;CHAR(10)&amp;CHAR(10)&amp;"Best,"&amp;CHAR(10)&amp;IF(AM23&lt;&gt;"",AM23,IF(Offer!$C$5&lt;&gt;"",Offer!$C$5,"[NAME]"))&amp;CHAR(10)&amp;"FC Urban"</f>
        <v/>
      </c>
      <c r="AK23" s="14">
        <f>"Hi "&amp;IF(R23&lt;&gt;"",R23,F23&amp;" team")&amp;","&amp;CHAR(10)&amp;CHAR(10)&amp;"Just bumping this up. The "&amp;AE23&amp;" pitch at "&amp;Z23&amp;" is still free "&amp;IF(ISNUMBER(AD23),TEXT(AD23,"ddd d mmm")&amp;", "&amp;TEXT(AD23,"hh:mm"),"weekday evenings")&amp;", "&amp;IF(OR(AA23=8,AA23=11,AA23=18),"an ","a ")&amp;AA23&amp;"-minute walk from your office, "&amp;IF(AF23&lt;&gt;"","£"&amp;IF(AF23=INT(AF23),TEXT(AF23,"0"),TEXT(AF23,"0.00")),"[PRICE PER PLAYER]")&amp;" a player. Happy to hold it for "&amp;F23&amp;"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LINK]")&amp;CHAR(10)&amp;CHAR(10)&amp;"Best,"&amp;CHAR(10)&amp;IF(AM23&lt;&gt;"",AM23,IF(Offer!$C$5&lt;&gt;"",Offer!$C$5,"[NAME]"))&amp;CHAR(10)&amp;"FC Urban"</f>
        <v/>
      </c>
      <c r="AL23" s="14">
        <f>IF(AH23="","No email yet",IF(ISNUMBER(SEARCH("[",AJ23)),"Fill placeholders",IF(ISNUMBER(AD23),"Ready to send","Ready · no fixed slot")))</f>
        <v/>
      </c>
      <c r="AO23" s="17" t="n"/>
      <c r="AP23" s="17" t="n"/>
    </row>
    <row r="24">
      <c r="A24" s="11" t="n">
        <v>22</v>
      </c>
      <c r="B24" s="11" t="n">
        <v>1</v>
      </c>
      <c r="C24" s="11" t="inlineStr">
        <is>
          <t>Law firm</t>
        </is>
      </c>
      <c r="D24" s="11" t="inlineStr">
        <is>
          <t>City of London</t>
        </is>
      </c>
      <c r="E24" s="11" t="inlineStr">
        <is>
          <t>Three Crowns (Services) LLP</t>
        </is>
      </c>
      <c r="F24" s="11" t="inlineStr">
        <is>
          <t>Three Crowns</t>
        </is>
      </c>
      <c r="G24" s="12" t="inlineStr">
        <is>
          <t>https://www.threecrownsllp.com</t>
        </is>
      </c>
      <c r="H24" s="11" t="inlineStr">
        <is>
          <t>london@threecrownsllp.com</t>
        </is>
      </c>
      <c r="I24" s="11" t="inlineStr">
        <is>
          <t>general</t>
        </is>
      </c>
      <c r="J24" s="12" t="inlineStr">
        <is>
          <t>Open page</t>
        </is>
      </c>
      <c r="K24" s="11" t="inlineStr">
        <is>
          <t>OC389628</t>
        </is>
      </c>
      <c r="L24" s="12" t="inlineStr">
        <is>
          <t>Open</t>
        </is>
      </c>
      <c r="M24" s="11" t="inlineStr">
        <is>
          <t>Group</t>
        </is>
      </c>
      <c r="N24" s="13" t="n">
        <v>41610</v>
      </c>
      <c r="O24" s="11" t="inlineStr">
        <is>
          <t>The Jj Mack Building, 33 Charterhouse Street, London</t>
        </is>
      </c>
      <c r="P24" s="11" t="inlineStr">
        <is>
          <t>EC1M 6HA</t>
        </is>
      </c>
      <c r="Q24" s="11" t="inlineStr">
        <is>
          <t>No</t>
        </is>
      </c>
      <c r="W24" s="11" t="inlineStr">
        <is>
          <t>City of London School (EC4V 3AL)</t>
        </is>
      </c>
      <c r="X24" s="11" t="n">
        <v>16</v>
      </c>
      <c r="Y24" s="11" t="inlineStr">
        <is>
          <t>Finsbury Leisure Centre (EC1V 3PU) (15.7); Old St - Moreland Primary School (18.5)</t>
        </is>
      </c>
      <c r="Z24" s="11" t="inlineStr">
        <is>
          <t>City of London School (EC4V 3AL)</t>
        </is>
      </c>
      <c r="AA24" s="11" t="n">
        <v>16</v>
      </c>
      <c r="AB24" s="14">
        <f>IFERROR(INDEX(Venues!$E$2:$E$17,MATCH(Z24,Venues!$A$2:$A$17,0)),"Not checked")</f>
        <v/>
      </c>
      <c r="AC24" s="14">
        <f>IFERROR(INDEX(Venues!$F$2:$F$17,MATCH(Z24,Venues!$A$2:$A$17,0)),0)</f>
        <v/>
      </c>
      <c r="AD24" s="15">
        <f>IFERROR(INDEX(Venues!$M$2:$M$17,MATCH(Z24,Venues!$A$2:$A$17,0)),"")</f>
        <v/>
      </c>
      <c r="AE24" s="14">
        <f>IFERROR(INDEX(Venues!$N$2:$N$17,MATCH(Z24,Venues!$A$2:$A$17,0)),"5-a-side")</f>
        <v/>
      </c>
      <c r="AF24" s="16">
        <f>IF(Offer!$C$4="","",Offer!$C$4)</f>
        <v/>
      </c>
      <c r="AG24" s="14">
        <f>Z24&amp;" ("&amp;AA24&amp;" min walk) · "&amp;IF(ISNUMBER(AD24),TEXT(AD24,"ddd d mmm, hh:mm"),"slot to confirm with venue")&amp;" · "&amp;AE24&amp;" · "&amp;IF(AF24&lt;&gt;"","£"&amp;TEXT(AF24,"0.00")&amp;" pp","price TBC")</f>
        <v/>
      </c>
      <c r="AH24" s="14">
        <f>IF(U24&lt;&gt;"",U24,IF(H24&lt;&gt;"",H24,""))</f>
        <v/>
      </c>
      <c r="AI24" s="14">
        <f>"After-work football for "&amp;F24&amp;" · "&amp;Z24&amp;", "&amp;AA24&amp;" min from your office"</f>
        <v/>
      </c>
      <c r="AJ24" s="14">
        <f>"Hi "&amp;IF(R24&lt;&gt;"",R24,F24&amp;" team")&amp;","&amp;CHAR(10)&amp;CHAR(10)&amp;"I'm "&amp;IF(AM24&lt;&gt;"",AM24,IF(Offer!$C$5&lt;&gt;"",Offer!$C$5,"[NAME]"))&amp;" from FC Urban. We organise after-work football for teams in the City and Canary Wharf."&amp;CHAR(10)&amp;CHAR(10)&amp;"We have a "&amp;AE24&amp;" pitch at "&amp;Z24&amp;", "&amp;IF(OR(AA24=8,AA24=11,AA24=18),"an ","a ")&amp;AA24&amp;"-minute walk from your "&amp;P24&amp;" office, "&amp;IF(ISNUMBER(AD24),"on "&amp;TEXT(AD24,"dddd d mmmm")&amp;" at "&amp;TEXT(AD24,"hh:mm"),"on a weekday evening that suits your team")&amp;". It's "&amp;IF(AF24&lt;&gt;"","£"&amp;IF(AF24=INT(AF24),TEXT(AF24,"0"),TEXT(AF24,"0.00")),"[PRICE PER PLAYER]")&amp;" a player and we handle the pitch booking, sign-ups and payments, so all it takes is one person sharing a link with the team."&amp;CHAR(10)&amp;CHAR(10)&amp;"It works well as a team social or "&amp;IF(ISNUMBER(SEARCH(LEFT(F24,1),"AEIOU")),"an ","a ")&amp;F24&amp;"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LINK]")&amp;CHAR(10)&amp;CHAR(10)&amp;"Best,"&amp;CHAR(10)&amp;IF(AM24&lt;&gt;"",AM24,IF(Offer!$C$5&lt;&gt;"",Offer!$C$5,"[NAME]"))&amp;CHAR(10)&amp;"FC Urban"</f>
        <v/>
      </c>
      <c r="AK24" s="14">
        <f>"Hi "&amp;IF(R24&lt;&gt;"",R24,F24&amp;" team")&amp;","&amp;CHAR(10)&amp;CHAR(10)&amp;"Just bumping this up. The "&amp;AE24&amp;" pitch at "&amp;Z24&amp;" is still free "&amp;IF(ISNUMBER(AD24),TEXT(AD24,"ddd d mmm")&amp;", "&amp;TEXT(AD24,"hh:mm"),"weekday evenings")&amp;", "&amp;IF(OR(AA24=8,AA24=11,AA24=18),"an ","a ")&amp;AA24&amp;"-minute walk from your office, "&amp;IF(AF24&lt;&gt;"","£"&amp;IF(AF24=INT(AF24),TEXT(AF24,"0"),TEXT(AF24,"0.00")),"[PRICE PER PLAYER]")&amp;" a player. Happy to hold it for "&amp;F24&amp;"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LINK]")&amp;CHAR(10)&amp;CHAR(10)&amp;"Best,"&amp;CHAR(10)&amp;IF(AM24&lt;&gt;"",AM24,IF(Offer!$C$5&lt;&gt;"",Offer!$C$5,"[NAME]"))&amp;CHAR(10)&amp;"FC Urban"</f>
        <v/>
      </c>
      <c r="AL24" s="14">
        <f>IF(AH24="","No email yet",IF(ISNUMBER(SEARCH("[",AJ24)),"Fill placeholders",IF(ISNUMBER(AD24),"Ready to send","Ready · no fixed slot")))</f>
        <v/>
      </c>
      <c r="AO24" s="17" t="n"/>
      <c r="AP24" s="17" t="n"/>
    </row>
    <row r="25">
      <c r="A25" s="11" t="n">
        <v>23</v>
      </c>
      <c r="B25" s="11" t="n">
        <v>1</v>
      </c>
      <c r="C25" s="11" t="inlineStr">
        <is>
          <t>Law firm</t>
        </is>
      </c>
      <c r="D25" s="11" t="inlineStr">
        <is>
          <t>City of London</t>
        </is>
      </c>
      <c r="E25" s="11" t="inlineStr">
        <is>
          <t>Stephenson Harwood LLP</t>
        </is>
      </c>
      <c r="F25" s="11" t="inlineStr">
        <is>
          <t>Stephenson Harwood</t>
        </is>
      </c>
      <c r="G25" s="12" t="inlineStr">
        <is>
          <t>https://www.stephensonharwood.com</t>
        </is>
      </c>
      <c r="H25" s="11" t="inlineStr">
        <is>
          <t>info@stephensonharwood.com</t>
        </is>
      </c>
      <c r="I25" s="11" t="inlineStr">
        <is>
          <t>general</t>
        </is>
      </c>
      <c r="J25" s="12" t="inlineStr">
        <is>
          <t>Open page</t>
        </is>
      </c>
      <c r="K25" s="11" t="inlineStr">
        <is>
          <t>OC373597</t>
        </is>
      </c>
      <c r="L25" s="12" t="inlineStr">
        <is>
          <t>Open</t>
        </is>
      </c>
      <c r="M25" s="11" t="inlineStr">
        <is>
          <t>Group</t>
        </is>
      </c>
      <c r="N25" s="13" t="n">
        <v>40989</v>
      </c>
      <c r="O25" s="11" t="inlineStr">
        <is>
          <t>1 Finsbury Circus, London</t>
        </is>
      </c>
      <c r="P25" s="11" t="inlineStr">
        <is>
          <t>EC2M 7SH</t>
        </is>
      </c>
      <c r="Q25" s="11" t="inlineStr">
        <is>
          <t>No</t>
        </is>
      </c>
      <c r="W25" s="11" t="inlineStr">
        <is>
          <t>Shoreditch Powerleague</t>
        </is>
      </c>
      <c r="X25" s="11" t="n">
        <v>16</v>
      </c>
      <c r="Y25" s="11" t="inlineStr">
        <is>
          <t>Liverpool St - Attlee Centre (16.3); Finsbury Leisure Centre (EC1V 3PU) (16.6)</t>
        </is>
      </c>
      <c r="Z25" s="11" t="inlineStr">
        <is>
          <t>Shoreditch Powerleague</t>
        </is>
      </c>
      <c r="AA25" s="11" t="n">
        <v>16</v>
      </c>
      <c r="AB25" s="14">
        <f>IFERROR(INDEX(Venues!$E$2:$E$17,MATCH(Z25,Venues!$A$2:$A$17,0)),"Not checked")</f>
        <v/>
      </c>
      <c r="AC25" s="14">
        <f>IFERROR(INDEX(Venues!$F$2:$F$17,MATCH(Z25,Venues!$A$2:$A$17,0)),0)</f>
        <v/>
      </c>
      <c r="AD25" s="15">
        <f>IFERROR(INDEX(Venues!$M$2:$M$17,MATCH(Z25,Venues!$A$2:$A$17,0)),"")</f>
        <v/>
      </c>
      <c r="AE25" s="14">
        <f>IFERROR(INDEX(Venues!$N$2:$N$17,MATCH(Z25,Venues!$A$2:$A$17,0)),"5-a-side")</f>
        <v/>
      </c>
      <c r="AF25" s="16">
        <f>IF(Offer!$C$4="","",Offer!$C$4)</f>
        <v/>
      </c>
      <c r="AG25" s="14">
        <f>Z25&amp;" ("&amp;AA25&amp;" min walk) · "&amp;IF(ISNUMBER(AD25),TEXT(AD25,"ddd d mmm, hh:mm"),"slot to confirm with venue")&amp;" · "&amp;AE25&amp;" · "&amp;IF(AF25&lt;&gt;"","£"&amp;TEXT(AF25,"0.00")&amp;" pp","price TBC")</f>
        <v/>
      </c>
      <c r="AH25" s="14">
        <f>IF(U25&lt;&gt;"",U25,IF(H25&lt;&gt;"",H25,""))</f>
        <v/>
      </c>
      <c r="AI25" s="14">
        <f>"After-work football for "&amp;F25&amp;" · "&amp;Z25&amp;", "&amp;AA25&amp;" min from your office"</f>
        <v/>
      </c>
      <c r="AJ25" s="14">
        <f>"Hi "&amp;IF(R25&lt;&gt;"",R25,F25&amp;" team")&amp;","&amp;CHAR(10)&amp;CHAR(10)&amp;"I'm "&amp;IF(AM25&lt;&gt;"",AM25,IF(Offer!$C$5&lt;&gt;"",Offer!$C$5,"[NAME]"))&amp;" from FC Urban. We organise after-work football for teams in the City and Canary Wharf."&amp;CHAR(10)&amp;CHAR(10)&amp;"We have a "&amp;AE25&amp;" pitch at "&amp;Z25&amp;", "&amp;IF(OR(AA25=8,AA25=11,AA25=18),"an ","a ")&amp;AA25&amp;"-minute walk from your "&amp;P25&amp;" office, "&amp;IF(ISNUMBER(AD25),"on "&amp;TEXT(AD25,"dddd d mmmm")&amp;" at "&amp;TEXT(AD25,"hh:mm"),"on a weekday evening that suits your team")&amp;". It's "&amp;IF(AF25&lt;&gt;"","£"&amp;IF(AF25=INT(AF25),TEXT(AF25,"0"),TEXT(AF25,"0.00")),"[PRICE PER PLAYER]")&amp;" a player and we handle the pitch booking, sign-ups and payments, so all it takes is one person sharing a link with the team."&amp;CHAR(10)&amp;CHAR(10)&amp;"It works well as a team social or "&amp;IF(ISNUMBER(SEARCH(LEFT(F25,1),"AEIOU")),"an ","a ")&amp;F25&amp;"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LINK]")&amp;CHAR(10)&amp;CHAR(10)&amp;"Best,"&amp;CHAR(10)&amp;IF(AM25&lt;&gt;"",AM25,IF(Offer!$C$5&lt;&gt;"",Offer!$C$5,"[NAME]"))&amp;CHAR(10)&amp;"FC Urban"</f>
        <v/>
      </c>
      <c r="AK25" s="14">
        <f>"Hi "&amp;IF(R25&lt;&gt;"",R25,F25&amp;" team")&amp;","&amp;CHAR(10)&amp;CHAR(10)&amp;"Just bumping this up. The "&amp;AE25&amp;" pitch at "&amp;Z25&amp;" is still free "&amp;IF(ISNUMBER(AD25),TEXT(AD25,"ddd d mmm")&amp;", "&amp;TEXT(AD25,"hh:mm"),"weekday evenings")&amp;", "&amp;IF(OR(AA25=8,AA25=11,AA25=18),"an ","a ")&amp;AA25&amp;"-minute walk from your office, "&amp;IF(AF25&lt;&gt;"","£"&amp;IF(AF25=INT(AF25),TEXT(AF25,"0"),TEXT(AF25,"0.00")),"[PRICE PER PLAYER]")&amp;" a player. Happy to hold it for "&amp;F25&amp;"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LINK]")&amp;CHAR(10)&amp;CHAR(10)&amp;"Best,"&amp;CHAR(10)&amp;IF(AM25&lt;&gt;"",AM25,IF(Offer!$C$5&lt;&gt;"",Offer!$C$5,"[NAME]"))&amp;CHAR(10)&amp;"FC Urban"</f>
        <v/>
      </c>
      <c r="AL25" s="14">
        <f>IF(AH25="","No email yet",IF(ISNUMBER(SEARCH("[",AJ25)),"Fill placeholders",IF(ISNUMBER(AD25),"Ready to send","Ready · no fixed slot")))</f>
        <v/>
      </c>
      <c r="AO25" s="17" t="n"/>
      <c r="AP25" s="17" t="n"/>
    </row>
    <row r="26">
      <c r="A26" s="11" t="n">
        <v>24</v>
      </c>
      <c r="B26" s="11" t="n">
        <v>1</v>
      </c>
      <c r="C26" s="11" t="inlineStr">
        <is>
          <t>Law firm</t>
        </is>
      </c>
      <c r="D26" s="11" t="inlineStr">
        <is>
          <t>City of London</t>
        </is>
      </c>
      <c r="E26" s="11" t="inlineStr">
        <is>
          <t>Devonshires Solicitors LLP</t>
        </is>
      </c>
      <c r="F26" s="11" t="inlineStr">
        <is>
          <t>Devonshires Solicitors</t>
        </is>
      </c>
      <c r="G26" s="12" t="inlineStr">
        <is>
          <t>https://www.devonshires.com</t>
        </is>
      </c>
      <c r="H26" s="11" t="inlineStr">
        <is>
          <t>info@devonshires.co.uk</t>
        </is>
      </c>
      <c r="I26" s="11" t="inlineStr">
        <is>
          <t>general</t>
        </is>
      </c>
      <c r="J26" s="12" t="inlineStr">
        <is>
          <t>Open page</t>
        </is>
      </c>
      <c r="K26" s="11" t="inlineStr">
        <is>
          <t>OC397401</t>
        </is>
      </c>
      <c r="L26" s="12" t="inlineStr">
        <is>
          <t>Open</t>
        </is>
      </c>
      <c r="M26" s="11" t="inlineStr">
        <is>
          <t>Group</t>
        </is>
      </c>
      <c r="N26" s="13" t="n">
        <v>42011</v>
      </c>
      <c r="O26" s="11" t="inlineStr">
        <is>
          <t>30 Finsbury Circus, London</t>
        </is>
      </c>
      <c r="P26" s="11" t="inlineStr">
        <is>
          <t>EC2M 7DT</t>
        </is>
      </c>
      <c r="Q26" s="11" t="inlineStr">
        <is>
          <t>No</t>
        </is>
      </c>
      <c r="W26" s="11" t="inlineStr">
        <is>
          <t>Liverpool St - Attlee Centre</t>
        </is>
      </c>
      <c r="X26" s="11" t="n">
        <v>16</v>
      </c>
      <c r="Y26" s="11" t="inlineStr">
        <is>
          <t>Shoreditch Powerleague (16.7); Finsbury Leisure Centre (EC1V 3PU) (17.4)</t>
        </is>
      </c>
      <c r="Z26" s="11" t="inlineStr">
        <is>
          <t>Shoreditch Powerleague</t>
        </is>
      </c>
      <c r="AA26" s="11" t="n">
        <v>17</v>
      </c>
      <c r="AB26" s="14">
        <f>IFERROR(INDEX(Venues!$E$2:$E$17,MATCH(Z26,Venues!$A$2:$A$17,0)),"Not checked")</f>
        <v/>
      </c>
      <c r="AC26" s="14">
        <f>IFERROR(INDEX(Venues!$F$2:$F$17,MATCH(Z26,Venues!$A$2:$A$17,0)),0)</f>
        <v/>
      </c>
      <c r="AD26" s="15">
        <f>IFERROR(INDEX(Venues!$M$2:$M$17,MATCH(Z26,Venues!$A$2:$A$17,0)),"")</f>
        <v/>
      </c>
      <c r="AE26" s="14">
        <f>IFERROR(INDEX(Venues!$N$2:$N$17,MATCH(Z26,Venues!$A$2:$A$17,0)),"5-a-side")</f>
        <v/>
      </c>
      <c r="AF26" s="16">
        <f>IF(Offer!$C$4="","",Offer!$C$4)</f>
        <v/>
      </c>
      <c r="AG26" s="14">
        <f>Z26&amp;" ("&amp;AA26&amp;" min walk) · "&amp;IF(ISNUMBER(AD26),TEXT(AD26,"ddd d mmm, hh:mm"),"slot to confirm with venue")&amp;" · "&amp;AE26&amp;" · "&amp;IF(AF26&lt;&gt;"","£"&amp;TEXT(AF26,"0.00")&amp;" pp","price TBC")</f>
        <v/>
      </c>
      <c r="AH26" s="14">
        <f>IF(U26&lt;&gt;"",U26,IF(H26&lt;&gt;"",H26,""))</f>
        <v/>
      </c>
      <c r="AI26" s="14">
        <f>"After-work football for "&amp;F26&amp;" · "&amp;Z26&amp;", "&amp;AA26&amp;" min from your office"</f>
        <v/>
      </c>
      <c r="AJ26" s="14">
        <f>"Hi "&amp;IF(R26&lt;&gt;"",R26,F26&amp;" team")&amp;","&amp;CHAR(10)&amp;CHAR(10)&amp;"I'm "&amp;IF(AM26&lt;&gt;"",AM26,IF(Offer!$C$5&lt;&gt;"",Offer!$C$5,"[NAME]"))&amp;" from FC Urban. We organise after-work football for teams in the City and Canary Wharf."&amp;CHAR(10)&amp;CHAR(10)&amp;"We have a "&amp;AE26&amp;" pitch at "&amp;Z26&amp;", "&amp;IF(OR(AA26=8,AA26=11,AA26=18),"an ","a ")&amp;AA26&amp;"-minute walk from your "&amp;P26&amp;" office, "&amp;IF(ISNUMBER(AD26),"on "&amp;TEXT(AD26,"dddd d mmmm")&amp;" at "&amp;TEXT(AD26,"hh:mm"),"on a weekday evening that suits your team")&amp;". It's "&amp;IF(AF26&lt;&gt;"","£"&amp;IF(AF26=INT(AF26),TEXT(AF26,"0"),TEXT(AF26,"0.00")),"[PRICE PER PLAYER]")&amp;" a player and we handle the pitch booking, sign-ups and payments, so all it takes is one person sharing a link with the team."&amp;CHAR(10)&amp;CHAR(10)&amp;"It works well as a team social or "&amp;IF(ISNUMBER(SEARCH(LEFT(F26,1),"AEIOU")),"an ","a ")&amp;F26&amp;"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LINK]")&amp;CHAR(10)&amp;CHAR(10)&amp;"Best,"&amp;CHAR(10)&amp;IF(AM26&lt;&gt;"",AM26,IF(Offer!$C$5&lt;&gt;"",Offer!$C$5,"[NAME]"))&amp;CHAR(10)&amp;"FC Urban"</f>
        <v/>
      </c>
      <c r="AK26" s="14">
        <f>"Hi "&amp;IF(R26&lt;&gt;"",R26,F26&amp;" team")&amp;","&amp;CHAR(10)&amp;CHAR(10)&amp;"Just bumping this up. The "&amp;AE26&amp;" pitch at "&amp;Z26&amp;" is still free "&amp;IF(ISNUMBER(AD26),TEXT(AD26,"ddd d mmm")&amp;", "&amp;TEXT(AD26,"hh:mm"),"weekday evenings")&amp;", "&amp;IF(OR(AA26=8,AA26=11,AA26=18),"an ","a ")&amp;AA26&amp;"-minute walk from your office, "&amp;IF(AF26&lt;&gt;"","£"&amp;IF(AF26=INT(AF26),TEXT(AF26,"0"),TEXT(AF26,"0.00")),"[PRICE PER PLAYER]")&amp;" a player. Happy to hold it for "&amp;F26&amp;"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LINK]")&amp;CHAR(10)&amp;CHAR(10)&amp;"Best,"&amp;CHAR(10)&amp;IF(AM26&lt;&gt;"",AM26,IF(Offer!$C$5&lt;&gt;"",Offer!$C$5,"[NAME]"))&amp;CHAR(10)&amp;"FC Urban"</f>
        <v/>
      </c>
      <c r="AL26" s="14">
        <f>IF(AH26="","No email yet",IF(ISNUMBER(SEARCH("[",AJ26)),"Fill placeholders",IF(ISNUMBER(AD26),"Ready to send","Ready · no fixed slot")))</f>
        <v/>
      </c>
      <c r="AO26" s="17" t="n"/>
      <c r="AP26" s="17" t="n"/>
    </row>
    <row r="27">
      <c r="A27" s="11" t="n">
        <v>25</v>
      </c>
      <c r="B27" s="11" t="n">
        <v>1</v>
      </c>
      <c r="C27" s="11" t="inlineStr">
        <is>
          <t>Law firm</t>
        </is>
      </c>
      <c r="D27" s="11" t="inlineStr">
        <is>
          <t>City of London</t>
        </is>
      </c>
      <c r="E27" s="11" t="inlineStr">
        <is>
          <t>PGMBM Ltd</t>
        </is>
      </c>
      <c r="F27" s="11" t="inlineStr">
        <is>
          <t>Pogust Goodhead</t>
        </is>
      </c>
      <c r="G27" s="12" t="inlineStr">
        <is>
          <t>https://pogustgoodhead.com</t>
        </is>
      </c>
      <c r="H27" s="11" t="inlineStr">
        <is>
          <t>mydata@pogustgoodhead.com</t>
        </is>
      </c>
      <c r="I27" s="11" t="inlineStr">
        <is>
          <t>privacy / compliance</t>
        </is>
      </c>
      <c r="J27" s="12" t="inlineStr">
        <is>
          <t>Open page</t>
        </is>
      </c>
      <c r="K27" s="11" t="inlineStr">
        <is>
          <t>11468874</t>
        </is>
      </c>
      <c r="L27" s="12" t="inlineStr">
        <is>
          <t>Open</t>
        </is>
      </c>
      <c r="M27" s="11" t="inlineStr">
        <is>
          <t>Group</t>
        </is>
      </c>
      <c r="N27" s="13" t="n">
        <v>43298</v>
      </c>
      <c r="O27" s="11" t="inlineStr">
        <is>
          <t>Chancery House, 53 - 64 Chancery Lane, London</t>
        </is>
      </c>
      <c r="P27" s="11" t="inlineStr">
        <is>
          <t>WC2A 1QS</t>
        </is>
      </c>
      <c r="Q27" s="11" t="inlineStr">
        <is>
          <t>No</t>
        </is>
      </c>
      <c r="W27" s="11" t="inlineStr">
        <is>
          <t>St Pancras - Coram's Fields 3G</t>
        </is>
      </c>
      <c r="X27" s="11" t="n">
        <v>17</v>
      </c>
      <c r="Y27" s="11" t="n"/>
      <c r="Z27" s="11" t="inlineStr">
        <is>
          <t>St Pancras - Coram's Fields 3G</t>
        </is>
      </c>
      <c r="AA27" s="11" t="n">
        <v>17</v>
      </c>
      <c r="AB27" s="14">
        <f>IFERROR(INDEX(Venues!$E$2:$E$17,MATCH(Z27,Venues!$A$2:$A$17,0)),"Not checked")</f>
        <v/>
      </c>
      <c r="AC27" s="14">
        <f>IFERROR(INDEX(Venues!$F$2:$F$17,MATCH(Z27,Venues!$A$2:$A$17,0)),0)</f>
        <v/>
      </c>
      <c r="AD27" s="15">
        <f>IFERROR(INDEX(Venues!$M$2:$M$17,MATCH(Z27,Venues!$A$2:$A$17,0)),"")</f>
        <v/>
      </c>
      <c r="AE27" s="14">
        <f>IFERROR(INDEX(Venues!$N$2:$N$17,MATCH(Z27,Venues!$A$2:$A$17,0)),"5-a-side")</f>
        <v/>
      </c>
      <c r="AF27" s="16">
        <f>IF(Offer!$C$4="","",Offer!$C$4)</f>
        <v/>
      </c>
      <c r="AG27" s="14">
        <f>Z27&amp;" ("&amp;AA27&amp;" min walk) · "&amp;IF(ISNUMBER(AD27),TEXT(AD27,"ddd d mmm, hh:mm"),"slot to confirm with venue")&amp;" · "&amp;AE27&amp;" · "&amp;IF(AF27&lt;&gt;"","£"&amp;TEXT(AF27,"0.00")&amp;" pp","price TBC")</f>
        <v/>
      </c>
      <c r="AH27" s="14">
        <f>IF(U27&lt;&gt;"",U27,IF(H27&lt;&gt;"",H27,""))</f>
        <v/>
      </c>
      <c r="AI27" s="14">
        <f>"After-work football for "&amp;F27&amp;" · "&amp;Z27&amp;", "&amp;AA27&amp;" min from your office"</f>
        <v/>
      </c>
      <c r="AJ27" s="14">
        <f>"Hi "&amp;IF(R27&lt;&gt;"",R27,F27&amp;" team")&amp;","&amp;CHAR(10)&amp;CHAR(10)&amp;"I'm "&amp;IF(AM27&lt;&gt;"",AM27,IF(Offer!$C$5&lt;&gt;"",Offer!$C$5,"[NAME]"))&amp;" from FC Urban. We organise after-work football for teams in the City and Canary Wharf."&amp;CHAR(10)&amp;CHAR(10)&amp;"We have a "&amp;AE27&amp;" pitch at "&amp;Z27&amp;", "&amp;IF(OR(AA27=8,AA27=11,AA27=18),"an ","a ")&amp;AA27&amp;"-minute walk from your "&amp;P27&amp;" office, "&amp;IF(ISNUMBER(AD27),"on "&amp;TEXT(AD27,"dddd d mmmm")&amp;" at "&amp;TEXT(AD27,"hh:mm"),"on a weekday evening that suits your team")&amp;". It's "&amp;IF(AF27&lt;&gt;"","£"&amp;IF(AF27=INT(AF27),TEXT(AF27,"0"),TEXT(AF27,"0.00")),"[PRICE PER PLAYER]")&amp;" a player and we handle the pitch booking, sign-ups and payments, so all it takes is one person sharing a link with the team."&amp;CHAR(10)&amp;CHAR(10)&amp;"It works well as a team social or "&amp;IF(ISNUMBER(SEARCH(LEFT(F27,1),"AEIOU")),"an ","a ")&amp;F27&amp;"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LINK]")&amp;CHAR(10)&amp;CHAR(10)&amp;"Best,"&amp;CHAR(10)&amp;IF(AM27&lt;&gt;"",AM27,IF(Offer!$C$5&lt;&gt;"",Offer!$C$5,"[NAME]"))&amp;CHAR(10)&amp;"FC Urban"</f>
        <v/>
      </c>
      <c r="AK27" s="14">
        <f>"Hi "&amp;IF(R27&lt;&gt;"",R27,F27&amp;" team")&amp;","&amp;CHAR(10)&amp;CHAR(10)&amp;"Just bumping this up. The "&amp;AE27&amp;" pitch at "&amp;Z27&amp;" is still free "&amp;IF(ISNUMBER(AD27),TEXT(AD27,"ddd d mmm")&amp;", "&amp;TEXT(AD27,"hh:mm"),"weekday evenings")&amp;", "&amp;IF(OR(AA27=8,AA27=11,AA27=18),"an ","a ")&amp;AA27&amp;"-minute walk from your office, "&amp;IF(AF27&lt;&gt;"","£"&amp;IF(AF27=INT(AF27),TEXT(AF27,"0"),TEXT(AF27,"0.00")),"[PRICE PER PLAYER]")&amp;" a player. Happy to hold it for "&amp;F27&amp;"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LINK]")&amp;CHAR(10)&amp;CHAR(10)&amp;"Best,"&amp;CHAR(10)&amp;IF(AM27&lt;&gt;"",AM27,IF(Offer!$C$5&lt;&gt;"",Offer!$C$5,"[NAME]"))&amp;CHAR(10)&amp;"FC Urban"</f>
        <v/>
      </c>
      <c r="AL27" s="14">
        <f>IF(AH27="","No email yet",IF(ISNUMBER(SEARCH("[",AJ27)),"Fill placeholders",IF(ISNUMBER(AD27),"Ready to send","Ready · no fixed slot")))</f>
        <v/>
      </c>
      <c r="AO27" s="17" t="n"/>
      <c r="AP27" s="17" t="n"/>
    </row>
    <row r="28">
      <c r="A28" s="11" t="n">
        <v>26</v>
      </c>
      <c r="B28" s="11" t="n">
        <v>1</v>
      </c>
      <c r="C28" s="11" t="inlineStr">
        <is>
          <t>Law firm</t>
        </is>
      </c>
      <c r="D28" s="11" t="inlineStr">
        <is>
          <t>City of London</t>
        </is>
      </c>
      <c r="E28" s="11" t="inlineStr">
        <is>
          <t>Squire Patton Boggs (UK) LLP</t>
        </is>
      </c>
      <c r="F28" s="11" t="inlineStr">
        <is>
          <t>Squire Patton Boggs</t>
        </is>
      </c>
      <c r="G28" s="12" t="inlineStr">
        <is>
          <t>https://www.squirepattonboggs.com</t>
        </is>
      </c>
      <c r="H28" s="11" t="inlineStr">
        <is>
          <t>enquiries@squirepb.com</t>
        </is>
      </c>
      <c r="I28" s="11" t="inlineStr">
        <is>
          <t>general</t>
        </is>
      </c>
      <c r="J28" s="12" t="inlineStr">
        <is>
          <t>Open page</t>
        </is>
      </c>
      <c r="K28" s="11" t="inlineStr">
        <is>
          <t>OC335584</t>
        </is>
      </c>
      <c r="L28" s="12" t="inlineStr">
        <is>
          <t>Open</t>
        </is>
      </c>
      <c r="M28" s="11" t="inlineStr">
        <is>
          <t>Group</t>
        </is>
      </c>
      <c r="N28" s="13" t="n">
        <v>39521</v>
      </c>
      <c r="O28" s="11" t="inlineStr">
        <is>
          <t>60 London Wall, London</t>
        </is>
      </c>
      <c r="P28" s="11" t="inlineStr">
        <is>
          <t>EC2M 5TQ</t>
        </is>
      </c>
      <c r="Q28" s="11" t="inlineStr">
        <is>
          <t>No</t>
        </is>
      </c>
      <c r="W28" s="11" t="inlineStr">
        <is>
          <t>Liverpool St - Attlee Centre</t>
        </is>
      </c>
      <c r="X28" s="11" t="n">
        <v>16</v>
      </c>
      <c r="Y28" s="11" t="inlineStr">
        <is>
          <t>Shoreditch Powerleague (17.1); City of London School (EC4V 3AL) (17.6)</t>
        </is>
      </c>
      <c r="Z28" s="11" t="inlineStr">
        <is>
          <t>Shoreditch Powerleague</t>
        </is>
      </c>
      <c r="AA28" s="11" t="n">
        <v>17</v>
      </c>
      <c r="AB28" s="14">
        <f>IFERROR(INDEX(Venues!$E$2:$E$17,MATCH(Z28,Venues!$A$2:$A$17,0)),"Not checked")</f>
        <v/>
      </c>
      <c r="AC28" s="14">
        <f>IFERROR(INDEX(Venues!$F$2:$F$17,MATCH(Z28,Venues!$A$2:$A$17,0)),0)</f>
        <v/>
      </c>
      <c r="AD28" s="15">
        <f>IFERROR(INDEX(Venues!$M$2:$M$17,MATCH(Z28,Venues!$A$2:$A$17,0)),"")</f>
        <v/>
      </c>
      <c r="AE28" s="14">
        <f>IFERROR(INDEX(Venues!$N$2:$N$17,MATCH(Z28,Venues!$A$2:$A$17,0)),"5-a-side")</f>
        <v/>
      </c>
      <c r="AF28" s="16">
        <f>IF(Offer!$C$4="","",Offer!$C$4)</f>
        <v/>
      </c>
      <c r="AG28" s="14">
        <f>Z28&amp;" ("&amp;AA28&amp;" min walk) · "&amp;IF(ISNUMBER(AD28),TEXT(AD28,"ddd d mmm, hh:mm"),"slot to confirm with venue")&amp;" · "&amp;AE28&amp;" · "&amp;IF(AF28&lt;&gt;"","£"&amp;TEXT(AF28,"0.00")&amp;" pp","price TBC")</f>
        <v/>
      </c>
      <c r="AH28" s="14">
        <f>IF(U28&lt;&gt;"",U28,IF(H28&lt;&gt;"",H28,""))</f>
        <v/>
      </c>
      <c r="AI28" s="14">
        <f>"After-work football for "&amp;F28&amp;" · "&amp;Z28&amp;", "&amp;AA28&amp;" min from your office"</f>
        <v/>
      </c>
      <c r="AJ28" s="14">
        <f>"Hi "&amp;IF(R28&lt;&gt;"",R28,F28&amp;" team")&amp;","&amp;CHAR(10)&amp;CHAR(10)&amp;"I'm "&amp;IF(AM28&lt;&gt;"",AM28,IF(Offer!$C$5&lt;&gt;"",Offer!$C$5,"[NAME]"))&amp;" from FC Urban. We organise after-work football for teams in the City and Canary Wharf."&amp;CHAR(10)&amp;CHAR(10)&amp;"We have a "&amp;AE28&amp;" pitch at "&amp;Z28&amp;", "&amp;IF(OR(AA28=8,AA28=11,AA28=18),"an ","a ")&amp;AA28&amp;"-minute walk from your "&amp;P28&amp;" office, "&amp;IF(ISNUMBER(AD28),"on "&amp;TEXT(AD28,"dddd d mmmm")&amp;" at "&amp;TEXT(AD28,"hh:mm"),"on a weekday evening that suits your team")&amp;". It's "&amp;IF(AF28&lt;&gt;"","£"&amp;IF(AF28=INT(AF28),TEXT(AF28,"0"),TEXT(AF28,"0.00")),"[PRICE PER PLAYER]")&amp;" a player and we handle the pitch booking, sign-ups and payments, so all it takes is one person sharing a link with the team."&amp;CHAR(10)&amp;CHAR(10)&amp;"It works well as a team social or "&amp;IF(ISNUMBER(SEARCH(LEFT(F28,1),"AEIOU")),"an ","a ")&amp;F28&amp;"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LINK]")&amp;CHAR(10)&amp;CHAR(10)&amp;"Best,"&amp;CHAR(10)&amp;IF(AM28&lt;&gt;"",AM28,IF(Offer!$C$5&lt;&gt;"",Offer!$C$5,"[NAME]"))&amp;CHAR(10)&amp;"FC Urban"</f>
        <v/>
      </c>
      <c r="AK28" s="14">
        <f>"Hi "&amp;IF(R28&lt;&gt;"",R28,F28&amp;" team")&amp;","&amp;CHAR(10)&amp;CHAR(10)&amp;"Just bumping this up. The "&amp;AE28&amp;" pitch at "&amp;Z28&amp;" is still free "&amp;IF(ISNUMBER(AD28),TEXT(AD28,"ddd d mmm")&amp;", "&amp;TEXT(AD28,"hh:mm"),"weekday evenings")&amp;", "&amp;IF(OR(AA28=8,AA28=11,AA28=18),"an ","a ")&amp;AA28&amp;"-minute walk from your office, "&amp;IF(AF28&lt;&gt;"","£"&amp;IF(AF28=INT(AF28),TEXT(AF28,"0"),TEXT(AF28,"0.00")),"[PRICE PER PLAYER]")&amp;" a player. Happy to hold it for "&amp;F28&amp;"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LINK]")&amp;CHAR(10)&amp;CHAR(10)&amp;"Best,"&amp;CHAR(10)&amp;IF(AM28&lt;&gt;"",AM28,IF(Offer!$C$5&lt;&gt;"",Offer!$C$5,"[NAME]"))&amp;CHAR(10)&amp;"FC Urban"</f>
        <v/>
      </c>
      <c r="AL28" s="14">
        <f>IF(AH28="","No email yet",IF(ISNUMBER(SEARCH("[",AJ28)),"Fill placeholders",IF(ISNUMBER(AD28),"Ready to send","Ready · no fixed slot")))</f>
        <v/>
      </c>
      <c r="AO28" s="17" t="n"/>
      <c r="AP28" s="17" t="n"/>
    </row>
    <row r="29">
      <c r="A29" s="11" t="n">
        <v>27</v>
      </c>
      <c r="B29" s="11" t="n">
        <v>1</v>
      </c>
      <c r="C29" s="11" t="inlineStr">
        <is>
          <t>Law firm</t>
        </is>
      </c>
      <c r="D29" s="11" t="inlineStr">
        <is>
          <t>City of London</t>
        </is>
      </c>
      <c r="E29" s="11" t="inlineStr">
        <is>
          <t>Simmons &amp; Simmons LLP</t>
        </is>
      </c>
      <c r="F29" s="11" t="inlineStr">
        <is>
          <t>Simmons &amp; Simmons</t>
        </is>
      </c>
      <c r="G29" s="12" t="inlineStr">
        <is>
          <t>https://www.simmons-simmons.com</t>
        </is>
      </c>
      <c r="H29" s="11" t="inlineStr">
        <is>
          <t>london@simmons-simmons.com</t>
        </is>
      </c>
      <c r="I29" s="11" t="inlineStr">
        <is>
          <t>general</t>
        </is>
      </c>
      <c r="J29" s="12" t="inlineStr">
        <is>
          <t>Open page</t>
        </is>
      </c>
      <c r="K29" s="11" t="inlineStr">
        <is>
          <t>OC352713</t>
        </is>
      </c>
      <c r="L29" s="12" t="inlineStr">
        <is>
          <t>Open</t>
        </is>
      </c>
      <c r="M29" s="11" t="inlineStr">
        <is>
          <t>Group</t>
        </is>
      </c>
      <c r="N29" s="13" t="n">
        <v>40238</v>
      </c>
      <c r="O29" s="11" t="inlineStr">
        <is>
          <t>Citypoint, One Ropemaker Street, London</t>
        </is>
      </c>
      <c r="P29" s="11" t="inlineStr">
        <is>
          <t>EC2Y 9SS</t>
        </is>
      </c>
      <c r="Q29" s="11" t="inlineStr">
        <is>
          <t>No</t>
        </is>
      </c>
      <c r="W29" s="11" t="inlineStr">
        <is>
          <t>Finsbury Leisure Centre (EC1V 3PU)</t>
        </is>
      </c>
      <c r="X29" s="11" t="n">
        <v>14</v>
      </c>
      <c r="Y29" s="11" t="inlineStr">
        <is>
          <t>Shoreditch Powerleague (17.2); City of London School (EC4V 3AL) (18.6)</t>
        </is>
      </c>
      <c r="Z29" s="11" t="inlineStr">
        <is>
          <t>Shoreditch Powerleague</t>
        </is>
      </c>
      <c r="AA29" s="11" t="n">
        <v>17</v>
      </c>
      <c r="AB29" s="14">
        <f>IFERROR(INDEX(Venues!$E$2:$E$17,MATCH(Z29,Venues!$A$2:$A$17,0)),"Not checked")</f>
        <v/>
      </c>
      <c r="AC29" s="14">
        <f>IFERROR(INDEX(Venues!$F$2:$F$17,MATCH(Z29,Venues!$A$2:$A$17,0)),0)</f>
        <v/>
      </c>
      <c r="AD29" s="15">
        <f>IFERROR(INDEX(Venues!$M$2:$M$17,MATCH(Z29,Venues!$A$2:$A$17,0)),"")</f>
        <v/>
      </c>
      <c r="AE29" s="14">
        <f>IFERROR(INDEX(Venues!$N$2:$N$17,MATCH(Z29,Venues!$A$2:$A$17,0)),"5-a-side")</f>
        <v/>
      </c>
      <c r="AF29" s="16">
        <f>IF(Offer!$C$4="","",Offer!$C$4)</f>
        <v/>
      </c>
      <c r="AG29" s="14">
        <f>Z29&amp;" ("&amp;AA29&amp;" min walk) · "&amp;IF(ISNUMBER(AD29),TEXT(AD29,"ddd d mmm, hh:mm"),"slot to confirm with venue")&amp;" · "&amp;AE29&amp;" · "&amp;IF(AF29&lt;&gt;"","£"&amp;TEXT(AF29,"0.00")&amp;" pp","price TBC")</f>
        <v/>
      </c>
      <c r="AH29" s="14">
        <f>IF(U29&lt;&gt;"",U29,IF(H29&lt;&gt;"",H29,""))</f>
        <v/>
      </c>
      <c r="AI29" s="14">
        <f>"After-work football for "&amp;F29&amp;" · "&amp;Z29&amp;", "&amp;AA29&amp;" min from your office"</f>
        <v/>
      </c>
      <c r="AJ29" s="14">
        <f>"Hi "&amp;IF(R29&lt;&gt;"",R29,F29&amp;" team")&amp;","&amp;CHAR(10)&amp;CHAR(10)&amp;"I'm "&amp;IF(AM29&lt;&gt;"",AM29,IF(Offer!$C$5&lt;&gt;"",Offer!$C$5,"[NAME]"))&amp;" from FC Urban. We organise after-work football for teams in the City and Canary Wharf."&amp;CHAR(10)&amp;CHAR(10)&amp;"We have a "&amp;AE29&amp;" pitch at "&amp;Z29&amp;", "&amp;IF(OR(AA29=8,AA29=11,AA29=18),"an ","a ")&amp;AA29&amp;"-minute walk from your "&amp;P29&amp;" office, "&amp;IF(ISNUMBER(AD29),"on "&amp;TEXT(AD29,"dddd d mmmm")&amp;" at "&amp;TEXT(AD29,"hh:mm"),"on a weekday evening that suits your team")&amp;". It's "&amp;IF(AF29&lt;&gt;"","£"&amp;IF(AF29=INT(AF29),TEXT(AF29,"0"),TEXT(AF29,"0.00")),"[PRICE PER PLAYER]")&amp;" a player and we handle the pitch booking, sign-ups and payments, so all it takes is one person sharing a link with the team."&amp;CHAR(10)&amp;CHAR(10)&amp;"It works well as a team social or "&amp;IF(ISNUMBER(SEARCH(LEFT(F29,1),"AEIOU")),"an ","a ")&amp;F29&amp;"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LINK]")&amp;CHAR(10)&amp;CHAR(10)&amp;"Best,"&amp;CHAR(10)&amp;IF(AM29&lt;&gt;"",AM29,IF(Offer!$C$5&lt;&gt;"",Offer!$C$5,"[NAME]"))&amp;CHAR(10)&amp;"FC Urban"</f>
        <v/>
      </c>
      <c r="AK29" s="14">
        <f>"Hi "&amp;IF(R29&lt;&gt;"",R29,F29&amp;" team")&amp;","&amp;CHAR(10)&amp;CHAR(10)&amp;"Just bumping this up. The "&amp;AE29&amp;" pitch at "&amp;Z29&amp;" is still free "&amp;IF(ISNUMBER(AD29),TEXT(AD29,"ddd d mmm")&amp;", "&amp;TEXT(AD29,"hh:mm"),"weekday evenings")&amp;", "&amp;IF(OR(AA29=8,AA29=11,AA29=18),"an ","a ")&amp;AA29&amp;"-minute walk from your office, "&amp;IF(AF29&lt;&gt;"","£"&amp;IF(AF29=INT(AF29),TEXT(AF29,"0"),TEXT(AF29,"0.00")),"[PRICE PER PLAYER]")&amp;" a player. Happy to hold it for "&amp;F29&amp;"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LINK]")&amp;CHAR(10)&amp;CHAR(10)&amp;"Best,"&amp;CHAR(10)&amp;IF(AM29&lt;&gt;"",AM29,IF(Offer!$C$5&lt;&gt;"",Offer!$C$5,"[NAME]"))&amp;CHAR(10)&amp;"FC Urban"</f>
        <v/>
      </c>
      <c r="AL29" s="14">
        <f>IF(AH29="","No email yet",IF(ISNUMBER(SEARCH("[",AJ29)),"Fill placeholders",IF(ISNUMBER(AD29),"Ready to send","Ready · no fixed slot")))</f>
        <v/>
      </c>
      <c r="AO29" s="17" t="n"/>
      <c r="AP29" s="17" t="n"/>
    </row>
    <row r="30">
      <c r="A30" s="11" t="n">
        <v>28</v>
      </c>
      <c r="B30" s="11" t="n">
        <v>1</v>
      </c>
      <c r="C30" s="11" t="inlineStr">
        <is>
          <t>Law firm</t>
        </is>
      </c>
      <c r="D30" s="11" t="inlineStr">
        <is>
          <t>City of London</t>
        </is>
      </c>
      <c r="E30" s="11" t="inlineStr">
        <is>
          <t>Beale &amp; Company Solicitors LLP</t>
        </is>
      </c>
      <c r="F30" s="11" t="inlineStr">
        <is>
          <t>Beale &amp; Company Solicitors</t>
        </is>
      </c>
      <c r="G30" s="12" t="inlineStr">
        <is>
          <t>https://beale.co.uk</t>
        </is>
      </c>
      <c r="H30" s="11" t="inlineStr">
        <is>
          <t>graham@beale.co.uk</t>
        </is>
      </c>
      <c r="I30" s="11" t="inlineStr">
        <is>
          <t>named person</t>
        </is>
      </c>
      <c r="J30" s="12" t="inlineStr">
        <is>
          <t>Open page</t>
        </is>
      </c>
      <c r="K30" s="11" t="inlineStr">
        <is>
          <t>OC310010</t>
        </is>
      </c>
      <c r="L30" s="12" t="inlineStr">
        <is>
          <t>Open</t>
        </is>
      </c>
      <c r="M30" s="11" t="inlineStr">
        <is>
          <t>Group</t>
        </is>
      </c>
      <c r="N30" s="13" t="n">
        <v>38306</v>
      </c>
      <c r="O30" s="11" t="inlineStr">
        <is>
          <t>7 Bishopsgate, London</t>
        </is>
      </c>
      <c r="P30" s="11" t="inlineStr">
        <is>
          <t>EC2N 3AR</t>
        </is>
      </c>
      <c r="Q30" s="11" t="inlineStr">
        <is>
          <t>No</t>
        </is>
      </c>
      <c r="W30" s="11" t="inlineStr">
        <is>
          <t>Liverpool St - Attlee Centre</t>
        </is>
      </c>
      <c r="X30" s="11" t="n">
        <v>13</v>
      </c>
      <c r="Y30" s="11" t="inlineStr">
        <is>
          <t>Shoreditch Powerleague (17.7)</t>
        </is>
      </c>
      <c r="Z30" s="11" t="inlineStr">
        <is>
          <t>Shoreditch Powerleague</t>
        </is>
      </c>
      <c r="AA30" s="11" t="n">
        <v>18</v>
      </c>
      <c r="AB30" s="14">
        <f>IFERROR(INDEX(Venues!$E$2:$E$17,MATCH(Z30,Venues!$A$2:$A$17,0)),"Not checked")</f>
        <v/>
      </c>
      <c r="AC30" s="14">
        <f>IFERROR(INDEX(Venues!$F$2:$F$17,MATCH(Z30,Venues!$A$2:$A$17,0)),0)</f>
        <v/>
      </c>
      <c r="AD30" s="15">
        <f>IFERROR(INDEX(Venues!$M$2:$M$17,MATCH(Z30,Venues!$A$2:$A$17,0)),"")</f>
        <v/>
      </c>
      <c r="AE30" s="14">
        <f>IFERROR(INDEX(Venues!$N$2:$N$17,MATCH(Z30,Venues!$A$2:$A$17,0)),"5-a-side")</f>
        <v/>
      </c>
      <c r="AF30" s="16">
        <f>IF(Offer!$C$4="","",Offer!$C$4)</f>
        <v/>
      </c>
      <c r="AG30" s="14">
        <f>Z30&amp;" ("&amp;AA30&amp;" min walk) · "&amp;IF(ISNUMBER(AD30),TEXT(AD30,"ddd d mmm, hh:mm"),"slot to confirm with venue")&amp;" · "&amp;AE30&amp;" · "&amp;IF(AF30&lt;&gt;"","£"&amp;TEXT(AF30,"0.00")&amp;" pp","price TBC")</f>
        <v/>
      </c>
      <c r="AH30" s="14">
        <f>IF(U30&lt;&gt;"",U30,IF(H30&lt;&gt;"",H30,""))</f>
        <v/>
      </c>
      <c r="AI30" s="14">
        <f>"After-work football for "&amp;F30&amp;" · "&amp;Z30&amp;", "&amp;AA30&amp;" min from your office"</f>
        <v/>
      </c>
      <c r="AJ30" s="14">
        <f>"Hi "&amp;IF(R30&lt;&gt;"",R30,F30&amp;" team")&amp;","&amp;CHAR(10)&amp;CHAR(10)&amp;"I'm "&amp;IF(AM30&lt;&gt;"",AM30,IF(Offer!$C$5&lt;&gt;"",Offer!$C$5,"[NAME]"))&amp;" from FC Urban. We organise after-work football for teams in the City and Canary Wharf."&amp;CHAR(10)&amp;CHAR(10)&amp;"We have a "&amp;AE30&amp;" pitch at "&amp;Z30&amp;", "&amp;IF(OR(AA30=8,AA30=11,AA30=18),"an ","a ")&amp;AA30&amp;"-minute walk from your "&amp;P30&amp;" office, "&amp;IF(ISNUMBER(AD30),"on "&amp;TEXT(AD30,"dddd d mmmm")&amp;" at "&amp;TEXT(AD30,"hh:mm"),"on a weekday evening that suits your team")&amp;". It's "&amp;IF(AF30&lt;&gt;"","£"&amp;IF(AF30=INT(AF30),TEXT(AF30,"0"),TEXT(AF30,"0.00")),"[PRICE PER PLAYER]")&amp;" a player and we handle the pitch booking, sign-ups and payments, so all it takes is one person sharing a link with the team."&amp;CHAR(10)&amp;CHAR(10)&amp;"It works well as a team social or "&amp;IF(ISNUMBER(SEARCH(LEFT(F30,1),"AEIOU")),"an ","a ")&amp;F30&amp;"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LINK]")&amp;CHAR(10)&amp;CHAR(10)&amp;"Best,"&amp;CHAR(10)&amp;IF(AM30&lt;&gt;"",AM30,IF(Offer!$C$5&lt;&gt;"",Offer!$C$5,"[NAME]"))&amp;CHAR(10)&amp;"FC Urban"</f>
        <v/>
      </c>
      <c r="AK30" s="14">
        <f>"Hi "&amp;IF(R30&lt;&gt;"",R30,F30&amp;" team")&amp;","&amp;CHAR(10)&amp;CHAR(10)&amp;"Just bumping this up. The "&amp;AE30&amp;" pitch at "&amp;Z30&amp;" is still free "&amp;IF(ISNUMBER(AD30),TEXT(AD30,"ddd d mmm")&amp;", "&amp;TEXT(AD30,"hh:mm"),"weekday evenings")&amp;", "&amp;IF(OR(AA30=8,AA30=11,AA30=18),"an ","a ")&amp;AA30&amp;"-minute walk from your office, "&amp;IF(AF30&lt;&gt;"","£"&amp;IF(AF30=INT(AF30),TEXT(AF30,"0"),TEXT(AF30,"0.00")),"[PRICE PER PLAYER]")&amp;" a player. Happy to hold it for "&amp;F30&amp;"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LINK]")&amp;CHAR(10)&amp;CHAR(10)&amp;"Best,"&amp;CHAR(10)&amp;IF(AM30&lt;&gt;"",AM30,IF(Offer!$C$5&lt;&gt;"",Offer!$C$5,"[NAME]"))&amp;CHAR(10)&amp;"FC Urban"</f>
        <v/>
      </c>
      <c r="AL30" s="14">
        <f>IF(AH30="","No email yet",IF(ISNUMBER(SEARCH("[",AJ30)),"Fill placeholders",IF(ISNUMBER(AD30),"Ready to send","Ready · no fixed slot")))</f>
        <v/>
      </c>
      <c r="AO30" s="17" t="n"/>
      <c r="AP30" s="17" t="n"/>
    </row>
    <row r="31">
      <c r="A31" s="11" t="n">
        <v>29</v>
      </c>
      <c r="B31" s="11" t="n">
        <v>1</v>
      </c>
      <c r="C31" s="11" t="inlineStr">
        <is>
          <t>Law firm</t>
        </is>
      </c>
      <c r="D31" s="11" t="inlineStr">
        <is>
          <t>City of London</t>
        </is>
      </c>
      <c r="E31" s="11" t="inlineStr">
        <is>
          <t>Kennedys Law LLP</t>
        </is>
      </c>
      <c r="F31" s="11" t="inlineStr">
        <is>
          <t>Kennedys</t>
        </is>
      </c>
      <c r="G31" s="12" t="inlineStr">
        <is>
          <t>https://www.kennedyslaw.com</t>
        </is>
      </c>
      <c r="H31" s="11" t="inlineStr">
        <is>
          <t>contactus@kennedyslaw.com</t>
        </is>
      </c>
      <c r="I31" s="11" t="inlineStr">
        <is>
          <t>named person</t>
        </is>
      </c>
      <c r="J31" s="12" t="inlineStr">
        <is>
          <t>Open page</t>
        </is>
      </c>
      <c r="K31" s="11" t="inlineStr">
        <is>
          <t>OC353214</t>
        </is>
      </c>
      <c r="L31" s="12" t="inlineStr">
        <is>
          <t>Open</t>
        </is>
      </c>
      <c r="M31" s="11" t="inlineStr">
        <is>
          <t>Group</t>
        </is>
      </c>
      <c r="N31" s="13" t="n">
        <v>40252</v>
      </c>
      <c r="O31" s="11" t="inlineStr">
        <is>
          <t>Kennedys, 20 Fenchurch Street, London</t>
        </is>
      </c>
      <c r="P31" s="11" t="inlineStr">
        <is>
          <t>EC3M 3BY</t>
        </is>
      </c>
      <c r="Q31" s="11" t="inlineStr">
        <is>
          <t>No</t>
        </is>
      </c>
      <c r="W31" s="11" t="inlineStr">
        <is>
          <t>Liverpool St - Attlee Centre</t>
        </is>
      </c>
      <c r="X31" s="11" t="n">
        <v>17</v>
      </c>
      <c r="Y31" s="11" t="inlineStr">
        <is>
          <t>City of London School (EC4V 3AL) (17.8); Marlborough Sports Garden (SE1 1SD) (18.1)</t>
        </is>
      </c>
      <c r="Z31" s="11" t="inlineStr">
        <is>
          <t>City of London School (EC4V 3AL)</t>
        </is>
      </c>
      <c r="AA31" s="11" t="n">
        <v>18</v>
      </c>
      <c r="AB31" s="14">
        <f>IFERROR(INDEX(Venues!$E$2:$E$17,MATCH(Z31,Venues!$A$2:$A$17,0)),"Not checked")</f>
        <v/>
      </c>
      <c r="AC31" s="14">
        <f>IFERROR(INDEX(Venues!$F$2:$F$17,MATCH(Z31,Venues!$A$2:$A$17,0)),0)</f>
        <v/>
      </c>
      <c r="AD31" s="15">
        <f>IFERROR(INDEX(Venues!$M$2:$M$17,MATCH(Z31,Venues!$A$2:$A$17,0)),"")</f>
        <v/>
      </c>
      <c r="AE31" s="14">
        <f>IFERROR(INDEX(Venues!$N$2:$N$17,MATCH(Z31,Venues!$A$2:$A$17,0)),"5-a-side")</f>
        <v/>
      </c>
      <c r="AF31" s="16">
        <f>IF(Offer!$C$4="","",Offer!$C$4)</f>
        <v/>
      </c>
      <c r="AG31" s="14">
        <f>Z31&amp;" ("&amp;AA31&amp;" min walk) · "&amp;IF(ISNUMBER(AD31),TEXT(AD31,"ddd d mmm, hh:mm"),"slot to confirm with venue")&amp;" · "&amp;AE31&amp;" · "&amp;IF(AF31&lt;&gt;"","£"&amp;TEXT(AF31,"0.00")&amp;" pp","price TBC")</f>
        <v/>
      </c>
      <c r="AH31" s="14">
        <f>IF(U31&lt;&gt;"",U31,IF(H31&lt;&gt;"",H31,""))</f>
        <v/>
      </c>
      <c r="AI31" s="14">
        <f>"After-work football for "&amp;F31&amp;" · "&amp;Z31&amp;", "&amp;AA31&amp;" min from your office"</f>
        <v/>
      </c>
      <c r="AJ31" s="14">
        <f>"Hi "&amp;IF(R31&lt;&gt;"",R31,F31&amp;" team")&amp;","&amp;CHAR(10)&amp;CHAR(10)&amp;"I'm "&amp;IF(AM31&lt;&gt;"",AM31,IF(Offer!$C$5&lt;&gt;"",Offer!$C$5,"[NAME]"))&amp;" from FC Urban. We organise after-work football for teams in the City and Canary Wharf."&amp;CHAR(10)&amp;CHAR(10)&amp;"We have a "&amp;AE31&amp;" pitch at "&amp;Z31&amp;", "&amp;IF(OR(AA31=8,AA31=11,AA31=18),"an ","a ")&amp;AA31&amp;"-minute walk from your "&amp;P31&amp;" office, "&amp;IF(ISNUMBER(AD31),"on "&amp;TEXT(AD31,"dddd d mmmm")&amp;" at "&amp;TEXT(AD31,"hh:mm"),"on a weekday evening that suits your team")&amp;". It's "&amp;IF(AF31&lt;&gt;"","£"&amp;IF(AF31=INT(AF31),TEXT(AF31,"0"),TEXT(AF31,"0.00")),"[PRICE PER PLAYER]")&amp;" a player and we handle the pitch booking, sign-ups and payments, so all it takes is one person sharing a link with the team."&amp;CHAR(10)&amp;CHAR(10)&amp;"It works well as a team social or "&amp;IF(ISNUMBER(SEARCH(LEFT(F31,1),"AEIOU")),"an ","a ")&amp;F31&amp;"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LINK]")&amp;CHAR(10)&amp;CHAR(10)&amp;"Best,"&amp;CHAR(10)&amp;IF(AM31&lt;&gt;"",AM31,IF(Offer!$C$5&lt;&gt;"",Offer!$C$5,"[NAME]"))&amp;CHAR(10)&amp;"FC Urban"</f>
        <v/>
      </c>
      <c r="AK31" s="14">
        <f>"Hi "&amp;IF(R31&lt;&gt;"",R31,F31&amp;" team")&amp;","&amp;CHAR(10)&amp;CHAR(10)&amp;"Just bumping this up. The "&amp;AE31&amp;" pitch at "&amp;Z31&amp;" is still free "&amp;IF(ISNUMBER(AD31),TEXT(AD31,"ddd d mmm")&amp;", "&amp;TEXT(AD31,"hh:mm"),"weekday evenings")&amp;", "&amp;IF(OR(AA31=8,AA31=11,AA31=18),"an ","a ")&amp;AA31&amp;"-minute walk from your office, "&amp;IF(AF31&lt;&gt;"","£"&amp;IF(AF31=INT(AF31),TEXT(AF31,"0"),TEXT(AF31,"0.00")),"[PRICE PER PLAYER]")&amp;" a player. Happy to hold it for "&amp;F31&amp;"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LINK]")&amp;CHAR(10)&amp;CHAR(10)&amp;"Best,"&amp;CHAR(10)&amp;IF(AM31&lt;&gt;"",AM31,IF(Offer!$C$5&lt;&gt;"",Offer!$C$5,"[NAME]"))&amp;CHAR(10)&amp;"FC Urban"</f>
        <v/>
      </c>
      <c r="AL31" s="14">
        <f>IF(AH31="","No email yet",IF(ISNUMBER(SEARCH("[",AJ31)),"Fill placeholders",IF(ISNUMBER(AD31),"Ready to send","Ready · no fixed slot")))</f>
        <v/>
      </c>
      <c r="AO31" s="17" t="n"/>
      <c r="AP31" s="17" t="n"/>
    </row>
    <row r="32">
      <c r="A32" s="11" t="n">
        <v>30</v>
      </c>
      <c r="B32" s="11" t="n">
        <v>1</v>
      </c>
      <c r="C32" s="11" t="inlineStr">
        <is>
          <t>Law firm</t>
        </is>
      </c>
      <c r="D32" s="11" t="inlineStr">
        <is>
          <t>City of London</t>
        </is>
      </c>
      <c r="E32" s="11" t="inlineStr">
        <is>
          <t>Holman Fenwick Willan LLP</t>
        </is>
      </c>
      <c r="F32" s="11" t="inlineStr">
        <is>
          <t>Holman Fenwick Willan</t>
        </is>
      </c>
      <c r="G32" s="12" t="inlineStr">
        <is>
          <t>https://www.hfw.com</t>
        </is>
      </c>
      <c r="H32" s="11" t="inlineStr">
        <is>
          <t>hello@hfw.com</t>
        </is>
      </c>
      <c r="I32" s="11" t="inlineStr">
        <is>
          <t>general</t>
        </is>
      </c>
      <c r="J32" s="12" t="inlineStr">
        <is>
          <t>Open page</t>
        </is>
      </c>
      <c r="K32" s="11" t="inlineStr">
        <is>
          <t>OC343361</t>
        </is>
      </c>
      <c r="L32" s="12" t="inlineStr">
        <is>
          <t>Open</t>
        </is>
      </c>
      <c r="M32" s="11" t="inlineStr">
        <is>
          <t>Group</t>
        </is>
      </c>
      <c r="N32" s="13" t="n">
        <v>39860</v>
      </c>
      <c r="O32" s="11" t="inlineStr">
        <is>
          <t>8 Bishopsgate, London</t>
        </is>
      </c>
      <c r="P32" s="11" t="inlineStr">
        <is>
          <t>EC2N 4BQ</t>
        </is>
      </c>
      <c r="Q32" s="11" t="inlineStr">
        <is>
          <t>No</t>
        </is>
      </c>
      <c r="W32" s="11" t="inlineStr">
        <is>
          <t>Liverpool St - Attlee Centre</t>
        </is>
      </c>
      <c r="X32" s="11" t="n">
        <v>14</v>
      </c>
      <c r="Y32" s="11" t="inlineStr">
        <is>
          <t>City of London School (EC4V 3AL) (18.7); Shoreditch Powerleague (18.7)</t>
        </is>
      </c>
      <c r="Z32" s="11" t="inlineStr">
        <is>
          <t>City of London School (EC4V 3AL)</t>
        </is>
      </c>
      <c r="AA32" s="11" t="n">
        <v>19</v>
      </c>
      <c r="AB32" s="14">
        <f>IFERROR(INDEX(Venues!$E$2:$E$17,MATCH(Z32,Venues!$A$2:$A$17,0)),"Not checked")</f>
        <v/>
      </c>
      <c r="AC32" s="14">
        <f>IFERROR(INDEX(Venues!$F$2:$F$17,MATCH(Z32,Venues!$A$2:$A$17,0)),0)</f>
        <v/>
      </c>
      <c r="AD32" s="15">
        <f>IFERROR(INDEX(Venues!$M$2:$M$17,MATCH(Z32,Venues!$A$2:$A$17,0)),"")</f>
        <v/>
      </c>
      <c r="AE32" s="14">
        <f>IFERROR(INDEX(Venues!$N$2:$N$17,MATCH(Z32,Venues!$A$2:$A$17,0)),"5-a-side")</f>
        <v/>
      </c>
      <c r="AF32" s="16">
        <f>IF(Offer!$C$4="","",Offer!$C$4)</f>
        <v/>
      </c>
      <c r="AG32" s="14">
        <f>Z32&amp;" ("&amp;AA32&amp;" min walk) · "&amp;IF(ISNUMBER(AD32),TEXT(AD32,"ddd d mmm, hh:mm"),"slot to confirm with venue")&amp;" · "&amp;AE32&amp;" · "&amp;IF(AF32&lt;&gt;"","£"&amp;TEXT(AF32,"0.00")&amp;" pp","price TBC")</f>
        <v/>
      </c>
      <c r="AH32" s="14">
        <f>IF(U32&lt;&gt;"",U32,IF(H32&lt;&gt;"",H32,""))</f>
        <v/>
      </c>
      <c r="AI32" s="14">
        <f>"After-work football for "&amp;F32&amp;" · "&amp;Z32&amp;", "&amp;AA32&amp;" min from your office"</f>
        <v/>
      </c>
      <c r="AJ32" s="14">
        <f>"Hi "&amp;IF(R32&lt;&gt;"",R32,F32&amp;" team")&amp;","&amp;CHAR(10)&amp;CHAR(10)&amp;"I'm "&amp;IF(AM32&lt;&gt;"",AM32,IF(Offer!$C$5&lt;&gt;"",Offer!$C$5,"[NAME]"))&amp;" from FC Urban. We organise after-work football for teams in the City and Canary Wharf."&amp;CHAR(10)&amp;CHAR(10)&amp;"We have a "&amp;AE32&amp;" pitch at "&amp;Z32&amp;", "&amp;IF(OR(AA32=8,AA32=11,AA32=18),"an ","a ")&amp;AA32&amp;"-minute walk from your "&amp;P32&amp;" office, "&amp;IF(ISNUMBER(AD32),"on "&amp;TEXT(AD32,"dddd d mmmm")&amp;" at "&amp;TEXT(AD32,"hh:mm"),"on a weekday evening that suits your team")&amp;". It's "&amp;IF(AF32&lt;&gt;"","£"&amp;IF(AF32=INT(AF32),TEXT(AF32,"0"),TEXT(AF32,"0.00")),"[PRICE PER PLAYER]")&amp;" a player and we handle the pitch booking, sign-ups and payments, so all it takes is one person sharing a link with the team."&amp;CHAR(10)&amp;CHAR(10)&amp;"It works well as a team social or "&amp;IF(ISNUMBER(SEARCH(LEFT(F32,1),"AEIOU")),"an ","a ")&amp;F32&amp;"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LINK]")&amp;CHAR(10)&amp;CHAR(10)&amp;"Best,"&amp;CHAR(10)&amp;IF(AM32&lt;&gt;"",AM32,IF(Offer!$C$5&lt;&gt;"",Offer!$C$5,"[NAME]"))&amp;CHAR(10)&amp;"FC Urban"</f>
        <v/>
      </c>
      <c r="AK32" s="14">
        <f>"Hi "&amp;IF(R32&lt;&gt;"",R32,F32&amp;" team")&amp;","&amp;CHAR(10)&amp;CHAR(10)&amp;"Just bumping this up. The "&amp;AE32&amp;" pitch at "&amp;Z32&amp;" is still free "&amp;IF(ISNUMBER(AD32),TEXT(AD32,"ddd d mmm")&amp;", "&amp;TEXT(AD32,"hh:mm"),"weekday evenings")&amp;", "&amp;IF(OR(AA32=8,AA32=11,AA32=18),"an ","a ")&amp;AA32&amp;"-minute walk from your office, "&amp;IF(AF32&lt;&gt;"","£"&amp;IF(AF32=INT(AF32),TEXT(AF32,"0"),TEXT(AF32,"0.00")),"[PRICE PER PLAYER]")&amp;" a player. Happy to hold it for "&amp;F32&amp;"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LINK]")&amp;CHAR(10)&amp;CHAR(10)&amp;"Best,"&amp;CHAR(10)&amp;IF(AM32&lt;&gt;"",AM32,IF(Offer!$C$5&lt;&gt;"",Offer!$C$5,"[NAME]"))&amp;CHAR(10)&amp;"FC Urban"</f>
        <v/>
      </c>
      <c r="AL32" s="14">
        <f>IF(AH32="","No email yet",IF(ISNUMBER(SEARCH("[",AJ32)),"Fill placeholders",IF(ISNUMBER(AD32),"Ready to send","Ready · no fixed slot")))</f>
        <v/>
      </c>
      <c r="AO32" s="17" t="n"/>
      <c r="AP32" s="17" t="n"/>
    </row>
    <row r="33">
      <c r="A33" s="11" t="n">
        <v>31</v>
      </c>
      <c r="B33" s="11" t="n">
        <v>1</v>
      </c>
      <c r="C33" s="11" t="inlineStr">
        <is>
          <t>Law firm</t>
        </is>
      </c>
      <c r="D33" s="11" t="inlineStr">
        <is>
          <t>City of London</t>
        </is>
      </c>
      <c r="E33" s="11" t="inlineStr">
        <is>
          <t>Duncan Lewis Solicitors Ltd</t>
        </is>
      </c>
      <c r="F33" s="11" t="inlineStr">
        <is>
          <t>Duncan Lewis Solicitors</t>
        </is>
      </c>
      <c r="G33" s="12" t="inlineStr">
        <is>
          <t>https://www.duncanlewis.co.uk</t>
        </is>
      </c>
      <c r="H33" s="11" t="inlineStr">
        <is>
          <t>contact@duncanlewis.com</t>
        </is>
      </c>
      <c r="I33" s="11" t="inlineStr">
        <is>
          <t>general</t>
        </is>
      </c>
      <c r="J33" s="12" t="inlineStr">
        <is>
          <t>Open page</t>
        </is>
      </c>
      <c r="K33" s="11" t="inlineStr">
        <is>
          <t>03718422</t>
        </is>
      </c>
      <c r="L33" s="12" t="inlineStr">
        <is>
          <t>Open</t>
        </is>
      </c>
      <c r="M33" s="11" t="inlineStr">
        <is>
          <t>Group</t>
        </is>
      </c>
      <c r="N33" s="13" t="n">
        <v>36214</v>
      </c>
      <c r="O33" s="11" t="inlineStr">
        <is>
          <t>Sackville House 143-149, Fenchurch Street, London</t>
        </is>
      </c>
      <c r="P33" s="11" t="inlineStr">
        <is>
          <t>EC3M 6BL</t>
        </is>
      </c>
      <c r="Q33" s="11" t="inlineStr">
        <is>
          <t>No</t>
        </is>
      </c>
      <c r="W33" s="11" t="inlineStr">
        <is>
          <t>Liverpool St - Attlee Centre</t>
        </is>
      </c>
      <c r="X33" s="11" t="n">
        <v>16</v>
      </c>
      <c r="Y33" s="11" t="inlineStr">
        <is>
          <t>City of London School (EC4V 3AL) (19)</t>
        </is>
      </c>
      <c r="Z33" s="11" t="inlineStr">
        <is>
          <t>City of London School (EC4V 3AL)</t>
        </is>
      </c>
      <c r="AA33" s="11" t="n">
        <v>19</v>
      </c>
      <c r="AB33" s="14">
        <f>IFERROR(INDEX(Venues!$E$2:$E$17,MATCH(Z33,Venues!$A$2:$A$17,0)),"Not checked")</f>
        <v/>
      </c>
      <c r="AC33" s="14">
        <f>IFERROR(INDEX(Venues!$F$2:$F$17,MATCH(Z33,Venues!$A$2:$A$17,0)),0)</f>
        <v/>
      </c>
      <c r="AD33" s="15">
        <f>IFERROR(INDEX(Venues!$M$2:$M$17,MATCH(Z33,Venues!$A$2:$A$17,0)),"")</f>
        <v/>
      </c>
      <c r="AE33" s="14">
        <f>IFERROR(INDEX(Venues!$N$2:$N$17,MATCH(Z33,Venues!$A$2:$A$17,0)),"5-a-side")</f>
        <v/>
      </c>
      <c r="AF33" s="16">
        <f>IF(Offer!$C$4="","",Offer!$C$4)</f>
        <v/>
      </c>
      <c r="AG33" s="14">
        <f>Z33&amp;" ("&amp;AA33&amp;" min walk) · "&amp;IF(ISNUMBER(AD33),TEXT(AD33,"ddd d mmm, hh:mm"),"slot to confirm with venue")&amp;" · "&amp;AE33&amp;" · "&amp;IF(AF33&lt;&gt;"","£"&amp;TEXT(AF33,"0.00")&amp;" pp","price TBC")</f>
        <v/>
      </c>
      <c r="AH33" s="14">
        <f>IF(U33&lt;&gt;"",U33,IF(H33&lt;&gt;"",H33,""))</f>
        <v/>
      </c>
      <c r="AI33" s="14">
        <f>"After-work football for "&amp;F33&amp;" · "&amp;Z33&amp;", "&amp;AA33&amp;" min from your office"</f>
        <v/>
      </c>
      <c r="AJ33" s="14">
        <f>"Hi "&amp;IF(R33&lt;&gt;"",R33,F33&amp;" team")&amp;","&amp;CHAR(10)&amp;CHAR(10)&amp;"I'm "&amp;IF(AM33&lt;&gt;"",AM33,IF(Offer!$C$5&lt;&gt;"",Offer!$C$5,"[NAME]"))&amp;" from FC Urban. We organise after-work football for teams in the City and Canary Wharf."&amp;CHAR(10)&amp;CHAR(10)&amp;"We have a "&amp;AE33&amp;" pitch at "&amp;Z33&amp;", "&amp;IF(OR(AA33=8,AA33=11,AA33=18),"an ","a ")&amp;AA33&amp;"-minute walk from your "&amp;P33&amp;" office, "&amp;IF(ISNUMBER(AD33),"on "&amp;TEXT(AD33,"dddd d mmmm")&amp;" at "&amp;TEXT(AD33,"hh:mm"),"on a weekday evening that suits your team")&amp;". It's "&amp;IF(AF33&lt;&gt;"","£"&amp;IF(AF33=INT(AF33),TEXT(AF33,"0"),TEXT(AF33,"0.00")),"[PRICE PER PLAYER]")&amp;" a player and we handle the pitch booking, sign-ups and payments, so all it takes is one person sharing a link with the team."&amp;CHAR(10)&amp;CHAR(10)&amp;"It works well as a team social or "&amp;IF(ISNUMBER(SEARCH(LEFT(F33,1),"AEIOU")),"an ","a ")&amp;F33&amp;"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LINK]")&amp;CHAR(10)&amp;CHAR(10)&amp;"Best,"&amp;CHAR(10)&amp;IF(AM33&lt;&gt;"",AM33,IF(Offer!$C$5&lt;&gt;"",Offer!$C$5,"[NAME]"))&amp;CHAR(10)&amp;"FC Urban"</f>
        <v/>
      </c>
      <c r="AK33" s="14">
        <f>"Hi "&amp;IF(R33&lt;&gt;"",R33,F33&amp;" team")&amp;","&amp;CHAR(10)&amp;CHAR(10)&amp;"Just bumping this up. The "&amp;AE33&amp;" pitch at "&amp;Z33&amp;" is still free "&amp;IF(ISNUMBER(AD33),TEXT(AD33,"ddd d mmm")&amp;", "&amp;TEXT(AD33,"hh:mm"),"weekday evenings")&amp;", "&amp;IF(OR(AA33=8,AA33=11,AA33=18),"an ","a ")&amp;AA33&amp;"-minute walk from your office, "&amp;IF(AF33&lt;&gt;"","£"&amp;IF(AF33=INT(AF33),TEXT(AF33,"0"),TEXT(AF33,"0.00")),"[PRICE PER PLAYER]")&amp;" a player. Happy to hold it for "&amp;F33&amp;"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LINK]")&amp;CHAR(10)&amp;CHAR(10)&amp;"Best,"&amp;CHAR(10)&amp;IF(AM33&lt;&gt;"",AM33,IF(Offer!$C$5&lt;&gt;"",Offer!$C$5,"[NAME]"))&amp;CHAR(10)&amp;"FC Urban"</f>
        <v/>
      </c>
      <c r="AL33" s="14">
        <f>IF(AH33="","No email yet",IF(ISNUMBER(SEARCH("[",AJ33)),"Fill placeholders",IF(ISNUMBER(AD33),"Ready to send","Ready · no fixed slot")))</f>
        <v/>
      </c>
      <c r="AO33" s="17" t="n"/>
      <c r="AP33" s="17" t="n"/>
    </row>
    <row r="34">
      <c r="A34" s="11" t="n">
        <v>32</v>
      </c>
      <c r="B34" s="11" t="n">
        <v>1</v>
      </c>
      <c r="C34" s="11" t="inlineStr">
        <is>
          <t>Bank</t>
        </is>
      </c>
      <c r="D34" s="11" t="inlineStr">
        <is>
          <t>City of London</t>
        </is>
      </c>
      <c r="E34" s="11" t="inlineStr">
        <is>
          <t>Cynergy Bank PLC</t>
        </is>
      </c>
      <c r="F34" s="11" t="inlineStr">
        <is>
          <t>Cynergy Bank</t>
        </is>
      </c>
      <c r="G34" s="12" t="inlineStr">
        <is>
          <t>https://www.cynergybank.co.uk</t>
        </is>
      </c>
      <c r="H34" s="11" t="inlineStr">
        <is>
          <t>businessbanking@cynergybank.co.uk</t>
        </is>
      </c>
      <c r="I34" s="11" t="inlineStr">
        <is>
          <t>role (other)</t>
        </is>
      </c>
      <c r="J34" s="12" t="inlineStr">
        <is>
          <t>Open page</t>
        </is>
      </c>
      <c r="K34" s="11" t="inlineStr">
        <is>
          <t>04728421</t>
        </is>
      </c>
      <c r="L34" s="12" t="inlineStr">
        <is>
          <t>Open</t>
        </is>
      </c>
      <c r="M34" s="11" t="inlineStr">
        <is>
          <t>Group</t>
        </is>
      </c>
      <c r="N34" s="13" t="n">
        <v>37720</v>
      </c>
      <c r="O34" s="11" t="inlineStr">
        <is>
          <t>4Th Floor, One New Change, London</t>
        </is>
      </c>
      <c r="P34" s="11" t="inlineStr">
        <is>
          <t>EC4M 9AF</t>
        </is>
      </c>
      <c r="Q34" s="11" t="inlineStr">
        <is>
          <t>No</t>
        </is>
      </c>
      <c r="W34" s="11" t="inlineStr">
        <is>
          <t>City of London School (EC4V 3AL)</t>
        </is>
      </c>
      <c r="X34" s="11" t="n">
        <v>6</v>
      </c>
      <c r="Y34" s="11" t="inlineStr">
        <is>
          <t>Marlborough Sports Garden (SE1 1SD) (18.5)</t>
        </is>
      </c>
      <c r="Z34" s="11" t="inlineStr">
        <is>
          <t>City of London School (EC4V 3AL)</t>
        </is>
      </c>
      <c r="AA34" s="11" t="n">
        <v>6</v>
      </c>
      <c r="AB34" s="14">
        <f>IFERROR(INDEX(Venues!$E$2:$E$17,MATCH(Z34,Venues!$A$2:$A$17,0)),"Not checked")</f>
        <v/>
      </c>
      <c r="AC34" s="14">
        <f>IFERROR(INDEX(Venues!$F$2:$F$17,MATCH(Z34,Venues!$A$2:$A$17,0)),0)</f>
        <v/>
      </c>
      <c r="AD34" s="15">
        <f>IFERROR(INDEX(Venues!$M$2:$M$17,MATCH(Z34,Venues!$A$2:$A$17,0)),"")</f>
        <v/>
      </c>
      <c r="AE34" s="14">
        <f>IFERROR(INDEX(Venues!$N$2:$N$17,MATCH(Z34,Venues!$A$2:$A$17,0)),"5-a-side")</f>
        <v/>
      </c>
      <c r="AF34" s="16">
        <f>IF(Offer!$C$4="","",Offer!$C$4)</f>
        <v/>
      </c>
      <c r="AG34" s="14">
        <f>Z34&amp;" ("&amp;AA34&amp;" min walk) · "&amp;IF(ISNUMBER(AD34),TEXT(AD34,"ddd d mmm, hh:mm"),"slot to confirm with venue")&amp;" · "&amp;AE34&amp;" · "&amp;IF(AF34&lt;&gt;"","£"&amp;TEXT(AF34,"0.00")&amp;" pp","price TBC")</f>
        <v/>
      </c>
      <c r="AH34" s="14">
        <f>IF(U34&lt;&gt;"",U34,IF(H34&lt;&gt;"",H34,""))</f>
        <v/>
      </c>
      <c r="AI34" s="14">
        <f>"After-work football for "&amp;F34&amp;" · "&amp;Z34&amp;", "&amp;AA34&amp;" min from your office"</f>
        <v/>
      </c>
      <c r="AJ34" s="14">
        <f>"Hi "&amp;IF(R34&lt;&gt;"",R34,F34&amp;" team")&amp;","&amp;CHAR(10)&amp;CHAR(10)&amp;"I'm "&amp;IF(AM34&lt;&gt;"",AM34,IF(Offer!$C$5&lt;&gt;"",Offer!$C$5,"[NAME]"))&amp;" from FC Urban. We organise after-work football for teams in the City and Canary Wharf."&amp;CHAR(10)&amp;CHAR(10)&amp;"We have a "&amp;AE34&amp;" pitch at "&amp;Z34&amp;", "&amp;IF(OR(AA34=8,AA34=11,AA34=18),"an ","a ")&amp;AA34&amp;"-minute walk from your "&amp;P34&amp;" office, "&amp;IF(ISNUMBER(AD34),"on "&amp;TEXT(AD34,"dddd d mmmm")&amp;" at "&amp;TEXT(AD34,"hh:mm"),"on a weekday evening that suits your team")&amp;". It's "&amp;IF(AF34&lt;&gt;"","£"&amp;IF(AF34=INT(AF34),TEXT(AF34,"0"),TEXT(AF34,"0.00")),"[PRICE PER PLAYER]")&amp;" a player and we handle the pitch booking, sign-ups and payments, so all it takes is one person sharing a link with the team."&amp;CHAR(10)&amp;CHAR(10)&amp;"It works well as a team social or "&amp;IF(ISNUMBER(SEARCH(LEFT(F34,1),"AEIOU")),"an ","a ")&amp;F34&amp;"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LINK]")&amp;CHAR(10)&amp;CHAR(10)&amp;"Best,"&amp;CHAR(10)&amp;IF(AM34&lt;&gt;"",AM34,IF(Offer!$C$5&lt;&gt;"",Offer!$C$5,"[NAME]"))&amp;CHAR(10)&amp;"FC Urban"</f>
        <v/>
      </c>
      <c r="AK34" s="14">
        <f>"Hi "&amp;IF(R34&lt;&gt;"",R34,F34&amp;" team")&amp;","&amp;CHAR(10)&amp;CHAR(10)&amp;"Just bumping this up. The "&amp;AE34&amp;" pitch at "&amp;Z34&amp;" is still free "&amp;IF(ISNUMBER(AD34),TEXT(AD34,"ddd d mmm")&amp;", "&amp;TEXT(AD34,"hh:mm"),"weekday evenings")&amp;", "&amp;IF(OR(AA34=8,AA34=11,AA34=18),"an ","a ")&amp;AA34&amp;"-minute walk from your office, "&amp;IF(AF34&lt;&gt;"","£"&amp;IF(AF34=INT(AF34),TEXT(AF34,"0"),TEXT(AF34,"0.00")),"[PRICE PER PLAYER]")&amp;" a player. Happy to hold it for "&amp;F34&amp;"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LINK]")&amp;CHAR(10)&amp;CHAR(10)&amp;"Best,"&amp;CHAR(10)&amp;IF(AM34&lt;&gt;"",AM34,IF(Offer!$C$5&lt;&gt;"",Offer!$C$5,"[NAME]"))&amp;CHAR(10)&amp;"FC Urban"</f>
        <v/>
      </c>
      <c r="AL34" s="14">
        <f>IF(AH34="","No email yet",IF(ISNUMBER(SEARCH("[",AJ34)),"Fill placeholders",IF(ISNUMBER(AD34),"Ready to send","Ready · no fixed slot")))</f>
        <v/>
      </c>
      <c r="AO34" s="17" t="n"/>
      <c r="AP34" s="17" t="n"/>
    </row>
    <row r="35">
      <c r="A35" s="11" t="n">
        <v>33</v>
      </c>
      <c r="B35" s="11" t="n">
        <v>1</v>
      </c>
      <c r="C35" s="11" t="inlineStr">
        <is>
          <t>Bank</t>
        </is>
      </c>
      <c r="D35" s="11" t="inlineStr">
        <is>
          <t>City of London</t>
        </is>
      </c>
      <c r="E35" s="11" t="inlineStr">
        <is>
          <t>Itaú BBA International PLC</t>
        </is>
      </c>
      <c r="F35" s="11" t="inlineStr">
        <is>
          <t>Itaú BBA</t>
        </is>
      </c>
      <c r="G35" s="12" t="inlineStr">
        <is>
          <t>https://www.itaubba.eu</t>
        </is>
      </c>
      <c r="H35" s="11" t="inlineStr">
        <is>
          <t>enquiries@itaubba.eu</t>
        </is>
      </c>
      <c r="I35" s="11" t="inlineStr">
        <is>
          <t>general</t>
        </is>
      </c>
      <c r="J35" s="12" t="inlineStr">
        <is>
          <t>Open page</t>
        </is>
      </c>
      <c r="K35" s="11" t="inlineStr">
        <is>
          <t>07425398</t>
        </is>
      </c>
      <c r="L35" s="12" t="inlineStr">
        <is>
          <t>Open</t>
        </is>
      </c>
      <c r="M35" s="11" t="inlineStr">
        <is>
          <t>Group</t>
        </is>
      </c>
      <c r="N35" s="13" t="n">
        <v>40483</v>
      </c>
      <c r="O35" s="11" t="inlineStr">
        <is>
          <t>The Broadgate Tower, Level 10A, 20 Primrose Street, London</t>
        </is>
      </c>
      <c r="P35" s="11" t="inlineStr">
        <is>
          <t>EC2A 2EW</t>
        </is>
      </c>
      <c r="Q35" s="11" t="inlineStr">
        <is>
          <t>Yes</t>
        </is>
      </c>
      <c r="W35" s="11" t="inlineStr">
        <is>
          <t>Shoreditch Powerleague</t>
        </is>
      </c>
      <c r="X35" s="11" t="n">
        <v>6</v>
      </c>
      <c r="Y35" s="11" t="inlineStr">
        <is>
          <t>Liverpool St - Attlee Centre (9.9)</t>
        </is>
      </c>
      <c r="Z35" s="11" t="inlineStr">
        <is>
          <t>Shoreditch Powerleague</t>
        </is>
      </c>
      <c r="AA35" s="11" t="n">
        <v>6</v>
      </c>
      <c r="AB35" s="14">
        <f>IFERROR(INDEX(Venues!$E$2:$E$17,MATCH(Z35,Venues!$A$2:$A$17,0)),"Not checked")</f>
        <v/>
      </c>
      <c r="AC35" s="14">
        <f>IFERROR(INDEX(Venues!$F$2:$F$17,MATCH(Z35,Venues!$A$2:$A$17,0)),0)</f>
        <v/>
      </c>
      <c r="AD35" s="15">
        <f>IFERROR(INDEX(Venues!$M$2:$M$17,MATCH(Z35,Venues!$A$2:$A$17,0)),"")</f>
        <v/>
      </c>
      <c r="AE35" s="14">
        <f>IFERROR(INDEX(Venues!$N$2:$N$17,MATCH(Z35,Venues!$A$2:$A$17,0)),"5-a-side")</f>
        <v/>
      </c>
      <c r="AF35" s="16">
        <f>IF(Offer!$C$4="","",Offer!$C$4)</f>
        <v/>
      </c>
      <c r="AG35" s="14">
        <f>Z35&amp;" ("&amp;AA35&amp;" min walk) · "&amp;IF(ISNUMBER(AD35),TEXT(AD35,"ddd d mmm, hh:mm"),"slot to confirm with venue")&amp;" · "&amp;AE35&amp;" · "&amp;IF(AF35&lt;&gt;"","£"&amp;TEXT(AF35,"0.00")&amp;" pp","price TBC")</f>
        <v/>
      </c>
      <c r="AH35" s="14">
        <f>IF(U35&lt;&gt;"",U35,IF(H35&lt;&gt;"",H35,""))</f>
        <v/>
      </c>
      <c r="AI35" s="14">
        <f>"After-work football for "&amp;F35&amp;" · "&amp;Z35&amp;", "&amp;AA35&amp;" min from your office"</f>
        <v/>
      </c>
      <c r="AJ35" s="14">
        <f>"Hi "&amp;IF(R35&lt;&gt;"",R35,F35&amp;" team")&amp;","&amp;CHAR(10)&amp;CHAR(10)&amp;"I'm "&amp;IF(AM35&lt;&gt;"",AM35,IF(Offer!$C$5&lt;&gt;"",Offer!$C$5,"[NAME]"))&amp;" from FC Urban. We organise after-work football for teams in the City and Canary Wharf."&amp;CHAR(10)&amp;CHAR(10)&amp;"We have a "&amp;AE35&amp;" pitch at "&amp;Z35&amp;", "&amp;IF(OR(AA35=8,AA35=11,AA35=18),"an ","a ")&amp;AA35&amp;"-minute walk from your "&amp;P35&amp;" office, "&amp;IF(ISNUMBER(AD35),"on "&amp;TEXT(AD35,"dddd d mmmm")&amp;" at "&amp;TEXT(AD35,"hh:mm"),"on a weekday evening that suits your team")&amp;". It's "&amp;IF(AF35&lt;&gt;"","£"&amp;IF(AF35=INT(AF35),TEXT(AF35,"0"),TEXT(AF35,"0.00")),"[PRICE PER PLAYER]")&amp;" a player and we handle the pitch booking, sign-ups and payments, so all it takes is one person sharing a link with the team."&amp;CHAR(10)&amp;CHAR(10)&amp;"It works well as a team social or "&amp;IF(ISNUMBER(SEARCH(LEFT(F35,1),"AEIOU")),"an ","a ")&amp;F35&amp;"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LINK]")&amp;CHAR(10)&amp;CHAR(10)&amp;"Best,"&amp;CHAR(10)&amp;IF(AM35&lt;&gt;"",AM35,IF(Offer!$C$5&lt;&gt;"",Offer!$C$5,"[NAME]"))&amp;CHAR(10)&amp;"FC Urban"</f>
        <v/>
      </c>
      <c r="AK35" s="14">
        <f>"Hi "&amp;IF(R35&lt;&gt;"",R35,F35&amp;" team")&amp;","&amp;CHAR(10)&amp;CHAR(10)&amp;"Just bumping this up. The "&amp;AE35&amp;" pitch at "&amp;Z35&amp;" is still free "&amp;IF(ISNUMBER(AD35),TEXT(AD35,"ddd d mmm")&amp;", "&amp;TEXT(AD35,"hh:mm"),"weekday evenings")&amp;", "&amp;IF(OR(AA35=8,AA35=11,AA35=18),"an ","a ")&amp;AA35&amp;"-minute walk from your office, "&amp;IF(AF35&lt;&gt;"","£"&amp;IF(AF35=INT(AF35),TEXT(AF35,"0"),TEXT(AF35,"0.00")),"[PRICE PER PLAYER]")&amp;" a player. Happy to hold it for "&amp;F35&amp;"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LINK]")&amp;CHAR(10)&amp;CHAR(10)&amp;"Best,"&amp;CHAR(10)&amp;IF(AM35&lt;&gt;"",AM35,IF(Offer!$C$5&lt;&gt;"",Offer!$C$5,"[NAME]"))&amp;CHAR(10)&amp;"FC Urban"</f>
        <v/>
      </c>
      <c r="AL35" s="14">
        <f>IF(AH35="","No email yet",IF(ISNUMBER(SEARCH("[",AJ35)),"Fill placeholders",IF(ISNUMBER(AD35),"Ready to send","Ready · no fixed slot")))</f>
        <v/>
      </c>
      <c r="AO35" s="17" t="n"/>
      <c r="AP35" s="17" t="n"/>
    </row>
    <row r="36">
      <c r="A36" s="11" t="n">
        <v>34</v>
      </c>
      <c r="B36" s="11" t="n">
        <v>1</v>
      </c>
      <c r="C36" s="11" t="inlineStr">
        <is>
          <t>Bank</t>
        </is>
      </c>
      <c r="D36" s="11" t="inlineStr">
        <is>
          <t>City of London</t>
        </is>
      </c>
      <c r="E36" s="11" t="inlineStr">
        <is>
          <t>Mizuho International PLC</t>
        </is>
      </c>
      <c r="F36" s="11" t="inlineStr">
        <is>
          <t>Mizuho</t>
        </is>
      </c>
      <c r="G36" s="12" t="inlineStr">
        <is>
          <t>https://www.mizuho.com</t>
        </is>
      </c>
      <c r="H36" s="11" t="inlineStr">
        <is>
          <t>customerservice@mizuho.com</t>
        </is>
      </c>
      <c r="I36" s="11" t="inlineStr">
        <is>
          <t>general</t>
        </is>
      </c>
      <c r="J36" s="12" t="inlineStr">
        <is>
          <t>Open page</t>
        </is>
      </c>
      <c r="K36" s="11" t="inlineStr">
        <is>
          <t>01203696</t>
        </is>
      </c>
      <c r="L36" s="12" t="inlineStr">
        <is>
          <t>Open</t>
        </is>
      </c>
      <c r="M36" s="11" t="inlineStr">
        <is>
          <t>Group</t>
        </is>
      </c>
      <c r="N36" s="13" t="n">
        <v>27467</v>
      </c>
      <c r="O36" s="11" t="inlineStr">
        <is>
          <t>30 Old Bailey, London</t>
        </is>
      </c>
      <c r="P36" s="11" t="inlineStr">
        <is>
          <t>EC4M 7AU</t>
        </is>
      </c>
      <c r="Q36" s="11" t="inlineStr">
        <is>
          <t>Yes</t>
        </is>
      </c>
      <c r="W36" s="11" t="inlineStr">
        <is>
          <t>City of London School (EC4V 3AL)</t>
        </is>
      </c>
      <c r="X36" s="11" t="n">
        <v>8</v>
      </c>
      <c r="Y36" s="11" t="n"/>
      <c r="Z36" s="11" t="inlineStr">
        <is>
          <t>City of London School (EC4V 3AL)</t>
        </is>
      </c>
      <c r="AA36" s="11" t="n">
        <v>8</v>
      </c>
      <c r="AB36" s="14">
        <f>IFERROR(INDEX(Venues!$E$2:$E$17,MATCH(Z36,Venues!$A$2:$A$17,0)),"Not checked")</f>
        <v/>
      </c>
      <c r="AC36" s="14">
        <f>IFERROR(INDEX(Venues!$F$2:$F$17,MATCH(Z36,Venues!$A$2:$A$17,0)),0)</f>
        <v/>
      </c>
      <c r="AD36" s="15">
        <f>IFERROR(INDEX(Venues!$M$2:$M$17,MATCH(Z36,Venues!$A$2:$A$17,0)),"")</f>
        <v/>
      </c>
      <c r="AE36" s="14">
        <f>IFERROR(INDEX(Venues!$N$2:$N$17,MATCH(Z36,Venues!$A$2:$A$17,0)),"5-a-side")</f>
        <v/>
      </c>
      <c r="AF36" s="16">
        <f>IF(Offer!$C$4="","",Offer!$C$4)</f>
        <v/>
      </c>
      <c r="AG36" s="14">
        <f>Z36&amp;" ("&amp;AA36&amp;" min walk) · "&amp;IF(ISNUMBER(AD36),TEXT(AD36,"ddd d mmm, hh:mm"),"slot to confirm with venue")&amp;" · "&amp;AE36&amp;" · "&amp;IF(AF36&lt;&gt;"","£"&amp;TEXT(AF36,"0.00")&amp;" pp","price TBC")</f>
        <v/>
      </c>
      <c r="AH36" s="14">
        <f>IF(U36&lt;&gt;"",U36,IF(H36&lt;&gt;"",H36,""))</f>
        <v/>
      </c>
      <c r="AI36" s="14">
        <f>"After-work football for "&amp;F36&amp;" · "&amp;Z36&amp;", "&amp;AA36&amp;" min from your office"</f>
        <v/>
      </c>
      <c r="AJ36" s="14">
        <f>"Hi "&amp;IF(R36&lt;&gt;"",R36,F36&amp;" team")&amp;","&amp;CHAR(10)&amp;CHAR(10)&amp;"I'm "&amp;IF(AM36&lt;&gt;"",AM36,IF(Offer!$C$5&lt;&gt;"",Offer!$C$5,"[NAME]"))&amp;" from FC Urban. We organise after-work football for teams in the City and Canary Wharf."&amp;CHAR(10)&amp;CHAR(10)&amp;"We have a "&amp;AE36&amp;" pitch at "&amp;Z36&amp;", "&amp;IF(OR(AA36=8,AA36=11,AA36=18),"an ","a ")&amp;AA36&amp;"-minute walk from your "&amp;P36&amp;" office, "&amp;IF(ISNUMBER(AD36),"on "&amp;TEXT(AD36,"dddd d mmmm")&amp;" at "&amp;TEXT(AD36,"hh:mm"),"on a weekday evening that suits your team")&amp;". It's "&amp;IF(AF36&lt;&gt;"","£"&amp;IF(AF36=INT(AF36),TEXT(AF36,"0"),TEXT(AF36,"0.00")),"[PRICE PER PLAYER]")&amp;" a player and we handle the pitch booking, sign-ups and payments, so all it takes is one person sharing a link with the team."&amp;CHAR(10)&amp;CHAR(10)&amp;"It works well as a team social or "&amp;IF(ISNUMBER(SEARCH(LEFT(F36,1),"AEIOU")),"an ","a ")&amp;F36&amp;"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LINK]")&amp;CHAR(10)&amp;CHAR(10)&amp;"Best,"&amp;CHAR(10)&amp;IF(AM36&lt;&gt;"",AM36,IF(Offer!$C$5&lt;&gt;"",Offer!$C$5,"[NAME]"))&amp;CHAR(10)&amp;"FC Urban"</f>
        <v/>
      </c>
      <c r="AK36" s="14">
        <f>"Hi "&amp;IF(R36&lt;&gt;"",R36,F36&amp;" team")&amp;","&amp;CHAR(10)&amp;CHAR(10)&amp;"Just bumping this up. The "&amp;AE36&amp;" pitch at "&amp;Z36&amp;" is still free "&amp;IF(ISNUMBER(AD36),TEXT(AD36,"ddd d mmm")&amp;", "&amp;TEXT(AD36,"hh:mm"),"weekday evenings")&amp;", "&amp;IF(OR(AA36=8,AA36=11,AA36=18),"an ","a ")&amp;AA36&amp;"-minute walk from your office, "&amp;IF(AF36&lt;&gt;"","£"&amp;IF(AF36=INT(AF36),TEXT(AF36,"0"),TEXT(AF36,"0.00")),"[PRICE PER PLAYER]")&amp;" a player. Happy to hold it for "&amp;F36&amp;"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LINK]")&amp;CHAR(10)&amp;CHAR(10)&amp;"Best,"&amp;CHAR(10)&amp;IF(AM36&lt;&gt;"",AM36,IF(Offer!$C$5&lt;&gt;"",Offer!$C$5,"[NAME]"))&amp;CHAR(10)&amp;"FC Urban"</f>
        <v/>
      </c>
      <c r="AL36" s="14">
        <f>IF(AH36="","No email yet",IF(ISNUMBER(SEARCH("[",AJ36)),"Fill placeholders",IF(ISNUMBER(AD36),"Ready to send","Ready · no fixed slot")))</f>
        <v/>
      </c>
      <c r="AO36" s="17" t="n"/>
      <c r="AP36" s="17" t="n"/>
    </row>
    <row r="37">
      <c r="A37" s="11" t="n">
        <v>35</v>
      </c>
      <c r="B37" s="11" t="n">
        <v>1</v>
      </c>
      <c r="C37" s="11" t="inlineStr">
        <is>
          <t>Bank</t>
        </is>
      </c>
      <c r="D37" s="11" t="inlineStr">
        <is>
          <t>City of London</t>
        </is>
      </c>
      <c r="E37" s="11" t="inlineStr">
        <is>
          <t>National Westminster Bank Public Limited Company</t>
        </is>
      </c>
      <c r="F37" s="11" t="inlineStr">
        <is>
          <t>NatWest</t>
        </is>
      </c>
      <c r="G37" s="12" t="inlineStr">
        <is>
          <t>https://www.natwest.com</t>
        </is>
      </c>
      <c r="H37" s="11" t="n"/>
      <c r="I37" s="11" t="inlineStr">
        <is>
          <t>Not found</t>
        </is>
      </c>
      <c r="J37" s="11" t="n"/>
      <c r="K37" s="11" t="inlineStr">
        <is>
          <t>00929027</t>
        </is>
      </c>
      <c r="L37" s="12" t="inlineStr">
        <is>
          <t>Open</t>
        </is>
      </c>
      <c r="M37" s="11" t="inlineStr">
        <is>
          <t>Group</t>
        </is>
      </c>
      <c r="N37" s="13" t="n">
        <v>24915</v>
      </c>
      <c r="O37" s="11" t="inlineStr">
        <is>
          <t>250 Bishopsgate, London</t>
        </is>
      </c>
      <c r="P37" s="11" t="inlineStr">
        <is>
          <t>EC2M 4AA</t>
        </is>
      </c>
      <c r="Q37" s="11" t="inlineStr">
        <is>
          <t>No</t>
        </is>
      </c>
      <c r="W37" s="11" t="inlineStr">
        <is>
          <t>Liverpool St - Attlee Centre</t>
        </is>
      </c>
      <c r="X37" s="11" t="n">
        <v>7</v>
      </c>
      <c r="Y37" s="11" t="inlineStr">
        <is>
          <t>Shoreditch Powerleague (7.8)</t>
        </is>
      </c>
      <c r="Z37" s="11" t="inlineStr">
        <is>
          <t>Shoreditch Powerleague</t>
        </is>
      </c>
      <c r="AA37" s="11" t="n">
        <v>8</v>
      </c>
      <c r="AB37" s="14">
        <f>IFERROR(INDEX(Venues!$E$2:$E$17,MATCH(Z37,Venues!$A$2:$A$17,0)),"Not checked")</f>
        <v/>
      </c>
      <c r="AC37" s="14">
        <f>IFERROR(INDEX(Venues!$F$2:$F$17,MATCH(Z37,Venues!$A$2:$A$17,0)),0)</f>
        <v/>
      </c>
      <c r="AD37" s="15">
        <f>IFERROR(INDEX(Venues!$M$2:$M$17,MATCH(Z37,Venues!$A$2:$A$17,0)),"")</f>
        <v/>
      </c>
      <c r="AE37" s="14">
        <f>IFERROR(INDEX(Venues!$N$2:$N$17,MATCH(Z37,Venues!$A$2:$A$17,0)),"5-a-side")</f>
        <v/>
      </c>
      <c r="AF37" s="16">
        <f>IF(Offer!$C$4="","",Offer!$C$4)</f>
        <v/>
      </c>
      <c r="AG37" s="14">
        <f>Z37&amp;" ("&amp;AA37&amp;" min walk) · "&amp;IF(ISNUMBER(AD37),TEXT(AD37,"ddd d mmm, hh:mm"),"slot to confirm with venue")&amp;" · "&amp;AE37&amp;" · "&amp;IF(AF37&lt;&gt;"","£"&amp;TEXT(AF37,"0.00")&amp;" pp","price TBC")</f>
        <v/>
      </c>
      <c r="AH37" s="14">
        <f>IF(U37&lt;&gt;"",U37,IF(H37&lt;&gt;"",H37,""))</f>
        <v/>
      </c>
      <c r="AI37" s="14">
        <f>"After-work football for "&amp;F37&amp;" · "&amp;Z37&amp;", "&amp;AA37&amp;" min from your office"</f>
        <v/>
      </c>
      <c r="AJ37" s="14">
        <f>"Hi "&amp;IF(R37&lt;&gt;"",R37,F37&amp;" team")&amp;","&amp;CHAR(10)&amp;CHAR(10)&amp;"I'm "&amp;IF(AM37&lt;&gt;"",AM37,IF(Offer!$C$5&lt;&gt;"",Offer!$C$5,"[NAME]"))&amp;" from FC Urban. We organise after-work football for teams in the City and Canary Wharf."&amp;CHAR(10)&amp;CHAR(10)&amp;"We have a "&amp;AE37&amp;" pitch at "&amp;Z37&amp;", "&amp;IF(OR(AA37=8,AA37=11,AA37=18),"an ","a ")&amp;AA37&amp;"-minute walk from your "&amp;P37&amp;" office, "&amp;IF(ISNUMBER(AD37),"on "&amp;TEXT(AD37,"dddd d mmmm")&amp;" at "&amp;TEXT(AD37,"hh:mm"),"on a weekday evening that suits your team")&amp;". It's "&amp;IF(AF37&lt;&gt;"","£"&amp;IF(AF37=INT(AF37),TEXT(AF37,"0"),TEXT(AF37,"0.00")),"[PRICE PER PLAYER]")&amp;" a player and we handle the pitch booking, sign-ups and payments, so all it takes is one person sharing a link with the team."&amp;CHAR(10)&amp;CHAR(10)&amp;"It works well as a team social or "&amp;IF(ISNUMBER(SEARCH(LEFT(F37,1),"AEIOU")),"an ","a ")&amp;F37&amp;"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LINK]")&amp;CHAR(10)&amp;CHAR(10)&amp;"Best,"&amp;CHAR(10)&amp;IF(AM37&lt;&gt;"",AM37,IF(Offer!$C$5&lt;&gt;"",Offer!$C$5,"[NAME]"))&amp;CHAR(10)&amp;"FC Urban"</f>
        <v/>
      </c>
      <c r="AK37" s="14">
        <f>"Hi "&amp;IF(R37&lt;&gt;"",R37,F37&amp;" team")&amp;","&amp;CHAR(10)&amp;CHAR(10)&amp;"Just bumping this up. The "&amp;AE37&amp;" pitch at "&amp;Z37&amp;" is still free "&amp;IF(ISNUMBER(AD37),TEXT(AD37,"ddd d mmm")&amp;", "&amp;TEXT(AD37,"hh:mm"),"weekday evenings")&amp;", "&amp;IF(OR(AA37=8,AA37=11,AA37=18),"an ","a ")&amp;AA37&amp;"-minute walk from your office, "&amp;IF(AF37&lt;&gt;"","£"&amp;IF(AF37=INT(AF37),TEXT(AF37,"0"),TEXT(AF37,"0.00")),"[PRICE PER PLAYER]")&amp;" a player. Happy to hold it for "&amp;F37&amp;"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LINK]")&amp;CHAR(10)&amp;CHAR(10)&amp;"Best,"&amp;CHAR(10)&amp;IF(AM37&lt;&gt;"",AM37,IF(Offer!$C$5&lt;&gt;"",Offer!$C$5,"[NAME]"))&amp;CHAR(10)&amp;"FC Urban"</f>
        <v/>
      </c>
      <c r="AL37" s="14">
        <f>IF(AH37="","No email yet",IF(ISNUMBER(SEARCH("[",AJ37)),"Fill placeholders",IF(ISNUMBER(AD37),"Ready to send","Ready · no fixed slot")))</f>
        <v/>
      </c>
      <c r="AO37" s="17" t="n"/>
      <c r="AP37" s="17" t="n"/>
    </row>
    <row r="38">
      <c r="A38" s="11" t="n">
        <v>36</v>
      </c>
      <c r="B38" s="11" t="n">
        <v>1</v>
      </c>
      <c r="C38" s="11" t="inlineStr">
        <is>
          <t>Bank</t>
        </is>
      </c>
      <c r="D38" s="11" t="inlineStr">
        <is>
          <t>City of London</t>
        </is>
      </c>
      <c r="E38" s="11" t="inlineStr">
        <is>
          <t>Starling Bank Limited</t>
        </is>
      </c>
      <c r="F38" s="11" t="inlineStr">
        <is>
          <t>Starling Bank</t>
        </is>
      </c>
      <c r="G38" s="12" t="inlineStr">
        <is>
          <t>https://www.starlingbank.com</t>
        </is>
      </c>
      <c r="H38" s="11" t="inlineStr">
        <is>
          <t>help@starlingbank.com</t>
        </is>
      </c>
      <c r="I38" s="11" t="inlineStr">
        <is>
          <t>general</t>
        </is>
      </c>
      <c r="J38" s="12" t="inlineStr">
        <is>
          <t>Open page</t>
        </is>
      </c>
      <c r="K38" s="11" t="inlineStr">
        <is>
          <t>09092149</t>
        </is>
      </c>
      <c r="L38" s="12" t="inlineStr">
        <is>
          <t>Open</t>
        </is>
      </c>
      <c r="M38" s="11" t="inlineStr">
        <is>
          <t>Group</t>
        </is>
      </c>
      <c r="N38" s="13" t="n">
        <v>41808</v>
      </c>
      <c r="O38" s="11" t="inlineStr">
        <is>
          <t>5Th Floor London Fruit And Wool Exchange, 1 Duval Square, London</t>
        </is>
      </c>
      <c r="P38" s="11" t="inlineStr">
        <is>
          <t>E1 6PW</t>
        </is>
      </c>
      <c r="Q38" s="11" t="inlineStr">
        <is>
          <t>No</t>
        </is>
      </c>
      <c r="W38" s="11" t="inlineStr">
        <is>
          <t>Liverpool St - Attlee Centre</t>
        </is>
      </c>
      <c r="X38" s="11" t="n">
        <v>3</v>
      </c>
      <c r="Y38" s="11" t="inlineStr">
        <is>
          <t>Shoreditch Powerleague (8.1); Whitechapel (18.6)</t>
        </is>
      </c>
      <c r="Z38" s="11" t="inlineStr">
        <is>
          <t>Shoreditch Powerleague</t>
        </is>
      </c>
      <c r="AA38" s="11" t="n">
        <v>8</v>
      </c>
      <c r="AB38" s="14">
        <f>IFERROR(INDEX(Venues!$E$2:$E$17,MATCH(Z38,Venues!$A$2:$A$17,0)),"Not checked")</f>
        <v/>
      </c>
      <c r="AC38" s="14">
        <f>IFERROR(INDEX(Venues!$F$2:$F$17,MATCH(Z38,Venues!$A$2:$A$17,0)),0)</f>
        <v/>
      </c>
      <c r="AD38" s="15">
        <f>IFERROR(INDEX(Venues!$M$2:$M$17,MATCH(Z38,Venues!$A$2:$A$17,0)),"")</f>
        <v/>
      </c>
      <c r="AE38" s="14">
        <f>IFERROR(INDEX(Venues!$N$2:$N$17,MATCH(Z38,Venues!$A$2:$A$17,0)),"5-a-side")</f>
        <v/>
      </c>
      <c r="AF38" s="16">
        <f>IF(Offer!$C$4="","",Offer!$C$4)</f>
        <v/>
      </c>
      <c r="AG38" s="14">
        <f>Z38&amp;" ("&amp;AA38&amp;" min walk) · "&amp;IF(ISNUMBER(AD38),TEXT(AD38,"ddd d mmm, hh:mm"),"slot to confirm with venue")&amp;" · "&amp;AE38&amp;" · "&amp;IF(AF38&lt;&gt;"","£"&amp;TEXT(AF38,"0.00")&amp;" pp","price TBC")</f>
        <v/>
      </c>
      <c r="AH38" s="14">
        <f>IF(U38&lt;&gt;"",U38,IF(H38&lt;&gt;"",H38,""))</f>
        <v/>
      </c>
      <c r="AI38" s="14">
        <f>"After-work football for "&amp;F38&amp;" · "&amp;Z38&amp;", "&amp;AA38&amp;" min from your office"</f>
        <v/>
      </c>
      <c r="AJ38" s="14">
        <f>"Hi "&amp;IF(R38&lt;&gt;"",R38,F38&amp;" team")&amp;","&amp;CHAR(10)&amp;CHAR(10)&amp;"I'm "&amp;IF(AM38&lt;&gt;"",AM38,IF(Offer!$C$5&lt;&gt;"",Offer!$C$5,"[NAME]"))&amp;" from FC Urban. We organise after-work football for teams in the City and Canary Wharf."&amp;CHAR(10)&amp;CHAR(10)&amp;"We have a "&amp;AE38&amp;" pitch at "&amp;Z38&amp;", "&amp;IF(OR(AA38=8,AA38=11,AA38=18),"an ","a ")&amp;AA38&amp;"-minute walk from your "&amp;P38&amp;" office, "&amp;IF(ISNUMBER(AD38),"on "&amp;TEXT(AD38,"dddd d mmmm")&amp;" at "&amp;TEXT(AD38,"hh:mm"),"on a weekday evening that suits your team")&amp;". It's "&amp;IF(AF38&lt;&gt;"","£"&amp;IF(AF38=INT(AF38),TEXT(AF38,"0"),TEXT(AF38,"0.00")),"[PRICE PER PLAYER]")&amp;" a player and we handle the pitch booking, sign-ups and payments, so all it takes is one person sharing a link with the team."&amp;CHAR(10)&amp;CHAR(10)&amp;"It works well as a team social or "&amp;IF(ISNUMBER(SEARCH(LEFT(F38,1),"AEIOU")),"an ","a ")&amp;F38&amp;"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LINK]")&amp;CHAR(10)&amp;CHAR(10)&amp;"Best,"&amp;CHAR(10)&amp;IF(AM38&lt;&gt;"",AM38,IF(Offer!$C$5&lt;&gt;"",Offer!$C$5,"[NAME]"))&amp;CHAR(10)&amp;"FC Urban"</f>
        <v/>
      </c>
      <c r="AK38" s="14">
        <f>"Hi "&amp;IF(R38&lt;&gt;"",R38,F38&amp;" team")&amp;","&amp;CHAR(10)&amp;CHAR(10)&amp;"Just bumping this up. The "&amp;AE38&amp;" pitch at "&amp;Z38&amp;" is still free "&amp;IF(ISNUMBER(AD38),TEXT(AD38,"ddd d mmm")&amp;", "&amp;TEXT(AD38,"hh:mm"),"weekday evenings")&amp;", "&amp;IF(OR(AA38=8,AA38=11,AA38=18),"an ","a ")&amp;AA38&amp;"-minute walk from your office, "&amp;IF(AF38&lt;&gt;"","£"&amp;IF(AF38=INT(AF38),TEXT(AF38,"0"),TEXT(AF38,"0.00")),"[PRICE PER PLAYER]")&amp;" a player. Happy to hold it for "&amp;F38&amp;"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LINK]")&amp;CHAR(10)&amp;CHAR(10)&amp;"Best,"&amp;CHAR(10)&amp;IF(AM38&lt;&gt;"",AM38,IF(Offer!$C$5&lt;&gt;"",Offer!$C$5,"[NAME]"))&amp;CHAR(10)&amp;"FC Urban"</f>
        <v/>
      </c>
      <c r="AL38" s="14">
        <f>IF(AH38="","No email yet",IF(ISNUMBER(SEARCH("[",AJ38)),"Fill placeholders",IF(ISNUMBER(AD38),"Ready to send","Ready · no fixed slot")))</f>
        <v/>
      </c>
      <c r="AO38" s="17" t="n"/>
      <c r="AP38" s="17" t="n"/>
    </row>
    <row r="39">
      <c r="A39" s="11" t="n">
        <v>37</v>
      </c>
      <c r="B39" s="11" t="n">
        <v>1</v>
      </c>
      <c r="C39" s="11" t="inlineStr">
        <is>
          <t>Bank</t>
        </is>
      </c>
      <c r="D39" s="11" t="inlineStr">
        <is>
          <t>City of London</t>
        </is>
      </c>
      <c r="E39" s="11" t="inlineStr">
        <is>
          <t>Lloyds Bank PLC</t>
        </is>
      </c>
      <c r="F39" s="11" t="inlineStr">
        <is>
          <t>Lloyds Bank</t>
        </is>
      </c>
      <c r="G39" s="12" t="inlineStr">
        <is>
          <t>https://www.lloydsbank.com</t>
        </is>
      </c>
      <c r="H39" s="11" t="inlineStr">
        <is>
          <t>worldwideservice@lloydsbank.com</t>
        </is>
      </c>
      <c r="I39" s="11" t="inlineStr">
        <is>
          <t>role (other)</t>
        </is>
      </c>
      <c r="J39" s="12" t="inlineStr">
        <is>
          <t>Open page</t>
        </is>
      </c>
      <c r="K39" s="11" t="inlineStr">
        <is>
          <t>00002065</t>
        </is>
      </c>
      <c r="L39" s="12" t="inlineStr">
        <is>
          <t>Open</t>
        </is>
      </c>
      <c r="M39" s="11" t="inlineStr">
        <is>
          <t>Group</t>
        </is>
      </c>
      <c r="N39" s="13" t="n">
        <v>-12672</v>
      </c>
      <c r="O39" s="11" t="inlineStr">
        <is>
          <t>25 Gresham Street, London</t>
        </is>
      </c>
      <c r="P39" s="11" t="inlineStr">
        <is>
          <t>EC2V 7HN</t>
        </is>
      </c>
      <c r="Q39" s="11" t="inlineStr">
        <is>
          <t>No</t>
        </is>
      </c>
      <c r="W39" s="11" t="inlineStr">
        <is>
          <t>City of London School (EC4V 3AL)</t>
        </is>
      </c>
      <c r="X39" s="11" t="n">
        <v>10</v>
      </c>
      <c r="Y39" s="11" t="inlineStr">
        <is>
          <t>Finsbury Leisure Centre (EC1V 3PU) (17.8)</t>
        </is>
      </c>
      <c r="Z39" s="11" t="inlineStr">
        <is>
          <t>City of London School (EC4V 3AL)</t>
        </is>
      </c>
      <c r="AA39" s="11" t="n">
        <v>10</v>
      </c>
      <c r="AB39" s="14">
        <f>IFERROR(INDEX(Venues!$E$2:$E$17,MATCH(Z39,Venues!$A$2:$A$17,0)),"Not checked")</f>
        <v/>
      </c>
      <c r="AC39" s="14">
        <f>IFERROR(INDEX(Venues!$F$2:$F$17,MATCH(Z39,Venues!$A$2:$A$17,0)),0)</f>
        <v/>
      </c>
      <c r="AD39" s="15">
        <f>IFERROR(INDEX(Venues!$M$2:$M$17,MATCH(Z39,Venues!$A$2:$A$17,0)),"")</f>
        <v/>
      </c>
      <c r="AE39" s="14">
        <f>IFERROR(INDEX(Venues!$N$2:$N$17,MATCH(Z39,Venues!$A$2:$A$17,0)),"5-a-side")</f>
        <v/>
      </c>
      <c r="AF39" s="16">
        <f>IF(Offer!$C$4="","",Offer!$C$4)</f>
        <v/>
      </c>
      <c r="AG39" s="14">
        <f>Z39&amp;" ("&amp;AA39&amp;" min walk) · "&amp;IF(ISNUMBER(AD39),TEXT(AD39,"ddd d mmm, hh:mm"),"slot to confirm with venue")&amp;" · "&amp;AE39&amp;" · "&amp;IF(AF39&lt;&gt;"","£"&amp;TEXT(AF39,"0.00")&amp;" pp","price TBC")</f>
        <v/>
      </c>
      <c r="AH39" s="14">
        <f>IF(U39&lt;&gt;"",U39,IF(H39&lt;&gt;"",H39,""))</f>
        <v/>
      </c>
      <c r="AI39" s="14">
        <f>"After-work football for "&amp;F39&amp;" · "&amp;Z39&amp;", "&amp;AA39&amp;" min from your office"</f>
        <v/>
      </c>
      <c r="AJ39" s="14">
        <f>"Hi "&amp;IF(R39&lt;&gt;"",R39,F39&amp;" team")&amp;","&amp;CHAR(10)&amp;CHAR(10)&amp;"I'm "&amp;IF(AM39&lt;&gt;"",AM39,IF(Offer!$C$5&lt;&gt;"",Offer!$C$5,"[NAME]"))&amp;" from FC Urban. We organise after-work football for teams in the City and Canary Wharf."&amp;CHAR(10)&amp;CHAR(10)&amp;"We have a "&amp;AE39&amp;" pitch at "&amp;Z39&amp;", "&amp;IF(OR(AA39=8,AA39=11,AA39=18),"an ","a ")&amp;AA39&amp;"-minute walk from your "&amp;P39&amp;" office, "&amp;IF(ISNUMBER(AD39),"on "&amp;TEXT(AD39,"dddd d mmmm")&amp;" at "&amp;TEXT(AD39,"hh:mm"),"on a weekday evening that suits your team")&amp;". It's "&amp;IF(AF39&lt;&gt;"","£"&amp;IF(AF39=INT(AF39),TEXT(AF39,"0"),TEXT(AF39,"0.00")),"[PRICE PER PLAYER]")&amp;" a player and we handle the pitch booking, sign-ups and payments, so all it takes is one person sharing a link with the team."&amp;CHAR(10)&amp;CHAR(10)&amp;"It works well as a team social or "&amp;IF(ISNUMBER(SEARCH(LEFT(F39,1),"AEIOU")),"an ","a ")&amp;F39&amp;"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LINK]")&amp;CHAR(10)&amp;CHAR(10)&amp;"Best,"&amp;CHAR(10)&amp;IF(AM39&lt;&gt;"",AM39,IF(Offer!$C$5&lt;&gt;"",Offer!$C$5,"[NAME]"))&amp;CHAR(10)&amp;"FC Urban"</f>
        <v/>
      </c>
      <c r="AK39" s="14">
        <f>"Hi "&amp;IF(R39&lt;&gt;"",R39,F39&amp;" team")&amp;","&amp;CHAR(10)&amp;CHAR(10)&amp;"Just bumping this up. The "&amp;AE39&amp;" pitch at "&amp;Z39&amp;" is still free "&amp;IF(ISNUMBER(AD39),TEXT(AD39,"ddd d mmm")&amp;", "&amp;TEXT(AD39,"hh:mm"),"weekday evenings")&amp;", "&amp;IF(OR(AA39=8,AA39=11,AA39=18),"an ","a ")&amp;AA39&amp;"-minute walk from your office, "&amp;IF(AF39&lt;&gt;"","£"&amp;IF(AF39=INT(AF39),TEXT(AF39,"0"),TEXT(AF39,"0.00")),"[PRICE PER PLAYER]")&amp;" a player. Happy to hold it for "&amp;F39&amp;"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LINK]")&amp;CHAR(10)&amp;CHAR(10)&amp;"Best,"&amp;CHAR(10)&amp;IF(AM39&lt;&gt;"",AM39,IF(Offer!$C$5&lt;&gt;"",Offer!$C$5,"[NAME]"))&amp;CHAR(10)&amp;"FC Urban"</f>
        <v/>
      </c>
      <c r="AL39" s="14">
        <f>IF(AH39="","No email yet",IF(ISNUMBER(SEARCH("[",AJ39)),"Fill placeholders",IF(ISNUMBER(AD39),"Ready to send","Ready · no fixed slot")))</f>
        <v/>
      </c>
      <c r="AO39" s="17" t="n"/>
      <c r="AP39" s="17" t="n"/>
    </row>
    <row r="40">
      <c r="A40" s="11" t="n">
        <v>38</v>
      </c>
      <c r="B40" s="11" t="n">
        <v>1</v>
      </c>
      <c r="C40" s="11" t="inlineStr">
        <is>
          <t>Bank</t>
        </is>
      </c>
      <c r="D40" s="11" t="inlineStr">
        <is>
          <t>City of London</t>
        </is>
      </c>
      <c r="E40" s="11" t="inlineStr">
        <is>
          <t>Allica Bank Limited</t>
        </is>
      </c>
      <c r="F40" s="11" t="inlineStr">
        <is>
          <t>Allica Bank</t>
        </is>
      </c>
      <c r="G40" s="12" t="inlineStr">
        <is>
          <t>https://www.allica.bank</t>
        </is>
      </c>
      <c r="H40" s="11" t="inlineStr">
        <is>
          <t>customer.services@allica.bank</t>
        </is>
      </c>
      <c r="I40" s="11" t="inlineStr">
        <is>
          <t>role (other)</t>
        </is>
      </c>
      <c r="J40" s="12" t="inlineStr">
        <is>
          <t>Open page</t>
        </is>
      </c>
      <c r="K40" s="11" t="inlineStr">
        <is>
          <t>07706156</t>
        </is>
      </c>
      <c r="L40" s="12" t="inlineStr">
        <is>
          <t>Open</t>
        </is>
      </c>
      <c r="M40" s="11" t="inlineStr">
        <is>
          <t>Group</t>
        </is>
      </c>
      <c r="N40" s="13" t="n">
        <v>40739</v>
      </c>
      <c r="O40" s="11" t="inlineStr">
        <is>
          <t>4Th/5Th Floor, 15 Worship Street, London</t>
        </is>
      </c>
      <c r="P40" s="11" t="inlineStr">
        <is>
          <t>EC2A 2DT</t>
        </is>
      </c>
      <c r="Q40" s="11" t="inlineStr">
        <is>
          <t>Yes</t>
        </is>
      </c>
      <c r="W40" s="11" t="inlineStr">
        <is>
          <t>Shoreditch Powerleague</t>
        </is>
      </c>
      <c r="X40" s="11" t="n">
        <v>12</v>
      </c>
      <c r="Y40" s="11" t="inlineStr">
        <is>
          <t>Finsbury Leisure Centre (EC1V 3PU) (12.2); Liverpool St - Attlee Centre (16.9)</t>
        </is>
      </c>
      <c r="Z40" s="11" t="inlineStr">
        <is>
          <t>Shoreditch Powerleague</t>
        </is>
      </c>
      <c r="AA40" s="11" t="n">
        <v>12</v>
      </c>
      <c r="AB40" s="14">
        <f>IFERROR(INDEX(Venues!$E$2:$E$17,MATCH(Z40,Venues!$A$2:$A$17,0)),"Not checked")</f>
        <v/>
      </c>
      <c r="AC40" s="14">
        <f>IFERROR(INDEX(Venues!$F$2:$F$17,MATCH(Z40,Venues!$A$2:$A$17,0)),0)</f>
        <v/>
      </c>
      <c r="AD40" s="15">
        <f>IFERROR(INDEX(Venues!$M$2:$M$17,MATCH(Z40,Venues!$A$2:$A$17,0)),"")</f>
        <v/>
      </c>
      <c r="AE40" s="14">
        <f>IFERROR(INDEX(Venues!$N$2:$N$17,MATCH(Z40,Venues!$A$2:$A$17,0)),"5-a-side")</f>
        <v/>
      </c>
      <c r="AF40" s="16">
        <f>IF(Offer!$C$4="","",Offer!$C$4)</f>
        <v/>
      </c>
      <c r="AG40" s="14">
        <f>Z40&amp;" ("&amp;AA40&amp;" min walk) · "&amp;IF(ISNUMBER(AD40),TEXT(AD40,"ddd d mmm, hh:mm"),"slot to confirm with venue")&amp;" · "&amp;AE40&amp;" · "&amp;IF(AF40&lt;&gt;"","£"&amp;TEXT(AF40,"0.00")&amp;" pp","price TBC")</f>
        <v/>
      </c>
      <c r="AH40" s="14">
        <f>IF(U40&lt;&gt;"",U40,IF(H40&lt;&gt;"",H40,""))</f>
        <v/>
      </c>
      <c r="AI40" s="14">
        <f>"After-work football for "&amp;F40&amp;" · "&amp;Z40&amp;", "&amp;AA40&amp;" min from your office"</f>
        <v/>
      </c>
      <c r="AJ40" s="14">
        <f>"Hi "&amp;IF(R40&lt;&gt;"",R40,F40&amp;" team")&amp;","&amp;CHAR(10)&amp;CHAR(10)&amp;"I'm "&amp;IF(AM40&lt;&gt;"",AM40,IF(Offer!$C$5&lt;&gt;"",Offer!$C$5,"[NAME]"))&amp;" from FC Urban. We organise after-work football for teams in the City and Canary Wharf."&amp;CHAR(10)&amp;CHAR(10)&amp;"We have a "&amp;AE40&amp;" pitch at "&amp;Z40&amp;", "&amp;IF(OR(AA40=8,AA40=11,AA40=18),"an ","a ")&amp;AA40&amp;"-minute walk from your "&amp;P40&amp;" office, "&amp;IF(ISNUMBER(AD40),"on "&amp;TEXT(AD40,"dddd d mmmm")&amp;" at "&amp;TEXT(AD40,"hh:mm"),"on a weekday evening that suits your team")&amp;". It's "&amp;IF(AF40&lt;&gt;"","£"&amp;IF(AF40=INT(AF40),TEXT(AF40,"0"),TEXT(AF40,"0.00")),"[PRICE PER PLAYER]")&amp;" a player and we handle the pitch booking, sign-ups and payments, so all it takes is one person sharing a link with the team."&amp;CHAR(10)&amp;CHAR(10)&amp;"It works well as a team social or "&amp;IF(ISNUMBER(SEARCH(LEFT(F40,1),"AEIOU")),"an ","a ")&amp;F40&amp;"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LINK]")&amp;CHAR(10)&amp;CHAR(10)&amp;"Best,"&amp;CHAR(10)&amp;IF(AM40&lt;&gt;"",AM40,IF(Offer!$C$5&lt;&gt;"",Offer!$C$5,"[NAME]"))&amp;CHAR(10)&amp;"FC Urban"</f>
        <v/>
      </c>
      <c r="AK40" s="14">
        <f>"Hi "&amp;IF(R40&lt;&gt;"",R40,F40&amp;" team")&amp;","&amp;CHAR(10)&amp;CHAR(10)&amp;"Just bumping this up. The "&amp;AE40&amp;" pitch at "&amp;Z40&amp;" is still free "&amp;IF(ISNUMBER(AD40),TEXT(AD40,"ddd d mmm")&amp;", "&amp;TEXT(AD40,"hh:mm"),"weekday evenings")&amp;", "&amp;IF(OR(AA40=8,AA40=11,AA40=18),"an ","a ")&amp;AA40&amp;"-minute walk from your office, "&amp;IF(AF40&lt;&gt;"","£"&amp;IF(AF40=INT(AF40),TEXT(AF40,"0"),TEXT(AF40,"0.00")),"[PRICE PER PLAYER]")&amp;" a player. Happy to hold it for "&amp;F40&amp;"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LINK]")&amp;CHAR(10)&amp;CHAR(10)&amp;"Best,"&amp;CHAR(10)&amp;IF(AM40&lt;&gt;"",AM40,IF(Offer!$C$5&lt;&gt;"",Offer!$C$5,"[NAME]"))&amp;CHAR(10)&amp;"FC Urban"</f>
        <v/>
      </c>
      <c r="AL40" s="14">
        <f>IF(AH40="","No email yet",IF(ISNUMBER(SEARCH("[",AJ40)),"Fill placeholders",IF(ISNUMBER(AD40),"Ready to send","Ready · no fixed slot")))</f>
        <v/>
      </c>
      <c r="AO40" s="17" t="n"/>
      <c r="AP40" s="17" t="n"/>
    </row>
    <row r="41">
      <c r="A41" s="11" t="n">
        <v>39</v>
      </c>
      <c r="B41" s="11" t="n">
        <v>1</v>
      </c>
      <c r="C41" s="11" t="inlineStr">
        <is>
          <t>Bank</t>
        </is>
      </c>
      <c r="D41" s="11" t="inlineStr">
        <is>
          <t>City of London</t>
        </is>
      </c>
      <c r="E41" s="11" t="inlineStr">
        <is>
          <t>Standard Chartered Bank</t>
        </is>
      </c>
      <c r="F41" s="11" t="inlineStr">
        <is>
          <t>Standard Chartered Bank</t>
        </is>
      </c>
      <c r="G41" s="12" t="inlineStr">
        <is>
          <t>https://www.sc.com</t>
        </is>
      </c>
      <c r="H41" s="11" t="inlineStr">
        <is>
          <t>info@sc.com</t>
        </is>
      </c>
      <c r="I41" s="11" t="inlineStr">
        <is>
          <t>general</t>
        </is>
      </c>
      <c r="J41" s="12" t="inlineStr">
        <is>
          <t>Open page</t>
        </is>
      </c>
      <c r="K41" s="11" t="inlineStr">
        <is>
          <t>ZC000018</t>
        </is>
      </c>
      <c r="L41" s="12" t="inlineStr">
        <is>
          <t>Open</t>
        </is>
      </c>
      <c r="M41" s="11" t="inlineStr">
        <is>
          <t>Group</t>
        </is>
      </c>
      <c r="N41" s="13" t="n">
        <v>19722</v>
      </c>
      <c r="O41" s="11" t="inlineStr">
        <is>
          <t>1 Basinghall Avenue, London</t>
        </is>
      </c>
      <c r="P41" s="11" t="inlineStr">
        <is>
          <t>EC2V 5DD</t>
        </is>
      </c>
      <c r="Q41" s="11" t="inlineStr">
        <is>
          <t>No</t>
        </is>
      </c>
      <c r="W41" s="11" t="inlineStr">
        <is>
          <t>City of London School (EC4V 3AL)</t>
        </is>
      </c>
      <c r="X41" s="11" t="n">
        <v>15</v>
      </c>
      <c r="Y41" s="11" t="inlineStr">
        <is>
          <t>Finsbury Leisure Centre (EC1V 3PU) (17.1)</t>
        </is>
      </c>
      <c r="Z41" s="11" t="inlineStr">
        <is>
          <t>City of London School (EC4V 3AL)</t>
        </is>
      </c>
      <c r="AA41" s="11" t="n">
        <v>15</v>
      </c>
      <c r="AB41" s="14">
        <f>IFERROR(INDEX(Venues!$E$2:$E$17,MATCH(Z41,Venues!$A$2:$A$17,0)),"Not checked")</f>
        <v/>
      </c>
      <c r="AC41" s="14">
        <f>IFERROR(INDEX(Venues!$F$2:$F$17,MATCH(Z41,Venues!$A$2:$A$17,0)),0)</f>
        <v/>
      </c>
      <c r="AD41" s="15">
        <f>IFERROR(INDEX(Venues!$M$2:$M$17,MATCH(Z41,Venues!$A$2:$A$17,0)),"")</f>
        <v/>
      </c>
      <c r="AE41" s="14">
        <f>IFERROR(INDEX(Venues!$N$2:$N$17,MATCH(Z41,Venues!$A$2:$A$17,0)),"5-a-side")</f>
        <v/>
      </c>
      <c r="AF41" s="16">
        <f>IF(Offer!$C$4="","",Offer!$C$4)</f>
        <v/>
      </c>
      <c r="AG41" s="14">
        <f>Z41&amp;" ("&amp;AA41&amp;" min walk) · "&amp;IF(ISNUMBER(AD41),TEXT(AD41,"ddd d mmm, hh:mm"),"slot to confirm with venue")&amp;" · "&amp;AE41&amp;" · "&amp;IF(AF41&lt;&gt;"","£"&amp;TEXT(AF41,"0.00")&amp;" pp","price TBC")</f>
        <v/>
      </c>
      <c r="AH41" s="14">
        <f>IF(U41&lt;&gt;"",U41,IF(H41&lt;&gt;"",H41,""))</f>
        <v/>
      </c>
      <c r="AI41" s="14">
        <f>"After-work football for "&amp;F41&amp;" · "&amp;Z41&amp;", "&amp;AA41&amp;" min from your office"</f>
        <v/>
      </c>
      <c r="AJ41" s="14">
        <f>"Hi "&amp;IF(R41&lt;&gt;"",R41,F41&amp;" team")&amp;","&amp;CHAR(10)&amp;CHAR(10)&amp;"I'm "&amp;IF(AM41&lt;&gt;"",AM41,IF(Offer!$C$5&lt;&gt;"",Offer!$C$5,"[NAME]"))&amp;" from FC Urban. We organise after-work football for teams in the City and Canary Wharf."&amp;CHAR(10)&amp;CHAR(10)&amp;"We have a "&amp;AE41&amp;" pitch at "&amp;Z41&amp;", "&amp;IF(OR(AA41=8,AA41=11,AA41=18),"an ","a ")&amp;AA41&amp;"-minute walk from your "&amp;P41&amp;" office, "&amp;IF(ISNUMBER(AD41),"on "&amp;TEXT(AD41,"dddd d mmmm")&amp;" at "&amp;TEXT(AD41,"hh:mm"),"on a weekday evening that suits your team")&amp;". It's "&amp;IF(AF41&lt;&gt;"","£"&amp;IF(AF41=INT(AF41),TEXT(AF41,"0"),TEXT(AF41,"0.00")),"[PRICE PER PLAYER]")&amp;" a player and we handle the pitch booking, sign-ups and payments, so all it takes is one person sharing a link with the team."&amp;CHAR(10)&amp;CHAR(10)&amp;"It works well as a team social or "&amp;IF(ISNUMBER(SEARCH(LEFT(F41,1),"AEIOU")),"an ","a ")&amp;F41&amp;"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LINK]")&amp;CHAR(10)&amp;CHAR(10)&amp;"Best,"&amp;CHAR(10)&amp;IF(AM41&lt;&gt;"",AM41,IF(Offer!$C$5&lt;&gt;"",Offer!$C$5,"[NAME]"))&amp;CHAR(10)&amp;"FC Urban"</f>
        <v/>
      </c>
      <c r="AK41" s="14">
        <f>"Hi "&amp;IF(R41&lt;&gt;"",R41,F41&amp;" team")&amp;","&amp;CHAR(10)&amp;CHAR(10)&amp;"Just bumping this up. The "&amp;AE41&amp;" pitch at "&amp;Z41&amp;" is still free "&amp;IF(ISNUMBER(AD41),TEXT(AD41,"ddd d mmm")&amp;", "&amp;TEXT(AD41,"hh:mm"),"weekday evenings")&amp;", "&amp;IF(OR(AA41=8,AA41=11,AA41=18),"an ","a ")&amp;AA41&amp;"-minute walk from your office, "&amp;IF(AF41&lt;&gt;"","£"&amp;IF(AF41=INT(AF41),TEXT(AF41,"0"),TEXT(AF41,"0.00")),"[PRICE PER PLAYER]")&amp;" a player. Happy to hold it for "&amp;F41&amp;"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LINK]")&amp;CHAR(10)&amp;CHAR(10)&amp;"Best,"&amp;CHAR(10)&amp;IF(AM41&lt;&gt;"",AM41,IF(Offer!$C$5&lt;&gt;"",Offer!$C$5,"[NAME]"))&amp;CHAR(10)&amp;"FC Urban"</f>
        <v/>
      </c>
      <c r="AL41" s="14">
        <f>IF(AH41="","No email yet",IF(ISNUMBER(SEARCH("[",AJ41)),"Fill placeholders",IF(ISNUMBER(AD41),"Ready to send","Ready · no fixed slot")))</f>
        <v/>
      </c>
      <c r="AO41" s="17" t="n"/>
      <c r="AP41" s="17" t="n"/>
    </row>
    <row r="42">
      <c r="A42" s="11" t="n">
        <v>40</v>
      </c>
      <c r="B42" s="11" t="n">
        <v>1</v>
      </c>
      <c r="C42" s="11" t="inlineStr">
        <is>
          <t>Bank</t>
        </is>
      </c>
      <c r="D42" s="11" t="inlineStr">
        <is>
          <t>City of London</t>
        </is>
      </c>
      <c r="E42" s="11" t="inlineStr">
        <is>
          <t>Gatehouse Bank PLC</t>
        </is>
      </c>
      <c r="F42" s="11" t="inlineStr">
        <is>
          <t>Gatehouse Bank</t>
        </is>
      </c>
      <c r="G42" s="12" t="inlineStr">
        <is>
          <t>https://gatehousebank.com</t>
        </is>
      </c>
      <c r="H42" s="11" t="inlineStr">
        <is>
          <t>bdteam@gatehousebank.com</t>
        </is>
      </c>
      <c r="I42" s="11" t="inlineStr">
        <is>
          <t>role (other)</t>
        </is>
      </c>
      <c r="J42" s="12" t="inlineStr">
        <is>
          <t>Open page</t>
        </is>
      </c>
      <c r="K42" s="11" t="inlineStr">
        <is>
          <t>06260053</t>
        </is>
      </c>
      <c r="L42" s="12" t="inlineStr">
        <is>
          <t>Open</t>
        </is>
      </c>
      <c r="M42" s="11" t="inlineStr">
        <is>
          <t>Group</t>
        </is>
      </c>
      <c r="N42" s="13" t="n">
        <v>39227</v>
      </c>
      <c r="O42" s="11" t="inlineStr">
        <is>
          <t>The Helicon, One South Place, London</t>
        </is>
      </c>
      <c r="P42" s="11" t="inlineStr">
        <is>
          <t>EC2M 2RB</t>
        </is>
      </c>
      <c r="Q42" s="11" t="inlineStr">
        <is>
          <t>Yes</t>
        </is>
      </c>
      <c r="W42" s="11" t="inlineStr">
        <is>
          <t>Shoreditch Powerleague</t>
        </is>
      </c>
      <c r="X42" s="11" t="n">
        <v>15</v>
      </c>
      <c r="Y42" s="11" t="inlineStr">
        <is>
          <t>Finsbury Leisure Centre (EC1V 3PU) (15.2); Liverpool St - Attlee Centre (16.3)</t>
        </is>
      </c>
      <c r="Z42" s="11" t="inlineStr">
        <is>
          <t>Shoreditch Powerleague</t>
        </is>
      </c>
      <c r="AA42" s="11" t="n">
        <v>15</v>
      </c>
      <c r="AB42" s="14">
        <f>IFERROR(INDEX(Venues!$E$2:$E$17,MATCH(Z42,Venues!$A$2:$A$17,0)),"Not checked")</f>
        <v/>
      </c>
      <c r="AC42" s="14">
        <f>IFERROR(INDEX(Venues!$F$2:$F$17,MATCH(Z42,Venues!$A$2:$A$17,0)),0)</f>
        <v/>
      </c>
      <c r="AD42" s="15">
        <f>IFERROR(INDEX(Venues!$M$2:$M$17,MATCH(Z42,Venues!$A$2:$A$17,0)),"")</f>
        <v/>
      </c>
      <c r="AE42" s="14">
        <f>IFERROR(INDEX(Venues!$N$2:$N$17,MATCH(Z42,Venues!$A$2:$A$17,0)),"5-a-side")</f>
        <v/>
      </c>
      <c r="AF42" s="16">
        <f>IF(Offer!$C$4="","",Offer!$C$4)</f>
        <v/>
      </c>
      <c r="AG42" s="14">
        <f>Z42&amp;" ("&amp;AA42&amp;" min walk) · "&amp;IF(ISNUMBER(AD42),TEXT(AD42,"ddd d mmm, hh:mm"),"slot to confirm with venue")&amp;" · "&amp;AE42&amp;" · "&amp;IF(AF42&lt;&gt;"","£"&amp;TEXT(AF42,"0.00")&amp;" pp","price TBC")</f>
        <v/>
      </c>
      <c r="AH42" s="14">
        <f>IF(U42&lt;&gt;"",U42,IF(H42&lt;&gt;"",H42,""))</f>
        <v/>
      </c>
      <c r="AI42" s="14">
        <f>"After-work football for "&amp;F42&amp;" · "&amp;Z42&amp;", "&amp;AA42&amp;" min from your office"</f>
        <v/>
      </c>
      <c r="AJ42" s="14">
        <f>"Hi "&amp;IF(R42&lt;&gt;"",R42,F42&amp;" team")&amp;","&amp;CHAR(10)&amp;CHAR(10)&amp;"I'm "&amp;IF(AM42&lt;&gt;"",AM42,IF(Offer!$C$5&lt;&gt;"",Offer!$C$5,"[NAME]"))&amp;" from FC Urban. We organise after-work football for teams in the City and Canary Wharf."&amp;CHAR(10)&amp;CHAR(10)&amp;"We have a "&amp;AE42&amp;" pitch at "&amp;Z42&amp;", "&amp;IF(OR(AA42=8,AA42=11,AA42=18),"an ","a ")&amp;AA42&amp;"-minute walk from your "&amp;P42&amp;" office, "&amp;IF(ISNUMBER(AD42),"on "&amp;TEXT(AD42,"dddd d mmmm")&amp;" at "&amp;TEXT(AD42,"hh:mm"),"on a weekday evening that suits your team")&amp;". It's "&amp;IF(AF42&lt;&gt;"","£"&amp;IF(AF42=INT(AF42),TEXT(AF42,"0"),TEXT(AF42,"0.00")),"[PRICE PER PLAYER]")&amp;" a player and we handle the pitch booking, sign-ups and payments, so all it takes is one person sharing a link with the team."&amp;CHAR(10)&amp;CHAR(10)&amp;"It works well as a team social or "&amp;IF(ISNUMBER(SEARCH(LEFT(F42,1),"AEIOU")),"an ","a ")&amp;F42&amp;"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LINK]")&amp;CHAR(10)&amp;CHAR(10)&amp;"Best,"&amp;CHAR(10)&amp;IF(AM42&lt;&gt;"",AM42,IF(Offer!$C$5&lt;&gt;"",Offer!$C$5,"[NAME]"))&amp;CHAR(10)&amp;"FC Urban"</f>
        <v/>
      </c>
      <c r="AK42" s="14">
        <f>"Hi "&amp;IF(R42&lt;&gt;"",R42,F42&amp;" team")&amp;","&amp;CHAR(10)&amp;CHAR(10)&amp;"Just bumping this up. The "&amp;AE42&amp;" pitch at "&amp;Z42&amp;" is still free "&amp;IF(ISNUMBER(AD42),TEXT(AD42,"ddd d mmm")&amp;", "&amp;TEXT(AD42,"hh:mm"),"weekday evenings")&amp;", "&amp;IF(OR(AA42=8,AA42=11,AA42=18),"an ","a ")&amp;AA42&amp;"-minute walk from your office, "&amp;IF(AF42&lt;&gt;"","£"&amp;IF(AF42=INT(AF42),TEXT(AF42,"0"),TEXT(AF42,"0.00")),"[PRICE PER PLAYER]")&amp;" a player. Happy to hold it for "&amp;F42&amp;"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LINK]")&amp;CHAR(10)&amp;CHAR(10)&amp;"Best,"&amp;CHAR(10)&amp;IF(AM42&lt;&gt;"",AM42,IF(Offer!$C$5&lt;&gt;"",Offer!$C$5,"[NAME]"))&amp;CHAR(10)&amp;"FC Urban"</f>
        <v/>
      </c>
      <c r="AL42" s="14">
        <f>IF(AH42="","No email yet",IF(ISNUMBER(SEARCH("[",AJ42)),"Fill placeholders",IF(ISNUMBER(AD42),"Ready to send","Ready · no fixed slot")))</f>
        <v/>
      </c>
      <c r="AO42" s="17" t="n"/>
      <c r="AP42" s="17" t="n"/>
    </row>
    <row r="43">
      <c r="A43" s="11" t="n">
        <v>41</v>
      </c>
      <c r="B43" s="11" t="n">
        <v>1</v>
      </c>
      <c r="C43" s="11" t="inlineStr">
        <is>
          <t>Bank</t>
        </is>
      </c>
      <c r="D43" s="11" t="inlineStr">
        <is>
          <t>City of London</t>
        </is>
      </c>
      <c r="E43" s="11" t="inlineStr">
        <is>
          <t>Hampshire Trust Bank PLC</t>
        </is>
      </c>
      <c r="F43" s="11" t="inlineStr">
        <is>
          <t>Hampshire Trust Bank</t>
        </is>
      </c>
      <c r="G43" s="12" t="inlineStr">
        <is>
          <t>https://www.htb.co.uk</t>
        </is>
      </c>
      <c r="H43" s="11" t="inlineStr">
        <is>
          <t>bfenquiries@htb.co.uk</t>
        </is>
      </c>
      <c r="I43" s="11" t="inlineStr">
        <is>
          <t>named person</t>
        </is>
      </c>
      <c r="J43" s="12" t="inlineStr">
        <is>
          <t>Open page</t>
        </is>
      </c>
      <c r="K43" s="11" t="inlineStr">
        <is>
          <t>01311315</t>
        </is>
      </c>
      <c r="L43" s="12" t="inlineStr">
        <is>
          <t>Open</t>
        </is>
      </c>
      <c r="M43" s="11" t="inlineStr">
        <is>
          <t>Group</t>
        </is>
      </c>
      <c r="N43" s="13" t="n">
        <v>28243</v>
      </c>
      <c r="O43" s="11" t="inlineStr">
        <is>
          <t>80 Fenchurch Street, London</t>
        </is>
      </c>
      <c r="P43" s="11" t="inlineStr">
        <is>
          <t>EC3M 4BY</t>
        </is>
      </c>
      <c r="Q43" s="11" t="inlineStr">
        <is>
          <t>No</t>
        </is>
      </c>
      <c r="W43" s="11" t="inlineStr">
        <is>
          <t>Liverpool St - Attlee Centre</t>
        </is>
      </c>
      <c r="X43" s="11" t="n">
        <v>10</v>
      </c>
      <c r="Y43" s="11" t="inlineStr">
        <is>
          <t>Shoreditch Powerleague (18.7)</t>
        </is>
      </c>
      <c r="Z43" s="11" t="inlineStr">
        <is>
          <t>Shoreditch Powerleague</t>
        </is>
      </c>
      <c r="AA43" s="11" t="n">
        <v>19</v>
      </c>
      <c r="AB43" s="14">
        <f>IFERROR(INDEX(Venues!$E$2:$E$17,MATCH(Z43,Venues!$A$2:$A$17,0)),"Not checked")</f>
        <v/>
      </c>
      <c r="AC43" s="14">
        <f>IFERROR(INDEX(Venues!$F$2:$F$17,MATCH(Z43,Venues!$A$2:$A$17,0)),0)</f>
        <v/>
      </c>
      <c r="AD43" s="15">
        <f>IFERROR(INDEX(Venues!$M$2:$M$17,MATCH(Z43,Venues!$A$2:$A$17,0)),"")</f>
        <v/>
      </c>
      <c r="AE43" s="14">
        <f>IFERROR(INDEX(Venues!$N$2:$N$17,MATCH(Z43,Venues!$A$2:$A$17,0)),"5-a-side")</f>
        <v/>
      </c>
      <c r="AF43" s="16">
        <f>IF(Offer!$C$4="","",Offer!$C$4)</f>
        <v/>
      </c>
      <c r="AG43" s="14">
        <f>Z43&amp;" ("&amp;AA43&amp;" min walk) · "&amp;IF(ISNUMBER(AD43),TEXT(AD43,"ddd d mmm, hh:mm"),"slot to confirm with venue")&amp;" · "&amp;AE43&amp;" · "&amp;IF(AF43&lt;&gt;"","£"&amp;TEXT(AF43,"0.00")&amp;" pp","price TBC")</f>
        <v/>
      </c>
      <c r="AH43" s="14">
        <f>IF(U43&lt;&gt;"",U43,IF(H43&lt;&gt;"",H43,""))</f>
        <v/>
      </c>
      <c r="AI43" s="14">
        <f>"After-work football for "&amp;F43&amp;" · "&amp;Z43&amp;", "&amp;AA43&amp;" min from your office"</f>
        <v/>
      </c>
      <c r="AJ43" s="14">
        <f>"Hi "&amp;IF(R43&lt;&gt;"",R43,F43&amp;" team")&amp;","&amp;CHAR(10)&amp;CHAR(10)&amp;"I'm "&amp;IF(AM43&lt;&gt;"",AM43,IF(Offer!$C$5&lt;&gt;"",Offer!$C$5,"[NAME]"))&amp;" from FC Urban. We organise after-work football for teams in the City and Canary Wharf."&amp;CHAR(10)&amp;CHAR(10)&amp;"We have a "&amp;AE43&amp;" pitch at "&amp;Z43&amp;", "&amp;IF(OR(AA43=8,AA43=11,AA43=18),"an ","a ")&amp;AA43&amp;"-minute walk from your "&amp;P43&amp;" office, "&amp;IF(ISNUMBER(AD43),"on "&amp;TEXT(AD43,"dddd d mmmm")&amp;" at "&amp;TEXT(AD43,"hh:mm"),"on a weekday evening that suits your team")&amp;". It's "&amp;IF(AF43&lt;&gt;"","£"&amp;IF(AF43=INT(AF43),TEXT(AF43,"0"),TEXT(AF43,"0.00")),"[PRICE PER PLAYER]")&amp;" a player and we handle the pitch booking, sign-ups and payments, so all it takes is one person sharing a link with the team."&amp;CHAR(10)&amp;CHAR(10)&amp;"It works well as a team social or "&amp;IF(ISNUMBER(SEARCH(LEFT(F43,1),"AEIOU")),"an ","a ")&amp;F43&amp;"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LINK]")&amp;CHAR(10)&amp;CHAR(10)&amp;"Best,"&amp;CHAR(10)&amp;IF(AM43&lt;&gt;"",AM43,IF(Offer!$C$5&lt;&gt;"",Offer!$C$5,"[NAME]"))&amp;CHAR(10)&amp;"FC Urban"</f>
        <v/>
      </c>
      <c r="AK43" s="14">
        <f>"Hi "&amp;IF(R43&lt;&gt;"",R43,F43&amp;" team")&amp;","&amp;CHAR(10)&amp;CHAR(10)&amp;"Just bumping this up. The "&amp;AE43&amp;" pitch at "&amp;Z43&amp;" is still free "&amp;IF(ISNUMBER(AD43),TEXT(AD43,"ddd d mmm")&amp;", "&amp;TEXT(AD43,"hh:mm"),"weekday evenings")&amp;", "&amp;IF(OR(AA43=8,AA43=11,AA43=18),"an ","a ")&amp;AA43&amp;"-minute walk from your office, "&amp;IF(AF43&lt;&gt;"","£"&amp;IF(AF43=INT(AF43),TEXT(AF43,"0"),TEXT(AF43,"0.00")),"[PRICE PER PLAYER]")&amp;" a player. Happy to hold it for "&amp;F43&amp;"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LINK]")&amp;CHAR(10)&amp;CHAR(10)&amp;"Best,"&amp;CHAR(10)&amp;IF(AM43&lt;&gt;"",AM43,IF(Offer!$C$5&lt;&gt;"",Offer!$C$5,"[NAME]"))&amp;CHAR(10)&amp;"FC Urban"</f>
        <v/>
      </c>
      <c r="AL43" s="14">
        <f>IF(AH43="","No email yet",IF(ISNUMBER(SEARCH("[",AJ43)),"Fill placeholders",IF(ISNUMBER(AD43),"Ready to send","Ready · no fixed slot")))</f>
        <v/>
      </c>
      <c r="AO43" s="17" t="n"/>
      <c r="AP43" s="17" t="n"/>
    </row>
    <row r="44">
      <c r="A44" s="11" t="n">
        <v>42</v>
      </c>
      <c r="B44" s="11" t="n">
        <v>1</v>
      </c>
      <c r="C44" s="11" t="inlineStr">
        <is>
          <t>Bank</t>
        </is>
      </c>
      <c r="D44" s="11" t="inlineStr">
        <is>
          <t>City of London</t>
        </is>
      </c>
      <c r="E44" s="11" t="inlineStr">
        <is>
          <t>Shawbrook Bank Limited</t>
        </is>
      </c>
      <c r="F44" s="11" t="inlineStr">
        <is>
          <t>Shawbrook Bank</t>
        </is>
      </c>
      <c r="G44" s="12" t="inlineStr">
        <is>
          <t>https://www.shawbrook.co.uk</t>
        </is>
      </c>
      <c r="H44" s="11" t="inlineStr">
        <is>
          <t>media@shawbrook.co.uk</t>
        </is>
      </c>
      <c r="I44" s="11" t="inlineStr">
        <is>
          <t>role (press / marketing)</t>
        </is>
      </c>
      <c r="J44" s="12" t="inlineStr">
        <is>
          <t>Open page</t>
        </is>
      </c>
      <c r="K44" s="11" t="inlineStr">
        <is>
          <t>00388466</t>
        </is>
      </c>
      <c r="L44" s="12" t="inlineStr">
        <is>
          <t>Open</t>
        </is>
      </c>
      <c r="M44" s="11" t="inlineStr">
        <is>
          <t>Group</t>
        </is>
      </c>
      <c r="N44" s="13" t="n">
        <v>16252</v>
      </c>
      <c r="O44" s="11" t="inlineStr">
        <is>
          <t>Floor 10,, 40 Leadenhall Street, London</t>
        </is>
      </c>
      <c r="P44" s="11" t="inlineStr">
        <is>
          <t>EC3A 2BJ</t>
        </is>
      </c>
      <c r="Q44" s="11" t="inlineStr">
        <is>
          <t>Yes</t>
        </is>
      </c>
      <c r="W44" s="11" t="inlineStr">
        <is>
          <t>Liverpool St - Attlee Centre</t>
        </is>
      </c>
      <c r="X44" s="11" t="n">
        <v>11</v>
      </c>
      <c r="Y44" s="11" t="inlineStr">
        <is>
          <t>Shoreditch Powerleague (18.7)</t>
        </is>
      </c>
      <c r="Z44" s="11" t="inlineStr">
        <is>
          <t>Shoreditch Powerleague</t>
        </is>
      </c>
      <c r="AA44" s="11" t="n">
        <v>19</v>
      </c>
      <c r="AB44" s="14">
        <f>IFERROR(INDEX(Venues!$E$2:$E$17,MATCH(Z44,Venues!$A$2:$A$17,0)),"Not checked")</f>
        <v/>
      </c>
      <c r="AC44" s="14">
        <f>IFERROR(INDEX(Venues!$F$2:$F$17,MATCH(Z44,Venues!$A$2:$A$17,0)),0)</f>
        <v/>
      </c>
      <c r="AD44" s="15">
        <f>IFERROR(INDEX(Venues!$M$2:$M$17,MATCH(Z44,Venues!$A$2:$A$17,0)),"")</f>
        <v/>
      </c>
      <c r="AE44" s="14">
        <f>IFERROR(INDEX(Venues!$N$2:$N$17,MATCH(Z44,Venues!$A$2:$A$17,0)),"5-a-side")</f>
        <v/>
      </c>
      <c r="AF44" s="16">
        <f>IF(Offer!$C$4="","",Offer!$C$4)</f>
        <v/>
      </c>
      <c r="AG44" s="14">
        <f>Z44&amp;" ("&amp;AA44&amp;" min walk) · "&amp;IF(ISNUMBER(AD44),TEXT(AD44,"ddd d mmm, hh:mm"),"slot to confirm with venue")&amp;" · "&amp;AE44&amp;" · "&amp;IF(AF44&lt;&gt;"","£"&amp;TEXT(AF44,"0.00")&amp;" pp","price TBC")</f>
        <v/>
      </c>
      <c r="AH44" s="14">
        <f>IF(U44&lt;&gt;"",U44,IF(H44&lt;&gt;"",H44,""))</f>
        <v/>
      </c>
      <c r="AI44" s="14">
        <f>"After-work football for "&amp;F44&amp;" · "&amp;Z44&amp;", "&amp;AA44&amp;" min from your office"</f>
        <v/>
      </c>
      <c r="AJ44" s="14">
        <f>"Hi "&amp;IF(R44&lt;&gt;"",R44,F44&amp;" team")&amp;","&amp;CHAR(10)&amp;CHAR(10)&amp;"I'm "&amp;IF(AM44&lt;&gt;"",AM44,IF(Offer!$C$5&lt;&gt;"",Offer!$C$5,"[NAME]"))&amp;" from FC Urban. We organise after-work football for teams in the City and Canary Wharf."&amp;CHAR(10)&amp;CHAR(10)&amp;"We have a "&amp;AE44&amp;" pitch at "&amp;Z44&amp;", "&amp;IF(OR(AA44=8,AA44=11,AA44=18),"an ","a ")&amp;AA44&amp;"-minute walk from your "&amp;P44&amp;" office, "&amp;IF(ISNUMBER(AD44),"on "&amp;TEXT(AD44,"dddd d mmmm")&amp;" at "&amp;TEXT(AD44,"hh:mm"),"on a weekday evening that suits your team")&amp;". It's "&amp;IF(AF44&lt;&gt;"","£"&amp;IF(AF44=INT(AF44),TEXT(AF44,"0"),TEXT(AF44,"0.00")),"[PRICE PER PLAYER]")&amp;" a player and we handle the pitch booking, sign-ups and payments, so all it takes is one person sharing a link with the team."&amp;CHAR(10)&amp;CHAR(10)&amp;"It works well as a team social or "&amp;IF(ISNUMBER(SEARCH(LEFT(F44,1),"AEIOU")),"an ","a ")&amp;F44&amp;"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LINK]")&amp;CHAR(10)&amp;CHAR(10)&amp;"Best,"&amp;CHAR(10)&amp;IF(AM44&lt;&gt;"",AM44,IF(Offer!$C$5&lt;&gt;"",Offer!$C$5,"[NAME]"))&amp;CHAR(10)&amp;"FC Urban"</f>
        <v/>
      </c>
      <c r="AK44" s="14">
        <f>"Hi "&amp;IF(R44&lt;&gt;"",R44,F44&amp;" team")&amp;","&amp;CHAR(10)&amp;CHAR(10)&amp;"Just bumping this up. The "&amp;AE44&amp;" pitch at "&amp;Z44&amp;" is still free "&amp;IF(ISNUMBER(AD44),TEXT(AD44,"ddd d mmm")&amp;", "&amp;TEXT(AD44,"hh:mm"),"weekday evenings")&amp;", "&amp;IF(OR(AA44=8,AA44=11,AA44=18),"an ","a ")&amp;AA44&amp;"-minute walk from your office, "&amp;IF(AF44&lt;&gt;"","£"&amp;IF(AF44=INT(AF44),TEXT(AF44,"0"),TEXT(AF44,"0.00")),"[PRICE PER PLAYER]")&amp;" a player. Happy to hold it for "&amp;F44&amp;"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LINK]")&amp;CHAR(10)&amp;CHAR(10)&amp;"Best,"&amp;CHAR(10)&amp;IF(AM44&lt;&gt;"",AM44,IF(Offer!$C$5&lt;&gt;"",Offer!$C$5,"[NAME]"))&amp;CHAR(10)&amp;"FC Urban"</f>
        <v/>
      </c>
      <c r="AL44" s="14">
        <f>IF(AH44="","No email yet",IF(ISNUMBER(SEARCH("[",AJ44)),"Fill placeholders",IF(ISNUMBER(AD44),"Ready to send","Ready · no fixed slot")))</f>
        <v/>
      </c>
      <c r="AO44" s="17" t="n"/>
      <c r="AP44" s="17" t="n"/>
    </row>
    <row r="45">
      <c r="A45" s="11" t="n">
        <v>43</v>
      </c>
      <c r="B45" s="11" t="n">
        <v>1</v>
      </c>
      <c r="C45" s="11" t="inlineStr">
        <is>
          <t>Public / state-owned bank</t>
        </is>
      </c>
      <c r="D45" s="11" t="inlineStr">
        <is>
          <t>City of London</t>
        </is>
      </c>
      <c r="E45" s="11" t="inlineStr">
        <is>
          <t>ICBC Standard Bank PLC</t>
        </is>
      </c>
      <c r="F45" s="11" t="inlineStr">
        <is>
          <t>ICBC Standard Bank</t>
        </is>
      </c>
      <c r="G45" s="12" t="inlineStr">
        <is>
          <t>https://www.icbcstandard.com</t>
        </is>
      </c>
      <c r="H45" s="11" t="inlineStr">
        <is>
          <t>londonmarketing@icbcstandard.com</t>
        </is>
      </c>
      <c r="I45" s="11" t="inlineStr">
        <is>
          <t>general</t>
        </is>
      </c>
      <c r="J45" s="12" t="inlineStr">
        <is>
          <t>Open page</t>
        </is>
      </c>
      <c r="K45" s="11" t="inlineStr">
        <is>
          <t>02130447</t>
        </is>
      </c>
      <c r="L45" s="12" t="inlineStr">
        <is>
          <t>Open</t>
        </is>
      </c>
      <c r="M45" s="11" t="inlineStr">
        <is>
          <t>Group</t>
        </is>
      </c>
      <c r="N45" s="13" t="n">
        <v>31908</v>
      </c>
      <c r="O45" s="11" t="inlineStr">
        <is>
          <t>20 Gresham Street, London</t>
        </is>
      </c>
      <c r="P45" s="11" t="inlineStr">
        <is>
          <t>EC2V 7JE</t>
        </is>
      </c>
      <c r="Q45" s="11" t="inlineStr">
        <is>
          <t>Yes</t>
        </is>
      </c>
      <c r="W45" s="11" t="inlineStr">
        <is>
          <t>City of London School (EC4V 3AL)</t>
        </is>
      </c>
      <c r="X45" s="11" t="n">
        <v>10</v>
      </c>
      <c r="Y45" s="11" t="n"/>
      <c r="Z45" s="11" t="inlineStr">
        <is>
          <t>City of London School (EC4V 3AL)</t>
        </is>
      </c>
      <c r="AA45" s="11" t="n">
        <v>10</v>
      </c>
      <c r="AB45" s="14">
        <f>IFERROR(INDEX(Venues!$E$2:$E$17,MATCH(Z45,Venues!$A$2:$A$17,0)),"Not checked")</f>
        <v/>
      </c>
      <c r="AC45" s="14">
        <f>IFERROR(INDEX(Venues!$F$2:$F$17,MATCH(Z45,Venues!$A$2:$A$17,0)),0)</f>
        <v/>
      </c>
      <c r="AD45" s="15">
        <f>IFERROR(INDEX(Venues!$M$2:$M$17,MATCH(Z45,Venues!$A$2:$A$17,0)),"")</f>
        <v/>
      </c>
      <c r="AE45" s="14">
        <f>IFERROR(INDEX(Venues!$N$2:$N$17,MATCH(Z45,Venues!$A$2:$A$17,0)),"5-a-side")</f>
        <v/>
      </c>
      <c r="AF45" s="16">
        <f>IF(Offer!$C$4="","",Offer!$C$4)</f>
        <v/>
      </c>
      <c r="AG45" s="14">
        <f>Z45&amp;" ("&amp;AA45&amp;" min walk) · "&amp;IF(ISNUMBER(AD45),TEXT(AD45,"ddd d mmm, hh:mm"),"slot to confirm with venue")&amp;" · "&amp;AE45&amp;" · "&amp;IF(AF45&lt;&gt;"","£"&amp;TEXT(AF45,"0.00")&amp;" pp","price TBC")</f>
        <v/>
      </c>
      <c r="AH45" s="14">
        <f>IF(U45&lt;&gt;"",U45,IF(H45&lt;&gt;"",H45,""))</f>
        <v/>
      </c>
      <c r="AI45" s="14">
        <f>"After-work football for "&amp;F45&amp;" · "&amp;Z45&amp;", "&amp;AA45&amp;" min from your office"</f>
        <v/>
      </c>
      <c r="AJ45" s="14">
        <f>"Hi "&amp;IF(R45&lt;&gt;"",R45,F45&amp;" team")&amp;","&amp;CHAR(10)&amp;CHAR(10)&amp;"I'm "&amp;IF(AM45&lt;&gt;"",AM45,IF(Offer!$C$5&lt;&gt;"",Offer!$C$5,"[NAME]"))&amp;" from FC Urban. We organise after-work football for teams in the City and Canary Wharf."&amp;CHAR(10)&amp;CHAR(10)&amp;"We have a "&amp;AE45&amp;" pitch at "&amp;Z45&amp;", "&amp;IF(OR(AA45=8,AA45=11,AA45=18),"an ","a ")&amp;AA45&amp;"-minute walk from your "&amp;P45&amp;" office, "&amp;IF(ISNUMBER(AD45),"on "&amp;TEXT(AD45,"dddd d mmmm")&amp;" at "&amp;TEXT(AD45,"hh:mm"),"on a weekday evening that suits your team")&amp;". It's "&amp;IF(AF45&lt;&gt;"","£"&amp;IF(AF45=INT(AF45),TEXT(AF45,"0"),TEXT(AF45,"0.00")),"[PRICE PER PLAYER]")&amp;" a player and we handle the pitch booking, sign-ups and payments, so all it takes is one person sharing a link with the team."&amp;CHAR(10)&amp;CHAR(10)&amp;"It works well as a team social or "&amp;IF(ISNUMBER(SEARCH(LEFT(F45,1),"AEIOU")),"an ","a ")&amp;F45&amp;"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LINK]")&amp;CHAR(10)&amp;CHAR(10)&amp;"Best,"&amp;CHAR(10)&amp;IF(AM45&lt;&gt;"",AM45,IF(Offer!$C$5&lt;&gt;"",Offer!$C$5,"[NAME]"))&amp;CHAR(10)&amp;"FC Urban"</f>
        <v/>
      </c>
      <c r="AK45" s="14">
        <f>"Hi "&amp;IF(R45&lt;&gt;"",R45,F45&amp;" team")&amp;","&amp;CHAR(10)&amp;CHAR(10)&amp;"Just bumping this up. The "&amp;AE45&amp;" pitch at "&amp;Z45&amp;" is still free "&amp;IF(ISNUMBER(AD45),TEXT(AD45,"ddd d mmm")&amp;", "&amp;TEXT(AD45,"hh:mm"),"weekday evenings")&amp;", "&amp;IF(OR(AA45=8,AA45=11,AA45=18),"an ","a ")&amp;AA45&amp;"-minute walk from your office, "&amp;IF(AF45&lt;&gt;"","£"&amp;IF(AF45=INT(AF45),TEXT(AF45,"0"),TEXT(AF45,"0.00")),"[PRICE PER PLAYER]")&amp;" a player. Happy to hold it for "&amp;F45&amp;"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LINK]")&amp;CHAR(10)&amp;CHAR(10)&amp;"Best,"&amp;CHAR(10)&amp;IF(AM45&lt;&gt;"",AM45,IF(Offer!$C$5&lt;&gt;"",Offer!$C$5,"[NAME]"))&amp;CHAR(10)&amp;"FC Urban"</f>
        <v/>
      </c>
      <c r="AL45" s="14">
        <f>IF(AH45="","No email yet",IF(ISNUMBER(SEARCH("[",AJ45)),"Fill placeholders",IF(ISNUMBER(AD45),"Ready to send","Ready · no fixed slot")))</f>
        <v/>
      </c>
      <c r="AO45" s="17" t="n"/>
      <c r="AP45" s="17" t="n"/>
    </row>
    <row r="46">
      <c r="A46" s="11" t="n">
        <v>44</v>
      </c>
      <c r="B46" s="11" t="n">
        <v>1</v>
      </c>
      <c r="C46" s="11" t="inlineStr">
        <is>
          <t>Public / state-owned bank</t>
        </is>
      </c>
      <c r="D46" s="11" t="inlineStr">
        <is>
          <t>City of London</t>
        </is>
      </c>
      <c r="E46" s="11" t="inlineStr">
        <is>
          <t>Bank of England</t>
        </is>
      </c>
      <c r="F46" s="11" t="inlineStr">
        <is>
          <t>the Bank of England</t>
        </is>
      </c>
      <c r="G46" s="12" t="inlineStr">
        <is>
          <t>https://www.bankofengland.co.uk</t>
        </is>
      </c>
      <c r="H46" s="11" t="inlineStr">
        <is>
          <t>outreach@bankofengland.co.uk</t>
        </is>
      </c>
      <c r="I46" s="11" t="inlineStr">
        <is>
          <t>named person</t>
        </is>
      </c>
      <c r="J46" s="12" t="inlineStr">
        <is>
          <t>Open page</t>
        </is>
      </c>
      <c r="K46" s="11" t="n"/>
      <c r="L46" s="11" t="n"/>
      <c r="M46" s="11" t="inlineStr">
        <is>
          <t>Statutory corporation</t>
        </is>
      </c>
      <c r="N46" s="13" t="n"/>
      <c r="O46" s="11" t="inlineStr">
        <is>
          <t>Threadneedle Street, London</t>
        </is>
      </c>
      <c r="P46" s="11" t="inlineStr">
        <is>
          <t>EC2R 8AH</t>
        </is>
      </c>
      <c r="Q46" s="11" t="inlineStr">
        <is>
          <t>Yes</t>
        </is>
      </c>
      <c r="W46" s="11" t="inlineStr">
        <is>
          <t>City of London School (EC4V 3AL)</t>
        </is>
      </c>
      <c r="X46" s="11" t="n">
        <v>13</v>
      </c>
      <c r="Y46" s="11" t="inlineStr">
        <is>
          <t>Liverpool St - Attlee Centre (18.9)</t>
        </is>
      </c>
      <c r="Z46" s="11" t="inlineStr">
        <is>
          <t>City of London School (EC4V 3AL)</t>
        </is>
      </c>
      <c r="AA46" s="11" t="n">
        <v>13</v>
      </c>
      <c r="AB46" s="14">
        <f>IFERROR(INDEX(Venues!$E$2:$E$17,MATCH(Z46,Venues!$A$2:$A$17,0)),"Not checked")</f>
        <v/>
      </c>
      <c r="AC46" s="14">
        <f>IFERROR(INDEX(Venues!$F$2:$F$17,MATCH(Z46,Venues!$A$2:$A$17,0)),0)</f>
        <v/>
      </c>
      <c r="AD46" s="15">
        <f>IFERROR(INDEX(Venues!$M$2:$M$17,MATCH(Z46,Venues!$A$2:$A$17,0)),"")</f>
        <v/>
      </c>
      <c r="AE46" s="14">
        <f>IFERROR(INDEX(Venues!$N$2:$N$17,MATCH(Z46,Venues!$A$2:$A$17,0)),"5-a-side")</f>
        <v/>
      </c>
      <c r="AF46" s="16">
        <f>IF(Offer!$C$4="","",Offer!$C$4)</f>
        <v/>
      </c>
      <c r="AG46" s="14">
        <f>Z46&amp;" ("&amp;AA46&amp;" min walk) · "&amp;IF(ISNUMBER(AD46),TEXT(AD46,"ddd d mmm, hh:mm"),"slot to confirm with venue")&amp;" · "&amp;AE46&amp;" · "&amp;IF(AF46&lt;&gt;"","£"&amp;TEXT(AF46,"0.00")&amp;" pp","price TBC")</f>
        <v/>
      </c>
      <c r="AH46" s="14">
        <f>IF(U46&lt;&gt;"",U46,IF(H46&lt;&gt;"",H46,""))</f>
        <v/>
      </c>
      <c r="AI46" s="14">
        <f>"After-work football for "&amp;F46&amp;" · "&amp;Z46&amp;", "&amp;AA46&amp;" min from your office"</f>
        <v/>
      </c>
      <c r="AJ46" s="14">
        <f>"Hi "&amp;IF(R46&lt;&gt;"",R46,F46&amp;" team")&amp;","&amp;CHAR(10)&amp;CHAR(10)&amp;"I'm "&amp;IF(AM46&lt;&gt;"",AM46,IF(Offer!$C$5&lt;&gt;"",Offer!$C$5,"[NAME]"))&amp;" from FC Urban. We organise after-work football for teams in the City and Canary Wharf."&amp;CHAR(10)&amp;CHAR(10)&amp;"We have a "&amp;AE46&amp;" pitch at "&amp;Z46&amp;", "&amp;IF(OR(AA46=8,AA46=11,AA46=18),"an ","a ")&amp;AA46&amp;"-minute walk from your "&amp;P46&amp;" office, "&amp;IF(ISNUMBER(AD46),"on "&amp;TEXT(AD46,"dddd d mmmm")&amp;" at "&amp;TEXT(AD46,"hh:mm"),"on a weekday evening that suits your team")&amp;". It's "&amp;IF(AF46&lt;&gt;"","£"&amp;IF(AF46=INT(AF46),TEXT(AF46,"0"),TEXT(AF46,"0.00")),"[PRICE PER PLAYER]")&amp;" a player and we handle the pitch booking, sign-ups and payments, so all it takes is one person sharing a link with the team."&amp;CHAR(10)&amp;CHAR(10)&amp;"It works well as a team social or "&amp;IF(ISNUMBER(SEARCH(LEFT(F46,1),"AEIOU")),"an ","a ")&amp;F46&amp;"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LINK]")&amp;CHAR(10)&amp;CHAR(10)&amp;"Best,"&amp;CHAR(10)&amp;IF(AM46&lt;&gt;"",AM46,IF(Offer!$C$5&lt;&gt;"",Offer!$C$5,"[NAME]"))&amp;CHAR(10)&amp;"FC Urban"</f>
        <v/>
      </c>
      <c r="AK46" s="14">
        <f>"Hi "&amp;IF(R46&lt;&gt;"",R46,F46&amp;" team")&amp;","&amp;CHAR(10)&amp;CHAR(10)&amp;"Just bumping this up. The "&amp;AE46&amp;" pitch at "&amp;Z46&amp;" is still free "&amp;IF(ISNUMBER(AD46),TEXT(AD46,"ddd d mmm")&amp;", "&amp;TEXT(AD46,"hh:mm"),"weekday evenings")&amp;", "&amp;IF(OR(AA46=8,AA46=11,AA46=18),"an ","a ")&amp;AA46&amp;"-minute walk from your office, "&amp;IF(AF46&lt;&gt;"","£"&amp;IF(AF46=INT(AF46),TEXT(AF46,"0"),TEXT(AF46,"0.00")),"[PRICE PER PLAYER]")&amp;" a player. Happy to hold it for "&amp;F46&amp;"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LINK]")&amp;CHAR(10)&amp;CHAR(10)&amp;"Best,"&amp;CHAR(10)&amp;IF(AM46&lt;&gt;"",AM46,IF(Offer!$C$5&lt;&gt;"",Offer!$C$5,"[NAME]"))&amp;CHAR(10)&amp;"FC Urban"</f>
        <v/>
      </c>
      <c r="AL46" s="14">
        <f>IF(AH46="","No email yet",IF(ISNUMBER(SEARCH("[",AJ46)),"Fill placeholders",IF(ISNUMBER(AD46),"Ready to send","Ready · no fixed slot")))</f>
        <v/>
      </c>
      <c r="AO46" s="17" t="n"/>
      <c r="AP46" s="17" t="n"/>
    </row>
    <row r="47">
      <c r="A47" s="11" t="n">
        <v>45</v>
      </c>
      <c r="B47" s="11" t="n">
        <v>1</v>
      </c>
      <c r="C47" s="11" t="inlineStr">
        <is>
          <t>Public / state-owned bank</t>
        </is>
      </c>
      <c r="D47" s="11" t="inlineStr">
        <is>
          <t>City of London</t>
        </is>
      </c>
      <c r="E47" s="11" t="inlineStr">
        <is>
          <t>Agdevco Limited</t>
        </is>
      </c>
      <c r="F47" s="11" t="inlineStr">
        <is>
          <t>AgDevCo</t>
        </is>
      </c>
      <c r="G47" s="12" t="inlineStr">
        <is>
          <t>https://www.agdevco.com</t>
        </is>
      </c>
      <c r="H47" s="11" t="inlineStr">
        <is>
          <t>info@agdevco.com</t>
        </is>
      </c>
      <c r="I47" s="11" t="inlineStr">
        <is>
          <t>general</t>
        </is>
      </c>
      <c r="J47" s="12" t="inlineStr">
        <is>
          <t>Open page</t>
        </is>
      </c>
      <c r="K47" s="11" t="inlineStr">
        <is>
          <t>07026479</t>
        </is>
      </c>
      <c r="L47" s="12" t="inlineStr">
        <is>
          <t>Open</t>
        </is>
      </c>
      <c r="M47" s="11" t="inlineStr">
        <is>
          <t>Group</t>
        </is>
      </c>
      <c r="N47" s="13" t="n">
        <v>40078</v>
      </c>
      <c r="O47" s="11" t="inlineStr">
        <is>
          <t>Chancery House 53-64 Chancery Lane, Holborn, London</t>
        </is>
      </c>
      <c r="P47" s="11" t="inlineStr">
        <is>
          <t>WC2A 1QS</t>
        </is>
      </c>
      <c r="Q47" s="11" t="inlineStr">
        <is>
          <t>No</t>
        </is>
      </c>
      <c r="W47" s="11" t="inlineStr">
        <is>
          <t>St Pancras - Coram's Fields 3G</t>
        </is>
      </c>
      <c r="X47" s="11" t="n">
        <v>17</v>
      </c>
      <c r="Y47" s="11" t="n"/>
      <c r="Z47" s="11" t="inlineStr">
        <is>
          <t>St Pancras - Coram's Fields 3G</t>
        </is>
      </c>
      <c r="AA47" s="11" t="n">
        <v>17</v>
      </c>
      <c r="AB47" s="14">
        <f>IFERROR(INDEX(Venues!$E$2:$E$17,MATCH(Z47,Venues!$A$2:$A$17,0)),"Not checked")</f>
        <v/>
      </c>
      <c r="AC47" s="14">
        <f>IFERROR(INDEX(Venues!$F$2:$F$17,MATCH(Z47,Venues!$A$2:$A$17,0)),0)</f>
        <v/>
      </c>
      <c r="AD47" s="15">
        <f>IFERROR(INDEX(Venues!$M$2:$M$17,MATCH(Z47,Venues!$A$2:$A$17,0)),"")</f>
        <v/>
      </c>
      <c r="AE47" s="14">
        <f>IFERROR(INDEX(Venues!$N$2:$N$17,MATCH(Z47,Venues!$A$2:$A$17,0)),"5-a-side")</f>
        <v/>
      </c>
      <c r="AF47" s="16">
        <f>IF(Offer!$C$4="","",Offer!$C$4)</f>
        <v/>
      </c>
      <c r="AG47" s="14">
        <f>Z47&amp;" ("&amp;AA47&amp;" min walk) · "&amp;IF(ISNUMBER(AD47),TEXT(AD47,"ddd d mmm, hh:mm"),"slot to confirm with venue")&amp;" · "&amp;AE47&amp;" · "&amp;IF(AF47&lt;&gt;"","£"&amp;TEXT(AF47,"0.00")&amp;" pp","price TBC")</f>
        <v/>
      </c>
      <c r="AH47" s="14">
        <f>IF(U47&lt;&gt;"",U47,IF(H47&lt;&gt;"",H47,""))</f>
        <v/>
      </c>
      <c r="AI47" s="14">
        <f>"After-work football for "&amp;F47&amp;" · "&amp;Z47&amp;", "&amp;AA47&amp;" min from your office"</f>
        <v/>
      </c>
      <c r="AJ47" s="14">
        <f>"Hi "&amp;IF(R47&lt;&gt;"",R47,F47&amp;" team")&amp;","&amp;CHAR(10)&amp;CHAR(10)&amp;"I'm "&amp;IF(AM47&lt;&gt;"",AM47,IF(Offer!$C$5&lt;&gt;"",Offer!$C$5,"[NAME]"))&amp;" from FC Urban. We organise after-work football for teams in the City and Canary Wharf."&amp;CHAR(10)&amp;CHAR(10)&amp;"We have a "&amp;AE47&amp;" pitch at "&amp;Z47&amp;", "&amp;IF(OR(AA47=8,AA47=11,AA47=18),"an ","a ")&amp;AA47&amp;"-minute walk from your "&amp;P47&amp;" office, "&amp;IF(ISNUMBER(AD47),"on "&amp;TEXT(AD47,"dddd d mmmm")&amp;" at "&amp;TEXT(AD47,"hh:mm"),"on a weekday evening that suits your team")&amp;". It's "&amp;IF(AF47&lt;&gt;"","£"&amp;IF(AF47=INT(AF47),TEXT(AF47,"0"),TEXT(AF47,"0.00")),"[PRICE PER PLAYER]")&amp;" a player and we handle the pitch booking, sign-ups and payments, so all it takes is one person sharing a link with the team."&amp;CHAR(10)&amp;CHAR(10)&amp;"It works well as a team social or "&amp;IF(ISNUMBER(SEARCH(LEFT(F47,1),"AEIOU")),"an ","a ")&amp;F47&amp;"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LINK]")&amp;CHAR(10)&amp;CHAR(10)&amp;"Best,"&amp;CHAR(10)&amp;IF(AM47&lt;&gt;"",AM47,IF(Offer!$C$5&lt;&gt;"",Offer!$C$5,"[NAME]"))&amp;CHAR(10)&amp;"FC Urban"</f>
        <v/>
      </c>
      <c r="AK47" s="14">
        <f>"Hi "&amp;IF(R47&lt;&gt;"",R47,F47&amp;" team")&amp;","&amp;CHAR(10)&amp;CHAR(10)&amp;"Just bumping this up. The "&amp;AE47&amp;" pitch at "&amp;Z47&amp;" is still free "&amp;IF(ISNUMBER(AD47),TEXT(AD47,"ddd d mmm")&amp;", "&amp;TEXT(AD47,"hh:mm"),"weekday evenings")&amp;", "&amp;IF(OR(AA47=8,AA47=11,AA47=18),"an ","a ")&amp;AA47&amp;"-minute walk from your office, "&amp;IF(AF47&lt;&gt;"","£"&amp;IF(AF47=INT(AF47),TEXT(AF47,"0"),TEXT(AF47,"0.00")),"[PRICE PER PLAYER]")&amp;" a player. Happy to hold it for "&amp;F47&amp;"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LINK]")&amp;CHAR(10)&amp;CHAR(10)&amp;"Best,"&amp;CHAR(10)&amp;IF(AM47&lt;&gt;"",AM47,IF(Offer!$C$5&lt;&gt;"",Offer!$C$5,"[NAME]"))&amp;CHAR(10)&amp;"FC Urban"</f>
        <v/>
      </c>
      <c r="AL47" s="14">
        <f>IF(AH47="","No email yet",IF(ISNUMBER(SEARCH("[",AJ47)),"Fill placeholders",IF(ISNUMBER(AD47),"Ready to send","Ready · no fixed slot")))</f>
        <v/>
      </c>
      <c r="AO47" s="17" t="n"/>
      <c r="AP47" s="17" t="n"/>
    </row>
    <row r="48">
      <c r="A48" s="11" t="n">
        <v>46</v>
      </c>
      <c r="B48" s="11" t="n">
        <v>1</v>
      </c>
      <c r="C48" s="11" t="inlineStr">
        <is>
          <t>Private bank</t>
        </is>
      </c>
      <c r="D48" s="11" t="inlineStr">
        <is>
          <t>City of London</t>
        </is>
      </c>
      <c r="E48" s="11" t="inlineStr">
        <is>
          <t>Investec Bank PLC</t>
        </is>
      </c>
      <c r="F48" s="11" t="inlineStr">
        <is>
          <t>Investec Bank</t>
        </is>
      </c>
      <c r="G48" s="12" t="inlineStr">
        <is>
          <t>https://www.investec.com</t>
        </is>
      </c>
      <c r="H48" s="11" t="n"/>
      <c r="I48" s="11" t="inlineStr">
        <is>
          <t>Not found</t>
        </is>
      </c>
      <c r="J48" s="11" t="n"/>
      <c r="K48" s="11" t="inlineStr">
        <is>
          <t>00489604</t>
        </is>
      </c>
      <c r="L48" s="12" t="inlineStr">
        <is>
          <t>Open</t>
        </is>
      </c>
      <c r="M48" s="11" t="inlineStr">
        <is>
          <t>Group</t>
        </is>
      </c>
      <c r="N48" s="13" t="n">
        <v>18617</v>
      </c>
      <c r="O48" s="11" t="inlineStr">
        <is>
          <t>30 Gresham Street, London</t>
        </is>
      </c>
      <c r="P48" s="11" t="inlineStr">
        <is>
          <t>EC2V 7QP</t>
        </is>
      </c>
      <c r="Q48" s="11" t="inlineStr">
        <is>
          <t>No</t>
        </is>
      </c>
      <c r="W48" s="11" t="inlineStr">
        <is>
          <t>City of London School (EC4V 3AL)</t>
        </is>
      </c>
      <c r="X48" s="11" t="n">
        <v>10</v>
      </c>
      <c r="Y48" s="11" t="n"/>
      <c r="Z48" s="11" t="inlineStr">
        <is>
          <t>City of London School (EC4V 3AL)</t>
        </is>
      </c>
      <c r="AA48" s="11" t="n">
        <v>10</v>
      </c>
      <c r="AB48" s="14">
        <f>IFERROR(INDEX(Venues!$E$2:$E$17,MATCH(Z48,Venues!$A$2:$A$17,0)),"Not checked")</f>
        <v/>
      </c>
      <c r="AC48" s="14">
        <f>IFERROR(INDEX(Venues!$F$2:$F$17,MATCH(Z48,Venues!$A$2:$A$17,0)),0)</f>
        <v/>
      </c>
      <c r="AD48" s="15">
        <f>IFERROR(INDEX(Venues!$M$2:$M$17,MATCH(Z48,Venues!$A$2:$A$17,0)),"")</f>
        <v/>
      </c>
      <c r="AE48" s="14">
        <f>IFERROR(INDEX(Venues!$N$2:$N$17,MATCH(Z48,Venues!$A$2:$A$17,0)),"5-a-side")</f>
        <v/>
      </c>
      <c r="AF48" s="16">
        <f>IF(Offer!$C$4="","",Offer!$C$4)</f>
        <v/>
      </c>
      <c r="AG48" s="14">
        <f>Z48&amp;" ("&amp;AA48&amp;" min walk) · "&amp;IF(ISNUMBER(AD48),TEXT(AD48,"ddd d mmm, hh:mm"),"slot to confirm with venue")&amp;" · "&amp;AE48&amp;" · "&amp;IF(AF48&lt;&gt;"","£"&amp;TEXT(AF48,"0.00")&amp;" pp","price TBC")</f>
        <v/>
      </c>
      <c r="AH48" s="14">
        <f>IF(U48&lt;&gt;"",U48,IF(H48&lt;&gt;"",H48,""))</f>
        <v/>
      </c>
      <c r="AI48" s="14">
        <f>"After-work football for "&amp;F48&amp;" · "&amp;Z48&amp;", "&amp;AA48&amp;" min from your office"</f>
        <v/>
      </c>
      <c r="AJ48" s="14">
        <f>"Hi "&amp;IF(R48&lt;&gt;"",R48,F48&amp;" team")&amp;","&amp;CHAR(10)&amp;CHAR(10)&amp;"I'm "&amp;IF(AM48&lt;&gt;"",AM48,IF(Offer!$C$5&lt;&gt;"",Offer!$C$5,"[NAME]"))&amp;" from FC Urban. We organise after-work football for teams in the City and Canary Wharf."&amp;CHAR(10)&amp;CHAR(10)&amp;"We have a "&amp;AE48&amp;" pitch at "&amp;Z48&amp;", "&amp;IF(OR(AA48=8,AA48=11,AA48=18),"an ","a ")&amp;AA48&amp;"-minute walk from your "&amp;P48&amp;" office, "&amp;IF(ISNUMBER(AD48),"on "&amp;TEXT(AD48,"dddd d mmmm")&amp;" at "&amp;TEXT(AD48,"hh:mm"),"on a weekday evening that suits your team")&amp;". It's "&amp;IF(AF48&lt;&gt;"","£"&amp;IF(AF48=INT(AF48),TEXT(AF48,"0"),TEXT(AF48,"0.00")),"[PRICE PER PLAYER]")&amp;" a player and we handle the pitch booking, sign-ups and payments, so all it takes is one person sharing a link with the team."&amp;CHAR(10)&amp;CHAR(10)&amp;"It works well as a team social or "&amp;IF(ISNUMBER(SEARCH(LEFT(F48,1),"AEIOU")),"an ","a ")&amp;F48&amp;"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LINK]")&amp;CHAR(10)&amp;CHAR(10)&amp;"Best,"&amp;CHAR(10)&amp;IF(AM48&lt;&gt;"",AM48,IF(Offer!$C$5&lt;&gt;"",Offer!$C$5,"[NAME]"))&amp;CHAR(10)&amp;"FC Urban"</f>
        <v/>
      </c>
      <c r="AK48" s="14">
        <f>"Hi "&amp;IF(R48&lt;&gt;"",R48,F48&amp;" team")&amp;","&amp;CHAR(10)&amp;CHAR(10)&amp;"Just bumping this up. The "&amp;AE48&amp;" pitch at "&amp;Z48&amp;" is still free "&amp;IF(ISNUMBER(AD48),TEXT(AD48,"ddd d mmm")&amp;", "&amp;TEXT(AD48,"hh:mm"),"weekday evenings")&amp;", "&amp;IF(OR(AA48=8,AA48=11,AA48=18),"an ","a ")&amp;AA48&amp;"-minute walk from your office, "&amp;IF(AF48&lt;&gt;"","£"&amp;IF(AF48=INT(AF48),TEXT(AF48,"0"),TEXT(AF48,"0.00")),"[PRICE PER PLAYER]")&amp;" a player. Happy to hold it for "&amp;F48&amp;"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LINK]")&amp;CHAR(10)&amp;CHAR(10)&amp;"Best,"&amp;CHAR(10)&amp;IF(AM48&lt;&gt;"",AM48,IF(Offer!$C$5&lt;&gt;"",Offer!$C$5,"[NAME]"))&amp;CHAR(10)&amp;"FC Urban"</f>
        <v/>
      </c>
      <c r="AL48" s="14">
        <f>IF(AH48="","No email yet",IF(ISNUMBER(SEARCH("[",AJ48)),"Fill placeholders",IF(ISNUMBER(AD48),"Ready to send","Ready · no fixed slot")))</f>
        <v/>
      </c>
      <c r="AO48" s="17" t="n"/>
      <c r="AP48" s="17" t="n"/>
    </row>
    <row r="49">
      <c r="A49" s="11" t="n">
        <v>47</v>
      </c>
      <c r="B49" s="11" t="n">
        <v>2</v>
      </c>
      <c r="C49" s="11" t="inlineStr">
        <is>
          <t>Law firm</t>
        </is>
      </c>
      <c r="D49" s="11" t="inlineStr">
        <is>
          <t>City of London</t>
        </is>
      </c>
      <c r="E49" s="11" t="inlineStr">
        <is>
          <t>Morgan, Lewis &amp; Bockius UK LLP</t>
        </is>
      </c>
      <c r="F49" s="11" t="inlineStr">
        <is>
          <t>Morgan, Lewis &amp; Bockius</t>
        </is>
      </c>
      <c r="G49" s="12" t="inlineStr">
        <is>
          <t>https://www.morganlewis.com</t>
        </is>
      </c>
      <c r="H49" s="11" t="inlineStr">
        <is>
          <t>london@morganlewis.com</t>
        </is>
      </c>
      <c r="I49" s="11" t="inlineStr">
        <is>
          <t>general</t>
        </is>
      </c>
      <c r="J49" s="12" t="inlineStr">
        <is>
          <t>Open page</t>
        </is>
      </c>
      <c r="K49" s="11" t="inlineStr">
        <is>
          <t>OC378797</t>
        </is>
      </c>
      <c r="L49" s="12" t="inlineStr">
        <is>
          <t>Open</t>
        </is>
      </c>
      <c r="M49" s="11" t="inlineStr">
        <is>
          <t>Full</t>
        </is>
      </c>
      <c r="N49" s="13" t="n">
        <v>41178</v>
      </c>
      <c r="O49" s="11" t="inlineStr">
        <is>
          <t>Condor House 5-10, St. Paul'S Churchyard, London</t>
        </is>
      </c>
      <c r="P49" s="11" t="inlineStr">
        <is>
          <t>EC4M 8AL</t>
        </is>
      </c>
      <c r="Q49" s="11" t="inlineStr">
        <is>
          <t>No</t>
        </is>
      </c>
      <c r="W49" s="11" t="inlineStr">
        <is>
          <t>City of London School (EC4V 3AL)</t>
        </is>
      </c>
      <c r="X49" s="11" t="n">
        <v>4</v>
      </c>
      <c r="Y49" s="11" t="inlineStr">
        <is>
          <t>Marlborough Sports Garden (SE1 1SD) (19)</t>
        </is>
      </c>
      <c r="Z49" s="11" t="inlineStr">
        <is>
          <t>City of London School (EC4V 3AL)</t>
        </is>
      </c>
      <c r="AA49" s="11" t="n">
        <v>4</v>
      </c>
      <c r="AB49" s="14">
        <f>IFERROR(INDEX(Venues!$E$2:$E$17,MATCH(Z49,Venues!$A$2:$A$17,0)),"Not checked")</f>
        <v/>
      </c>
      <c r="AC49" s="14">
        <f>IFERROR(INDEX(Venues!$F$2:$F$17,MATCH(Z49,Venues!$A$2:$A$17,0)),0)</f>
        <v/>
      </c>
      <c r="AD49" s="15">
        <f>IFERROR(INDEX(Venues!$M$2:$M$17,MATCH(Z49,Venues!$A$2:$A$17,0)),"")</f>
        <v/>
      </c>
      <c r="AE49" s="14">
        <f>IFERROR(INDEX(Venues!$N$2:$N$17,MATCH(Z49,Venues!$A$2:$A$17,0)),"5-a-side")</f>
        <v/>
      </c>
      <c r="AF49" s="16">
        <f>IF(Offer!$C$4="","",Offer!$C$4)</f>
        <v/>
      </c>
      <c r="AG49" s="14">
        <f>Z49&amp;" ("&amp;AA49&amp;" min walk) · "&amp;IF(ISNUMBER(AD49),TEXT(AD49,"ddd d mmm, hh:mm"),"slot to confirm with venue")&amp;" · "&amp;AE49&amp;" · "&amp;IF(AF49&lt;&gt;"","£"&amp;TEXT(AF49,"0.00")&amp;" pp","price TBC")</f>
        <v/>
      </c>
      <c r="AH49" s="14">
        <f>IF(U49&lt;&gt;"",U49,IF(H49&lt;&gt;"",H49,""))</f>
        <v/>
      </c>
      <c r="AI49" s="14">
        <f>"After-work football for "&amp;F49&amp;" · "&amp;Z49&amp;", "&amp;AA49&amp;" min from your office"</f>
        <v/>
      </c>
      <c r="AJ49" s="14">
        <f>"Hi "&amp;IF(R49&lt;&gt;"",R49,F49&amp;" team")&amp;","&amp;CHAR(10)&amp;CHAR(10)&amp;"I'm "&amp;IF(AM49&lt;&gt;"",AM49,IF(Offer!$C$5&lt;&gt;"",Offer!$C$5,"[NAME]"))&amp;" from FC Urban. We organise after-work football for teams in the City and Canary Wharf."&amp;CHAR(10)&amp;CHAR(10)&amp;"We have a "&amp;AE49&amp;" pitch at "&amp;Z49&amp;", "&amp;IF(OR(AA49=8,AA49=11,AA49=18),"an ","a ")&amp;AA49&amp;"-minute walk from your "&amp;P49&amp;" office, "&amp;IF(ISNUMBER(AD49),"on "&amp;TEXT(AD49,"dddd d mmmm")&amp;" at "&amp;TEXT(AD49,"hh:mm"),"on a weekday evening that suits your team")&amp;". It's "&amp;IF(AF49&lt;&gt;"","£"&amp;IF(AF49=INT(AF49),TEXT(AF49,"0"),TEXT(AF49,"0.00")),"[PRICE PER PLAYER]")&amp;" a player and we handle the pitch booking, sign-ups and payments, so all it takes is one person sharing a link with the team."&amp;CHAR(10)&amp;CHAR(10)&amp;"It works well as a team social or "&amp;IF(ISNUMBER(SEARCH(LEFT(F49,1),"AEIOU")),"an ","a ")&amp;F49&amp;"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LINK]")&amp;CHAR(10)&amp;CHAR(10)&amp;"Best,"&amp;CHAR(10)&amp;IF(AM49&lt;&gt;"",AM49,IF(Offer!$C$5&lt;&gt;"",Offer!$C$5,"[NAME]"))&amp;CHAR(10)&amp;"FC Urban"</f>
        <v/>
      </c>
      <c r="AK49" s="14">
        <f>"Hi "&amp;IF(R49&lt;&gt;"",R49,F49&amp;" team")&amp;","&amp;CHAR(10)&amp;CHAR(10)&amp;"Just bumping this up. The "&amp;AE49&amp;" pitch at "&amp;Z49&amp;" is still free "&amp;IF(ISNUMBER(AD49),TEXT(AD49,"ddd d mmm")&amp;", "&amp;TEXT(AD49,"hh:mm"),"weekday evenings")&amp;", "&amp;IF(OR(AA49=8,AA49=11,AA49=18),"an ","a ")&amp;AA49&amp;"-minute walk from your office, "&amp;IF(AF49&lt;&gt;"","£"&amp;IF(AF49=INT(AF49),TEXT(AF49,"0"),TEXT(AF49,"0.00")),"[PRICE PER PLAYER]")&amp;" a player. Happy to hold it for "&amp;F49&amp;"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LINK]")&amp;CHAR(10)&amp;CHAR(10)&amp;"Best,"&amp;CHAR(10)&amp;IF(AM49&lt;&gt;"",AM49,IF(Offer!$C$5&lt;&gt;"",Offer!$C$5,"[NAME]"))&amp;CHAR(10)&amp;"FC Urban"</f>
        <v/>
      </c>
      <c r="AL49" s="14">
        <f>IF(AH49="","No email yet",IF(ISNUMBER(SEARCH("[",AJ49)),"Fill placeholders",IF(ISNUMBER(AD49),"Ready to send","Ready · no fixed slot")))</f>
        <v/>
      </c>
      <c r="AO49" s="17" t="n"/>
      <c r="AP49" s="17" t="n"/>
    </row>
    <row r="50">
      <c r="A50" s="11" t="n">
        <v>48</v>
      </c>
      <c r="B50" s="11" t="n">
        <v>2</v>
      </c>
      <c r="C50" s="11" t="inlineStr">
        <is>
          <t>Law firm</t>
        </is>
      </c>
      <c r="D50" s="11" t="inlineStr">
        <is>
          <t>City of London</t>
        </is>
      </c>
      <c r="E50" s="11" t="inlineStr">
        <is>
          <t>Dechert LLP</t>
        </is>
      </c>
      <c r="F50" s="11" t="inlineStr">
        <is>
          <t>Dechert</t>
        </is>
      </c>
      <c r="G50" s="12" t="inlineStr">
        <is>
          <t>https://www.dechert.com</t>
        </is>
      </c>
      <c r="H50" s="11" t="inlineStr">
        <is>
          <t>londonlateralrecruitment@dechert.com</t>
        </is>
      </c>
      <c r="I50" s="11" t="inlineStr">
        <is>
          <t>general</t>
        </is>
      </c>
      <c r="J50" s="12" t="inlineStr">
        <is>
          <t>Open page</t>
        </is>
      </c>
      <c r="K50" s="11" t="inlineStr">
        <is>
          <t>OC306029</t>
        </is>
      </c>
      <c r="L50" s="12" t="inlineStr">
        <is>
          <t>Open</t>
        </is>
      </c>
      <c r="M50" s="11" t="inlineStr">
        <is>
          <t>Full</t>
        </is>
      </c>
      <c r="N50" s="13" t="n">
        <v>37937</v>
      </c>
      <c r="O50" s="11" t="inlineStr">
        <is>
          <t>25 Cannon Street, London</t>
        </is>
      </c>
      <c r="P50" s="11" t="inlineStr">
        <is>
          <t>EC4M 5UB</t>
        </is>
      </c>
      <c r="Q50" s="11" t="inlineStr">
        <is>
          <t>No</t>
        </is>
      </c>
      <c r="W50" s="11" t="inlineStr">
        <is>
          <t>City of London School (EC4V 3AL)</t>
        </is>
      </c>
      <c r="X50" s="11" t="n">
        <v>6</v>
      </c>
      <c r="Y50" s="11" t="inlineStr">
        <is>
          <t>Marlborough Sports Garden (SE1 1SD) (17.5)</t>
        </is>
      </c>
      <c r="Z50" s="11" t="inlineStr">
        <is>
          <t>City of London School (EC4V 3AL)</t>
        </is>
      </c>
      <c r="AA50" s="11" t="n">
        <v>6</v>
      </c>
      <c r="AB50" s="14">
        <f>IFERROR(INDEX(Venues!$E$2:$E$17,MATCH(Z50,Venues!$A$2:$A$17,0)),"Not checked")</f>
        <v/>
      </c>
      <c r="AC50" s="14">
        <f>IFERROR(INDEX(Venues!$F$2:$F$17,MATCH(Z50,Venues!$A$2:$A$17,0)),0)</f>
        <v/>
      </c>
      <c r="AD50" s="15">
        <f>IFERROR(INDEX(Venues!$M$2:$M$17,MATCH(Z50,Venues!$A$2:$A$17,0)),"")</f>
        <v/>
      </c>
      <c r="AE50" s="14">
        <f>IFERROR(INDEX(Venues!$N$2:$N$17,MATCH(Z50,Venues!$A$2:$A$17,0)),"5-a-side")</f>
        <v/>
      </c>
      <c r="AF50" s="16">
        <f>IF(Offer!$C$4="","",Offer!$C$4)</f>
        <v/>
      </c>
      <c r="AG50" s="14">
        <f>Z50&amp;" ("&amp;AA50&amp;" min walk) · "&amp;IF(ISNUMBER(AD50),TEXT(AD50,"ddd d mmm, hh:mm"),"slot to confirm with venue")&amp;" · "&amp;AE50&amp;" · "&amp;IF(AF50&lt;&gt;"","£"&amp;TEXT(AF50,"0.00")&amp;" pp","price TBC")</f>
        <v/>
      </c>
      <c r="AH50" s="14">
        <f>IF(U50&lt;&gt;"",U50,IF(H50&lt;&gt;"",H50,""))</f>
        <v/>
      </c>
      <c r="AI50" s="14">
        <f>"After-work football for "&amp;F50&amp;" · "&amp;Z50&amp;", "&amp;AA50&amp;" min from your office"</f>
        <v/>
      </c>
      <c r="AJ50" s="14">
        <f>"Hi "&amp;IF(R50&lt;&gt;"",R50,F50&amp;" team")&amp;","&amp;CHAR(10)&amp;CHAR(10)&amp;"I'm "&amp;IF(AM50&lt;&gt;"",AM50,IF(Offer!$C$5&lt;&gt;"",Offer!$C$5,"[NAME]"))&amp;" from FC Urban. We organise after-work football for teams in the City and Canary Wharf."&amp;CHAR(10)&amp;CHAR(10)&amp;"We have a "&amp;AE50&amp;" pitch at "&amp;Z50&amp;", "&amp;IF(OR(AA50=8,AA50=11,AA50=18),"an ","a ")&amp;AA50&amp;"-minute walk from your "&amp;P50&amp;" office, "&amp;IF(ISNUMBER(AD50),"on "&amp;TEXT(AD50,"dddd d mmmm")&amp;" at "&amp;TEXT(AD50,"hh:mm"),"on a weekday evening that suits your team")&amp;". It's "&amp;IF(AF50&lt;&gt;"","£"&amp;IF(AF50=INT(AF50),TEXT(AF50,"0"),TEXT(AF50,"0.00")),"[PRICE PER PLAYER]")&amp;" a player and we handle the pitch booking, sign-ups and payments, so all it takes is one person sharing a link with the team."&amp;CHAR(10)&amp;CHAR(10)&amp;"It works well as a team social or "&amp;IF(ISNUMBER(SEARCH(LEFT(F50,1),"AEIOU")),"an ","a ")&amp;F50&amp;"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LINK]")&amp;CHAR(10)&amp;CHAR(10)&amp;"Best,"&amp;CHAR(10)&amp;IF(AM50&lt;&gt;"",AM50,IF(Offer!$C$5&lt;&gt;"",Offer!$C$5,"[NAME]"))&amp;CHAR(10)&amp;"FC Urban"</f>
        <v/>
      </c>
      <c r="AK50" s="14">
        <f>"Hi "&amp;IF(R50&lt;&gt;"",R50,F50&amp;" team")&amp;","&amp;CHAR(10)&amp;CHAR(10)&amp;"Just bumping this up. The "&amp;AE50&amp;" pitch at "&amp;Z50&amp;" is still free "&amp;IF(ISNUMBER(AD50),TEXT(AD50,"ddd d mmm")&amp;", "&amp;TEXT(AD50,"hh:mm"),"weekday evenings")&amp;", "&amp;IF(OR(AA50=8,AA50=11,AA50=18),"an ","a ")&amp;AA50&amp;"-minute walk from your office, "&amp;IF(AF50&lt;&gt;"","£"&amp;IF(AF50=INT(AF50),TEXT(AF50,"0"),TEXT(AF50,"0.00")),"[PRICE PER PLAYER]")&amp;" a player. Happy to hold it for "&amp;F50&amp;"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LINK]")&amp;CHAR(10)&amp;CHAR(10)&amp;"Best,"&amp;CHAR(10)&amp;IF(AM50&lt;&gt;"",AM50,IF(Offer!$C$5&lt;&gt;"",Offer!$C$5,"[NAME]"))&amp;CHAR(10)&amp;"FC Urban"</f>
        <v/>
      </c>
      <c r="AL50" s="14">
        <f>IF(AH50="","No email yet",IF(ISNUMBER(SEARCH("[",AJ50)),"Fill placeholders",IF(ISNUMBER(AD50),"Ready to send","Ready · no fixed slot")))</f>
        <v/>
      </c>
      <c r="AO50" s="17" t="n"/>
      <c r="AP50" s="17" t="n"/>
    </row>
    <row r="51">
      <c r="A51" s="11" t="n">
        <v>49</v>
      </c>
      <c r="B51" s="11" t="n">
        <v>2</v>
      </c>
      <c r="C51" s="11" t="inlineStr">
        <is>
          <t>Law firm</t>
        </is>
      </c>
      <c r="D51" s="11" t="inlineStr">
        <is>
          <t>City of London</t>
        </is>
      </c>
      <c r="E51" s="11" t="inlineStr">
        <is>
          <t>K&amp;L Gates LLP</t>
        </is>
      </c>
      <c r="F51" s="11" t="inlineStr">
        <is>
          <t>K&amp;L Gates</t>
        </is>
      </c>
      <c r="G51" s="12" t="inlineStr">
        <is>
          <t>https://www.klgates.com</t>
        </is>
      </c>
      <c r="H51" s="11" t="inlineStr">
        <is>
          <t>infoaus@klgates.com</t>
        </is>
      </c>
      <c r="I51" s="11" t="inlineStr">
        <is>
          <t>general</t>
        </is>
      </c>
      <c r="J51" s="12" t="inlineStr">
        <is>
          <t>Open page</t>
        </is>
      </c>
      <c r="K51" s="11" t="inlineStr">
        <is>
          <t>OC309508</t>
        </is>
      </c>
      <c r="L51" s="12" t="inlineStr">
        <is>
          <t>Open</t>
        </is>
      </c>
      <c r="M51" s="11" t="inlineStr">
        <is>
          <t>Full</t>
        </is>
      </c>
      <c r="N51" s="13" t="n">
        <v>38267</v>
      </c>
      <c r="O51" s="11" t="inlineStr">
        <is>
          <t>One, New Change, London</t>
        </is>
      </c>
      <c r="P51" s="11" t="inlineStr">
        <is>
          <t>EC4M 9AF</t>
        </is>
      </c>
      <c r="Q51" s="11" t="inlineStr">
        <is>
          <t>No</t>
        </is>
      </c>
      <c r="W51" s="11" t="inlineStr">
        <is>
          <t>City of London School (EC4V 3AL)</t>
        </is>
      </c>
      <c r="X51" s="11" t="n">
        <v>6</v>
      </c>
      <c r="Y51" s="11" t="inlineStr">
        <is>
          <t>Marlborough Sports Garden (SE1 1SD) (18.5)</t>
        </is>
      </c>
      <c r="Z51" s="11" t="inlineStr">
        <is>
          <t>City of London School (EC4V 3AL)</t>
        </is>
      </c>
      <c r="AA51" s="11" t="n">
        <v>6</v>
      </c>
      <c r="AB51" s="14">
        <f>IFERROR(INDEX(Venues!$E$2:$E$17,MATCH(Z51,Venues!$A$2:$A$17,0)),"Not checked")</f>
        <v/>
      </c>
      <c r="AC51" s="14">
        <f>IFERROR(INDEX(Venues!$F$2:$F$17,MATCH(Z51,Venues!$A$2:$A$17,0)),0)</f>
        <v/>
      </c>
      <c r="AD51" s="15">
        <f>IFERROR(INDEX(Venues!$M$2:$M$17,MATCH(Z51,Venues!$A$2:$A$17,0)),"")</f>
        <v/>
      </c>
      <c r="AE51" s="14">
        <f>IFERROR(INDEX(Venues!$N$2:$N$17,MATCH(Z51,Venues!$A$2:$A$17,0)),"5-a-side")</f>
        <v/>
      </c>
      <c r="AF51" s="16">
        <f>IF(Offer!$C$4="","",Offer!$C$4)</f>
        <v/>
      </c>
      <c r="AG51" s="14">
        <f>Z51&amp;" ("&amp;AA51&amp;" min walk) · "&amp;IF(ISNUMBER(AD51),TEXT(AD51,"ddd d mmm, hh:mm"),"slot to confirm with venue")&amp;" · "&amp;AE51&amp;" · "&amp;IF(AF51&lt;&gt;"","£"&amp;TEXT(AF51,"0.00")&amp;" pp","price TBC")</f>
        <v/>
      </c>
      <c r="AH51" s="14">
        <f>IF(U51&lt;&gt;"",U51,IF(H51&lt;&gt;"",H51,""))</f>
        <v/>
      </c>
      <c r="AI51" s="14">
        <f>"After-work football for "&amp;F51&amp;" · "&amp;Z51&amp;", "&amp;AA51&amp;" min from your office"</f>
        <v/>
      </c>
      <c r="AJ51" s="14">
        <f>"Hi "&amp;IF(R51&lt;&gt;"",R51,F51&amp;" team")&amp;","&amp;CHAR(10)&amp;CHAR(10)&amp;"I'm "&amp;IF(AM51&lt;&gt;"",AM51,IF(Offer!$C$5&lt;&gt;"",Offer!$C$5,"[NAME]"))&amp;" from FC Urban. We organise after-work football for teams in the City and Canary Wharf."&amp;CHAR(10)&amp;CHAR(10)&amp;"We have a "&amp;AE51&amp;" pitch at "&amp;Z51&amp;", "&amp;IF(OR(AA51=8,AA51=11,AA51=18),"an ","a ")&amp;AA51&amp;"-minute walk from your "&amp;P51&amp;" office, "&amp;IF(ISNUMBER(AD51),"on "&amp;TEXT(AD51,"dddd d mmmm")&amp;" at "&amp;TEXT(AD51,"hh:mm"),"on a weekday evening that suits your team")&amp;". It's "&amp;IF(AF51&lt;&gt;"","£"&amp;IF(AF51=INT(AF51),TEXT(AF51,"0"),TEXT(AF51,"0.00")),"[PRICE PER PLAYER]")&amp;" a player and we handle the pitch booking, sign-ups and payments, so all it takes is one person sharing a link with the team."&amp;CHAR(10)&amp;CHAR(10)&amp;"It works well as a team social or "&amp;IF(ISNUMBER(SEARCH(LEFT(F51,1),"AEIOU")),"an ","a ")&amp;F51&amp;"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LINK]")&amp;CHAR(10)&amp;CHAR(10)&amp;"Best,"&amp;CHAR(10)&amp;IF(AM51&lt;&gt;"",AM51,IF(Offer!$C$5&lt;&gt;"",Offer!$C$5,"[NAME]"))&amp;CHAR(10)&amp;"FC Urban"</f>
        <v/>
      </c>
      <c r="AK51" s="14">
        <f>"Hi "&amp;IF(R51&lt;&gt;"",R51,F51&amp;" team")&amp;","&amp;CHAR(10)&amp;CHAR(10)&amp;"Just bumping this up. The "&amp;AE51&amp;" pitch at "&amp;Z51&amp;" is still free "&amp;IF(ISNUMBER(AD51),TEXT(AD51,"ddd d mmm")&amp;", "&amp;TEXT(AD51,"hh:mm"),"weekday evenings")&amp;", "&amp;IF(OR(AA51=8,AA51=11,AA51=18),"an ","a ")&amp;AA51&amp;"-minute walk from your office, "&amp;IF(AF51&lt;&gt;"","£"&amp;IF(AF51=INT(AF51),TEXT(AF51,"0"),TEXT(AF51,"0.00")),"[PRICE PER PLAYER]")&amp;" a player. Happy to hold it for "&amp;F51&amp;"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LINK]")&amp;CHAR(10)&amp;CHAR(10)&amp;"Best,"&amp;CHAR(10)&amp;IF(AM51&lt;&gt;"",AM51,IF(Offer!$C$5&lt;&gt;"",Offer!$C$5,"[NAME]"))&amp;CHAR(10)&amp;"FC Urban"</f>
        <v/>
      </c>
      <c r="AL51" s="14">
        <f>IF(AH51="","No email yet",IF(ISNUMBER(SEARCH("[",AJ51)),"Fill placeholders",IF(ISNUMBER(AD51),"Ready to send","Ready · no fixed slot")))</f>
        <v/>
      </c>
      <c r="AO51" s="17" t="n"/>
      <c r="AP51" s="17" t="n"/>
    </row>
    <row r="52">
      <c r="A52" s="11" t="n">
        <v>50</v>
      </c>
      <c r="B52" s="11" t="n">
        <v>2</v>
      </c>
      <c r="C52" s="11" t="inlineStr">
        <is>
          <t>Law firm</t>
        </is>
      </c>
      <c r="D52" s="11" t="inlineStr">
        <is>
          <t>City of London</t>
        </is>
      </c>
      <c r="E52" s="11" t="inlineStr">
        <is>
          <t>Burford Capital Services Limited</t>
        </is>
      </c>
      <c r="F52" s="11" t="inlineStr">
        <is>
          <t>Burford Capital</t>
        </is>
      </c>
      <c r="G52" s="12" t="inlineStr">
        <is>
          <t>https://burford.com</t>
        </is>
      </c>
      <c r="H52" s="11" t="inlineStr">
        <is>
          <t>info@burford.com</t>
        </is>
      </c>
      <c r="I52" s="11" t="inlineStr">
        <is>
          <t>general</t>
        </is>
      </c>
      <c r="J52" s="12" t="inlineStr">
        <is>
          <t>Open page</t>
        </is>
      </c>
      <c r="K52" s="11" t="inlineStr">
        <is>
          <t>13128424</t>
        </is>
      </c>
      <c r="L52" s="12" t="inlineStr">
        <is>
          <t>Open</t>
        </is>
      </c>
      <c r="M52" s="11" t="inlineStr">
        <is>
          <t>Full</t>
        </is>
      </c>
      <c r="N52" s="13" t="n">
        <v>44208</v>
      </c>
      <c r="O52" s="11" t="inlineStr">
        <is>
          <t>Paternoster House, 4Th Floor, 65 St Paul'S Churchyard, London</t>
        </is>
      </c>
      <c r="P52" s="11" t="inlineStr">
        <is>
          <t>EC4M 8AB</t>
        </is>
      </c>
      <c r="Q52" s="11" t="inlineStr">
        <is>
          <t>No</t>
        </is>
      </c>
      <c r="W52" s="11" t="inlineStr">
        <is>
          <t>City of London School (EC4V 3AL)</t>
        </is>
      </c>
      <c r="X52" s="11" t="n">
        <v>6</v>
      </c>
      <c r="Y52" s="11" t="n"/>
      <c r="Z52" s="11" t="inlineStr">
        <is>
          <t>City of London School (EC4V 3AL)</t>
        </is>
      </c>
      <c r="AA52" s="11" t="n">
        <v>6</v>
      </c>
      <c r="AB52" s="14">
        <f>IFERROR(INDEX(Venues!$E$2:$E$17,MATCH(Z52,Venues!$A$2:$A$17,0)),"Not checked")</f>
        <v/>
      </c>
      <c r="AC52" s="14">
        <f>IFERROR(INDEX(Venues!$F$2:$F$17,MATCH(Z52,Venues!$A$2:$A$17,0)),0)</f>
        <v/>
      </c>
      <c r="AD52" s="15">
        <f>IFERROR(INDEX(Venues!$M$2:$M$17,MATCH(Z52,Venues!$A$2:$A$17,0)),"")</f>
        <v/>
      </c>
      <c r="AE52" s="14">
        <f>IFERROR(INDEX(Venues!$N$2:$N$17,MATCH(Z52,Venues!$A$2:$A$17,0)),"5-a-side")</f>
        <v/>
      </c>
      <c r="AF52" s="16">
        <f>IF(Offer!$C$4="","",Offer!$C$4)</f>
        <v/>
      </c>
      <c r="AG52" s="14">
        <f>Z52&amp;" ("&amp;AA52&amp;" min walk) · "&amp;IF(ISNUMBER(AD52),TEXT(AD52,"ddd d mmm, hh:mm"),"slot to confirm with venue")&amp;" · "&amp;AE52&amp;" · "&amp;IF(AF52&lt;&gt;"","£"&amp;TEXT(AF52,"0.00")&amp;" pp","price TBC")</f>
        <v/>
      </c>
      <c r="AH52" s="14">
        <f>IF(U52&lt;&gt;"",U52,IF(H52&lt;&gt;"",H52,""))</f>
        <v/>
      </c>
      <c r="AI52" s="14">
        <f>"After-work football for "&amp;F52&amp;" · "&amp;Z52&amp;", "&amp;AA52&amp;" min from your office"</f>
        <v/>
      </c>
      <c r="AJ52" s="14">
        <f>"Hi "&amp;IF(R52&lt;&gt;"",R52,F52&amp;" team")&amp;","&amp;CHAR(10)&amp;CHAR(10)&amp;"I'm "&amp;IF(AM52&lt;&gt;"",AM52,IF(Offer!$C$5&lt;&gt;"",Offer!$C$5,"[NAME]"))&amp;" from FC Urban. We organise after-work football for teams in the City and Canary Wharf."&amp;CHAR(10)&amp;CHAR(10)&amp;"We have a "&amp;AE52&amp;" pitch at "&amp;Z52&amp;", "&amp;IF(OR(AA52=8,AA52=11,AA52=18),"an ","a ")&amp;AA52&amp;"-minute walk from your "&amp;P52&amp;" office, "&amp;IF(ISNUMBER(AD52),"on "&amp;TEXT(AD52,"dddd d mmmm")&amp;" at "&amp;TEXT(AD52,"hh:mm"),"on a weekday evening that suits your team")&amp;". It's "&amp;IF(AF52&lt;&gt;"","£"&amp;IF(AF52=INT(AF52),TEXT(AF52,"0"),TEXT(AF52,"0.00")),"[PRICE PER PLAYER]")&amp;" a player and we handle the pitch booking, sign-ups and payments, so all it takes is one person sharing a link with the team."&amp;CHAR(10)&amp;CHAR(10)&amp;"It works well as a team social or "&amp;IF(ISNUMBER(SEARCH(LEFT(F52,1),"AEIOU")),"an ","a ")&amp;F52&amp;"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LINK]")&amp;CHAR(10)&amp;CHAR(10)&amp;"Best,"&amp;CHAR(10)&amp;IF(AM52&lt;&gt;"",AM52,IF(Offer!$C$5&lt;&gt;"",Offer!$C$5,"[NAME]"))&amp;CHAR(10)&amp;"FC Urban"</f>
        <v/>
      </c>
      <c r="AK52" s="14">
        <f>"Hi "&amp;IF(R52&lt;&gt;"",R52,F52&amp;" team")&amp;","&amp;CHAR(10)&amp;CHAR(10)&amp;"Just bumping this up. The "&amp;AE52&amp;" pitch at "&amp;Z52&amp;" is still free "&amp;IF(ISNUMBER(AD52),TEXT(AD52,"ddd d mmm")&amp;", "&amp;TEXT(AD52,"hh:mm"),"weekday evenings")&amp;", "&amp;IF(OR(AA52=8,AA52=11,AA52=18),"an ","a ")&amp;AA52&amp;"-minute walk from your office, "&amp;IF(AF52&lt;&gt;"","£"&amp;IF(AF52=INT(AF52),TEXT(AF52,"0"),TEXT(AF52,"0.00")),"[PRICE PER PLAYER]")&amp;" a player. Happy to hold it for "&amp;F52&amp;"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LINK]")&amp;CHAR(10)&amp;CHAR(10)&amp;"Best,"&amp;CHAR(10)&amp;IF(AM52&lt;&gt;"",AM52,IF(Offer!$C$5&lt;&gt;"",Offer!$C$5,"[NAME]"))&amp;CHAR(10)&amp;"FC Urban"</f>
        <v/>
      </c>
      <c r="AL52" s="14">
        <f>IF(AH52="","No email yet",IF(ISNUMBER(SEARCH("[",AJ52)),"Fill placeholders",IF(ISNUMBER(AD52),"Ready to send","Ready · no fixed slot")))</f>
        <v/>
      </c>
      <c r="AO52" s="17" t="n"/>
      <c r="AP52" s="17" t="n"/>
    </row>
    <row r="53">
      <c r="A53" s="11" t="n">
        <v>51</v>
      </c>
      <c r="B53" s="11" t="n">
        <v>2</v>
      </c>
      <c r="C53" s="11" t="inlineStr">
        <is>
          <t>Law firm</t>
        </is>
      </c>
      <c r="D53" s="11" t="inlineStr">
        <is>
          <t>City of London</t>
        </is>
      </c>
      <c r="E53" s="11" t="inlineStr">
        <is>
          <t>Katten Muchin Rosenman UK LLP</t>
        </is>
      </c>
      <c r="F53" s="11" t="inlineStr">
        <is>
          <t>Katten Muchin Rosenman</t>
        </is>
      </c>
      <c r="G53" s="12" t="inlineStr">
        <is>
          <t>https://katten.com</t>
        </is>
      </c>
      <c r="H53" s="11" t="inlineStr">
        <is>
          <t>gil.soffer@katten.com</t>
        </is>
      </c>
      <c r="I53" s="11" t="inlineStr">
        <is>
          <t>named person</t>
        </is>
      </c>
      <c r="J53" s="12" t="inlineStr">
        <is>
          <t>Open page</t>
        </is>
      </c>
      <c r="K53" s="11" t="inlineStr">
        <is>
          <t>OC312814</t>
        </is>
      </c>
      <c r="L53" s="12" t="inlineStr">
        <is>
          <t>Open</t>
        </is>
      </c>
      <c r="M53" s="11" t="inlineStr">
        <is>
          <t>Full</t>
        </is>
      </c>
      <c r="N53" s="13" t="n">
        <v>38460</v>
      </c>
      <c r="O53" s="11" t="inlineStr">
        <is>
          <t>Paternoster House, 65 St Paul'S Churchyard, London</t>
        </is>
      </c>
      <c r="P53" s="11" t="inlineStr">
        <is>
          <t>EC4M 8AB</t>
        </is>
      </c>
      <c r="Q53" s="11" t="inlineStr">
        <is>
          <t>No</t>
        </is>
      </c>
      <c r="W53" s="11" t="inlineStr">
        <is>
          <t>City of London School (EC4V 3AL)</t>
        </is>
      </c>
      <c r="X53" s="11" t="n">
        <v>6</v>
      </c>
      <c r="Y53" s="11" t="n"/>
      <c r="Z53" s="11" t="inlineStr">
        <is>
          <t>City of London School (EC4V 3AL)</t>
        </is>
      </c>
      <c r="AA53" s="11" t="n">
        <v>6</v>
      </c>
      <c r="AB53" s="14">
        <f>IFERROR(INDEX(Venues!$E$2:$E$17,MATCH(Z53,Venues!$A$2:$A$17,0)),"Not checked")</f>
        <v/>
      </c>
      <c r="AC53" s="14">
        <f>IFERROR(INDEX(Venues!$F$2:$F$17,MATCH(Z53,Venues!$A$2:$A$17,0)),0)</f>
        <v/>
      </c>
      <c r="AD53" s="15">
        <f>IFERROR(INDEX(Venues!$M$2:$M$17,MATCH(Z53,Venues!$A$2:$A$17,0)),"")</f>
        <v/>
      </c>
      <c r="AE53" s="14">
        <f>IFERROR(INDEX(Venues!$N$2:$N$17,MATCH(Z53,Venues!$A$2:$A$17,0)),"5-a-side")</f>
        <v/>
      </c>
      <c r="AF53" s="16">
        <f>IF(Offer!$C$4="","",Offer!$C$4)</f>
        <v/>
      </c>
      <c r="AG53" s="14">
        <f>Z53&amp;" ("&amp;AA53&amp;" min walk) · "&amp;IF(ISNUMBER(AD53),TEXT(AD53,"ddd d mmm, hh:mm"),"slot to confirm with venue")&amp;" · "&amp;AE53&amp;" · "&amp;IF(AF53&lt;&gt;"","£"&amp;TEXT(AF53,"0.00")&amp;" pp","price TBC")</f>
        <v/>
      </c>
      <c r="AH53" s="14">
        <f>IF(U53&lt;&gt;"",U53,IF(H53&lt;&gt;"",H53,""))</f>
        <v/>
      </c>
      <c r="AI53" s="14">
        <f>"After-work football for "&amp;F53&amp;" · "&amp;Z53&amp;", "&amp;AA53&amp;" min from your office"</f>
        <v/>
      </c>
      <c r="AJ53" s="14">
        <f>"Hi "&amp;IF(R53&lt;&gt;"",R53,F53&amp;" team")&amp;","&amp;CHAR(10)&amp;CHAR(10)&amp;"I'm "&amp;IF(AM53&lt;&gt;"",AM53,IF(Offer!$C$5&lt;&gt;"",Offer!$C$5,"[NAME]"))&amp;" from FC Urban. We organise after-work football for teams in the City and Canary Wharf."&amp;CHAR(10)&amp;CHAR(10)&amp;"We have a "&amp;AE53&amp;" pitch at "&amp;Z53&amp;", "&amp;IF(OR(AA53=8,AA53=11,AA53=18),"an ","a ")&amp;AA53&amp;"-minute walk from your "&amp;P53&amp;" office, "&amp;IF(ISNUMBER(AD53),"on "&amp;TEXT(AD53,"dddd d mmmm")&amp;" at "&amp;TEXT(AD53,"hh:mm"),"on a weekday evening that suits your team")&amp;". It's "&amp;IF(AF53&lt;&gt;"","£"&amp;IF(AF53=INT(AF53),TEXT(AF53,"0"),TEXT(AF53,"0.00")),"[PRICE PER PLAYER]")&amp;" a player and we handle the pitch booking, sign-ups and payments, so all it takes is one person sharing a link with the team."&amp;CHAR(10)&amp;CHAR(10)&amp;"It works well as a team social or "&amp;IF(ISNUMBER(SEARCH(LEFT(F53,1),"AEIOU")),"an ","a ")&amp;F53&amp;"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LINK]")&amp;CHAR(10)&amp;CHAR(10)&amp;"Best,"&amp;CHAR(10)&amp;IF(AM53&lt;&gt;"",AM53,IF(Offer!$C$5&lt;&gt;"",Offer!$C$5,"[NAME]"))&amp;CHAR(10)&amp;"FC Urban"</f>
        <v/>
      </c>
      <c r="AK53" s="14">
        <f>"Hi "&amp;IF(R53&lt;&gt;"",R53,F53&amp;" team")&amp;","&amp;CHAR(10)&amp;CHAR(10)&amp;"Just bumping this up. The "&amp;AE53&amp;" pitch at "&amp;Z53&amp;" is still free "&amp;IF(ISNUMBER(AD53),TEXT(AD53,"ddd d mmm")&amp;", "&amp;TEXT(AD53,"hh:mm"),"weekday evenings")&amp;", "&amp;IF(OR(AA53=8,AA53=11,AA53=18),"an ","a ")&amp;AA53&amp;"-minute walk from your office, "&amp;IF(AF53&lt;&gt;"","£"&amp;IF(AF53=INT(AF53),TEXT(AF53,"0"),TEXT(AF53,"0.00")),"[PRICE PER PLAYER]")&amp;" a player. Happy to hold it for "&amp;F53&amp;"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LINK]")&amp;CHAR(10)&amp;CHAR(10)&amp;"Best,"&amp;CHAR(10)&amp;IF(AM53&lt;&gt;"",AM53,IF(Offer!$C$5&lt;&gt;"",Offer!$C$5,"[NAME]"))&amp;CHAR(10)&amp;"FC Urban"</f>
        <v/>
      </c>
      <c r="AL53" s="14">
        <f>IF(AH53="","No email yet",IF(ISNUMBER(SEARCH("[",AJ53)),"Fill placeholders",IF(ISNUMBER(AD53),"Ready to send","Ready · no fixed slot")))</f>
        <v/>
      </c>
      <c r="AO53" s="17" t="n"/>
      <c r="AP53" s="17" t="n"/>
    </row>
    <row r="54">
      <c r="A54" s="11" t="n">
        <v>52</v>
      </c>
      <c r="B54" s="11" t="n">
        <v>2</v>
      </c>
      <c r="C54" s="11" t="inlineStr">
        <is>
          <t>Law firm</t>
        </is>
      </c>
      <c r="D54" s="11" t="inlineStr">
        <is>
          <t>City of London</t>
        </is>
      </c>
      <c r="E54" s="11" t="inlineStr">
        <is>
          <t>Bristows (Services) Limited</t>
        </is>
      </c>
      <c r="F54" s="11" t="inlineStr">
        <is>
          <t>Bristows</t>
        </is>
      </c>
      <c r="G54" s="12" t="inlineStr">
        <is>
          <t>https://www.bristows.com</t>
        </is>
      </c>
      <c r="H54" s="11" t="inlineStr">
        <is>
          <t>london@bristows.com</t>
        </is>
      </c>
      <c r="I54" s="11" t="inlineStr">
        <is>
          <t>general</t>
        </is>
      </c>
      <c r="J54" s="12" t="inlineStr">
        <is>
          <t>Open page</t>
        </is>
      </c>
      <c r="K54" s="11" t="inlineStr">
        <is>
          <t>07422632</t>
        </is>
      </c>
      <c r="L54" s="12" t="inlineStr">
        <is>
          <t>Open</t>
        </is>
      </c>
      <c r="M54" s="11" t="inlineStr">
        <is>
          <t>Full</t>
        </is>
      </c>
      <c r="N54" s="13" t="n">
        <v>40479</v>
      </c>
      <c r="O54" s="11" t="inlineStr">
        <is>
          <t>100 Victoria Embankment, London</t>
        </is>
      </c>
      <c r="P54" s="11" t="inlineStr">
        <is>
          <t>EC4Y 0DH</t>
        </is>
      </c>
      <c r="Q54" s="11" t="inlineStr">
        <is>
          <t>No</t>
        </is>
      </c>
      <c r="W54" s="11" t="inlineStr">
        <is>
          <t>City of London School (EC4V 3AL)</t>
        </is>
      </c>
      <c r="X54" s="11" t="n">
        <v>6</v>
      </c>
      <c r="Y54" s="11" t="n"/>
      <c r="Z54" s="11" t="inlineStr">
        <is>
          <t>City of London School (EC4V 3AL)</t>
        </is>
      </c>
      <c r="AA54" s="11" t="n">
        <v>6</v>
      </c>
      <c r="AB54" s="14">
        <f>IFERROR(INDEX(Venues!$E$2:$E$17,MATCH(Z54,Venues!$A$2:$A$17,0)),"Not checked")</f>
        <v/>
      </c>
      <c r="AC54" s="14">
        <f>IFERROR(INDEX(Venues!$F$2:$F$17,MATCH(Z54,Venues!$A$2:$A$17,0)),0)</f>
        <v/>
      </c>
      <c r="AD54" s="15">
        <f>IFERROR(INDEX(Venues!$M$2:$M$17,MATCH(Z54,Venues!$A$2:$A$17,0)),"")</f>
        <v/>
      </c>
      <c r="AE54" s="14">
        <f>IFERROR(INDEX(Venues!$N$2:$N$17,MATCH(Z54,Venues!$A$2:$A$17,0)),"5-a-side")</f>
        <v/>
      </c>
      <c r="AF54" s="16">
        <f>IF(Offer!$C$4="","",Offer!$C$4)</f>
        <v/>
      </c>
      <c r="AG54" s="14">
        <f>Z54&amp;" ("&amp;AA54&amp;" min walk) · "&amp;IF(ISNUMBER(AD54),TEXT(AD54,"ddd d mmm, hh:mm"),"slot to confirm with venue")&amp;" · "&amp;AE54&amp;" · "&amp;IF(AF54&lt;&gt;"","£"&amp;TEXT(AF54,"0.00")&amp;" pp","price TBC")</f>
        <v/>
      </c>
      <c r="AH54" s="14">
        <f>IF(U54&lt;&gt;"",U54,IF(H54&lt;&gt;"",H54,""))</f>
        <v/>
      </c>
      <c r="AI54" s="14">
        <f>"After-work football for "&amp;F54&amp;" · "&amp;Z54&amp;", "&amp;AA54&amp;" min from your office"</f>
        <v/>
      </c>
      <c r="AJ54" s="14">
        <f>"Hi "&amp;IF(R54&lt;&gt;"",R54,F54&amp;" team")&amp;","&amp;CHAR(10)&amp;CHAR(10)&amp;"I'm "&amp;IF(AM54&lt;&gt;"",AM54,IF(Offer!$C$5&lt;&gt;"",Offer!$C$5,"[NAME]"))&amp;" from FC Urban. We organise after-work football for teams in the City and Canary Wharf."&amp;CHAR(10)&amp;CHAR(10)&amp;"We have a "&amp;AE54&amp;" pitch at "&amp;Z54&amp;", "&amp;IF(OR(AA54=8,AA54=11,AA54=18),"an ","a ")&amp;AA54&amp;"-minute walk from your "&amp;P54&amp;" office, "&amp;IF(ISNUMBER(AD54),"on "&amp;TEXT(AD54,"dddd d mmmm")&amp;" at "&amp;TEXT(AD54,"hh:mm"),"on a weekday evening that suits your team")&amp;". It's "&amp;IF(AF54&lt;&gt;"","£"&amp;IF(AF54=INT(AF54),TEXT(AF54,"0"),TEXT(AF54,"0.00")),"[PRICE PER PLAYER]")&amp;" a player and we handle the pitch booking, sign-ups and payments, so all it takes is one person sharing a link with the team."&amp;CHAR(10)&amp;CHAR(10)&amp;"It works well as a team social or "&amp;IF(ISNUMBER(SEARCH(LEFT(F54,1),"AEIOU")),"an ","a ")&amp;F54&amp;"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LINK]")&amp;CHAR(10)&amp;CHAR(10)&amp;"Best,"&amp;CHAR(10)&amp;IF(AM54&lt;&gt;"",AM54,IF(Offer!$C$5&lt;&gt;"",Offer!$C$5,"[NAME]"))&amp;CHAR(10)&amp;"FC Urban"</f>
        <v/>
      </c>
      <c r="AK54" s="14">
        <f>"Hi "&amp;IF(R54&lt;&gt;"",R54,F54&amp;" team")&amp;","&amp;CHAR(10)&amp;CHAR(10)&amp;"Just bumping this up. The "&amp;AE54&amp;" pitch at "&amp;Z54&amp;" is still free "&amp;IF(ISNUMBER(AD54),TEXT(AD54,"ddd d mmm")&amp;", "&amp;TEXT(AD54,"hh:mm"),"weekday evenings")&amp;", "&amp;IF(OR(AA54=8,AA54=11,AA54=18),"an ","a ")&amp;AA54&amp;"-minute walk from your office, "&amp;IF(AF54&lt;&gt;"","£"&amp;IF(AF54=INT(AF54),TEXT(AF54,"0"),TEXT(AF54,"0.00")),"[PRICE PER PLAYER]")&amp;" a player. Happy to hold it for "&amp;F54&amp;"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LINK]")&amp;CHAR(10)&amp;CHAR(10)&amp;"Best,"&amp;CHAR(10)&amp;IF(AM54&lt;&gt;"",AM54,IF(Offer!$C$5&lt;&gt;"",Offer!$C$5,"[NAME]"))&amp;CHAR(10)&amp;"FC Urban"</f>
        <v/>
      </c>
      <c r="AL54" s="14">
        <f>IF(AH54="","No email yet",IF(ISNUMBER(SEARCH("[",AJ54)),"Fill placeholders",IF(ISNUMBER(AD54),"Ready to send","Ready · no fixed slot")))</f>
        <v/>
      </c>
      <c r="AO54" s="17" t="n"/>
      <c r="AP54" s="17" t="n"/>
    </row>
    <row r="55">
      <c r="A55" s="11" t="n">
        <v>53</v>
      </c>
      <c r="B55" s="11" t="n">
        <v>2</v>
      </c>
      <c r="C55" s="11" t="inlineStr">
        <is>
          <t>Law firm</t>
        </is>
      </c>
      <c r="D55" s="11" t="inlineStr">
        <is>
          <t>City of London</t>
        </is>
      </c>
      <c r="E55" s="11" t="inlineStr">
        <is>
          <t>Maples and Calder</t>
        </is>
      </c>
      <c r="F55" s="11" t="inlineStr">
        <is>
          <t>Maples Group</t>
        </is>
      </c>
      <c r="G55" s="12" t="inlineStr">
        <is>
          <t>https://maples.com</t>
        </is>
      </c>
      <c r="H55" s="11" t="inlineStr">
        <is>
          <t>london@maplesandcalder.com</t>
        </is>
      </c>
      <c r="I55" s="11" t="inlineStr">
        <is>
          <t>general</t>
        </is>
      </c>
      <c r="J55" s="12" t="inlineStr">
        <is>
          <t>Open page</t>
        </is>
      </c>
      <c r="K55" s="11" t="inlineStr">
        <is>
          <t>03369233</t>
        </is>
      </c>
      <c r="L55" s="12" t="inlineStr">
        <is>
          <t>Open</t>
        </is>
      </c>
      <c r="M55" s="11" t="inlineStr">
        <is>
          <t>Full</t>
        </is>
      </c>
      <c r="N55" s="13" t="n">
        <v>35556</v>
      </c>
      <c r="O55" s="11" t="inlineStr">
        <is>
          <t>Duo Level 6, 280 Bishopsgate, London</t>
        </is>
      </c>
      <c r="P55" s="11" t="inlineStr">
        <is>
          <t>EC2M 4RB</t>
        </is>
      </c>
      <c r="Q55" s="11" t="inlineStr">
        <is>
          <t>No</t>
        </is>
      </c>
      <c r="W55" s="11" t="inlineStr">
        <is>
          <t>Shoreditch Powerleague</t>
        </is>
      </c>
      <c r="X55" s="11" t="n">
        <v>7</v>
      </c>
      <c r="Y55" s="11" t="inlineStr">
        <is>
          <t>Liverpool St - Attlee Centre (7.1)</t>
        </is>
      </c>
      <c r="Z55" s="11" t="inlineStr">
        <is>
          <t>Shoreditch Powerleague</t>
        </is>
      </c>
      <c r="AA55" s="11" t="n">
        <v>7</v>
      </c>
      <c r="AB55" s="14">
        <f>IFERROR(INDEX(Venues!$E$2:$E$17,MATCH(Z55,Venues!$A$2:$A$17,0)),"Not checked")</f>
        <v/>
      </c>
      <c r="AC55" s="14">
        <f>IFERROR(INDEX(Venues!$F$2:$F$17,MATCH(Z55,Venues!$A$2:$A$17,0)),0)</f>
        <v/>
      </c>
      <c r="AD55" s="15">
        <f>IFERROR(INDEX(Venues!$M$2:$M$17,MATCH(Z55,Venues!$A$2:$A$17,0)),"")</f>
        <v/>
      </c>
      <c r="AE55" s="14">
        <f>IFERROR(INDEX(Venues!$N$2:$N$17,MATCH(Z55,Venues!$A$2:$A$17,0)),"5-a-side")</f>
        <v/>
      </c>
      <c r="AF55" s="16">
        <f>IF(Offer!$C$4="","",Offer!$C$4)</f>
        <v/>
      </c>
      <c r="AG55" s="14">
        <f>Z55&amp;" ("&amp;AA55&amp;" min walk) · "&amp;IF(ISNUMBER(AD55),TEXT(AD55,"ddd d mmm, hh:mm"),"slot to confirm with venue")&amp;" · "&amp;AE55&amp;" · "&amp;IF(AF55&lt;&gt;"","£"&amp;TEXT(AF55,"0.00")&amp;" pp","price TBC")</f>
        <v/>
      </c>
      <c r="AH55" s="14">
        <f>IF(U55&lt;&gt;"",U55,IF(H55&lt;&gt;"",H55,""))</f>
        <v/>
      </c>
      <c r="AI55" s="14">
        <f>"After-work football for "&amp;F55&amp;" · "&amp;Z55&amp;", "&amp;AA55&amp;" min from your office"</f>
        <v/>
      </c>
      <c r="AJ55" s="14">
        <f>"Hi "&amp;IF(R55&lt;&gt;"",R55,F55&amp;" team")&amp;","&amp;CHAR(10)&amp;CHAR(10)&amp;"I'm "&amp;IF(AM55&lt;&gt;"",AM55,IF(Offer!$C$5&lt;&gt;"",Offer!$C$5,"[NAME]"))&amp;" from FC Urban. We organise after-work football for teams in the City and Canary Wharf."&amp;CHAR(10)&amp;CHAR(10)&amp;"We have a "&amp;AE55&amp;" pitch at "&amp;Z55&amp;", "&amp;IF(OR(AA55=8,AA55=11,AA55=18),"an ","a ")&amp;AA55&amp;"-minute walk from your "&amp;P55&amp;" office, "&amp;IF(ISNUMBER(AD55),"on "&amp;TEXT(AD55,"dddd d mmmm")&amp;" at "&amp;TEXT(AD55,"hh:mm"),"on a weekday evening that suits your team")&amp;". It's "&amp;IF(AF55&lt;&gt;"","£"&amp;IF(AF55=INT(AF55),TEXT(AF55,"0"),TEXT(AF55,"0.00")),"[PRICE PER PLAYER]")&amp;" a player and we handle the pitch booking, sign-ups and payments, so all it takes is one person sharing a link with the team."&amp;CHAR(10)&amp;CHAR(10)&amp;"It works well as a team social or "&amp;IF(ISNUMBER(SEARCH(LEFT(F55,1),"AEIOU")),"an ","a ")&amp;F55&amp;"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LINK]")&amp;CHAR(10)&amp;CHAR(10)&amp;"Best,"&amp;CHAR(10)&amp;IF(AM55&lt;&gt;"",AM55,IF(Offer!$C$5&lt;&gt;"",Offer!$C$5,"[NAME]"))&amp;CHAR(10)&amp;"FC Urban"</f>
        <v/>
      </c>
      <c r="AK55" s="14">
        <f>"Hi "&amp;IF(R55&lt;&gt;"",R55,F55&amp;" team")&amp;","&amp;CHAR(10)&amp;CHAR(10)&amp;"Just bumping this up. The "&amp;AE55&amp;" pitch at "&amp;Z55&amp;" is still free "&amp;IF(ISNUMBER(AD55),TEXT(AD55,"ddd d mmm")&amp;", "&amp;TEXT(AD55,"hh:mm"),"weekday evenings")&amp;", "&amp;IF(OR(AA55=8,AA55=11,AA55=18),"an ","a ")&amp;AA55&amp;"-minute walk from your office, "&amp;IF(AF55&lt;&gt;"","£"&amp;IF(AF55=INT(AF55),TEXT(AF55,"0"),TEXT(AF55,"0.00")),"[PRICE PER PLAYER]")&amp;" a player. Happy to hold it for "&amp;F55&amp;"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LINK]")&amp;CHAR(10)&amp;CHAR(10)&amp;"Best,"&amp;CHAR(10)&amp;IF(AM55&lt;&gt;"",AM55,IF(Offer!$C$5&lt;&gt;"",Offer!$C$5,"[NAME]"))&amp;CHAR(10)&amp;"FC Urban"</f>
        <v/>
      </c>
      <c r="AL55" s="14">
        <f>IF(AH55="","No email yet",IF(ISNUMBER(SEARCH("[",AJ55)),"Fill placeholders",IF(ISNUMBER(AD55),"Ready to send","Ready · no fixed slot")))</f>
        <v/>
      </c>
      <c r="AO55" s="17" t="n"/>
      <c r="AP55" s="17" t="n"/>
    </row>
    <row r="56">
      <c r="A56" s="11" t="n">
        <v>54</v>
      </c>
      <c r="B56" s="11" t="n">
        <v>2</v>
      </c>
      <c r="C56" s="11" t="inlineStr">
        <is>
          <t>Law firm</t>
        </is>
      </c>
      <c r="D56" s="11" t="inlineStr">
        <is>
          <t>City of London</t>
        </is>
      </c>
      <c r="E56" s="11" t="inlineStr">
        <is>
          <t>Enyo Law LLP</t>
        </is>
      </c>
      <c r="F56" s="11" t="inlineStr">
        <is>
          <t>Enyo Law</t>
        </is>
      </c>
      <c r="G56" s="12" t="inlineStr">
        <is>
          <t>https://enyo.co.uk</t>
        </is>
      </c>
      <c r="H56" s="11" t="inlineStr">
        <is>
          <t>enquiries@enyolaw.com</t>
        </is>
      </c>
      <c r="I56" s="11" t="inlineStr">
        <is>
          <t>general</t>
        </is>
      </c>
      <c r="J56" s="12" t="inlineStr">
        <is>
          <t>Open page</t>
        </is>
      </c>
      <c r="K56" s="11" t="inlineStr">
        <is>
          <t>OC356313</t>
        </is>
      </c>
      <c r="L56" s="12" t="inlineStr">
        <is>
          <t>Open</t>
        </is>
      </c>
      <c r="M56" s="11" t="inlineStr">
        <is>
          <t>Full</t>
        </is>
      </c>
      <c r="N56" s="13" t="n">
        <v>40367</v>
      </c>
      <c r="O56" s="11" t="inlineStr">
        <is>
          <t>1 Tudor Street, London</t>
        </is>
      </c>
      <c r="P56" s="11" t="inlineStr">
        <is>
          <t>EC4Y 0AH</t>
        </is>
      </c>
      <c r="Q56" s="11" t="inlineStr">
        <is>
          <t>No</t>
        </is>
      </c>
      <c r="W56" s="11" t="inlineStr">
        <is>
          <t>City of London School (EC4V 3AL)</t>
        </is>
      </c>
      <c r="X56" s="11" t="n">
        <v>7</v>
      </c>
      <c r="Y56" s="11" t="n"/>
      <c r="Z56" s="11" t="inlineStr">
        <is>
          <t>City of London School (EC4V 3AL)</t>
        </is>
      </c>
      <c r="AA56" s="11" t="n">
        <v>7</v>
      </c>
      <c r="AB56" s="14">
        <f>IFERROR(INDEX(Venues!$E$2:$E$17,MATCH(Z56,Venues!$A$2:$A$17,0)),"Not checked")</f>
        <v/>
      </c>
      <c r="AC56" s="14">
        <f>IFERROR(INDEX(Venues!$F$2:$F$17,MATCH(Z56,Venues!$A$2:$A$17,0)),0)</f>
        <v/>
      </c>
      <c r="AD56" s="15">
        <f>IFERROR(INDEX(Venues!$M$2:$M$17,MATCH(Z56,Venues!$A$2:$A$17,0)),"")</f>
        <v/>
      </c>
      <c r="AE56" s="14">
        <f>IFERROR(INDEX(Venues!$N$2:$N$17,MATCH(Z56,Venues!$A$2:$A$17,0)),"5-a-side")</f>
        <v/>
      </c>
      <c r="AF56" s="16">
        <f>IF(Offer!$C$4="","",Offer!$C$4)</f>
        <v/>
      </c>
      <c r="AG56" s="14">
        <f>Z56&amp;" ("&amp;AA56&amp;" min walk) · "&amp;IF(ISNUMBER(AD56),TEXT(AD56,"ddd d mmm, hh:mm"),"slot to confirm with venue")&amp;" · "&amp;AE56&amp;" · "&amp;IF(AF56&lt;&gt;"","£"&amp;TEXT(AF56,"0.00")&amp;" pp","price TBC")</f>
        <v/>
      </c>
      <c r="AH56" s="14">
        <f>IF(U56&lt;&gt;"",U56,IF(H56&lt;&gt;"",H56,""))</f>
        <v/>
      </c>
      <c r="AI56" s="14">
        <f>"After-work football for "&amp;F56&amp;" · "&amp;Z56&amp;", "&amp;AA56&amp;" min from your office"</f>
        <v/>
      </c>
      <c r="AJ56" s="14">
        <f>"Hi "&amp;IF(R56&lt;&gt;"",R56,F56&amp;" team")&amp;","&amp;CHAR(10)&amp;CHAR(10)&amp;"I'm "&amp;IF(AM56&lt;&gt;"",AM56,IF(Offer!$C$5&lt;&gt;"",Offer!$C$5,"[NAME]"))&amp;" from FC Urban. We organise after-work football for teams in the City and Canary Wharf."&amp;CHAR(10)&amp;CHAR(10)&amp;"We have a "&amp;AE56&amp;" pitch at "&amp;Z56&amp;", "&amp;IF(OR(AA56=8,AA56=11,AA56=18),"an ","a ")&amp;AA56&amp;"-minute walk from your "&amp;P56&amp;" office, "&amp;IF(ISNUMBER(AD56),"on "&amp;TEXT(AD56,"dddd d mmmm")&amp;" at "&amp;TEXT(AD56,"hh:mm"),"on a weekday evening that suits your team")&amp;". It's "&amp;IF(AF56&lt;&gt;"","£"&amp;IF(AF56=INT(AF56),TEXT(AF56,"0"),TEXT(AF56,"0.00")),"[PRICE PER PLAYER]")&amp;" a player and we handle the pitch booking, sign-ups and payments, so all it takes is one person sharing a link with the team."&amp;CHAR(10)&amp;CHAR(10)&amp;"It works well as a team social or "&amp;IF(ISNUMBER(SEARCH(LEFT(F56,1),"AEIOU")),"an ","a ")&amp;F56&amp;"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LINK]")&amp;CHAR(10)&amp;CHAR(10)&amp;"Best,"&amp;CHAR(10)&amp;IF(AM56&lt;&gt;"",AM56,IF(Offer!$C$5&lt;&gt;"",Offer!$C$5,"[NAME]"))&amp;CHAR(10)&amp;"FC Urban"</f>
        <v/>
      </c>
      <c r="AK56" s="14">
        <f>"Hi "&amp;IF(R56&lt;&gt;"",R56,F56&amp;" team")&amp;","&amp;CHAR(10)&amp;CHAR(10)&amp;"Just bumping this up. The "&amp;AE56&amp;" pitch at "&amp;Z56&amp;" is still free "&amp;IF(ISNUMBER(AD56),TEXT(AD56,"ddd d mmm")&amp;", "&amp;TEXT(AD56,"hh:mm"),"weekday evenings")&amp;", "&amp;IF(OR(AA56=8,AA56=11,AA56=18),"an ","a ")&amp;AA56&amp;"-minute walk from your office, "&amp;IF(AF56&lt;&gt;"","£"&amp;IF(AF56=INT(AF56),TEXT(AF56,"0"),TEXT(AF56,"0.00")),"[PRICE PER PLAYER]")&amp;" a player. Happy to hold it for "&amp;F56&amp;"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LINK]")&amp;CHAR(10)&amp;CHAR(10)&amp;"Best,"&amp;CHAR(10)&amp;IF(AM56&lt;&gt;"",AM56,IF(Offer!$C$5&lt;&gt;"",Offer!$C$5,"[NAME]"))&amp;CHAR(10)&amp;"FC Urban"</f>
        <v/>
      </c>
      <c r="AL56" s="14">
        <f>IF(AH56="","No email yet",IF(ISNUMBER(SEARCH("[",AJ56)),"Fill placeholders",IF(ISNUMBER(AD56),"Ready to send","Ready · no fixed slot")))</f>
        <v/>
      </c>
      <c r="AO56" s="17" t="n"/>
      <c r="AP56" s="17" t="n"/>
    </row>
    <row r="57">
      <c r="A57" s="11" t="n">
        <v>55</v>
      </c>
      <c r="B57" s="11" t="n">
        <v>2</v>
      </c>
      <c r="C57" s="11" t="inlineStr">
        <is>
          <t>Law firm</t>
        </is>
      </c>
      <c r="D57" s="11" t="inlineStr">
        <is>
          <t>City of London</t>
        </is>
      </c>
      <c r="E57" s="11" t="inlineStr">
        <is>
          <t>Bates Wells &amp; Braithwaite London LLP</t>
        </is>
      </c>
      <c r="F57" s="11" t="inlineStr">
        <is>
          <t>Bates Wells &amp; Braithwaite London</t>
        </is>
      </c>
      <c r="G57" s="12" t="inlineStr">
        <is>
          <t>https://bates-wells.co.uk</t>
        </is>
      </c>
      <c r="H57" s="11" t="inlineStr">
        <is>
          <t>mail@bates-wells.co.uk</t>
        </is>
      </c>
      <c r="I57" s="11" t="inlineStr">
        <is>
          <t>general</t>
        </is>
      </c>
      <c r="J57" s="12" t="inlineStr">
        <is>
          <t>Open page</t>
        </is>
      </c>
      <c r="K57" s="11" t="inlineStr">
        <is>
          <t>OC325522</t>
        </is>
      </c>
      <c r="L57" s="12" t="inlineStr">
        <is>
          <t>Open</t>
        </is>
      </c>
      <c r="M57" s="11" t="inlineStr">
        <is>
          <t>Full</t>
        </is>
      </c>
      <c r="N57" s="13" t="n">
        <v>39106</v>
      </c>
      <c r="O57" s="11" t="inlineStr">
        <is>
          <t>10 Queen Street Place, London</t>
        </is>
      </c>
      <c r="P57" s="11" t="inlineStr">
        <is>
          <t>EC4R 1BE</t>
        </is>
      </c>
      <c r="Q57" s="11" t="inlineStr">
        <is>
          <t>No</t>
        </is>
      </c>
      <c r="W57" s="11" t="inlineStr">
        <is>
          <t>City of London School (EC4V 3AL)</t>
        </is>
      </c>
      <c r="X57" s="11" t="n">
        <v>7</v>
      </c>
      <c r="Y57" s="11" t="inlineStr">
        <is>
          <t>Marlborough Sports Garden (SE1 1SD) (12.2); Borough Academy (17.4)</t>
        </is>
      </c>
      <c r="Z57" s="11" t="inlineStr">
        <is>
          <t>City of London School (EC4V 3AL)</t>
        </is>
      </c>
      <c r="AA57" s="11" t="n">
        <v>7</v>
      </c>
      <c r="AB57" s="14">
        <f>IFERROR(INDEX(Venues!$E$2:$E$17,MATCH(Z57,Venues!$A$2:$A$17,0)),"Not checked")</f>
        <v/>
      </c>
      <c r="AC57" s="14">
        <f>IFERROR(INDEX(Venues!$F$2:$F$17,MATCH(Z57,Venues!$A$2:$A$17,0)),0)</f>
        <v/>
      </c>
      <c r="AD57" s="15">
        <f>IFERROR(INDEX(Venues!$M$2:$M$17,MATCH(Z57,Venues!$A$2:$A$17,0)),"")</f>
        <v/>
      </c>
      <c r="AE57" s="14">
        <f>IFERROR(INDEX(Venues!$N$2:$N$17,MATCH(Z57,Venues!$A$2:$A$17,0)),"5-a-side")</f>
        <v/>
      </c>
      <c r="AF57" s="16">
        <f>IF(Offer!$C$4="","",Offer!$C$4)</f>
        <v/>
      </c>
      <c r="AG57" s="14">
        <f>Z57&amp;" ("&amp;AA57&amp;" min walk) · "&amp;IF(ISNUMBER(AD57),TEXT(AD57,"ddd d mmm, hh:mm"),"slot to confirm with venue")&amp;" · "&amp;AE57&amp;" · "&amp;IF(AF57&lt;&gt;"","£"&amp;TEXT(AF57,"0.00")&amp;" pp","price TBC")</f>
        <v/>
      </c>
      <c r="AH57" s="14">
        <f>IF(U57&lt;&gt;"",U57,IF(H57&lt;&gt;"",H57,""))</f>
        <v/>
      </c>
      <c r="AI57" s="14">
        <f>"After-work football for "&amp;F57&amp;" · "&amp;Z57&amp;", "&amp;AA57&amp;" min from your office"</f>
        <v/>
      </c>
      <c r="AJ57" s="14">
        <f>"Hi "&amp;IF(R57&lt;&gt;"",R57,F57&amp;" team")&amp;","&amp;CHAR(10)&amp;CHAR(10)&amp;"I'm "&amp;IF(AM57&lt;&gt;"",AM57,IF(Offer!$C$5&lt;&gt;"",Offer!$C$5,"[NAME]"))&amp;" from FC Urban. We organise after-work football for teams in the City and Canary Wharf."&amp;CHAR(10)&amp;CHAR(10)&amp;"We have a "&amp;AE57&amp;" pitch at "&amp;Z57&amp;", "&amp;IF(OR(AA57=8,AA57=11,AA57=18),"an ","a ")&amp;AA57&amp;"-minute walk from your "&amp;P57&amp;" office, "&amp;IF(ISNUMBER(AD57),"on "&amp;TEXT(AD57,"dddd d mmmm")&amp;" at "&amp;TEXT(AD57,"hh:mm"),"on a weekday evening that suits your team")&amp;". It's "&amp;IF(AF57&lt;&gt;"","£"&amp;IF(AF57=INT(AF57),TEXT(AF57,"0"),TEXT(AF57,"0.00")),"[PRICE PER PLAYER]")&amp;" a player and we handle the pitch booking, sign-ups and payments, so all it takes is one person sharing a link with the team."&amp;CHAR(10)&amp;CHAR(10)&amp;"It works well as a team social or "&amp;IF(ISNUMBER(SEARCH(LEFT(F57,1),"AEIOU")),"an ","a ")&amp;F57&amp;"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LINK]")&amp;CHAR(10)&amp;CHAR(10)&amp;"Best,"&amp;CHAR(10)&amp;IF(AM57&lt;&gt;"",AM57,IF(Offer!$C$5&lt;&gt;"",Offer!$C$5,"[NAME]"))&amp;CHAR(10)&amp;"FC Urban"</f>
        <v/>
      </c>
      <c r="AK57" s="14">
        <f>"Hi "&amp;IF(R57&lt;&gt;"",R57,F57&amp;" team")&amp;","&amp;CHAR(10)&amp;CHAR(10)&amp;"Just bumping this up. The "&amp;AE57&amp;" pitch at "&amp;Z57&amp;" is still free "&amp;IF(ISNUMBER(AD57),TEXT(AD57,"ddd d mmm")&amp;", "&amp;TEXT(AD57,"hh:mm"),"weekday evenings")&amp;", "&amp;IF(OR(AA57=8,AA57=11,AA57=18),"an ","a ")&amp;AA57&amp;"-minute walk from your office, "&amp;IF(AF57&lt;&gt;"","£"&amp;IF(AF57=INT(AF57),TEXT(AF57,"0"),TEXT(AF57,"0.00")),"[PRICE PER PLAYER]")&amp;" a player. Happy to hold it for "&amp;F57&amp;"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LINK]")&amp;CHAR(10)&amp;CHAR(10)&amp;"Best,"&amp;CHAR(10)&amp;IF(AM57&lt;&gt;"",AM57,IF(Offer!$C$5&lt;&gt;"",Offer!$C$5,"[NAME]"))&amp;CHAR(10)&amp;"FC Urban"</f>
        <v/>
      </c>
      <c r="AL57" s="14">
        <f>IF(AH57="","No email yet",IF(ISNUMBER(SEARCH("[",AJ57)),"Fill placeholders",IF(ISNUMBER(AD57),"Ready to send","Ready · no fixed slot")))</f>
        <v/>
      </c>
      <c r="AO57" s="17" t="n"/>
      <c r="AP57" s="17" t="n"/>
    </row>
    <row r="58">
      <c r="A58" s="11" t="n">
        <v>56</v>
      </c>
      <c r="B58" s="11" t="n">
        <v>2</v>
      </c>
      <c r="C58" s="11" t="inlineStr">
        <is>
          <t>Law firm</t>
        </is>
      </c>
      <c r="D58" s="11" t="inlineStr">
        <is>
          <t>City of London</t>
        </is>
      </c>
      <c r="E58" s="11" t="inlineStr">
        <is>
          <t>Abion UK Limited</t>
        </is>
      </c>
      <c r="F58" s="11" t="inlineStr">
        <is>
          <t>Abion</t>
        </is>
      </c>
      <c r="G58" s="12" t="inlineStr">
        <is>
          <t>https://abion.com</t>
        </is>
      </c>
      <c r="H58" s="11" t="inlineStr">
        <is>
          <t>support@abion.com</t>
        </is>
      </c>
      <c r="I58" s="11" t="inlineStr">
        <is>
          <t>role (other)</t>
        </is>
      </c>
      <c r="J58" s="12" t="inlineStr">
        <is>
          <t>Open page</t>
        </is>
      </c>
      <c r="K58" s="11" t="inlineStr">
        <is>
          <t>08093380</t>
        </is>
      </c>
      <c r="L58" s="12" t="inlineStr">
        <is>
          <t>Open</t>
        </is>
      </c>
      <c r="M58" s="11" t="inlineStr">
        <is>
          <t>Medium</t>
        </is>
      </c>
      <c r="N58" s="13" t="n">
        <v>41066</v>
      </c>
      <c r="O58" s="11" t="inlineStr">
        <is>
          <t>33 Gutter Lane, London</t>
        </is>
      </c>
      <c r="P58" s="11" t="inlineStr">
        <is>
          <t>EC2V 8AS</t>
        </is>
      </c>
      <c r="Q58" s="11" t="inlineStr">
        <is>
          <t>No</t>
        </is>
      </c>
      <c r="W58" s="11" t="inlineStr">
        <is>
          <t>City of London School (EC4V 3AL)</t>
        </is>
      </c>
      <c r="X58" s="11" t="n">
        <v>9</v>
      </c>
      <c r="Y58" s="11" t="n"/>
      <c r="Z58" s="11" t="inlineStr">
        <is>
          <t>City of London School (EC4V 3AL)</t>
        </is>
      </c>
      <c r="AA58" s="11" t="n">
        <v>9</v>
      </c>
      <c r="AB58" s="14">
        <f>IFERROR(INDEX(Venues!$E$2:$E$17,MATCH(Z58,Venues!$A$2:$A$17,0)),"Not checked")</f>
        <v/>
      </c>
      <c r="AC58" s="14">
        <f>IFERROR(INDEX(Venues!$F$2:$F$17,MATCH(Z58,Venues!$A$2:$A$17,0)),0)</f>
        <v/>
      </c>
      <c r="AD58" s="15">
        <f>IFERROR(INDEX(Venues!$M$2:$M$17,MATCH(Z58,Venues!$A$2:$A$17,0)),"")</f>
        <v/>
      </c>
      <c r="AE58" s="14">
        <f>IFERROR(INDEX(Venues!$N$2:$N$17,MATCH(Z58,Venues!$A$2:$A$17,0)),"5-a-side")</f>
        <v/>
      </c>
      <c r="AF58" s="16">
        <f>IF(Offer!$C$4="","",Offer!$C$4)</f>
        <v/>
      </c>
      <c r="AG58" s="14">
        <f>Z58&amp;" ("&amp;AA58&amp;" min walk) · "&amp;IF(ISNUMBER(AD58),TEXT(AD58,"ddd d mmm, hh:mm"),"slot to confirm with venue")&amp;" · "&amp;AE58&amp;" · "&amp;IF(AF58&lt;&gt;"","£"&amp;TEXT(AF58,"0.00")&amp;" pp","price TBC")</f>
        <v/>
      </c>
      <c r="AH58" s="14">
        <f>IF(U58&lt;&gt;"",U58,IF(H58&lt;&gt;"",H58,""))</f>
        <v/>
      </c>
      <c r="AI58" s="14">
        <f>"After-work football for "&amp;F58&amp;" · "&amp;Z58&amp;", "&amp;AA58&amp;" min from your office"</f>
        <v/>
      </c>
      <c r="AJ58" s="14">
        <f>"Hi "&amp;IF(R58&lt;&gt;"",R58,F58&amp;" team")&amp;","&amp;CHAR(10)&amp;CHAR(10)&amp;"I'm "&amp;IF(AM58&lt;&gt;"",AM58,IF(Offer!$C$5&lt;&gt;"",Offer!$C$5,"[NAME]"))&amp;" from FC Urban. We organise after-work football for teams in the City and Canary Wharf."&amp;CHAR(10)&amp;CHAR(10)&amp;"We have a "&amp;AE58&amp;" pitch at "&amp;Z58&amp;", "&amp;IF(OR(AA58=8,AA58=11,AA58=18),"an ","a ")&amp;AA58&amp;"-minute walk from your "&amp;P58&amp;" office, "&amp;IF(ISNUMBER(AD58),"on "&amp;TEXT(AD58,"dddd d mmmm")&amp;" at "&amp;TEXT(AD58,"hh:mm"),"on a weekday evening that suits your team")&amp;". It's "&amp;IF(AF58&lt;&gt;"","£"&amp;IF(AF58=INT(AF58),TEXT(AF58,"0"),TEXT(AF58,"0.00")),"[PRICE PER PLAYER]")&amp;" a player and we handle the pitch booking, sign-ups and payments, so all it takes is one person sharing a link with the team."&amp;CHAR(10)&amp;CHAR(10)&amp;"It works well as a team social or "&amp;IF(ISNUMBER(SEARCH(LEFT(F58,1),"AEIOU")),"an ","a ")&amp;F58&amp;"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LINK]")&amp;CHAR(10)&amp;CHAR(10)&amp;"Best,"&amp;CHAR(10)&amp;IF(AM58&lt;&gt;"",AM58,IF(Offer!$C$5&lt;&gt;"",Offer!$C$5,"[NAME]"))&amp;CHAR(10)&amp;"FC Urban"</f>
        <v/>
      </c>
      <c r="AK58" s="14">
        <f>"Hi "&amp;IF(R58&lt;&gt;"",R58,F58&amp;" team")&amp;","&amp;CHAR(10)&amp;CHAR(10)&amp;"Just bumping this up. The "&amp;AE58&amp;" pitch at "&amp;Z58&amp;" is still free "&amp;IF(ISNUMBER(AD58),TEXT(AD58,"ddd d mmm")&amp;", "&amp;TEXT(AD58,"hh:mm"),"weekday evenings")&amp;", "&amp;IF(OR(AA58=8,AA58=11,AA58=18),"an ","a ")&amp;AA58&amp;"-minute walk from your office, "&amp;IF(AF58&lt;&gt;"","£"&amp;IF(AF58=INT(AF58),TEXT(AF58,"0"),TEXT(AF58,"0.00")),"[PRICE PER PLAYER]")&amp;" a player. Happy to hold it for "&amp;F58&amp;"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LINK]")&amp;CHAR(10)&amp;CHAR(10)&amp;"Best,"&amp;CHAR(10)&amp;IF(AM58&lt;&gt;"",AM58,IF(Offer!$C$5&lt;&gt;"",Offer!$C$5,"[NAME]"))&amp;CHAR(10)&amp;"FC Urban"</f>
        <v/>
      </c>
      <c r="AL58" s="14">
        <f>IF(AH58="","No email yet",IF(ISNUMBER(SEARCH("[",AJ58)),"Fill placeholders",IF(ISNUMBER(AD58),"Ready to send","Ready · no fixed slot")))</f>
        <v/>
      </c>
      <c r="AO58" s="17" t="n"/>
      <c r="AP58" s="17" t="n"/>
    </row>
    <row r="59">
      <c r="A59" s="11" t="n">
        <v>57</v>
      </c>
      <c r="B59" s="11" t="n">
        <v>2</v>
      </c>
      <c r="C59" s="11" t="inlineStr">
        <is>
          <t>Law firm</t>
        </is>
      </c>
      <c r="D59" s="11" t="inlineStr">
        <is>
          <t>City of London</t>
        </is>
      </c>
      <c r="E59" s="11" t="inlineStr">
        <is>
          <t>Orrick, Herrington &amp; Sutcliffe (Europe) LLP</t>
        </is>
      </c>
      <c r="F59" s="11" t="inlineStr">
        <is>
          <t>Orrick, Herrington &amp; Sutcliffe</t>
        </is>
      </c>
      <c r="G59" s="12" t="inlineStr">
        <is>
          <t>https://www.orrick.com</t>
        </is>
      </c>
      <c r="H59" s="11" t="inlineStr">
        <is>
          <t>london@orrick.com</t>
        </is>
      </c>
      <c r="I59" s="11" t="inlineStr">
        <is>
          <t>general</t>
        </is>
      </c>
      <c r="J59" s="12" t="inlineStr">
        <is>
          <t>Open page</t>
        </is>
      </c>
      <c r="K59" s="11" t="inlineStr">
        <is>
          <t>OC347108</t>
        </is>
      </c>
      <c r="L59" s="12" t="inlineStr">
        <is>
          <t>Open</t>
        </is>
      </c>
      <c r="M59" s="11" t="inlineStr">
        <is>
          <t>Full</t>
        </is>
      </c>
      <c r="N59" s="13" t="n">
        <v>40004</v>
      </c>
      <c r="O59" s="11" t="inlineStr">
        <is>
          <t>9Th Floor, 107 Cheapside, London</t>
        </is>
      </c>
      <c r="P59" s="11" t="inlineStr">
        <is>
          <t>EC2V 6DN</t>
        </is>
      </c>
      <c r="Q59" s="11" t="inlineStr">
        <is>
          <t>No</t>
        </is>
      </c>
      <c r="W59" s="11" t="inlineStr">
        <is>
          <t>City of London School (EC4V 3AL)</t>
        </is>
      </c>
      <c r="X59" s="11" t="n">
        <v>9</v>
      </c>
      <c r="Y59" s="11" t="n"/>
      <c r="Z59" s="11" t="inlineStr">
        <is>
          <t>City of London School (EC4V 3AL)</t>
        </is>
      </c>
      <c r="AA59" s="11" t="n">
        <v>9</v>
      </c>
      <c r="AB59" s="14">
        <f>IFERROR(INDEX(Venues!$E$2:$E$17,MATCH(Z59,Venues!$A$2:$A$17,0)),"Not checked")</f>
        <v/>
      </c>
      <c r="AC59" s="14">
        <f>IFERROR(INDEX(Venues!$F$2:$F$17,MATCH(Z59,Venues!$A$2:$A$17,0)),0)</f>
        <v/>
      </c>
      <c r="AD59" s="15">
        <f>IFERROR(INDEX(Venues!$M$2:$M$17,MATCH(Z59,Venues!$A$2:$A$17,0)),"")</f>
        <v/>
      </c>
      <c r="AE59" s="14">
        <f>IFERROR(INDEX(Venues!$N$2:$N$17,MATCH(Z59,Venues!$A$2:$A$17,0)),"5-a-side")</f>
        <v/>
      </c>
      <c r="AF59" s="16">
        <f>IF(Offer!$C$4="","",Offer!$C$4)</f>
        <v/>
      </c>
      <c r="AG59" s="14">
        <f>Z59&amp;" ("&amp;AA59&amp;" min walk) · "&amp;IF(ISNUMBER(AD59),TEXT(AD59,"ddd d mmm, hh:mm"),"slot to confirm with venue")&amp;" · "&amp;AE59&amp;" · "&amp;IF(AF59&lt;&gt;"","£"&amp;TEXT(AF59,"0.00")&amp;" pp","price TBC")</f>
        <v/>
      </c>
      <c r="AH59" s="14">
        <f>IF(U59&lt;&gt;"",U59,IF(H59&lt;&gt;"",H59,""))</f>
        <v/>
      </c>
      <c r="AI59" s="14">
        <f>"After-work football for "&amp;F59&amp;" · "&amp;Z59&amp;", "&amp;AA59&amp;" min from your office"</f>
        <v/>
      </c>
      <c r="AJ59" s="14">
        <f>"Hi "&amp;IF(R59&lt;&gt;"",R59,F59&amp;" team")&amp;","&amp;CHAR(10)&amp;CHAR(10)&amp;"I'm "&amp;IF(AM59&lt;&gt;"",AM59,IF(Offer!$C$5&lt;&gt;"",Offer!$C$5,"[NAME]"))&amp;" from FC Urban. We organise after-work football for teams in the City and Canary Wharf."&amp;CHAR(10)&amp;CHAR(10)&amp;"We have a "&amp;AE59&amp;" pitch at "&amp;Z59&amp;", "&amp;IF(OR(AA59=8,AA59=11,AA59=18),"an ","a ")&amp;AA59&amp;"-minute walk from your "&amp;P59&amp;" office, "&amp;IF(ISNUMBER(AD59),"on "&amp;TEXT(AD59,"dddd d mmmm")&amp;" at "&amp;TEXT(AD59,"hh:mm"),"on a weekday evening that suits your team")&amp;". It's "&amp;IF(AF59&lt;&gt;"","£"&amp;IF(AF59=INT(AF59),TEXT(AF59,"0"),TEXT(AF59,"0.00")),"[PRICE PER PLAYER]")&amp;" a player and we handle the pitch booking, sign-ups and payments, so all it takes is one person sharing a link with the team."&amp;CHAR(10)&amp;CHAR(10)&amp;"It works well as a team social or "&amp;IF(ISNUMBER(SEARCH(LEFT(F59,1),"AEIOU")),"an ","a ")&amp;F59&amp;"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LINK]")&amp;CHAR(10)&amp;CHAR(10)&amp;"Best,"&amp;CHAR(10)&amp;IF(AM59&lt;&gt;"",AM59,IF(Offer!$C$5&lt;&gt;"",Offer!$C$5,"[NAME]"))&amp;CHAR(10)&amp;"FC Urban"</f>
        <v/>
      </c>
      <c r="AK59" s="14">
        <f>"Hi "&amp;IF(R59&lt;&gt;"",R59,F59&amp;" team")&amp;","&amp;CHAR(10)&amp;CHAR(10)&amp;"Just bumping this up. The "&amp;AE59&amp;" pitch at "&amp;Z59&amp;" is still free "&amp;IF(ISNUMBER(AD59),TEXT(AD59,"ddd d mmm")&amp;", "&amp;TEXT(AD59,"hh:mm"),"weekday evenings")&amp;", "&amp;IF(OR(AA59=8,AA59=11,AA59=18),"an ","a ")&amp;AA59&amp;"-minute walk from your office, "&amp;IF(AF59&lt;&gt;"","£"&amp;IF(AF59=INT(AF59),TEXT(AF59,"0"),TEXT(AF59,"0.00")),"[PRICE PER PLAYER]")&amp;" a player. Happy to hold it for "&amp;F59&amp;"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LINK]")&amp;CHAR(10)&amp;CHAR(10)&amp;"Best,"&amp;CHAR(10)&amp;IF(AM59&lt;&gt;"",AM59,IF(Offer!$C$5&lt;&gt;"",Offer!$C$5,"[NAME]"))&amp;CHAR(10)&amp;"FC Urban"</f>
        <v/>
      </c>
      <c r="AL59" s="14">
        <f>IF(AH59="","No email yet",IF(ISNUMBER(SEARCH("[",AJ59)),"Fill placeholders",IF(ISNUMBER(AD59),"Ready to send","Ready · no fixed slot")))</f>
        <v/>
      </c>
      <c r="AO59" s="17" t="n"/>
      <c r="AP59" s="17" t="n"/>
    </row>
    <row r="60">
      <c r="A60" s="11" t="n">
        <v>58</v>
      </c>
      <c r="B60" s="11" t="n">
        <v>2</v>
      </c>
      <c r="C60" s="11" t="inlineStr">
        <is>
          <t>Law firm</t>
        </is>
      </c>
      <c r="D60" s="11" t="inlineStr">
        <is>
          <t>City of London</t>
        </is>
      </c>
      <c r="E60" s="11" t="inlineStr">
        <is>
          <t>National Legal Service Limited</t>
        </is>
      </c>
      <c r="F60" s="11" t="inlineStr">
        <is>
          <t>National Legal Service</t>
        </is>
      </c>
      <c r="G60" s="12" t="inlineStr">
        <is>
          <t>https://nationallegalservice.co.uk</t>
        </is>
      </c>
      <c r="H60" s="11" t="inlineStr">
        <is>
          <t>info@nationallegalservice.co.uk</t>
        </is>
      </c>
      <c r="I60" s="11" t="inlineStr">
        <is>
          <t>general</t>
        </is>
      </c>
      <c r="J60" s="12" t="inlineStr">
        <is>
          <t>Open page</t>
        </is>
      </c>
      <c r="K60" s="11" t="inlineStr">
        <is>
          <t>10786983</t>
        </is>
      </c>
      <c r="L60" s="12" t="inlineStr">
        <is>
          <t>Open</t>
        </is>
      </c>
      <c r="M60" s="11" t="inlineStr">
        <is>
          <t>Full</t>
        </is>
      </c>
      <c r="N60" s="13" t="n">
        <v>42879</v>
      </c>
      <c r="O60" s="11" t="inlineStr">
        <is>
          <t>Dowgate Hill House, 14/16 Dowgate Hill, London</t>
        </is>
      </c>
      <c r="P60" s="11" t="inlineStr">
        <is>
          <t>EC4R 2SU</t>
        </is>
      </c>
      <c r="Q60" s="11" t="inlineStr">
        <is>
          <t>No</t>
        </is>
      </c>
      <c r="W60" s="11" t="inlineStr">
        <is>
          <t>City of London School (EC4V 3AL)</t>
        </is>
      </c>
      <c r="X60" s="11" t="n">
        <v>9</v>
      </c>
      <c r="Y60" s="11" t="inlineStr">
        <is>
          <t>Marlborough Sports Garden (SE1 1SD) (13.9)</t>
        </is>
      </c>
      <c r="Z60" s="11" t="inlineStr">
        <is>
          <t>City of London School (EC4V 3AL)</t>
        </is>
      </c>
      <c r="AA60" s="11" t="n">
        <v>9</v>
      </c>
      <c r="AB60" s="14">
        <f>IFERROR(INDEX(Venues!$E$2:$E$17,MATCH(Z60,Venues!$A$2:$A$17,0)),"Not checked")</f>
        <v/>
      </c>
      <c r="AC60" s="14">
        <f>IFERROR(INDEX(Venues!$F$2:$F$17,MATCH(Z60,Venues!$A$2:$A$17,0)),0)</f>
        <v/>
      </c>
      <c r="AD60" s="15">
        <f>IFERROR(INDEX(Venues!$M$2:$M$17,MATCH(Z60,Venues!$A$2:$A$17,0)),"")</f>
        <v/>
      </c>
      <c r="AE60" s="14">
        <f>IFERROR(INDEX(Venues!$N$2:$N$17,MATCH(Z60,Venues!$A$2:$A$17,0)),"5-a-side")</f>
        <v/>
      </c>
      <c r="AF60" s="16">
        <f>IF(Offer!$C$4="","",Offer!$C$4)</f>
        <v/>
      </c>
      <c r="AG60" s="14">
        <f>Z60&amp;" ("&amp;AA60&amp;" min walk) · "&amp;IF(ISNUMBER(AD60),TEXT(AD60,"ddd d mmm, hh:mm"),"slot to confirm with venue")&amp;" · "&amp;AE60&amp;" · "&amp;IF(AF60&lt;&gt;"","£"&amp;TEXT(AF60,"0.00")&amp;" pp","price TBC")</f>
        <v/>
      </c>
      <c r="AH60" s="14">
        <f>IF(U60&lt;&gt;"",U60,IF(H60&lt;&gt;"",H60,""))</f>
        <v/>
      </c>
      <c r="AI60" s="14">
        <f>"After-work football for "&amp;F60&amp;" · "&amp;Z60&amp;", "&amp;AA60&amp;" min from your office"</f>
        <v/>
      </c>
      <c r="AJ60" s="14">
        <f>"Hi "&amp;IF(R60&lt;&gt;"",R60,F60&amp;" team")&amp;","&amp;CHAR(10)&amp;CHAR(10)&amp;"I'm "&amp;IF(AM60&lt;&gt;"",AM60,IF(Offer!$C$5&lt;&gt;"",Offer!$C$5,"[NAME]"))&amp;" from FC Urban. We organise after-work football for teams in the City and Canary Wharf."&amp;CHAR(10)&amp;CHAR(10)&amp;"We have a "&amp;AE60&amp;" pitch at "&amp;Z60&amp;", "&amp;IF(OR(AA60=8,AA60=11,AA60=18),"an ","a ")&amp;AA60&amp;"-minute walk from your "&amp;P60&amp;" office, "&amp;IF(ISNUMBER(AD60),"on "&amp;TEXT(AD60,"dddd d mmmm")&amp;" at "&amp;TEXT(AD60,"hh:mm"),"on a weekday evening that suits your team")&amp;". It's "&amp;IF(AF60&lt;&gt;"","£"&amp;IF(AF60=INT(AF60),TEXT(AF60,"0"),TEXT(AF60,"0.00")),"[PRICE PER PLAYER]")&amp;" a player and we handle the pitch booking, sign-ups and payments, so all it takes is one person sharing a link with the team."&amp;CHAR(10)&amp;CHAR(10)&amp;"It works well as a team social or "&amp;IF(ISNUMBER(SEARCH(LEFT(F60,1),"AEIOU")),"an ","a ")&amp;F60&amp;"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LINK]")&amp;CHAR(10)&amp;CHAR(10)&amp;"Best,"&amp;CHAR(10)&amp;IF(AM60&lt;&gt;"",AM60,IF(Offer!$C$5&lt;&gt;"",Offer!$C$5,"[NAME]"))&amp;CHAR(10)&amp;"FC Urban"</f>
        <v/>
      </c>
      <c r="AK60" s="14">
        <f>"Hi "&amp;IF(R60&lt;&gt;"",R60,F60&amp;" team")&amp;","&amp;CHAR(10)&amp;CHAR(10)&amp;"Just bumping this up. The "&amp;AE60&amp;" pitch at "&amp;Z60&amp;" is still free "&amp;IF(ISNUMBER(AD60),TEXT(AD60,"ddd d mmm")&amp;", "&amp;TEXT(AD60,"hh:mm"),"weekday evenings")&amp;", "&amp;IF(OR(AA60=8,AA60=11,AA60=18),"an ","a ")&amp;AA60&amp;"-minute walk from your office, "&amp;IF(AF60&lt;&gt;"","£"&amp;IF(AF60=INT(AF60),TEXT(AF60,"0"),TEXT(AF60,"0.00")),"[PRICE PER PLAYER]")&amp;" a player. Happy to hold it for "&amp;F60&amp;"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LINK]")&amp;CHAR(10)&amp;CHAR(10)&amp;"Best,"&amp;CHAR(10)&amp;IF(AM60&lt;&gt;"",AM60,IF(Offer!$C$5&lt;&gt;"",Offer!$C$5,"[NAME]"))&amp;CHAR(10)&amp;"FC Urban"</f>
        <v/>
      </c>
      <c r="AL60" s="14">
        <f>IF(AH60="","No email yet",IF(ISNUMBER(SEARCH("[",AJ60)),"Fill placeholders",IF(ISNUMBER(AD60),"Ready to send","Ready · no fixed slot")))</f>
        <v/>
      </c>
      <c r="AO60" s="17" t="n"/>
      <c r="AP60" s="17" t="n"/>
    </row>
    <row r="61">
      <c r="A61" s="11" t="n">
        <v>59</v>
      </c>
      <c r="B61" s="11" t="n">
        <v>2</v>
      </c>
      <c r="C61" s="11" t="inlineStr">
        <is>
          <t>Law firm</t>
        </is>
      </c>
      <c r="D61" s="11" t="inlineStr">
        <is>
          <t>City of London</t>
        </is>
      </c>
      <c r="E61" s="11" t="inlineStr">
        <is>
          <t>Marriott Harrison LLP</t>
        </is>
      </c>
      <c r="F61" s="11" t="inlineStr">
        <is>
          <t>Marriott Harrison</t>
        </is>
      </c>
      <c r="G61" s="12" t="inlineStr">
        <is>
          <t>https://www.marriottharrison.com</t>
        </is>
      </c>
      <c r="H61" s="11" t="inlineStr">
        <is>
          <t>enquiries@marriottharrison.com</t>
        </is>
      </c>
      <c r="I61" s="11" t="inlineStr">
        <is>
          <t>general</t>
        </is>
      </c>
      <c r="J61" s="12" t="inlineStr">
        <is>
          <t>Open page</t>
        </is>
      </c>
      <c r="K61" s="11" t="inlineStr">
        <is>
          <t>OC372774</t>
        </is>
      </c>
      <c r="L61" s="12" t="inlineStr">
        <is>
          <t>Open</t>
        </is>
      </c>
      <c r="M61" s="11" t="inlineStr">
        <is>
          <t>Full</t>
        </is>
      </c>
      <c r="N61" s="13" t="n">
        <v>40962</v>
      </c>
      <c r="O61" s="11" t="inlineStr">
        <is>
          <t>80 Cheapside, London</t>
        </is>
      </c>
      <c r="P61" s="11" t="inlineStr">
        <is>
          <t>EC2V 6EE</t>
        </is>
      </c>
      <c r="Q61" s="11" t="inlineStr">
        <is>
          <t>No</t>
        </is>
      </c>
      <c r="W61" s="11" t="inlineStr">
        <is>
          <t>City of London School (EC4V 3AL)</t>
        </is>
      </c>
      <c r="X61" s="11" t="n">
        <v>10</v>
      </c>
      <c r="Y61" s="11" t="inlineStr">
        <is>
          <t>Marlborough Sports Garden (SE1 1SD) (18.4)</t>
        </is>
      </c>
      <c r="Z61" s="11" t="inlineStr">
        <is>
          <t>City of London School (EC4V 3AL)</t>
        </is>
      </c>
      <c r="AA61" s="11" t="n">
        <v>10</v>
      </c>
      <c r="AB61" s="14">
        <f>IFERROR(INDEX(Venues!$E$2:$E$17,MATCH(Z61,Venues!$A$2:$A$17,0)),"Not checked")</f>
        <v/>
      </c>
      <c r="AC61" s="14">
        <f>IFERROR(INDEX(Venues!$F$2:$F$17,MATCH(Z61,Venues!$A$2:$A$17,0)),0)</f>
        <v/>
      </c>
      <c r="AD61" s="15">
        <f>IFERROR(INDEX(Venues!$M$2:$M$17,MATCH(Z61,Venues!$A$2:$A$17,0)),"")</f>
        <v/>
      </c>
      <c r="AE61" s="14">
        <f>IFERROR(INDEX(Venues!$N$2:$N$17,MATCH(Z61,Venues!$A$2:$A$17,0)),"5-a-side")</f>
        <v/>
      </c>
      <c r="AF61" s="16">
        <f>IF(Offer!$C$4="","",Offer!$C$4)</f>
        <v/>
      </c>
      <c r="AG61" s="14">
        <f>Z61&amp;" ("&amp;AA61&amp;" min walk) · "&amp;IF(ISNUMBER(AD61),TEXT(AD61,"ddd d mmm, hh:mm"),"slot to confirm with venue")&amp;" · "&amp;AE61&amp;" · "&amp;IF(AF61&lt;&gt;"","£"&amp;TEXT(AF61,"0.00")&amp;" pp","price TBC")</f>
        <v/>
      </c>
      <c r="AH61" s="14">
        <f>IF(U61&lt;&gt;"",U61,IF(H61&lt;&gt;"",H61,""))</f>
        <v/>
      </c>
      <c r="AI61" s="14">
        <f>"After-work football for "&amp;F61&amp;" · "&amp;Z61&amp;", "&amp;AA61&amp;" min from your office"</f>
        <v/>
      </c>
      <c r="AJ61" s="14">
        <f>"Hi "&amp;IF(R61&lt;&gt;"",R61,F61&amp;" team")&amp;","&amp;CHAR(10)&amp;CHAR(10)&amp;"I'm "&amp;IF(AM61&lt;&gt;"",AM61,IF(Offer!$C$5&lt;&gt;"",Offer!$C$5,"[NAME]"))&amp;" from FC Urban. We organise after-work football for teams in the City and Canary Wharf."&amp;CHAR(10)&amp;CHAR(10)&amp;"We have a "&amp;AE61&amp;" pitch at "&amp;Z61&amp;", "&amp;IF(OR(AA61=8,AA61=11,AA61=18),"an ","a ")&amp;AA61&amp;"-minute walk from your "&amp;P61&amp;" office, "&amp;IF(ISNUMBER(AD61),"on "&amp;TEXT(AD61,"dddd d mmmm")&amp;" at "&amp;TEXT(AD61,"hh:mm"),"on a weekday evening that suits your team")&amp;". It's "&amp;IF(AF61&lt;&gt;"","£"&amp;IF(AF61=INT(AF61),TEXT(AF61,"0"),TEXT(AF61,"0.00")),"[PRICE PER PLAYER]")&amp;" a player and we handle the pitch booking, sign-ups and payments, so all it takes is one person sharing a link with the team."&amp;CHAR(10)&amp;CHAR(10)&amp;"It works well as a team social or "&amp;IF(ISNUMBER(SEARCH(LEFT(F61,1),"AEIOU")),"an ","a ")&amp;F61&amp;"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LINK]")&amp;CHAR(10)&amp;CHAR(10)&amp;"Best,"&amp;CHAR(10)&amp;IF(AM61&lt;&gt;"",AM61,IF(Offer!$C$5&lt;&gt;"",Offer!$C$5,"[NAME]"))&amp;CHAR(10)&amp;"FC Urban"</f>
        <v/>
      </c>
      <c r="AK61" s="14">
        <f>"Hi "&amp;IF(R61&lt;&gt;"",R61,F61&amp;" team")&amp;","&amp;CHAR(10)&amp;CHAR(10)&amp;"Just bumping this up. The "&amp;AE61&amp;" pitch at "&amp;Z61&amp;" is still free "&amp;IF(ISNUMBER(AD61),TEXT(AD61,"ddd d mmm")&amp;", "&amp;TEXT(AD61,"hh:mm"),"weekday evenings")&amp;", "&amp;IF(OR(AA61=8,AA61=11,AA61=18),"an ","a ")&amp;AA61&amp;"-minute walk from your office, "&amp;IF(AF61&lt;&gt;"","£"&amp;IF(AF61=INT(AF61),TEXT(AF61,"0"),TEXT(AF61,"0.00")),"[PRICE PER PLAYER]")&amp;" a player. Happy to hold it for "&amp;F61&amp;"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LINK]")&amp;CHAR(10)&amp;CHAR(10)&amp;"Best,"&amp;CHAR(10)&amp;IF(AM61&lt;&gt;"",AM61,IF(Offer!$C$5&lt;&gt;"",Offer!$C$5,"[NAME]"))&amp;CHAR(10)&amp;"FC Urban"</f>
        <v/>
      </c>
      <c r="AL61" s="14">
        <f>IF(AH61="","No email yet",IF(ISNUMBER(SEARCH("[",AJ61)),"Fill placeholders",IF(ISNUMBER(AD61),"Ready to send","Ready · no fixed slot")))</f>
        <v/>
      </c>
      <c r="AO61" s="17" t="n"/>
      <c r="AP61" s="17" t="n"/>
    </row>
    <row r="62">
      <c r="A62" s="11" t="n">
        <v>60</v>
      </c>
      <c r="B62" s="11" t="n">
        <v>2</v>
      </c>
      <c r="C62" s="11" t="inlineStr">
        <is>
          <t>Law firm</t>
        </is>
      </c>
      <c r="D62" s="11" t="inlineStr">
        <is>
          <t>City of London</t>
        </is>
      </c>
      <c r="E62" s="11" t="inlineStr">
        <is>
          <t>Watson Farley &amp; Williams LLP</t>
        </is>
      </c>
      <c r="F62" s="11" t="inlineStr">
        <is>
          <t>Watson Farley &amp; Williams</t>
        </is>
      </c>
      <c r="G62" s="12" t="inlineStr">
        <is>
          <t>https://www.wfw.com</t>
        </is>
      </c>
      <c r="H62" s="11" t="inlineStr">
        <is>
          <t>info@wfw.com</t>
        </is>
      </c>
      <c r="I62" s="11" t="inlineStr">
        <is>
          <t>general</t>
        </is>
      </c>
      <c r="J62" s="12" t="inlineStr">
        <is>
          <t>Open page</t>
        </is>
      </c>
      <c r="K62" s="11" t="inlineStr">
        <is>
          <t>OC312252</t>
        </is>
      </c>
      <c r="L62" s="12" t="inlineStr">
        <is>
          <t>Open</t>
        </is>
      </c>
      <c r="M62" s="11" t="inlineStr">
        <is>
          <t>Full</t>
        </is>
      </c>
      <c r="N62" s="13" t="n">
        <v>38428</v>
      </c>
      <c r="O62" s="11" t="inlineStr">
        <is>
          <t>15 Appold Street, London</t>
        </is>
      </c>
      <c r="P62" s="11" t="inlineStr">
        <is>
          <t>EC2A 2HB</t>
        </is>
      </c>
      <c r="Q62" s="11" t="inlineStr">
        <is>
          <t>No</t>
        </is>
      </c>
      <c r="W62" s="11" t="inlineStr">
        <is>
          <t>Shoreditch Powerleague</t>
        </is>
      </c>
      <c r="X62" s="11" t="n">
        <v>10</v>
      </c>
      <c r="Y62" s="11" t="inlineStr">
        <is>
          <t>Liverpool St - Attlee Centre (12.1); Finsbury Leisure Centre (EC1V 3PU) (17.3)</t>
        </is>
      </c>
      <c r="Z62" s="11" t="inlineStr">
        <is>
          <t>Shoreditch Powerleague</t>
        </is>
      </c>
      <c r="AA62" s="11" t="n">
        <v>10</v>
      </c>
      <c r="AB62" s="14">
        <f>IFERROR(INDEX(Venues!$E$2:$E$17,MATCH(Z62,Venues!$A$2:$A$17,0)),"Not checked")</f>
        <v/>
      </c>
      <c r="AC62" s="14">
        <f>IFERROR(INDEX(Venues!$F$2:$F$17,MATCH(Z62,Venues!$A$2:$A$17,0)),0)</f>
        <v/>
      </c>
      <c r="AD62" s="15">
        <f>IFERROR(INDEX(Venues!$M$2:$M$17,MATCH(Z62,Venues!$A$2:$A$17,0)),"")</f>
        <v/>
      </c>
      <c r="AE62" s="14">
        <f>IFERROR(INDEX(Venues!$N$2:$N$17,MATCH(Z62,Venues!$A$2:$A$17,0)),"5-a-side")</f>
        <v/>
      </c>
      <c r="AF62" s="16">
        <f>IF(Offer!$C$4="","",Offer!$C$4)</f>
        <v/>
      </c>
      <c r="AG62" s="14">
        <f>Z62&amp;" ("&amp;AA62&amp;" min walk) · "&amp;IF(ISNUMBER(AD62),TEXT(AD62,"ddd d mmm, hh:mm"),"slot to confirm with venue")&amp;" · "&amp;AE62&amp;" · "&amp;IF(AF62&lt;&gt;"","£"&amp;TEXT(AF62,"0.00")&amp;" pp","price TBC")</f>
        <v/>
      </c>
      <c r="AH62" s="14">
        <f>IF(U62&lt;&gt;"",U62,IF(H62&lt;&gt;"",H62,""))</f>
        <v/>
      </c>
      <c r="AI62" s="14">
        <f>"After-work football for "&amp;F62&amp;" · "&amp;Z62&amp;", "&amp;AA62&amp;" min from your office"</f>
        <v/>
      </c>
      <c r="AJ62" s="14">
        <f>"Hi "&amp;IF(R62&lt;&gt;"",R62,F62&amp;" team")&amp;","&amp;CHAR(10)&amp;CHAR(10)&amp;"I'm "&amp;IF(AM62&lt;&gt;"",AM62,IF(Offer!$C$5&lt;&gt;"",Offer!$C$5,"[NAME]"))&amp;" from FC Urban. We organise after-work football for teams in the City and Canary Wharf."&amp;CHAR(10)&amp;CHAR(10)&amp;"We have a "&amp;AE62&amp;" pitch at "&amp;Z62&amp;", "&amp;IF(OR(AA62=8,AA62=11,AA62=18),"an ","a ")&amp;AA62&amp;"-minute walk from your "&amp;P62&amp;" office, "&amp;IF(ISNUMBER(AD62),"on "&amp;TEXT(AD62,"dddd d mmmm")&amp;" at "&amp;TEXT(AD62,"hh:mm"),"on a weekday evening that suits your team")&amp;". It's "&amp;IF(AF62&lt;&gt;"","£"&amp;IF(AF62=INT(AF62),TEXT(AF62,"0"),TEXT(AF62,"0.00")),"[PRICE PER PLAYER]")&amp;" a player and we handle the pitch booking, sign-ups and payments, so all it takes is one person sharing a link with the team."&amp;CHAR(10)&amp;CHAR(10)&amp;"It works well as a team social or "&amp;IF(ISNUMBER(SEARCH(LEFT(F62,1),"AEIOU")),"an ","a ")&amp;F62&amp;"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LINK]")&amp;CHAR(10)&amp;CHAR(10)&amp;"Best,"&amp;CHAR(10)&amp;IF(AM62&lt;&gt;"",AM62,IF(Offer!$C$5&lt;&gt;"",Offer!$C$5,"[NAME]"))&amp;CHAR(10)&amp;"FC Urban"</f>
        <v/>
      </c>
      <c r="AK62" s="14">
        <f>"Hi "&amp;IF(R62&lt;&gt;"",R62,F62&amp;" team")&amp;","&amp;CHAR(10)&amp;CHAR(10)&amp;"Just bumping this up. The "&amp;AE62&amp;" pitch at "&amp;Z62&amp;" is still free "&amp;IF(ISNUMBER(AD62),TEXT(AD62,"ddd d mmm")&amp;", "&amp;TEXT(AD62,"hh:mm"),"weekday evenings")&amp;", "&amp;IF(OR(AA62=8,AA62=11,AA62=18),"an ","a ")&amp;AA62&amp;"-minute walk from your office, "&amp;IF(AF62&lt;&gt;"","£"&amp;IF(AF62=INT(AF62),TEXT(AF62,"0"),TEXT(AF62,"0.00")),"[PRICE PER PLAYER]")&amp;" a player. Happy to hold it for "&amp;F62&amp;"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LINK]")&amp;CHAR(10)&amp;CHAR(10)&amp;"Best,"&amp;CHAR(10)&amp;IF(AM62&lt;&gt;"",AM62,IF(Offer!$C$5&lt;&gt;"",Offer!$C$5,"[NAME]"))&amp;CHAR(10)&amp;"FC Urban"</f>
        <v/>
      </c>
      <c r="AL62" s="14">
        <f>IF(AH62="","No email yet",IF(ISNUMBER(SEARCH("[",AJ62)),"Fill placeholders",IF(ISNUMBER(AD62),"Ready to send","Ready · no fixed slot")))</f>
        <v/>
      </c>
      <c r="AO62" s="17" t="n"/>
      <c r="AP62" s="17" t="n"/>
    </row>
    <row r="63">
      <c r="A63" s="11" t="n">
        <v>61</v>
      </c>
      <c r="B63" s="11" t="n">
        <v>2</v>
      </c>
      <c r="C63" s="11" t="inlineStr">
        <is>
          <t>Law firm</t>
        </is>
      </c>
      <c r="D63" s="11" t="inlineStr">
        <is>
          <t>City of London</t>
        </is>
      </c>
      <c r="E63" s="11" t="inlineStr">
        <is>
          <t>Sacker &amp; Partners LLP</t>
        </is>
      </c>
      <c r="F63" s="11" t="inlineStr">
        <is>
          <t>Sacker &amp; Partners</t>
        </is>
      </c>
      <c r="G63" s="12" t="inlineStr">
        <is>
          <t>https://www.sackers.com</t>
        </is>
      </c>
      <c r="H63" s="11" t="inlineStr">
        <is>
          <t>enquiries@sackers.com</t>
        </is>
      </c>
      <c r="I63" s="11" t="inlineStr">
        <is>
          <t>general</t>
        </is>
      </c>
      <c r="J63" s="12" t="inlineStr">
        <is>
          <t>Open page</t>
        </is>
      </c>
      <c r="K63" s="11" t="inlineStr">
        <is>
          <t>OC308089</t>
        </is>
      </c>
      <c r="L63" s="12" t="inlineStr">
        <is>
          <t>Open</t>
        </is>
      </c>
      <c r="M63" s="11" t="inlineStr">
        <is>
          <t>Full</t>
        </is>
      </c>
      <c r="N63" s="13" t="n">
        <v>38131</v>
      </c>
      <c r="O63" s="11" t="inlineStr">
        <is>
          <t>20 Gresham Street, London</t>
        </is>
      </c>
      <c r="P63" s="11" t="inlineStr">
        <is>
          <t>EC2V 7JE</t>
        </is>
      </c>
      <c r="Q63" s="11" t="inlineStr">
        <is>
          <t>No</t>
        </is>
      </c>
      <c r="W63" s="11" t="inlineStr">
        <is>
          <t>City of London School (EC4V 3AL)</t>
        </is>
      </c>
      <c r="X63" s="11" t="n">
        <v>10</v>
      </c>
      <c r="Y63" s="11" t="n"/>
      <c r="Z63" s="11" t="inlineStr">
        <is>
          <t>City of London School (EC4V 3AL)</t>
        </is>
      </c>
      <c r="AA63" s="11" t="n">
        <v>10</v>
      </c>
      <c r="AB63" s="14">
        <f>IFERROR(INDEX(Venues!$E$2:$E$17,MATCH(Z63,Venues!$A$2:$A$17,0)),"Not checked")</f>
        <v/>
      </c>
      <c r="AC63" s="14">
        <f>IFERROR(INDEX(Venues!$F$2:$F$17,MATCH(Z63,Venues!$A$2:$A$17,0)),0)</f>
        <v/>
      </c>
      <c r="AD63" s="15">
        <f>IFERROR(INDEX(Venues!$M$2:$M$17,MATCH(Z63,Venues!$A$2:$A$17,0)),"")</f>
        <v/>
      </c>
      <c r="AE63" s="14">
        <f>IFERROR(INDEX(Venues!$N$2:$N$17,MATCH(Z63,Venues!$A$2:$A$17,0)),"5-a-side")</f>
        <v/>
      </c>
      <c r="AF63" s="16">
        <f>IF(Offer!$C$4="","",Offer!$C$4)</f>
        <v/>
      </c>
      <c r="AG63" s="14">
        <f>Z63&amp;" ("&amp;AA63&amp;" min walk) · "&amp;IF(ISNUMBER(AD63),TEXT(AD63,"ddd d mmm, hh:mm"),"slot to confirm with venue")&amp;" · "&amp;AE63&amp;" · "&amp;IF(AF63&lt;&gt;"","£"&amp;TEXT(AF63,"0.00")&amp;" pp","price TBC")</f>
        <v/>
      </c>
      <c r="AH63" s="14">
        <f>IF(U63&lt;&gt;"",U63,IF(H63&lt;&gt;"",H63,""))</f>
        <v/>
      </c>
      <c r="AI63" s="14">
        <f>"After-work football for "&amp;F63&amp;" · "&amp;Z63&amp;", "&amp;AA63&amp;" min from your office"</f>
        <v/>
      </c>
      <c r="AJ63" s="14">
        <f>"Hi "&amp;IF(R63&lt;&gt;"",R63,F63&amp;" team")&amp;","&amp;CHAR(10)&amp;CHAR(10)&amp;"I'm "&amp;IF(AM63&lt;&gt;"",AM63,IF(Offer!$C$5&lt;&gt;"",Offer!$C$5,"[NAME]"))&amp;" from FC Urban. We organise after-work football for teams in the City and Canary Wharf."&amp;CHAR(10)&amp;CHAR(10)&amp;"We have a "&amp;AE63&amp;" pitch at "&amp;Z63&amp;", "&amp;IF(OR(AA63=8,AA63=11,AA63=18),"an ","a ")&amp;AA63&amp;"-minute walk from your "&amp;P63&amp;" office, "&amp;IF(ISNUMBER(AD63),"on "&amp;TEXT(AD63,"dddd d mmmm")&amp;" at "&amp;TEXT(AD63,"hh:mm"),"on a weekday evening that suits your team")&amp;". It's "&amp;IF(AF63&lt;&gt;"","£"&amp;IF(AF63=INT(AF63),TEXT(AF63,"0"),TEXT(AF63,"0.00")),"[PRICE PER PLAYER]")&amp;" a player and we handle the pitch booking, sign-ups and payments, so all it takes is one person sharing a link with the team."&amp;CHAR(10)&amp;CHAR(10)&amp;"It works well as a team social or "&amp;IF(ISNUMBER(SEARCH(LEFT(F63,1),"AEIOU")),"an ","a ")&amp;F63&amp;"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LINK]")&amp;CHAR(10)&amp;CHAR(10)&amp;"Best,"&amp;CHAR(10)&amp;IF(AM63&lt;&gt;"",AM63,IF(Offer!$C$5&lt;&gt;"",Offer!$C$5,"[NAME]"))&amp;CHAR(10)&amp;"FC Urban"</f>
        <v/>
      </c>
      <c r="AK63" s="14">
        <f>"Hi "&amp;IF(R63&lt;&gt;"",R63,F63&amp;" team")&amp;","&amp;CHAR(10)&amp;CHAR(10)&amp;"Just bumping this up. The "&amp;AE63&amp;" pitch at "&amp;Z63&amp;" is still free "&amp;IF(ISNUMBER(AD63),TEXT(AD63,"ddd d mmm")&amp;", "&amp;TEXT(AD63,"hh:mm"),"weekday evenings")&amp;", "&amp;IF(OR(AA63=8,AA63=11,AA63=18),"an ","a ")&amp;AA63&amp;"-minute walk from your office, "&amp;IF(AF63&lt;&gt;"","£"&amp;IF(AF63=INT(AF63),TEXT(AF63,"0"),TEXT(AF63,"0.00")),"[PRICE PER PLAYER]")&amp;" a player. Happy to hold it for "&amp;F63&amp;"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LINK]")&amp;CHAR(10)&amp;CHAR(10)&amp;"Best,"&amp;CHAR(10)&amp;IF(AM63&lt;&gt;"",AM63,IF(Offer!$C$5&lt;&gt;"",Offer!$C$5,"[NAME]"))&amp;CHAR(10)&amp;"FC Urban"</f>
        <v/>
      </c>
      <c r="AL63" s="14">
        <f>IF(AH63="","No email yet",IF(ISNUMBER(SEARCH("[",AJ63)),"Fill placeholders",IF(ISNUMBER(AD63),"Ready to send","Ready · no fixed slot")))</f>
        <v/>
      </c>
      <c r="AO63" s="17" t="n"/>
      <c r="AP63" s="17" t="n"/>
    </row>
    <row r="64">
      <c r="A64" s="11" t="n">
        <v>62</v>
      </c>
      <c r="B64" s="11" t="n">
        <v>2</v>
      </c>
      <c r="C64" s="11" t="inlineStr">
        <is>
          <t>Law firm</t>
        </is>
      </c>
      <c r="D64" s="11" t="inlineStr">
        <is>
          <t>City of London</t>
        </is>
      </c>
      <c r="E64" s="11" t="inlineStr">
        <is>
          <t>Haynes and Boone Cdg LLP</t>
        </is>
      </c>
      <c r="F64" s="11" t="inlineStr">
        <is>
          <t>Haynes and Boone Cdg</t>
        </is>
      </c>
      <c r="G64" s="12" t="inlineStr">
        <is>
          <t>https://www.haynesboone.com</t>
        </is>
      </c>
      <c r="H64" s="11" t="inlineStr">
        <is>
          <t>london@haynesboone.com</t>
        </is>
      </c>
      <c r="I64" s="11" t="inlineStr">
        <is>
          <t>general</t>
        </is>
      </c>
      <c r="J64" s="12" t="inlineStr">
        <is>
          <t>Open page</t>
        </is>
      </c>
      <c r="K64" s="11" t="inlineStr">
        <is>
          <t>OC317056</t>
        </is>
      </c>
      <c r="L64" s="12" t="inlineStr">
        <is>
          <t>Open</t>
        </is>
      </c>
      <c r="M64" s="11" t="inlineStr">
        <is>
          <t>Medium</t>
        </is>
      </c>
      <c r="N64" s="13" t="n">
        <v>38723</v>
      </c>
      <c r="O64" s="11" t="inlineStr">
        <is>
          <t>Alder Castle, Noble Street, London</t>
        </is>
      </c>
      <c r="P64" s="11" t="inlineStr">
        <is>
          <t>EC2V 7JX</t>
        </is>
      </c>
      <c r="Q64" s="11" t="inlineStr">
        <is>
          <t>No</t>
        </is>
      </c>
      <c r="W64" s="11" t="inlineStr">
        <is>
          <t>City of London School (EC4V 3AL)</t>
        </is>
      </c>
      <c r="X64" s="11" t="n">
        <v>11</v>
      </c>
      <c r="Y64" s="11" t="inlineStr">
        <is>
          <t>Finsbury Leisure Centre (EC1V 3PU) (17)</t>
        </is>
      </c>
      <c r="Z64" s="11" t="inlineStr">
        <is>
          <t>City of London School (EC4V 3AL)</t>
        </is>
      </c>
      <c r="AA64" s="11" t="n">
        <v>11</v>
      </c>
      <c r="AB64" s="14">
        <f>IFERROR(INDEX(Venues!$E$2:$E$17,MATCH(Z64,Venues!$A$2:$A$17,0)),"Not checked")</f>
        <v/>
      </c>
      <c r="AC64" s="14">
        <f>IFERROR(INDEX(Venues!$F$2:$F$17,MATCH(Z64,Venues!$A$2:$A$17,0)),0)</f>
        <v/>
      </c>
      <c r="AD64" s="15">
        <f>IFERROR(INDEX(Venues!$M$2:$M$17,MATCH(Z64,Venues!$A$2:$A$17,0)),"")</f>
        <v/>
      </c>
      <c r="AE64" s="14">
        <f>IFERROR(INDEX(Venues!$N$2:$N$17,MATCH(Z64,Venues!$A$2:$A$17,0)),"5-a-side")</f>
        <v/>
      </c>
      <c r="AF64" s="16">
        <f>IF(Offer!$C$4="","",Offer!$C$4)</f>
        <v/>
      </c>
      <c r="AG64" s="14">
        <f>Z64&amp;" ("&amp;AA64&amp;" min walk) · "&amp;IF(ISNUMBER(AD64),TEXT(AD64,"ddd d mmm, hh:mm"),"slot to confirm with venue")&amp;" · "&amp;AE64&amp;" · "&amp;IF(AF64&lt;&gt;"","£"&amp;TEXT(AF64,"0.00")&amp;" pp","price TBC")</f>
        <v/>
      </c>
      <c r="AH64" s="14">
        <f>IF(U64&lt;&gt;"",U64,IF(H64&lt;&gt;"",H64,""))</f>
        <v/>
      </c>
      <c r="AI64" s="14">
        <f>"After-work football for "&amp;F64&amp;" · "&amp;Z64&amp;", "&amp;AA64&amp;" min from your office"</f>
        <v/>
      </c>
      <c r="AJ64" s="14">
        <f>"Hi "&amp;IF(R64&lt;&gt;"",R64,F64&amp;" team")&amp;","&amp;CHAR(10)&amp;CHAR(10)&amp;"I'm "&amp;IF(AM64&lt;&gt;"",AM64,IF(Offer!$C$5&lt;&gt;"",Offer!$C$5,"[NAME]"))&amp;" from FC Urban. We organise after-work football for teams in the City and Canary Wharf."&amp;CHAR(10)&amp;CHAR(10)&amp;"We have a "&amp;AE64&amp;" pitch at "&amp;Z64&amp;", "&amp;IF(OR(AA64=8,AA64=11,AA64=18),"an ","a ")&amp;AA64&amp;"-minute walk from your "&amp;P64&amp;" office, "&amp;IF(ISNUMBER(AD64),"on "&amp;TEXT(AD64,"dddd d mmmm")&amp;" at "&amp;TEXT(AD64,"hh:mm"),"on a weekday evening that suits your team")&amp;". It's "&amp;IF(AF64&lt;&gt;"","£"&amp;IF(AF64=INT(AF64),TEXT(AF64,"0"),TEXT(AF64,"0.00")),"[PRICE PER PLAYER]")&amp;" a player and we handle the pitch booking, sign-ups and payments, so all it takes is one person sharing a link with the team."&amp;CHAR(10)&amp;CHAR(10)&amp;"It works well as a team social or "&amp;IF(ISNUMBER(SEARCH(LEFT(F64,1),"AEIOU")),"an ","a ")&amp;F64&amp;"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LINK]")&amp;CHAR(10)&amp;CHAR(10)&amp;"Best,"&amp;CHAR(10)&amp;IF(AM64&lt;&gt;"",AM64,IF(Offer!$C$5&lt;&gt;"",Offer!$C$5,"[NAME]"))&amp;CHAR(10)&amp;"FC Urban"</f>
        <v/>
      </c>
      <c r="AK64" s="14">
        <f>"Hi "&amp;IF(R64&lt;&gt;"",R64,F64&amp;" team")&amp;","&amp;CHAR(10)&amp;CHAR(10)&amp;"Just bumping this up. The "&amp;AE64&amp;" pitch at "&amp;Z64&amp;" is still free "&amp;IF(ISNUMBER(AD64),TEXT(AD64,"ddd d mmm")&amp;", "&amp;TEXT(AD64,"hh:mm"),"weekday evenings")&amp;", "&amp;IF(OR(AA64=8,AA64=11,AA64=18),"an ","a ")&amp;AA64&amp;"-minute walk from your office, "&amp;IF(AF64&lt;&gt;"","£"&amp;IF(AF64=INT(AF64),TEXT(AF64,"0"),TEXT(AF64,"0.00")),"[PRICE PER PLAYER]")&amp;" a player. Happy to hold it for "&amp;F64&amp;"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LINK]")&amp;CHAR(10)&amp;CHAR(10)&amp;"Best,"&amp;CHAR(10)&amp;IF(AM64&lt;&gt;"",AM64,IF(Offer!$C$5&lt;&gt;"",Offer!$C$5,"[NAME]"))&amp;CHAR(10)&amp;"FC Urban"</f>
        <v/>
      </c>
      <c r="AL64" s="14">
        <f>IF(AH64="","No email yet",IF(ISNUMBER(SEARCH("[",AJ64)),"Fill placeholders",IF(ISNUMBER(AD64),"Ready to send","Ready · no fixed slot")))</f>
        <v/>
      </c>
      <c r="AO64" s="17" t="n"/>
      <c r="AP64" s="17" t="n"/>
    </row>
    <row r="65">
      <c r="A65" s="11" t="n">
        <v>63</v>
      </c>
      <c r="B65" s="11" t="n">
        <v>2</v>
      </c>
      <c r="C65" s="11" t="inlineStr">
        <is>
          <t>Law firm</t>
        </is>
      </c>
      <c r="D65" s="11" t="inlineStr">
        <is>
          <t>City of London</t>
        </is>
      </c>
      <c r="E65" s="11" t="inlineStr">
        <is>
          <t>Broadfield Law UK LLP</t>
        </is>
      </c>
      <c r="F65" s="11" t="inlineStr">
        <is>
          <t>Broadfield Law</t>
        </is>
      </c>
      <c r="G65" s="12" t="inlineStr">
        <is>
          <t>https://www.broadfield.com</t>
        </is>
      </c>
      <c r="H65" s="11" t="inlineStr">
        <is>
          <t>sales@broadfield.com</t>
        </is>
      </c>
      <c r="I65" s="11" t="inlineStr">
        <is>
          <t>general</t>
        </is>
      </c>
      <c r="J65" s="12" t="inlineStr">
        <is>
          <t>Open page</t>
        </is>
      </c>
      <c r="K65" s="11" t="inlineStr">
        <is>
          <t>OC320798</t>
        </is>
      </c>
      <c r="L65" s="12" t="inlineStr">
        <is>
          <t>Open</t>
        </is>
      </c>
      <c r="M65" s="11" t="inlineStr">
        <is>
          <t>Full</t>
        </is>
      </c>
      <c r="N65" s="13" t="n">
        <v>38904</v>
      </c>
      <c r="O65" s="11" t="inlineStr">
        <is>
          <t>Broadfield Law Uk Llp, One Bartholomew Close, London</t>
        </is>
      </c>
      <c r="P65" s="11" t="inlineStr">
        <is>
          <t>EC1A 7BL</t>
        </is>
      </c>
      <c r="Q65" s="11" t="inlineStr">
        <is>
          <t>No</t>
        </is>
      </c>
      <c r="W65" s="11" t="inlineStr">
        <is>
          <t>City of London School (EC4V 3AL)</t>
        </is>
      </c>
      <c r="X65" s="11" t="n">
        <v>12</v>
      </c>
      <c r="Y65" s="11" t="inlineStr">
        <is>
          <t>Finsbury Leisure Centre (EC1V 3PU) (15.8)</t>
        </is>
      </c>
      <c r="Z65" s="11" t="inlineStr">
        <is>
          <t>City of London School (EC4V 3AL)</t>
        </is>
      </c>
      <c r="AA65" s="11" t="n">
        <v>12</v>
      </c>
      <c r="AB65" s="14">
        <f>IFERROR(INDEX(Venues!$E$2:$E$17,MATCH(Z65,Venues!$A$2:$A$17,0)),"Not checked")</f>
        <v/>
      </c>
      <c r="AC65" s="14">
        <f>IFERROR(INDEX(Venues!$F$2:$F$17,MATCH(Z65,Venues!$A$2:$A$17,0)),0)</f>
        <v/>
      </c>
      <c r="AD65" s="15">
        <f>IFERROR(INDEX(Venues!$M$2:$M$17,MATCH(Z65,Venues!$A$2:$A$17,0)),"")</f>
        <v/>
      </c>
      <c r="AE65" s="14">
        <f>IFERROR(INDEX(Venues!$N$2:$N$17,MATCH(Z65,Venues!$A$2:$A$17,0)),"5-a-side")</f>
        <v/>
      </c>
      <c r="AF65" s="16">
        <f>IF(Offer!$C$4="","",Offer!$C$4)</f>
        <v/>
      </c>
      <c r="AG65" s="14">
        <f>Z65&amp;" ("&amp;AA65&amp;" min walk) · "&amp;IF(ISNUMBER(AD65),TEXT(AD65,"ddd d mmm, hh:mm"),"slot to confirm with venue")&amp;" · "&amp;AE65&amp;" · "&amp;IF(AF65&lt;&gt;"","£"&amp;TEXT(AF65,"0.00")&amp;" pp","price TBC")</f>
        <v/>
      </c>
      <c r="AH65" s="14">
        <f>IF(U65&lt;&gt;"",U65,IF(H65&lt;&gt;"",H65,""))</f>
        <v/>
      </c>
      <c r="AI65" s="14">
        <f>"After-work football for "&amp;F65&amp;" · "&amp;Z65&amp;", "&amp;AA65&amp;" min from your office"</f>
        <v/>
      </c>
      <c r="AJ65" s="14">
        <f>"Hi "&amp;IF(R65&lt;&gt;"",R65,F65&amp;" team")&amp;","&amp;CHAR(10)&amp;CHAR(10)&amp;"I'm "&amp;IF(AM65&lt;&gt;"",AM65,IF(Offer!$C$5&lt;&gt;"",Offer!$C$5,"[NAME]"))&amp;" from FC Urban. We organise after-work football for teams in the City and Canary Wharf."&amp;CHAR(10)&amp;CHAR(10)&amp;"We have a "&amp;AE65&amp;" pitch at "&amp;Z65&amp;", "&amp;IF(OR(AA65=8,AA65=11,AA65=18),"an ","a ")&amp;AA65&amp;"-minute walk from your "&amp;P65&amp;" office, "&amp;IF(ISNUMBER(AD65),"on "&amp;TEXT(AD65,"dddd d mmmm")&amp;" at "&amp;TEXT(AD65,"hh:mm"),"on a weekday evening that suits your team")&amp;". It's "&amp;IF(AF65&lt;&gt;"","£"&amp;IF(AF65=INT(AF65),TEXT(AF65,"0"),TEXT(AF65,"0.00")),"[PRICE PER PLAYER]")&amp;" a player and we handle the pitch booking, sign-ups and payments, so all it takes is one person sharing a link with the team."&amp;CHAR(10)&amp;CHAR(10)&amp;"It works well as a team social or "&amp;IF(ISNUMBER(SEARCH(LEFT(F65,1),"AEIOU")),"an ","a ")&amp;F65&amp;"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LINK]")&amp;CHAR(10)&amp;CHAR(10)&amp;"Best,"&amp;CHAR(10)&amp;IF(AM65&lt;&gt;"",AM65,IF(Offer!$C$5&lt;&gt;"",Offer!$C$5,"[NAME]"))&amp;CHAR(10)&amp;"FC Urban"</f>
        <v/>
      </c>
      <c r="AK65" s="14">
        <f>"Hi "&amp;IF(R65&lt;&gt;"",R65,F65&amp;" team")&amp;","&amp;CHAR(10)&amp;CHAR(10)&amp;"Just bumping this up. The "&amp;AE65&amp;" pitch at "&amp;Z65&amp;" is still free "&amp;IF(ISNUMBER(AD65),TEXT(AD65,"ddd d mmm")&amp;", "&amp;TEXT(AD65,"hh:mm"),"weekday evenings")&amp;", "&amp;IF(OR(AA65=8,AA65=11,AA65=18),"an ","a ")&amp;AA65&amp;"-minute walk from your office, "&amp;IF(AF65&lt;&gt;"","£"&amp;IF(AF65=INT(AF65),TEXT(AF65,"0"),TEXT(AF65,"0.00")),"[PRICE PER PLAYER]")&amp;" a player. Happy to hold it for "&amp;F65&amp;"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LINK]")&amp;CHAR(10)&amp;CHAR(10)&amp;"Best,"&amp;CHAR(10)&amp;IF(AM65&lt;&gt;"",AM65,IF(Offer!$C$5&lt;&gt;"",Offer!$C$5,"[NAME]"))&amp;CHAR(10)&amp;"FC Urban"</f>
        <v/>
      </c>
      <c r="AL65" s="14">
        <f>IF(AH65="","No email yet",IF(ISNUMBER(SEARCH("[",AJ65)),"Fill placeholders",IF(ISNUMBER(AD65),"Ready to send","Ready · no fixed slot")))</f>
        <v/>
      </c>
      <c r="AO65" s="17" t="n"/>
      <c r="AP65" s="17" t="n"/>
    </row>
    <row r="66">
      <c r="A66" s="11" t="n">
        <v>64</v>
      </c>
      <c r="B66" s="11" t="n">
        <v>2</v>
      </c>
      <c r="C66" s="11" t="inlineStr">
        <is>
          <t>Law firm</t>
        </is>
      </c>
      <c r="D66" s="11" t="inlineStr">
        <is>
          <t>City of London</t>
        </is>
      </c>
      <c r="E66" s="11" t="inlineStr">
        <is>
          <t>Steptoe International (UK) LLP</t>
        </is>
      </c>
      <c r="F66" s="11" t="inlineStr">
        <is>
          <t>Steptoe</t>
        </is>
      </c>
      <c r="G66" s="12" t="inlineStr">
        <is>
          <t>https://www.steptoe.com</t>
        </is>
      </c>
      <c r="H66" s="11" t="inlineStr">
        <is>
          <t>london@steptoe.com</t>
        </is>
      </c>
      <c r="I66" s="11" t="inlineStr">
        <is>
          <t>general</t>
        </is>
      </c>
      <c r="J66" s="12" t="inlineStr">
        <is>
          <t>Open page</t>
        </is>
      </c>
      <c r="K66" s="11" t="inlineStr">
        <is>
          <t>OC395074</t>
        </is>
      </c>
      <c r="L66" s="12" t="inlineStr">
        <is>
          <t>Open</t>
        </is>
      </c>
      <c r="M66" s="11" t="inlineStr">
        <is>
          <t>Full</t>
        </is>
      </c>
      <c r="N66" s="13" t="n">
        <v>41885</v>
      </c>
      <c r="O66" s="11" t="inlineStr">
        <is>
          <t>5 Aldermanbury Square, London</t>
        </is>
      </c>
      <c r="P66" s="11" t="inlineStr">
        <is>
          <t>EC2V 7HR</t>
        </is>
      </c>
      <c r="Q66" s="11" t="inlineStr">
        <is>
          <t>No</t>
        </is>
      </c>
      <c r="W66" s="11" t="inlineStr">
        <is>
          <t>City of London School (EC4V 3AL)</t>
        </is>
      </c>
      <c r="X66" s="11" t="n">
        <v>13</v>
      </c>
      <c r="Y66" s="11" t="inlineStr">
        <is>
          <t>Finsbury Leisure Centre (EC1V 3PU) (16.3)</t>
        </is>
      </c>
      <c r="Z66" s="11" t="inlineStr">
        <is>
          <t>City of London School (EC4V 3AL)</t>
        </is>
      </c>
      <c r="AA66" s="11" t="n">
        <v>13</v>
      </c>
      <c r="AB66" s="14">
        <f>IFERROR(INDEX(Venues!$E$2:$E$17,MATCH(Z66,Venues!$A$2:$A$17,0)),"Not checked")</f>
        <v/>
      </c>
      <c r="AC66" s="14">
        <f>IFERROR(INDEX(Venues!$F$2:$F$17,MATCH(Z66,Venues!$A$2:$A$17,0)),0)</f>
        <v/>
      </c>
      <c r="AD66" s="15">
        <f>IFERROR(INDEX(Venues!$M$2:$M$17,MATCH(Z66,Venues!$A$2:$A$17,0)),"")</f>
        <v/>
      </c>
      <c r="AE66" s="14">
        <f>IFERROR(INDEX(Venues!$N$2:$N$17,MATCH(Z66,Venues!$A$2:$A$17,0)),"5-a-side")</f>
        <v/>
      </c>
      <c r="AF66" s="16">
        <f>IF(Offer!$C$4="","",Offer!$C$4)</f>
        <v/>
      </c>
      <c r="AG66" s="14">
        <f>Z66&amp;" ("&amp;AA66&amp;" min walk) · "&amp;IF(ISNUMBER(AD66),TEXT(AD66,"ddd d mmm, hh:mm"),"slot to confirm with venue")&amp;" · "&amp;AE66&amp;" · "&amp;IF(AF66&lt;&gt;"","£"&amp;TEXT(AF66,"0.00")&amp;" pp","price TBC")</f>
        <v/>
      </c>
      <c r="AH66" s="14">
        <f>IF(U66&lt;&gt;"",U66,IF(H66&lt;&gt;"",H66,""))</f>
        <v/>
      </c>
      <c r="AI66" s="14">
        <f>"After-work football for "&amp;F66&amp;" · "&amp;Z66&amp;", "&amp;AA66&amp;" min from your office"</f>
        <v/>
      </c>
      <c r="AJ66" s="14">
        <f>"Hi "&amp;IF(R66&lt;&gt;"",R66,F66&amp;" team")&amp;","&amp;CHAR(10)&amp;CHAR(10)&amp;"I'm "&amp;IF(AM66&lt;&gt;"",AM66,IF(Offer!$C$5&lt;&gt;"",Offer!$C$5,"[NAME]"))&amp;" from FC Urban. We organise after-work football for teams in the City and Canary Wharf."&amp;CHAR(10)&amp;CHAR(10)&amp;"We have a "&amp;AE66&amp;" pitch at "&amp;Z66&amp;", "&amp;IF(OR(AA66=8,AA66=11,AA66=18),"an ","a ")&amp;AA66&amp;"-minute walk from your "&amp;P66&amp;" office, "&amp;IF(ISNUMBER(AD66),"on "&amp;TEXT(AD66,"dddd d mmmm")&amp;" at "&amp;TEXT(AD66,"hh:mm"),"on a weekday evening that suits your team")&amp;". It's "&amp;IF(AF66&lt;&gt;"","£"&amp;IF(AF66=INT(AF66),TEXT(AF66,"0"),TEXT(AF66,"0.00")),"[PRICE PER PLAYER]")&amp;" a player and we handle the pitch booking, sign-ups and payments, so all it takes is one person sharing a link with the team."&amp;CHAR(10)&amp;CHAR(10)&amp;"It works well as a team social or "&amp;IF(ISNUMBER(SEARCH(LEFT(F66,1),"AEIOU")),"an ","a ")&amp;F66&amp;"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LINK]")&amp;CHAR(10)&amp;CHAR(10)&amp;"Best,"&amp;CHAR(10)&amp;IF(AM66&lt;&gt;"",AM66,IF(Offer!$C$5&lt;&gt;"",Offer!$C$5,"[NAME]"))&amp;CHAR(10)&amp;"FC Urban"</f>
        <v/>
      </c>
      <c r="AK66" s="14">
        <f>"Hi "&amp;IF(R66&lt;&gt;"",R66,F66&amp;" team")&amp;","&amp;CHAR(10)&amp;CHAR(10)&amp;"Just bumping this up. The "&amp;AE66&amp;" pitch at "&amp;Z66&amp;" is still free "&amp;IF(ISNUMBER(AD66),TEXT(AD66,"ddd d mmm")&amp;", "&amp;TEXT(AD66,"hh:mm"),"weekday evenings")&amp;", "&amp;IF(OR(AA66=8,AA66=11,AA66=18),"an ","a ")&amp;AA66&amp;"-minute walk from your office, "&amp;IF(AF66&lt;&gt;"","£"&amp;IF(AF66=INT(AF66),TEXT(AF66,"0"),TEXT(AF66,"0.00")),"[PRICE PER PLAYER]")&amp;" a player. Happy to hold it for "&amp;F66&amp;"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LINK]")&amp;CHAR(10)&amp;CHAR(10)&amp;"Best,"&amp;CHAR(10)&amp;IF(AM66&lt;&gt;"",AM66,IF(Offer!$C$5&lt;&gt;"",Offer!$C$5,"[NAME]"))&amp;CHAR(10)&amp;"FC Urban"</f>
        <v/>
      </c>
      <c r="AL66" s="14">
        <f>IF(AH66="","No email yet",IF(ISNUMBER(SEARCH("[",AJ66)),"Fill placeholders",IF(ISNUMBER(AD66),"Ready to send","Ready · no fixed slot")))</f>
        <v/>
      </c>
      <c r="AO66" s="17" t="n"/>
      <c r="AP66" s="17" t="n"/>
    </row>
    <row r="67">
      <c r="A67" s="11" t="n">
        <v>65</v>
      </c>
      <c r="B67" s="11" t="n">
        <v>2</v>
      </c>
      <c r="C67" s="11" t="inlineStr">
        <is>
          <t>Law firm</t>
        </is>
      </c>
      <c r="D67" s="11" t="inlineStr">
        <is>
          <t>City of London</t>
        </is>
      </c>
      <c r="E67" s="11" t="inlineStr">
        <is>
          <t>Winston &amp; Strawn London LLP</t>
        </is>
      </c>
      <c r="F67" s="11" t="inlineStr">
        <is>
          <t>Winston &amp; Strawn London</t>
        </is>
      </c>
      <c r="G67" s="12" t="inlineStr">
        <is>
          <t>https://www.winston.com</t>
        </is>
      </c>
      <c r="H67" s="11" t="inlineStr">
        <is>
          <t>info@winston.com</t>
        </is>
      </c>
      <c r="I67" s="11" t="inlineStr">
        <is>
          <t>general</t>
        </is>
      </c>
      <c r="J67" s="12" t="inlineStr">
        <is>
          <t>Open page</t>
        </is>
      </c>
      <c r="K67" s="11" t="inlineStr">
        <is>
          <t>OC386268</t>
        </is>
      </c>
      <c r="L67" s="12" t="inlineStr">
        <is>
          <t>Open</t>
        </is>
      </c>
      <c r="M67" s="11" t="inlineStr">
        <is>
          <t>Full</t>
        </is>
      </c>
      <c r="N67" s="13" t="n">
        <v>41453</v>
      </c>
      <c r="O67" s="11" t="inlineStr">
        <is>
          <t>5 New Street Square, London</t>
        </is>
      </c>
      <c r="P67" s="11" t="inlineStr">
        <is>
          <t>EC4A 3TW</t>
        </is>
      </c>
      <c r="Q67" s="11" t="inlineStr">
        <is>
          <t>No</t>
        </is>
      </c>
      <c r="W67" s="11" t="inlineStr">
        <is>
          <t>City of London School (EC4V 3AL)</t>
        </is>
      </c>
      <c r="X67" s="11" t="n">
        <v>13</v>
      </c>
      <c r="Y67" s="11" t="n"/>
      <c r="Z67" s="11" t="inlineStr">
        <is>
          <t>City of London School (EC4V 3AL)</t>
        </is>
      </c>
      <c r="AA67" s="11" t="n">
        <v>13</v>
      </c>
      <c r="AB67" s="14">
        <f>IFERROR(INDEX(Venues!$E$2:$E$17,MATCH(Z67,Venues!$A$2:$A$17,0)),"Not checked")</f>
        <v/>
      </c>
      <c r="AC67" s="14">
        <f>IFERROR(INDEX(Venues!$F$2:$F$17,MATCH(Z67,Venues!$A$2:$A$17,0)),0)</f>
        <v/>
      </c>
      <c r="AD67" s="15">
        <f>IFERROR(INDEX(Venues!$M$2:$M$17,MATCH(Z67,Venues!$A$2:$A$17,0)),"")</f>
        <v/>
      </c>
      <c r="AE67" s="14">
        <f>IFERROR(INDEX(Venues!$N$2:$N$17,MATCH(Z67,Venues!$A$2:$A$17,0)),"5-a-side")</f>
        <v/>
      </c>
      <c r="AF67" s="16">
        <f>IF(Offer!$C$4="","",Offer!$C$4)</f>
        <v/>
      </c>
      <c r="AG67" s="14">
        <f>Z67&amp;" ("&amp;AA67&amp;" min walk) · "&amp;IF(ISNUMBER(AD67),TEXT(AD67,"ddd d mmm, hh:mm"),"slot to confirm with venue")&amp;" · "&amp;AE67&amp;" · "&amp;IF(AF67&lt;&gt;"","£"&amp;TEXT(AF67,"0.00")&amp;" pp","price TBC")</f>
        <v/>
      </c>
      <c r="AH67" s="14">
        <f>IF(U67&lt;&gt;"",U67,IF(H67&lt;&gt;"",H67,""))</f>
        <v/>
      </c>
      <c r="AI67" s="14">
        <f>"After-work football for "&amp;F67&amp;" · "&amp;Z67&amp;", "&amp;AA67&amp;" min from your office"</f>
        <v/>
      </c>
      <c r="AJ67" s="14">
        <f>"Hi "&amp;IF(R67&lt;&gt;"",R67,F67&amp;" team")&amp;","&amp;CHAR(10)&amp;CHAR(10)&amp;"I'm "&amp;IF(AM67&lt;&gt;"",AM67,IF(Offer!$C$5&lt;&gt;"",Offer!$C$5,"[NAME]"))&amp;" from FC Urban. We organise after-work football for teams in the City and Canary Wharf."&amp;CHAR(10)&amp;CHAR(10)&amp;"We have a "&amp;AE67&amp;" pitch at "&amp;Z67&amp;", "&amp;IF(OR(AA67=8,AA67=11,AA67=18),"an ","a ")&amp;AA67&amp;"-minute walk from your "&amp;P67&amp;" office, "&amp;IF(ISNUMBER(AD67),"on "&amp;TEXT(AD67,"dddd d mmmm")&amp;" at "&amp;TEXT(AD67,"hh:mm"),"on a weekday evening that suits your team")&amp;". It's "&amp;IF(AF67&lt;&gt;"","£"&amp;IF(AF67=INT(AF67),TEXT(AF67,"0"),TEXT(AF67,"0.00")),"[PRICE PER PLAYER]")&amp;" a player and we handle the pitch booking, sign-ups and payments, so all it takes is one person sharing a link with the team."&amp;CHAR(10)&amp;CHAR(10)&amp;"It works well as a team social or "&amp;IF(ISNUMBER(SEARCH(LEFT(F67,1),"AEIOU")),"an ","a ")&amp;F67&amp;"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LINK]")&amp;CHAR(10)&amp;CHAR(10)&amp;"Best,"&amp;CHAR(10)&amp;IF(AM67&lt;&gt;"",AM67,IF(Offer!$C$5&lt;&gt;"",Offer!$C$5,"[NAME]"))&amp;CHAR(10)&amp;"FC Urban"</f>
        <v/>
      </c>
      <c r="AK67" s="14">
        <f>"Hi "&amp;IF(R67&lt;&gt;"",R67,F67&amp;" team")&amp;","&amp;CHAR(10)&amp;CHAR(10)&amp;"Just bumping this up. The "&amp;AE67&amp;" pitch at "&amp;Z67&amp;" is still free "&amp;IF(ISNUMBER(AD67),TEXT(AD67,"ddd d mmm")&amp;", "&amp;TEXT(AD67,"hh:mm"),"weekday evenings")&amp;", "&amp;IF(OR(AA67=8,AA67=11,AA67=18),"an ","a ")&amp;AA67&amp;"-minute walk from your office, "&amp;IF(AF67&lt;&gt;"","£"&amp;IF(AF67=INT(AF67),TEXT(AF67,"0"),TEXT(AF67,"0.00")),"[PRICE PER PLAYER]")&amp;" a player. Happy to hold it for "&amp;F67&amp;"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LINK]")&amp;CHAR(10)&amp;CHAR(10)&amp;"Best,"&amp;CHAR(10)&amp;IF(AM67&lt;&gt;"",AM67,IF(Offer!$C$5&lt;&gt;"",Offer!$C$5,"[NAME]"))&amp;CHAR(10)&amp;"FC Urban"</f>
        <v/>
      </c>
      <c r="AL67" s="14">
        <f>IF(AH67="","No email yet",IF(ISNUMBER(SEARCH("[",AJ67)),"Fill placeholders",IF(ISNUMBER(AD67),"Ready to send","Ready · no fixed slot")))</f>
        <v/>
      </c>
      <c r="AO67" s="17" t="n"/>
      <c r="AP67" s="17" t="n"/>
    </row>
    <row r="68">
      <c r="A68" s="11" t="n">
        <v>66</v>
      </c>
      <c r="B68" s="11" t="n">
        <v>2</v>
      </c>
      <c r="C68" s="11" t="inlineStr">
        <is>
          <t>Law firm</t>
        </is>
      </c>
      <c r="D68" s="11" t="inlineStr">
        <is>
          <t>City of London</t>
        </is>
      </c>
      <c r="E68" s="11" t="inlineStr">
        <is>
          <t>Peters &amp; Peters Solicitors LLP</t>
        </is>
      </c>
      <c r="F68" s="11" t="inlineStr">
        <is>
          <t>Peters &amp; Peters Solicitors</t>
        </is>
      </c>
      <c r="G68" s="12" t="inlineStr">
        <is>
          <t>https://www.petersandpeters.com</t>
        </is>
      </c>
      <c r="H68" s="11" t="inlineStr">
        <is>
          <t>law@petersandpeters.com</t>
        </is>
      </c>
      <c r="I68" s="11" t="inlineStr">
        <is>
          <t>named person</t>
        </is>
      </c>
      <c r="J68" s="12" t="inlineStr">
        <is>
          <t>Open page</t>
        </is>
      </c>
      <c r="K68" s="11" t="inlineStr">
        <is>
          <t>OC352134</t>
        </is>
      </c>
      <c r="L68" s="12" t="inlineStr">
        <is>
          <t>Open</t>
        </is>
      </c>
      <c r="M68" s="11" t="inlineStr">
        <is>
          <t>Full</t>
        </is>
      </c>
      <c r="N68" s="13" t="n">
        <v>40217</v>
      </c>
      <c r="O68" s="11" t="inlineStr">
        <is>
          <t>15 Fetter Lane, London</t>
        </is>
      </c>
      <c r="P68" s="11" t="inlineStr">
        <is>
          <t>EC4A 1BW</t>
        </is>
      </c>
      <c r="Q68" s="11" t="inlineStr">
        <is>
          <t>No</t>
        </is>
      </c>
      <c r="W68" s="11" t="inlineStr">
        <is>
          <t>City of London School (EC4V 3AL)</t>
        </is>
      </c>
      <c r="X68" s="11" t="n">
        <v>13</v>
      </c>
      <c r="Y68" s="11" t="n"/>
      <c r="Z68" s="11" t="inlineStr">
        <is>
          <t>City of London School (EC4V 3AL)</t>
        </is>
      </c>
      <c r="AA68" s="11" t="n">
        <v>13</v>
      </c>
      <c r="AB68" s="14">
        <f>IFERROR(INDEX(Venues!$E$2:$E$17,MATCH(Z68,Venues!$A$2:$A$17,0)),"Not checked")</f>
        <v/>
      </c>
      <c r="AC68" s="14">
        <f>IFERROR(INDEX(Venues!$F$2:$F$17,MATCH(Z68,Venues!$A$2:$A$17,0)),0)</f>
        <v/>
      </c>
      <c r="AD68" s="15">
        <f>IFERROR(INDEX(Venues!$M$2:$M$17,MATCH(Z68,Venues!$A$2:$A$17,0)),"")</f>
        <v/>
      </c>
      <c r="AE68" s="14">
        <f>IFERROR(INDEX(Venues!$N$2:$N$17,MATCH(Z68,Venues!$A$2:$A$17,0)),"5-a-side")</f>
        <v/>
      </c>
      <c r="AF68" s="16">
        <f>IF(Offer!$C$4="","",Offer!$C$4)</f>
        <v/>
      </c>
      <c r="AG68" s="14">
        <f>Z68&amp;" ("&amp;AA68&amp;" min walk) · "&amp;IF(ISNUMBER(AD68),TEXT(AD68,"ddd d mmm, hh:mm"),"slot to confirm with venue")&amp;" · "&amp;AE68&amp;" · "&amp;IF(AF68&lt;&gt;"","£"&amp;TEXT(AF68,"0.00")&amp;" pp","price TBC")</f>
        <v/>
      </c>
      <c r="AH68" s="14">
        <f>IF(U68&lt;&gt;"",U68,IF(H68&lt;&gt;"",H68,""))</f>
        <v/>
      </c>
      <c r="AI68" s="14">
        <f>"After-work football for "&amp;F68&amp;" · "&amp;Z68&amp;", "&amp;AA68&amp;" min from your office"</f>
        <v/>
      </c>
      <c r="AJ68" s="14">
        <f>"Hi "&amp;IF(R68&lt;&gt;"",R68,F68&amp;" team")&amp;","&amp;CHAR(10)&amp;CHAR(10)&amp;"I'm "&amp;IF(AM68&lt;&gt;"",AM68,IF(Offer!$C$5&lt;&gt;"",Offer!$C$5,"[NAME]"))&amp;" from FC Urban. We organise after-work football for teams in the City and Canary Wharf."&amp;CHAR(10)&amp;CHAR(10)&amp;"We have a "&amp;AE68&amp;" pitch at "&amp;Z68&amp;", "&amp;IF(OR(AA68=8,AA68=11,AA68=18),"an ","a ")&amp;AA68&amp;"-minute walk from your "&amp;P68&amp;" office, "&amp;IF(ISNUMBER(AD68),"on "&amp;TEXT(AD68,"dddd d mmmm")&amp;" at "&amp;TEXT(AD68,"hh:mm"),"on a weekday evening that suits your team")&amp;". It's "&amp;IF(AF68&lt;&gt;"","£"&amp;IF(AF68=INT(AF68),TEXT(AF68,"0"),TEXT(AF68,"0.00")),"[PRICE PER PLAYER]")&amp;" a player and we handle the pitch booking, sign-ups and payments, so all it takes is one person sharing a link with the team."&amp;CHAR(10)&amp;CHAR(10)&amp;"It works well as a team social or "&amp;IF(ISNUMBER(SEARCH(LEFT(F68,1),"AEIOU")),"an ","a ")&amp;F68&amp;"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LINK]")&amp;CHAR(10)&amp;CHAR(10)&amp;"Best,"&amp;CHAR(10)&amp;IF(AM68&lt;&gt;"",AM68,IF(Offer!$C$5&lt;&gt;"",Offer!$C$5,"[NAME]"))&amp;CHAR(10)&amp;"FC Urban"</f>
        <v/>
      </c>
      <c r="AK68" s="14">
        <f>"Hi "&amp;IF(R68&lt;&gt;"",R68,F68&amp;" team")&amp;","&amp;CHAR(10)&amp;CHAR(10)&amp;"Just bumping this up. The "&amp;AE68&amp;" pitch at "&amp;Z68&amp;" is still free "&amp;IF(ISNUMBER(AD68),TEXT(AD68,"ddd d mmm")&amp;", "&amp;TEXT(AD68,"hh:mm"),"weekday evenings")&amp;", "&amp;IF(OR(AA68=8,AA68=11,AA68=18),"an ","a ")&amp;AA68&amp;"-minute walk from your office, "&amp;IF(AF68&lt;&gt;"","£"&amp;IF(AF68=INT(AF68),TEXT(AF68,"0"),TEXT(AF68,"0.00")),"[PRICE PER PLAYER]")&amp;" a player. Happy to hold it for "&amp;F68&amp;"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LINK]")&amp;CHAR(10)&amp;CHAR(10)&amp;"Best,"&amp;CHAR(10)&amp;IF(AM68&lt;&gt;"",AM68,IF(Offer!$C$5&lt;&gt;"",Offer!$C$5,"[NAME]"))&amp;CHAR(10)&amp;"FC Urban"</f>
        <v/>
      </c>
      <c r="AL68" s="14">
        <f>IF(AH68="","No email yet",IF(ISNUMBER(SEARCH("[",AJ68)),"Fill placeholders",IF(ISNUMBER(AD68),"Ready to send","Ready · no fixed slot")))</f>
        <v/>
      </c>
      <c r="AO68" s="17" t="n"/>
      <c r="AP68" s="17" t="n"/>
    </row>
    <row r="69">
      <c r="A69" s="11" t="n">
        <v>67</v>
      </c>
      <c r="B69" s="11" t="n">
        <v>2</v>
      </c>
      <c r="C69" s="11" t="inlineStr">
        <is>
          <t>Law firm</t>
        </is>
      </c>
      <c r="D69" s="11" t="inlineStr">
        <is>
          <t>City of London</t>
        </is>
      </c>
      <c r="E69" s="11" t="inlineStr">
        <is>
          <t>Dac Beachcroft Claims Limited</t>
        </is>
      </c>
      <c r="F69" s="11" t="inlineStr">
        <is>
          <t>Dac Beachcroft Claims</t>
        </is>
      </c>
      <c r="G69" s="12" t="inlineStr">
        <is>
          <t>https://www.dacbeachcroft.com</t>
        </is>
      </c>
      <c r="H69" s="11" t="inlineStr">
        <is>
          <t>london@dacbeachcroft.com</t>
        </is>
      </c>
      <c r="I69" s="11" t="inlineStr">
        <is>
          <t>general</t>
        </is>
      </c>
      <c r="J69" s="12" t="inlineStr">
        <is>
          <t>Open page</t>
        </is>
      </c>
      <c r="K69" s="11" t="inlineStr">
        <is>
          <t>04218278</t>
        </is>
      </c>
      <c r="L69" s="12" t="inlineStr">
        <is>
          <t>Open</t>
        </is>
      </c>
      <c r="M69" s="11" t="inlineStr">
        <is>
          <t>Full</t>
        </is>
      </c>
      <c r="N69" s="13" t="n">
        <v>37027</v>
      </c>
      <c r="O69" s="11" t="inlineStr">
        <is>
          <t>Woolgate, 25 Basinghall Street, London</t>
        </is>
      </c>
      <c r="P69" s="11" t="inlineStr">
        <is>
          <t>EC2V 5HA</t>
        </is>
      </c>
      <c r="Q69" s="11" t="inlineStr">
        <is>
          <t>No</t>
        </is>
      </c>
      <c r="W69" s="11" t="inlineStr">
        <is>
          <t>City of London School (EC4V 3AL)</t>
        </is>
      </c>
      <c r="X69" s="11" t="n">
        <v>13</v>
      </c>
      <c r="Y69" s="11" t="inlineStr">
        <is>
          <t>Finsbury Leisure Centre (EC1V 3PU) (18.5)</t>
        </is>
      </c>
      <c r="Z69" s="11" t="inlineStr">
        <is>
          <t>City of London School (EC4V 3AL)</t>
        </is>
      </c>
      <c r="AA69" s="11" t="n">
        <v>13</v>
      </c>
      <c r="AB69" s="14">
        <f>IFERROR(INDEX(Venues!$E$2:$E$17,MATCH(Z69,Venues!$A$2:$A$17,0)),"Not checked")</f>
        <v/>
      </c>
      <c r="AC69" s="14">
        <f>IFERROR(INDEX(Venues!$F$2:$F$17,MATCH(Z69,Venues!$A$2:$A$17,0)),0)</f>
        <v/>
      </c>
      <c r="AD69" s="15">
        <f>IFERROR(INDEX(Venues!$M$2:$M$17,MATCH(Z69,Venues!$A$2:$A$17,0)),"")</f>
        <v/>
      </c>
      <c r="AE69" s="14">
        <f>IFERROR(INDEX(Venues!$N$2:$N$17,MATCH(Z69,Venues!$A$2:$A$17,0)),"5-a-side")</f>
        <v/>
      </c>
      <c r="AF69" s="16">
        <f>IF(Offer!$C$4="","",Offer!$C$4)</f>
        <v/>
      </c>
      <c r="AG69" s="14">
        <f>Z69&amp;" ("&amp;AA69&amp;" min walk) · "&amp;IF(ISNUMBER(AD69),TEXT(AD69,"ddd d mmm, hh:mm"),"slot to confirm with venue")&amp;" · "&amp;AE69&amp;" · "&amp;IF(AF69&lt;&gt;"","£"&amp;TEXT(AF69,"0.00")&amp;" pp","price TBC")</f>
        <v/>
      </c>
      <c r="AH69" s="14">
        <f>IF(U69&lt;&gt;"",U69,IF(H69&lt;&gt;"",H69,""))</f>
        <v/>
      </c>
      <c r="AI69" s="14">
        <f>"After-work football for "&amp;F69&amp;" · "&amp;Z69&amp;", "&amp;AA69&amp;" min from your office"</f>
        <v/>
      </c>
      <c r="AJ69" s="14">
        <f>"Hi "&amp;IF(R69&lt;&gt;"",R69,F69&amp;" team")&amp;","&amp;CHAR(10)&amp;CHAR(10)&amp;"I'm "&amp;IF(AM69&lt;&gt;"",AM69,IF(Offer!$C$5&lt;&gt;"",Offer!$C$5,"[NAME]"))&amp;" from FC Urban. We organise after-work football for teams in the City and Canary Wharf."&amp;CHAR(10)&amp;CHAR(10)&amp;"We have a "&amp;AE69&amp;" pitch at "&amp;Z69&amp;", "&amp;IF(OR(AA69=8,AA69=11,AA69=18),"an ","a ")&amp;AA69&amp;"-minute walk from your "&amp;P69&amp;" office, "&amp;IF(ISNUMBER(AD69),"on "&amp;TEXT(AD69,"dddd d mmmm")&amp;" at "&amp;TEXT(AD69,"hh:mm"),"on a weekday evening that suits your team")&amp;". It's "&amp;IF(AF69&lt;&gt;"","£"&amp;IF(AF69=INT(AF69),TEXT(AF69,"0"),TEXT(AF69,"0.00")),"[PRICE PER PLAYER]")&amp;" a player and we handle the pitch booking, sign-ups and payments, so all it takes is one person sharing a link with the team."&amp;CHAR(10)&amp;CHAR(10)&amp;"It works well as a team social or "&amp;IF(ISNUMBER(SEARCH(LEFT(F69,1),"AEIOU")),"an ","a ")&amp;F69&amp;"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LINK]")&amp;CHAR(10)&amp;CHAR(10)&amp;"Best,"&amp;CHAR(10)&amp;IF(AM69&lt;&gt;"",AM69,IF(Offer!$C$5&lt;&gt;"",Offer!$C$5,"[NAME]"))&amp;CHAR(10)&amp;"FC Urban"</f>
        <v/>
      </c>
      <c r="AK69" s="14">
        <f>"Hi "&amp;IF(R69&lt;&gt;"",R69,F69&amp;" team")&amp;","&amp;CHAR(10)&amp;CHAR(10)&amp;"Just bumping this up. The "&amp;AE69&amp;" pitch at "&amp;Z69&amp;" is still free "&amp;IF(ISNUMBER(AD69),TEXT(AD69,"ddd d mmm")&amp;", "&amp;TEXT(AD69,"hh:mm"),"weekday evenings")&amp;", "&amp;IF(OR(AA69=8,AA69=11,AA69=18),"an ","a ")&amp;AA69&amp;"-minute walk from your office, "&amp;IF(AF69&lt;&gt;"","£"&amp;IF(AF69=INT(AF69),TEXT(AF69,"0"),TEXT(AF69,"0.00")),"[PRICE PER PLAYER]")&amp;" a player. Happy to hold it for "&amp;F69&amp;"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LINK]")&amp;CHAR(10)&amp;CHAR(10)&amp;"Best,"&amp;CHAR(10)&amp;IF(AM69&lt;&gt;"",AM69,IF(Offer!$C$5&lt;&gt;"",Offer!$C$5,"[NAME]"))&amp;CHAR(10)&amp;"FC Urban"</f>
        <v/>
      </c>
      <c r="AL69" s="14">
        <f>IF(AH69="","No email yet",IF(ISNUMBER(SEARCH("[",AJ69)),"Fill placeholders",IF(ISNUMBER(AD69),"Ready to send","Ready · no fixed slot")))</f>
        <v/>
      </c>
      <c r="AO69" s="17" t="n"/>
      <c r="AP69" s="17" t="n"/>
    </row>
    <row r="70">
      <c r="A70" s="11" t="n">
        <v>68</v>
      </c>
      <c r="B70" s="11" t="n">
        <v>2</v>
      </c>
      <c r="C70" s="11" t="inlineStr">
        <is>
          <t>Law firm</t>
        </is>
      </c>
      <c r="D70" s="11" t="inlineStr">
        <is>
          <t>City of London</t>
        </is>
      </c>
      <c r="E70" s="11" t="inlineStr">
        <is>
          <t>MFB Solicitors Limited</t>
        </is>
      </c>
      <c r="F70" s="11" t="inlineStr">
        <is>
          <t>MFB Solicitors</t>
        </is>
      </c>
      <c r="G70" s="12" t="inlineStr">
        <is>
          <t>http://www.m-f-b.co.uk</t>
        </is>
      </c>
      <c r="H70" s="11" t="inlineStr">
        <is>
          <t>mail@m-f-b.co.uk</t>
        </is>
      </c>
      <c r="I70" s="11" t="inlineStr">
        <is>
          <t>general</t>
        </is>
      </c>
      <c r="J70" s="12" t="inlineStr">
        <is>
          <t>Open page</t>
        </is>
      </c>
      <c r="K70" s="11" t="inlineStr">
        <is>
          <t>15399140</t>
        </is>
      </c>
      <c r="L70" s="12" t="inlineStr">
        <is>
          <t>Open</t>
        </is>
      </c>
      <c r="M70" s="11" t="inlineStr">
        <is>
          <t>Medium</t>
        </is>
      </c>
      <c r="N70" s="13" t="n">
        <v>45300</v>
      </c>
      <c r="O70" s="11" t="inlineStr">
        <is>
          <t>Fishmongers' Chambers, 1 Fishmongers' Hall Wharf, London</t>
        </is>
      </c>
      <c r="P70" s="11" t="inlineStr">
        <is>
          <t>EC4R 3AE</t>
        </is>
      </c>
      <c r="Q70" s="11" t="inlineStr">
        <is>
          <t>No</t>
        </is>
      </c>
      <c r="W70" s="11" t="inlineStr">
        <is>
          <t>Marlborough Sports Garden (SE1 1SD)</t>
        </is>
      </c>
      <c r="X70" s="11" t="n">
        <v>12</v>
      </c>
      <c r="Y70" s="11" t="inlineStr">
        <is>
          <t>City of London School (EC4V 3AL) (13.5); Borough Academy (19)</t>
        </is>
      </c>
      <c r="Z70" s="11" t="inlineStr">
        <is>
          <t>City of London School (EC4V 3AL)</t>
        </is>
      </c>
      <c r="AA70" s="11" t="n">
        <v>14</v>
      </c>
      <c r="AB70" s="14">
        <f>IFERROR(INDEX(Venues!$E$2:$E$17,MATCH(Z70,Venues!$A$2:$A$17,0)),"Not checked")</f>
        <v/>
      </c>
      <c r="AC70" s="14">
        <f>IFERROR(INDEX(Venues!$F$2:$F$17,MATCH(Z70,Venues!$A$2:$A$17,0)),0)</f>
        <v/>
      </c>
      <c r="AD70" s="15">
        <f>IFERROR(INDEX(Venues!$M$2:$M$17,MATCH(Z70,Venues!$A$2:$A$17,0)),"")</f>
        <v/>
      </c>
      <c r="AE70" s="14">
        <f>IFERROR(INDEX(Venues!$N$2:$N$17,MATCH(Z70,Venues!$A$2:$A$17,0)),"5-a-side")</f>
        <v/>
      </c>
      <c r="AF70" s="16">
        <f>IF(Offer!$C$4="","",Offer!$C$4)</f>
        <v/>
      </c>
      <c r="AG70" s="14">
        <f>Z70&amp;" ("&amp;AA70&amp;" min walk) · "&amp;IF(ISNUMBER(AD70),TEXT(AD70,"ddd d mmm, hh:mm"),"slot to confirm with venue")&amp;" · "&amp;AE70&amp;" · "&amp;IF(AF70&lt;&gt;"","£"&amp;TEXT(AF70,"0.00")&amp;" pp","price TBC")</f>
        <v/>
      </c>
      <c r="AH70" s="14">
        <f>IF(U70&lt;&gt;"",U70,IF(H70&lt;&gt;"",H70,""))</f>
        <v/>
      </c>
      <c r="AI70" s="14">
        <f>"After-work football for "&amp;F70&amp;" · "&amp;Z70&amp;", "&amp;AA70&amp;" min from your office"</f>
        <v/>
      </c>
      <c r="AJ70" s="14">
        <f>"Hi "&amp;IF(R70&lt;&gt;"",R70,F70&amp;" team")&amp;","&amp;CHAR(10)&amp;CHAR(10)&amp;"I'm "&amp;IF(AM70&lt;&gt;"",AM70,IF(Offer!$C$5&lt;&gt;"",Offer!$C$5,"[NAME]"))&amp;" from FC Urban. We organise after-work football for teams in the City and Canary Wharf."&amp;CHAR(10)&amp;CHAR(10)&amp;"We have a "&amp;AE70&amp;" pitch at "&amp;Z70&amp;", "&amp;IF(OR(AA70=8,AA70=11,AA70=18),"an ","a ")&amp;AA70&amp;"-minute walk from your "&amp;P70&amp;" office, "&amp;IF(ISNUMBER(AD70),"on "&amp;TEXT(AD70,"dddd d mmmm")&amp;" at "&amp;TEXT(AD70,"hh:mm"),"on a weekday evening that suits your team")&amp;". It's "&amp;IF(AF70&lt;&gt;"","£"&amp;IF(AF70=INT(AF70),TEXT(AF70,"0"),TEXT(AF70,"0.00")),"[PRICE PER PLAYER]")&amp;" a player and we handle the pitch booking, sign-ups and payments, so all it takes is one person sharing a link with the team."&amp;CHAR(10)&amp;CHAR(10)&amp;"It works well as a team social or "&amp;IF(ISNUMBER(SEARCH(LEFT(F70,1),"AEIOU")),"an ","a ")&amp;F70&amp;"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LINK]")&amp;CHAR(10)&amp;CHAR(10)&amp;"Best,"&amp;CHAR(10)&amp;IF(AM70&lt;&gt;"",AM70,IF(Offer!$C$5&lt;&gt;"",Offer!$C$5,"[NAME]"))&amp;CHAR(10)&amp;"FC Urban"</f>
        <v/>
      </c>
      <c r="AK70" s="14">
        <f>"Hi "&amp;IF(R70&lt;&gt;"",R70,F70&amp;" team")&amp;","&amp;CHAR(10)&amp;CHAR(10)&amp;"Just bumping this up. The "&amp;AE70&amp;" pitch at "&amp;Z70&amp;" is still free "&amp;IF(ISNUMBER(AD70),TEXT(AD70,"ddd d mmm")&amp;", "&amp;TEXT(AD70,"hh:mm"),"weekday evenings")&amp;", "&amp;IF(OR(AA70=8,AA70=11,AA70=18),"an ","a ")&amp;AA70&amp;"-minute walk from your office, "&amp;IF(AF70&lt;&gt;"","£"&amp;IF(AF70=INT(AF70),TEXT(AF70,"0"),TEXT(AF70,"0.00")),"[PRICE PER PLAYER]")&amp;" a player. Happy to hold it for "&amp;F70&amp;"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LINK]")&amp;CHAR(10)&amp;CHAR(10)&amp;"Best,"&amp;CHAR(10)&amp;IF(AM70&lt;&gt;"",AM70,IF(Offer!$C$5&lt;&gt;"",Offer!$C$5,"[NAME]"))&amp;CHAR(10)&amp;"FC Urban"</f>
        <v/>
      </c>
      <c r="AL70" s="14">
        <f>IF(AH70="","No email yet",IF(ISNUMBER(SEARCH("[",AJ70)),"Fill placeholders",IF(ISNUMBER(AD70),"Ready to send","Ready · no fixed slot")))</f>
        <v/>
      </c>
      <c r="AO70" s="17" t="n"/>
      <c r="AP70" s="17" t="n"/>
    </row>
    <row r="71">
      <c r="A71" s="11" t="n">
        <v>69</v>
      </c>
      <c r="B71" s="11" t="n">
        <v>2</v>
      </c>
      <c r="C71" s="11" t="inlineStr">
        <is>
          <t>Law firm</t>
        </is>
      </c>
      <c r="D71" s="11" t="inlineStr">
        <is>
          <t>City of London</t>
        </is>
      </c>
      <c r="E71" s="11" t="inlineStr">
        <is>
          <t>Stewarts Law LLP</t>
        </is>
      </c>
      <c r="F71" s="11" t="inlineStr">
        <is>
          <t>Stewarts Law</t>
        </is>
      </c>
      <c r="G71" s="12" t="inlineStr">
        <is>
          <t>https://stewarts.com</t>
        </is>
      </c>
      <c r="H71" s="11" t="inlineStr">
        <is>
          <t>info@stewarts.com</t>
        </is>
      </c>
      <c r="I71" s="11" t="inlineStr">
        <is>
          <t>general</t>
        </is>
      </c>
      <c r="J71" s="12" t="inlineStr">
        <is>
          <t>Open page</t>
        </is>
      </c>
      <c r="K71" s="11" t="inlineStr">
        <is>
          <t>OC329883</t>
        </is>
      </c>
      <c r="L71" s="12" t="inlineStr">
        <is>
          <t>Open</t>
        </is>
      </c>
      <c r="M71" s="11" t="inlineStr">
        <is>
          <t>Full</t>
        </is>
      </c>
      <c r="N71" s="13" t="n">
        <v>39280</v>
      </c>
      <c r="O71" s="11" t="inlineStr">
        <is>
          <t>5 New Street Square, London</t>
        </is>
      </c>
      <c r="P71" s="11" t="inlineStr">
        <is>
          <t>EC4A 3BF</t>
        </is>
      </c>
      <c r="Q71" s="11" t="inlineStr">
        <is>
          <t>No</t>
        </is>
      </c>
      <c r="W71" s="11" t="inlineStr">
        <is>
          <t>City of London School (EC4V 3AL)</t>
        </is>
      </c>
      <c r="X71" s="11" t="n">
        <v>14</v>
      </c>
      <c r="Y71" s="11" t="n"/>
      <c r="Z71" s="11" t="inlineStr">
        <is>
          <t>City of London School (EC4V 3AL)</t>
        </is>
      </c>
      <c r="AA71" s="11" t="n">
        <v>14</v>
      </c>
      <c r="AB71" s="14">
        <f>IFERROR(INDEX(Venues!$E$2:$E$17,MATCH(Z71,Venues!$A$2:$A$17,0)),"Not checked")</f>
        <v/>
      </c>
      <c r="AC71" s="14">
        <f>IFERROR(INDEX(Venues!$F$2:$F$17,MATCH(Z71,Venues!$A$2:$A$17,0)),0)</f>
        <v/>
      </c>
      <c r="AD71" s="15">
        <f>IFERROR(INDEX(Venues!$M$2:$M$17,MATCH(Z71,Venues!$A$2:$A$17,0)),"")</f>
        <v/>
      </c>
      <c r="AE71" s="14">
        <f>IFERROR(INDEX(Venues!$N$2:$N$17,MATCH(Z71,Venues!$A$2:$A$17,0)),"5-a-side")</f>
        <v/>
      </c>
      <c r="AF71" s="16">
        <f>IF(Offer!$C$4="","",Offer!$C$4)</f>
        <v/>
      </c>
      <c r="AG71" s="14">
        <f>Z71&amp;" ("&amp;AA71&amp;" min walk) · "&amp;IF(ISNUMBER(AD71),TEXT(AD71,"ddd d mmm, hh:mm"),"slot to confirm with venue")&amp;" · "&amp;AE71&amp;" · "&amp;IF(AF71&lt;&gt;"","£"&amp;TEXT(AF71,"0.00")&amp;" pp","price TBC")</f>
        <v/>
      </c>
      <c r="AH71" s="14">
        <f>IF(U71&lt;&gt;"",U71,IF(H71&lt;&gt;"",H71,""))</f>
        <v/>
      </c>
      <c r="AI71" s="14">
        <f>"After-work football for "&amp;F71&amp;" · "&amp;Z71&amp;", "&amp;AA71&amp;" min from your office"</f>
        <v/>
      </c>
      <c r="AJ71" s="14">
        <f>"Hi "&amp;IF(R71&lt;&gt;"",R71,F71&amp;" team")&amp;","&amp;CHAR(10)&amp;CHAR(10)&amp;"I'm "&amp;IF(AM71&lt;&gt;"",AM71,IF(Offer!$C$5&lt;&gt;"",Offer!$C$5,"[NAME]"))&amp;" from FC Urban. We organise after-work football for teams in the City and Canary Wharf."&amp;CHAR(10)&amp;CHAR(10)&amp;"We have a "&amp;AE71&amp;" pitch at "&amp;Z71&amp;", "&amp;IF(OR(AA71=8,AA71=11,AA71=18),"an ","a ")&amp;AA71&amp;"-minute walk from your "&amp;P71&amp;" office, "&amp;IF(ISNUMBER(AD71),"on "&amp;TEXT(AD71,"dddd d mmmm")&amp;" at "&amp;TEXT(AD71,"hh:mm"),"on a weekday evening that suits your team")&amp;". It's "&amp;IF(AF71&lt;&gt;"","£"&amp;IF(AF71=INT(AF71),TEXT(AF71,"0"),TEXT(AF71,"0.00")),"[PRICE PER PLAYER]")&amp;" a player and we handle the pitch booking, sign-ups and payments, so all it takes is one person sharing a link with the team."&amp;CHAR(10)&amp;CHAR(10)&amp;"It works well as a team social or "&amp;IF(ISNUMBER(SEARCH(LEFT(F71,1),"AEIOU")),"an ","a ")&amp;F71&amp;"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LINK]")&amp;CHAR(10)&amp;CHAR(10)&amp;"Best,"&amp;CHAR(10)&amp;IF(AM71&lt;&gt;"",AM71,IF(Offer!$C$5&lt;&gt;"",Offer!$C$5,"[NAME]"))&amp;CHAR(10)&amp;"FC Urban"</f>
        <v/>
      </c>
      <c r="AK71" s="14">
        <f>"Hi "&amp;IF(R71&lt;&gt;"",R71,F71&amp;" team")&amp;","&amp;CHAR(10)&amp;CHAR(10)&amp;"Just bumping this up. The "&amp;AE71&amp;" pitch at "&amp;Z71&amp;" is still free "&amp;IF(ISNUMBER(AD71),TEXT(AD71,"ddd d mmm")&amp;", "&amp;TEXT(AD71,"hh:mm"),"weekday evenings")&amp;", "&amp;IF(OR(AA71=8,AA71=11,AA71=18),"an ","a ")&amp;AA71&amp;"-minute walk from your office, "&amp;IF(AF71&lt;&gt;"","£"&amp;IF(AF71=INT(AF71),TEXT(AF71,"0"),TEXT(AF71,"0.00")),"[PRICE PER PLAYER]")&amp;" a player. Happy to hold it for "&amp;F71&amp;"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LINK]")&amp;CHAR(10)&amp;CHAR(10)&amp;"Best,"&amp;CHAR(10)&amp;IF(AM71&lt;&gt;"",AM71,IF(Offer!$C$5&lt;&gt;"",Offer!$C$5,"[NAME]"))&amp;CHAR(10)&amp;"FC Urban"</f>
        <v/>
      </c>
      <c r="AL71" s="14">
        <f>IF(AH71="","No email yet",IF(ISNUMBER(SEARCH("[",AJ71)),"Fill placeholders",IF(ISNUMBER(AD71),"Ready to send","Ready · no fixed slot")))</f>
        <v/>
      </c>
      <c r="AO71" s="17" t="n"/>
      <c r="AP71" s="17" t="n"/>
    </row>
    <row r="72">
      <c r="A72" s="11" t="n">
        <v>70</v>
      </c>
      <c r="B72" s="11" t="n">
        <v>2</v>
      </c>
      <c r="C72" s="11" t="inlineStr">
        <is>
          <t>Law firm</t>
        </is>
      </c>
      <c r="D72" s="11" t="inlineStr">
        <is>
          <t>City of London</t>
        </is>
      </c>
      <c r="E72" s="11" t="inlineStr">
        <is>
          <t>Rawlinson &amp; Hunter LLP</t>
        </is>
      </c>
      <c r="F72" s="11" t="inlineStr">
        <is>
          <t>Rawlinson &amp; Hunter</t>
        </is>
      </c>
      <c r="G72" s="12" t="inlineStr">
        <is>
          <t>https://www.rawlinson-hunter.com</t>
        </is>
      </c>
      <c r="H72" s="11" t="inlineStr">
        <is>
          <t>webenquiry@rawlinson-hunter.com</t>
        </is>
      </c>
      <c r="I72" s="11" t="inlineStr">
        <is>
          <t>named person</t>
        </is>
      </c>
      <c r="J72" s="12" t="inlineStr">
        <is>
          <t>Open page</t>
        </is>
      </c>
      <c r="K72" s="11" t="inlineStr">
        <is>
          <t>OC430503</t>
        </is>
      </c>
      <c r="L72" s="12" t="inlineStr">
        <is>
          <t>Open</t>
        </is>
      </c>
      <c r="M72" s="11" t="inlineStr">
        <is>
          <t>Full</t>
        </is>
      </c>
      <c r="N72" s="13" t="n">
        <v>43861</v>
      </c>
      <c r="O72" s="11" t="inlineStr">
        <is>
          <t>Eighth Floor, 6 New Street Square, New Fetter Lane, London</t>
        </is>
      </c>
      <c r="P72" s="11" t="inlineStr">
        <is>
          <t>EC4A 3AQ</t>
        </is>
      </c>
      <c r="Q72" s="11" t="inlineStr">
        <is>
          <t>No</t>
        </is>
      </c>
      <c r="W72" s="11" t="inlineStr">
        <is>
          <t>City of London School (EC4V 3AL)</t>
        </is>
      </c>
      <c r="X72" s="11" t="n">
        <v>14</v>
      </c>
      <c r="Y72" s="11" t="n"/>
      <c r="Z72" s="11" t="inlineStr">
        <is>
          <t>City of London School (EC4V 3AL)</t>
        </is>
      </c>
      <c r="AA72" s="11" t="n">
        <v>14</v>
      </c>
      <c r="AB72" s="14">
        <f>IFERROR(INDEX(Venues!$E$2:$E$17,MATCH(Z72,Venues!$A$2:$A$17,0)),"Not checked")</f>
        <v/>
      </c>
      <c r="AC72" s="14">
        <f>IFERROR(INDEX(Venues!$F$2:$F$17,MATCH(Z72,Venues!$A$2:$A$17,0)),0)</f>
        <v/>
      </c>
      <c r="AD72" s="15">
        <f>IFERROR(INDEX(Venues!$M$2:$M$17,MATCH(Z72,Venues!$A$2:$A$17,0)),"")</f>
        <v/>
      </c>
      <c r="AE72" s="14">
        <f>IFERROR(INDEX(Venues!$N$2:$N$17,MATCH(Z72,Venues!$A$2:$A$17,0)),"5-a-side")</f>
        <v/>
      </c>
      <c r="AF72" s="16">
        <f>IF(Offer!$C$4="","",Offer!$C$4)</f>
        <v/>
      </c>
      <c r="AG72" s="14">
        <f>Z72&amp;" ("&amp;AA72&amp;" min walk) · "&amp;IF(ISNUMBER(AD72),TEXT(AD72,"ddd d mmm, hh:mm"),"slot to confirm with venue")&amp;" · "&amp;AE72&amp;" · "&amp;IF(AF72&lt;&gt;"","£"&amp;TEXT(AF72,"0.00")&amp;" pp","price TBC")</f>
        <v/>
      </c>
      <c r="AH72" s="14">
        <f>IF(U72&lt;&gt;"",U72,IF(H72&lt;&gt;"",H72,""))</f>
        <v/>
      </c>
      <c r="AI72" s="14">
        <f>"After-work football for "&amp;F72&amp;" · "&amp;Z72&amp;", "&amp;AA72&amp;" min from your office"</f>
        <v/>
      </c>
      <c r="AJ72" s="14">
        <f>"Hi "&amp;IF(R72&lt;&gt;"",R72,F72&amp;" team")&amp;","&amp;CHAR(10)&amp;CHAR(10)&amp;"I'm "&amp;IF(AM72&lt;&gt;"",AM72,IF(Offer!$C$5&lt;&gt;"",Offer!$C$5,"[NAME]"))&amp;" from FC Urban. We organise after-work football for teams in the City and Canary Wharf."&amp;CHAR(10)&amp;CHAR(10)&amp;"We have a "&amp;AE72&amp;" pitch at "&amp;Z72&amp;", "&amp;IF(OR(AA72=8,AA72=11,AA72=18),"an ","a ")&amp;AA72&amp;"-minute walk from your "&amp;P72&amp;" office, "&amp;IF(ISNUMBER(AD72),"on "&amp;TEXT(AD72,"dddd d mmmm")&amp;" at "&amp;TEXT(AD72,"hh:mm"),"on a weekday evening that suits your team")&amp;". It's "&amp;IF(AF72&lt;&gt;"","£"&amp;IF(AF72=INT(AF72),TEXT(AF72,"0"),TEXT(AF72,"0.00")),"[PRICE PER PLAYER]")&amp;" a player and we handle the pitch booking, sign-ups and payments, so all it takes is one person sharing a link with the team."&amp;CHAR(10)&amp;CHAR(10)&amp;"It works well as a team social or "&amp;IF(ISNUMBER(SEARCH(LEFT(F72,1),"AEIOU")),"an ","a ")&amp;F72&amp;"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LINK]")&amp;CHAR(10)&amp;CHAR(10)&amp;"Best,"&amp;CHAR(10)&amp;IF(AM72&lt;&gt;"",AM72,IF(Offer!$C$5&lt;&gt;"",Offer!$C$5,"[NAME]"))&amp;CHAR(10)&amp;"FC Urban"</f>
        <v/>
      </c>
      <c r="AK72" s="14">
        <f>"Hi "&amp;IF(R72&lt;&gt;"",R72,F72&amp;" team")&amp;","&amp;CHAR(10)&amp;CHAR(10)&amp;"Just bumping this up. The "&amp;AE72&amp;" pitch at "&amp;Z72&amp;" is still free "&amp;IF(ISNUMBER(AD72),TEXT(AD72,"ddd d mmm")&amp;", "&amp;TEXT(AD72,"hh:mm"),"weekday evenings")&amp;", "&amp;IF(OR(AA72=8,AA72=11,AA72=18),"an ","a ")&amp;AA72&amp;"-minute walk from your office, "&amp;IF(AF72&lt;&gt;"","£"&amp;IF(AF72=INT(AF72),TEXT(AF72,"0"),TEXT(AF72,"0.00")),"[PRICE PER PLAYER]")&amp;" a player. Happy to hold it for "&amp;F72&amp;"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LINK]")&amp;CHAR(10)&amp;CHAR(10)&amp;"Best,"&amp;CHAR(10)&amp;IF(AM72&lt;&gt;"",AM72,IF(Offer!$C$5&lt;&gt;"",Offer!$C$5,"[NAME]"))&amp;CHAR(10)&amp;"FC Urban"</f>
        <v/>
      </c>
      <c r="AL72" s="14">
        <f>IF(AH72="","No email yet",IF(ISNUMBER(SEARCH("[",AJ72)),"Fill placeholders",IF(ISNUMBER(AD72),"Ready to send","Ready · no fixed slot")))</f>
        <v/>
      </c>
      <c r="AO72" s="17" t="n"/>
      <c r="AP72" s="17" t="n"/>
    </row>
    <row r="73">
      <c r="A73" s="11" t="n">
        <v>71</v>
      </c>
      <c r="B73" s="11" t="n">
        <v>2</v>
      </c>
      <c r="C73" s="11" t="inlineStr">
        <is>
          <t>Law firm</t>
        </is>
      </c>
      <c r="D73" s="11" t="inlineStr">
        <is>
          <t>City of London</t>
        </is>
      </c>
      <c r="E73" s="11" t="inlineStr">
        <is>
          <t>Conyers Dill &amp; Pearman</t>
        </is>
      </c>
      <c r="F73" s="11" t="inlineStr">
        <is>
          <t>Conyers Dill &amp; Pearman</t>
        </is>
      </c>
      <c r="G73" s="12" t="inlineStr">
        <is>
          <t>https://www.conyers.com</t>
        </is>
      </c>
      <c r="H73" s="11" t="inlineStr">
        <is>
          <t>christopher.johnson-gilbert@conyersdill.com</t>
        </is>
      </c>
      <c r="I73" s="11" t="inlineStr">
        <is>
          <t>role (other)</t>
        </is>
      </c>
      <c r="J73" s="12" t="inlineStr">
        <is>
          <t>Open page</t>
        </is>
      </c>
      <c r="K73" s="11" t="inlineStr">
        <is>
          <t>03495343</t>
        </is>
      </c>
      <c r="L73" s="12" t="inlineStr">
        <is>
          <t>Open</t>
        </is>
      </c>
      <c r="M73" s="11" t="inlineStr">
        <is>
          <t>Full</t>
        </is>
      </c>
      <c r="N73" s="13" t="n">
        <v>35809</v>
      </c>
      <c r="O73" s="11" t="inlineStr">
        <is>
          <t>10 Finsbury Square, London</t>
        </is>
      </c>
      <c r="P73" s="11" t="inlineStr">
        <is>
          <t>EC2A 1AF</t>
        </is>
      </c>
      <c r="Q73" s="11" t="inlineStr">
        <is>
          <t>No</t>
        </is>
      </c>
      <c r="W73" s="11" t="inlineStr">
        <is>
          <t>Finsbury Leisure Centre (EC1V 3PU)</t>
        </is>
      </c>
      <c r="X73" s="11" t="n">
        <v>12</v>
      </c>
      <c r="Y73" s="11" t="inlineStr">
        <is>
          <t>Shoreditch Powerleague (13.7); Liverpool St - Attlee Centre (17.4)</t>
        </is>
      </c>
      <c r="Z73" s="11" t="inlineStr">
        <is>
          <t>Shoreditch Powerleague</t>
        </is>
      </c>
      <c r="AA73" s="11" t="n">
        <v>14</v>
      </c>
      <c r="AB73" s="14">
        <f>IFERROR(INDEX(Venues!$E$2:$E$17,MATCH(Z73,Venues!$A$2:$A$17,0)),"Not checked")</f>
        <v/>
      </c>
      <c r="AC73" s="14">
        <f>IFERROR(INDEX(Venues!$F$2:$F$17,MATCH(Z73,Venues!$A$2:$A$17,0)),0)</f>
        <v/>
      </c>
      <c r="AD73" s="15">
        <f>IFERROR(INDEX(Venues!$M$2:$M$17,MATCH(Z73,Venues!$A$2:$A$17,0)),"")</f>
        <v/>
      </c>
      <c r="AE73" s="14">
        <f>IFERROR(INDEX(Venues!$N$2:$N$17,MATCH(Z73,Venues!$A$2:$A$17,0)),"5-a-side")</f>
        <v/>
      </c>
      <c r="AF73" s="16">
        <f>IF(Offer!$C$4="","",Offer!$C$4)</f>
        <v/>
      </c>
      <c r="AG73" s="14">
        <f>Z73&amp;" ("&amp;AA73&amp;" min walk) · "&amp;IF(ISNUMBER(AD73),TEXT(AD73,"ddd d mmm, hh:mm"),"slot to confirm with venue")&amp;" · "&amp;AE73&amp;" · "&amp;IF(AF73&lt;&gt;"","£"&amp;TEXT(AF73,"0.00")&amp;" pp","price TBC")</f>
        <v/>
      </c>
      <c r="AH73" s="14">
        <f>IF(U73&lt;&gt;"",U73,IF(H73&lt;&gt;"",H73,""))</f>
        <v/>
      </c>
      <c r="AI73" s="14">
        <f>"After-work football for "&amp;F73&amp;" · "&amp;Z73&amp;", "&amp;AA73&amp;" min from your office"</f>
        <v/>
      </c>
      <c r="AJ73" s="14">
        <f>"Hi "&amp;IF(R73&lt;&gt;"",R73,F73&amp;" team")&amp;","&amp;CHAR(10)&amp;CHAR(10)&amp;"I'm "&amp;IF(AM73&lt;&gt;"",AM73,IF(Offer!$C$5&lt;&gt;"",Offer!$C$5,"[NAME]"))&amp;" from FC Urban. We organise after-work football for teams in the City and Canary Wharf."&amp;CHAR(10)&amp;CHAR(10)&amp;"We have a "&amp;AE73&amp;" pitch at "&amp;Z73&amp;", "&amp;IF(OR(AA73=8,AA73=11,AA73=18),"an ","a ")&amp;AA73&amp;"-minute walk from your "&amp;P73&amp;" office, "&amp;IF(ISNUMBER(AD73),"on "&amp;TEXT(AD73,"dddd d mmmm")&amp;" at "&amp;TEXT(AD73,"hh:mm"),"on a weekday evening that suits your team")&amp;". It's "&amp;IF(AF73&lt;&gt;"","£"&amp;IF(AF73=INT(AF73),TEXT(AF73,"0"),TEXT(AF73,"0.00")),"[PRICE PER PLAYER]")&amp;" a player and we handle the pitch booking, sign-ups and payments, so all it takes is one person sharing a link with the team."&amp;CHAR(10)&amp;CHAR(10)&amp;"It works well as a team social or "&amp;IF(ISNUMBER(SEARCH(LEFT(F73,1),"AEIOU")),"an ","a ")&amp;F73&amp;"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LINK]")&amp;CHAR(10)&amp;CHAR(10)&amp;"Best,"&amp;CHAR(10)&amp;IF(AM73&lt;&gt;"",AM73,IF(Offer!$C$5&lt;&gt;"",Offer!$C$5,"[NAME]"))&amp;CHAR(10)&amp;"FC Urban"</f>
        <v/>
      </c>
      <c r="AK73" s="14">
        <f>"Hi "&amp;IF(R73&lt;&gt;"",R73,F73&amp;" team")&amp;","&amp;CHAR(10)&amp;CHAR(10)&amp;"Just bumping this up. The "&amp;AE73&amp;" pitch at "&amp;Z73&amp;" is still free "&amp;IF(ISNUMBER(AD73),TEXT(AD73,"ddd d mmm")&amp;", "&amp;TEXT(AD73,"hh:mm"),"weekday evenings")&amp;", "&amp;IF(OR(AA73=8,AA73=11,AA73=18),"an ","a ")&amp;AA73&amp;"-minute walk from your office, "&amp;IF(AF73&lt;&gt;"","£"&amp;IF(AF73=INT(AF73),TEXT(AF73,"0"),TEXT(AF73,"0.00")),"[PRICE PER PLAYER]")&amp;" a player. Happy to hold it for "&amp;F73&amp;"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LINK]")&amp;CHAR(10)&amp;CHAR(10)&amp;"Best,"&amp;CHAR(10)&amp;IF(AM73&lt;&gt;"",AM73,IF(Offer!$C$5&lt;&gt;"",Offer!$C$5,"[NAME]"))&amp;CHAR(10)&amp;"FC Urban"</f>
        <v/>
      </c>
      <c r="AL73" s="14">
        <f>IF(AH73="","No email yet",IF(ISNUMBER(SEARCH("[",AJ73)),"Fill placeholders",IF(ISNUMBER(AD73),"Ready to send","Ready · no fixed slot")))</f>
        <v/>
      </c>
      <c r="AO73" s="17" t="n"/>
      <c r="AP73" s="17" t="n"/>
    </row>
    <row r="74">
      <c r="A74" s="11" t="n">
        <v>72</v>
      </c>
      <c r="B74" s="11" t="n">
        <v>2</v>
      </c>
      <c r="C74" s="11" t="inlineStr">
        <is>
          <t>Law firm</t>
        </is>
      </c>
      <c r="D74" s="11" t="inlineStr">
        <is>
          <t>City of London</t>
        </is>
      </c>
      <c r="E74" s="11" t="inlineStr">
        <is>
          <t>Boies Schiller Flexner Legacy (UK) LLP</t>
        </is>
      </c>
      <c r="F74" s="11" t="inlineStr">
        <is>
          <t>Boies Schiller Flexner Legacy</t>
        </is>
      </c>
      <c r="G74" s="12" t="inlineStr">
        <is>
          <t>https://www.bsfllp.com</t>
        </is>
      </c>
      <c r="H74" s="11" t="inlineStr">
        <is>
          <t>dhunt@bsfllp.com</t>
        </is>
      </c>
      <c r="I74" s="11" t="inlineStr">
        <is>
          <t>named person</t>
        </is>
      </c>
      <c r="J74" s="12" t="inlineStr">
        <is>
          <t>Open page</t>
        </is>
      </c>
      <c r="K74" s="11" t="inlineStr">
        <is>
          <t>OC385463</t>
        </is>
      </c>
      <c r="L74" s="12" t="inlineStr">
        <is>
          <t>Open</t>
        </is>
      </c>
      <c r="M74" s="11" t="inlineStr">
        <is>
          <t>Full</t>
        </is>
      </c>
      <c r="N74" s="13" t="n">
        <v>41423</v>
      </c>
      <c r="O74" s="11" t="inlineStr">
        <is>
          <t>100 Fetter Lane, London</t>
        </is>
      </c>
      <c r="P74" s="11" t="inlineStr">
        <is>
          <t>EC4A 1ES</t>
        </is>
      </c>
      <c r="Q74" s="11" t="inlineStr">
        <is>
          <t>No</t>
        </is>
      </c>
      <c r="W74" s="11" t="inlineStr">
        <is>
          <t>City of London School (EC4V 3AL)</t>
        </is>
      </c>
      <c r="X74" s="11" t="n">
        <v>14</v>
      </c>
      <c r="Y74" s="11" t="n"/>
      <c r="Z74" s="11" t="inlineStr">
        <is>
          <t>City of London School (EC4V 3AL)</t>
        </is>
      </c>
      <c r="AA74" s="11" t="n">
        <v>14</v>
      </c>
      <c r="AB74" s="14">
        <f>IFERROR(INDEX(Venues!$E$2:$E$17,MATCH(Z74,Venues!$A$2:$A$17,0)),"Not checked")</f>
        <v/>
      </c>
      <c r="AC74" s="14">
        <f>IFERROR(INDEX(Venues!$F$2:$F$17,MATCH(Z74,Venues!$A$2:$A$17,0)),0)</f>
        <v/>
      </c>
      <c r="AD74" s="15">
        <f>IFERROR(INDEX(Venues!$M$2:$M$17,MATCH(Z74,Venues!$A$2:$A$17,0)),"")</f>
        <v/>
      </c>
      <c r="AE74" s="14">
        <f>IFERROR(INDEX(Venues!$N$2:$N$17,MATCH(Z74,Venues!$A$2:$A$17,0)),"5-a-side")</f>
        <v/>
      </c>
      <c r="AF74" s="16">
        <f>IF(Offer!$C$4="","",Offer!$C$4)</f>
        <v/>
      </c>
      <c r="AG74" s="14">
        <f>Z74&amp;" ("&amp;AA74&amp;" min walk) · "&amp;IF(ISNUMBER(AD74),TEXT(AD74,"ddd d mmm, hh:mm"),"slot to confirm with venue")&amp;" · "&amp;AE74&amp;" · "&amp;IF(AF74&lt;&gt;"","£"&amp;TEXT(AF74,"0.00")&amp;" pp","price TBC")</f>
        <v/>
      </c>
      <c r="AH74" s="14">
        <f>IF(U74&lt;&gt;"",U74,IF(H74&lt;&gt;"",H74,""))</f>
        <v/>
      </c>
      <c r="AI74" s="14">
        <f>"After-work football for "&amp;F74&amp;" · "&amp;Z74&amp;", "&amp;AA74&amp;" min from your office"</f>
        <v/>
      </c>
      <c r="AJ74" s="14">
        <f>"Hi "&amp;IF(R74&lt;&gt;"",R74,F74&amp;" team")&amp;","&amp;CHAR(10)&amp;CHAR(10)&amp;"I'm "&amp;IF(AM74&lt;&gt;"",AM74,IF(Offer!$C$5&lt;&gt;"",Offer!$C$5,"[NAME]"))&amp;" from FC Urban. We organise after-work football for teams in the City and Canary Wharf."&amp;CHAR(10)&amp;CHAR(10)&amp;"We have a "&amp;AE74&amp;" pitch at "&amp;Z74&amp;", "&amp;IF(OR(AA74=8,AA74=11,AA74=18),"an ","a ")&amp;AA74&amp;"-minute walk from your "&amp;P74&amp;" office, "&amp;IF(ISNUMBER(AD74),"on "&amp;TEXT(AD74,"dddd d mmmm")&amp;" at "&amp;TEXT(AD74,"hh:mm"),"on a weekday evening that suits your team")&amp;". It's "&amp;IF(AF74&lt;&gt;"","£"&amp;IF(AF74=INT(AF74),TEXT(AF74,"0"),TEXT(AF74,"0.00")),"[PRICE PER PLAYER]")&amp;" a player and we handle the pitch booking, sign-ups and payments, so all it takes is one person sharing a link with the team."&amp;CHAR(10)&amp;CHAR(10)&amp;"It works well as a team social or "&amp;IF(ISNUMBER(SEARCH(LEFT(F74,1),"AEIOU")),"an ","a ")&amp;F74&amp;"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LINK]")&amp;CHAR(10)&amp;CHAR(10)&amp;"Best,"&amp;CHAR(10)&amp;IF(AM74&lt;&gt;"",AM74,IF(Offer!$C$5&lt;&gt;"",Offer!$C$5,"[NAME]"))&amp;CHAR(10)&amp;"FC Urban"</f>
        <v/>
      </c>
      <c r="AK74" s="14">
        <f>"Hi "&amp;IF(R74&lt;&gt;"",R74,F74&amp;" team")&amp;","&amp;CHAR(10)&amp;CHAR(10)&amp;"Just bumping this up. The "&amp;AE74&amp;" pitch at "&amp;Z74&amp;" is still free "&amp;IF(ISNUMBER(AD74),TEXT(AD74,"ddd d mmm")&amp;", "&amp;TEXT(AD74,"hh:mm"),"weekday evenings")&amp;", "&amp;IF(OR(AA74=8,AA74=11,AA74=18),"an ","a ")&amp;AA74&amp;"-minute walk from your office, "&amp;IF(AF74&lt;&gt;"","£"&amp;IF(AF74=INT(AF74),TEXT(AF74,"0"),TEXT(AF74,"0.00")),"[PRICE PER PLAYER]")&amp;" a player. Happy to hold it for "&amp;F74&amp;"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LINK]")&amp;CHAR(10)&amp;CHAR(10)&amp;"Best,"&amp;CHAR(10)&amp;IF(AM74&lt;&gt;"",AM74,IF(Offer!$C$5&lt;&gt;"",Offer!$C$5,"[NAME]"))&amp;CHAR(10)&amp;"FC Urban"</f>
        <v/>
      </c>
      <c r="AL74" s="14">
        <f>IF(AH74="","No email yet",IF(ISNUMBER(SEARCH("[",AJ74)),"Fill placeholders",IF(ISNUMBER(AD74),"Ready to send","Ready · no fixed slot")))</f>
        <v/>
      </c>
      <c r="AO74" s="17" t="n"/>
      <c r="AP74" s="17" t="n"/>
    </row>
    <row r="75">
      <c r="A75" s="11" t="n">
        <v>73</v>
      </c>
      <c r="B75" s="11" t="n">
        <v>2</v>
      </c>
      <c r="C75" s="11" t="inlineStr">
        <is>
          <t>Law firm</t>
        </is>
      </c>
      <c r="D75" s="11" t="inlineStr">
        <is>
          <t>City of London</t>
        </is>
      </c>
      <c r="E75" s="11" t="inlineStr">
        <is>
          <t>Paul Hastings (Europe) LLP</t>
        </is>
      </c>
      <c r="F75" s="11" t="inlineStr">
        <is>
          <t>Paul Hastings</t>
        </is>
      </c>
      <c r="G75" s="12" t="inlineStr">
        <is>
          <t>https://www.paulhastings.com</t>
        </is>
      </c>
      <c r="H75" s="11" t="inlineStr">
        <is>
          <t>pr@paulhastings.com</t>
        </is>
      </c>
      <c r="I75" s="11" t="inlineStr">
        <is>
          <t>role (press / marketing)</t>
        </is>
      </c>
      <c r="J75" s="12" t="inlineStr">
        <is>
          <t>Open page</t>
        </is>
      </c>
      <c r="K75" s="11" t="inlineStr">
        <is>
          <t>OC306535</t>
        </is>
      </c>
      <c r="L75" s="12" t="inlineStr">
        <is>
          <t>Open</t>
        </is>
      </c>
      <c r="M75" s="11" t="inlineStr">
        <is>
          <t>Full</t>
        </is>
      </c>
      <c r="N75" s="13" t="n">
        <v>38002</v>
      </c>
      <c r="O75" s="11" t="inlineStr">
        <is>
          <t>100 Bishopsgate, London</t>
        </is>
      </c>
      <c r="P75" s="11" t="inlineStr">
        <is>
          <t>EC2N 4AG</t>
        </is>
      </c>
      <c r="Q75" s="11" t="inlineStr">
        <is>
          <t>No</t>
        </is>
      </c>
      <c r="W75" s="11" t="inlineStr">
        <is>
          <t>Liverpool St - Attlee Centre</t>
        </is>
      </c>
      <c r="X75" s="11" t="n">
        <v>10</v>
      </c>
      <c r="Y75" s="11" t="inlineStr">
        <is>
          <t>Shoreditch Powerleague (15.2)</t>
        </is>
      </c>
      <c r="Z75" s="11" t="inlineStr">
        <is>
          <t>Shoreditch Powerleague</t>
        </is>
      </c>
      <c r="AA75" s="11" t="n">
        <v>15</v>
      </c>
      <c r="AB75" s="14">
        <f>IFERROR(INDEX(Venues!$E$2:$E$17,MATCH(Z75,Venues!$A$2:$A$17,0)),"Not checked")</f>
        <v/>
      </c>
      <c r="AC75" s="14">
        <f>IFERROR(INDEX(Venues!$F$2:$F$17,MATCH(Z75,Venues!$A$2:$A$17,0)),0)</f>
        <v/>
      </c>
      <c r="AD75" s="15">
        <f>IFERROR(INDEX(Venues!$M$2:$M$17,MATCH(Z75,Venues!$A$2:$A$17,0)),"")</f>
        <v/>
      </c>
      <c r="AE75" s="14">
        <f>IFERROR(INDEX(Venues!$N$2:$N$17,MATCH(Z75,Venues!$A$2:$A$17,0)),"5-a-side")</f>
        <v/>
      </c>
      <c r="AF75" s="16">
        <f>IF(Offer!$C$4="","",Offer!$C$4)</f>
        <v/>
      </c>
      <c r="AG75" s="14">
        <f>Z75&amp;" ("&amp;AA75&amp;" min walk) · "&amp;IF(ISNUMBER(AD75),TEXT(AD75,"ddd d mmm, hh:mm"),"slot to confirm with venue")&amp;" · "&amp;AE75&amp;" · "&amp;IF(AF75&lt;&gt;"","£"&amp;TEXT(AF75,"0.00")&amp;" pp","price TBC")</f>
        <v/>
      </c>
      <c r="AH75" s="14">
        <f>IF(U75&lt;&gt;"",U75,IF(H75&lt;&gt;"",H75,""))</f>
        <v/>
      </c>
      <c r="AI75" s="14">
        <f>"After-work football for "&amp;F75&amp;" · "&amp;Z75&amp;", "&amp;AA75&amp;" min from your office"</f>
        <v/>
      </c>
      <c r="AJ75" s="14">
        <f>"Hi "&amp;IF(R75&lt;&gt;"",R75,F75&amp;" team")&amp;","&amp;CHAR(10)&amp;CHAR(10)&amp;"I'm "&amp;IF(AM75&lt;&gt;"",AM75,IF(Offer!$C$5&lt;&gt;"",Offer!$C$5,"[NAME]"))&amp;" from FC Urban. We organise after-work football for teams in the City and Canary Wharf."&amp;CHAR(10)&amp;CHAR(10)&amp;"We have a "&amp;AE75&amp;" pitch at "&amp;Z75&amp;", "&amp;IF(OR(AA75=8,AA75=11,AA75=18),"an ","a ")&amp;AA75&amp;"-minute walk from your "&amp;P75&amp;" office, "&amp;IF(ISNUMBER(AD75),"on "&amp;TEXT(AD75,"dddd d mmmm")&amp;" at "&amp;TEXT(AD75,"hh:mm"),"on a weekday evening that suits your team")&amp;". It's "&amp;IF(AF75&lt;&gt;"","£"&amp;IF(AF75=INT(AF75),TEXT(AF75,"0"),TEXT(AF75,"0.00")),"[PRICE PER PLAYER]")&amp;" a player and we handle the pitch booking, sign-ups and payments, so all it takes is one person sharing a link with the team."&amp;CHAR(10)&amp;CHAR(10)&amp;"It works well as a team social or "&amp;IF(ISNUMBER(SEARCH(LEFT(F75,1),"AEIOU")),"an ","a ")&amp;F75&amp;"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LINK]")&amp;CHAR(10)&amp;CHAR(10)&amp;"Best,"&amp;CHAR(10)&amp;IF(AM75&lt;&gt;"",AM75,IF(Offer!$C$5&lt;&gt;"",Offer!$C$5,"[NAME]"))&amp;CHAR(10)&amp;"FC Urban"</f>
        <v/>
      </c>
      <c r="AK75" s="14">
        <f>"Hi "&amp;IF(R75&lt;&gt;"",R75,F75&amp;" team")&amp;","&amp;CHAR(10)&amp;CHAR(10)&amp;"Just bumping this up. The "&amp;AE75&amp;" pitch at "&amp;Z75&amp;" is still free "&amp;IF(ISNUMBER(AD75),TEXT(AD75,"ddd d mmm")&amp;", "&amp;TEXT(AD75,"hh:mm"),"weekday evenings")&amp;", "&amp;IF(OR(AA75=8,AA75=11,AA75=18),"an ","a ")&amp;AA75&amp;"-minute walk from your office, "&amp;IF(AF75&lt;&gt;"","£"&amp;IF(AF75=INT(AF75),TEXT(AF75,"0"),TEXT(AF75,"0.00")),"[PRICE PER PLAYER]")&amp;" a player. Happy to hold it for "&amp;F75&amp;"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LINK]")&amp;CHAR(10)&amp;CHAR(10)&amp;"Best,"&amp;CHAR(10)&amp;IF(AM75&lt;&gt;"",AM75,IF(Offer!$C$5&lt;&gt;"",Offer!$C$5,"[NAME]"))&amp;CHAR(10)&amp;"FC Urban"</f>
        <v/>
      </c>
      <c r="AL75" s="14">
        <f>IF(AH75="","No email yet",IF(ISNUMBER(SEARCH("[",AJ75)),"Fill placeholders",IF(ISNUMBER(AD75),"Ready to send","Ready · no fixed slot")))</f>
        <v/>
      </c>
      <c r="AO75" s="17" t="n"/>
      <c r="AP75" s="17" t="n"/>
    </row>
    <row r="76">
      <c r="A76" s="11" t="n">
        <v>74</v>
      </c>
      <c r="B76" s="11" t="n">
        <v>2</v>
      </c>
      <c r="C76" s="11" t="inlineStr">
        <is>
          <t>Law firm</t>
        </is>
      </c>
      <c r="D76" s="11" t="inlineStr">
        <is>
          <t>City of London</t>
        </is>
      </c>
      <c r="E76" s="11" t="inlineStr">
        <is>
          <t>Batlaw Limited</t>
        </is>
      </c>
      <c r="F76" s="11" t="inlineStr">
        <is>
          <t>Batlaw</t>
        </is>
      </c>
      <c r="G76" s="11" t="n"/>
      <c r="H76" s="11" t="n"/>
      <c r="I76" s="11" t="inlineStr">
        <is>
          <t>Not found</t>
        </is>
      </c>
      <c r="J76" s="11" t="n"/>
      <c r="K76" s="11" t="inlineStr">
        <is>
          <t>07233723</t>
        </is>
      </c>
      <c r="L76" s="12" t="inlineStr">
        <is>
          <t>Open</t>
        </is>
      </c>
      <c r="M76" s="11" t="inlineStr">
        <is>
          <t>Full</t>
        </is>
      </c>
      <c r="N76" s="13" t="n">
        <v>40291</v>
      </c>
      <c r="O76" s="11" t="inlineStr">
        <is>
          <t>Globe House, 4 Temple Place, London</t>
        </is>
      </c>
      <c r="P76" s="11" t="inlineStr">
        <is>
          <t>WC2R 2PG</t>
        </is>
      </c>
      <c r="Q76" s="11" t="inlineStr">
        <is>
          <t>No</t>
        </is>
      </c>
      <c r="W76" s="11" t="inlineStr">
        <is>
          <t>City of London School (EC4V 3AL)</t>
        </is>
      </c>
      <c r="X76" s="11" t="n">
        <v>15</v>
      </c>
      <c r="Y76" s="11" t="n"/>
      <c r="Z76" s="11" t="inlineStr">
        <is>
          <t>City of London School (EC4V 3AL)</t>
        </is>
      </c>
      <c r="AA76" s="11" t="n">
        <v>15</v>
      </c>
      <c r="AB76" s="14">
        <f>IFERROR(INDEX(Venues!$E$2:$E$17,MATCH(Z76,Venues!$A$2:$A$17,0)),"Not checked")</f>
        <v/>
      </c>
      <c r="AC76" s="14">
        <f>IFERROR(INDEX(Venues!$F$2:$F$17,MATCH(Z76,Venues!$A$2:$A$17,0)),0)</f>
        <v/>
      </c>
      <c r="AD76" s="15">
        <f>IFERROR(INDEX(Venues!$M$2:$M$17,MATCH(Z76,Venues!$A$2:$A$17,0)),"")</f>
        <v/>
      </c>
      <c r="AE76" s="14">
        <f>IFERROR(INDEX(Venues!$N$2:$N$17,MATCH(Z76,Venues!$A$2:$A$17,0)),"5-a-side")</f>
        <v/>
      </c>
      <c r="AF76" s="16">
        <f>IF(Offer!$C$4="","",Offer!$C$4)</f>
        <v/>
      </c>
      <c r="AG76" s="14">
        <f>Z76&amp;" ("&amp;AA76&amp;" min walk) · "&amp;IF(ISNUMBER(AD76),TEXT(AD76,"ddd d mmm, hh:mm"),"slot to confirm with venue")&amp;" · "&amp;AE76&amp;" · "&amp;IF(AF76&lt;&gt;"","£"&amp;TEXT(AF76,"0.00")&amp;" pp","price TBC")</f>
        <v/>
      </c>
      <c r="AH76" s="14">
        <f>IF(U76&lt;&gt;"",U76,IF(H76&lt;&gt;"",H76,""))</f>
        <v/>
      </c>
      <c r="AI76" s="14">
        <f>"After-work football for "&amp;F76&amp;" · "&amp;Z76&amp;", "&amp;AA76&amp;" min from your office"</f>
        <v/>
      </c>
      <c r="AJ76" s="14">
        <f>"Hi "&amp;IF(R76&lt;&gt;"",R76,F76&amp;" team")&amp;","&amp;CHAR(10)&amp;CHAR(10)&amp;"I'm "&amp;IF(AM76&lt;&gt;"",AM76,IF(Offer!$C$5&lt;&gt;"",Offer!$C$5,"[NAME]"))&amp;" from FC Urban. We organise after-work football for teams in the City and Canary Wharf."&amp;CHAR(10)&amp;CHAR(10)&amp;"We have a "&amp;AE76&amp;" pitch at "&amp;Z76&amp;", "&amp;IF(OR(AA76=8,AA76=11,AA76=18),"an ","a ")&amp;AA76&amp;"-minute walk from your "&amp;P76&amp;" office, "&amp;IF(ISNUMBER(AD76),"on "&amp;TEXT(AD76,"dddd d mmmm")&amp;" at "&amp;TEXT(AD76,"hh:mm"),"on a weekday evening that suits your team")&amp;". It's "&amp;IF(AF76&lt;&gt;"","£"&amp;IF(AF76=INT(AF76),TEXT(AF76,"0"),TEXT(AF76,"0.00")),"[PRICE PER PLAYER]")&amp;" a player and we handle the pitch booking, sign-ups and payments, so all it takes is one person sharing a link with the team."&amp;CHAR(10)&amp;CHAR(10)&amp;"It works well as a team social or "&amp;IF(ISNUMBER(SEARCH(LEFT(F76,1),"AEIOU")),"an ","a ")&amp;F76&amp;"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LINK]")&amp;CHAR(10)&amp;CHAR(10)&amp;"Best,"&amp;CHAR(10)&amp;IF(AM76&lt;&gt;"",AM76,IF(Offer!$C$5&lt;&gt;"",Offer!$C$5,"[NAME]"))&amp;CHAR(10)&amp;"FC Urban"</f>
        <v/>
      </c>
      <c r="AK76" s="14">
        <f>"Hi "&amp;IF(R76&lt;&gt;"",R76,F76&amp;" team")&amp;","&amp;CHAR(10)&amp;CHAR(10)&amp;"Just bumping this up. The "&amp;AE76&amp;" pitch at "&amp;Z76&amp;" is still free "&amp;IF(ISNUMBER(AD76),TEXT(AD76,"ddd d mmm")&amp;", "&amp;TEXT(AD76,"hh:mm"),"weekday evenings")&amp;", "&amp;IF(OR(AA76=8,AA76=11,AA76=18),"an ","a ")&amp;AA76&amp;"-minute walk from your office, "&amp;IF(AF76&lt;&gt;"","£"&amp;IF(AF76=INT(AF76),TEXT(AF76,"0"),TEXT(AF76,"0.00")),"[PRICE PER PLAYER]")&amp;" a player. Happy to hold it for "&amp;F76&amp;"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LINK]")&amp;CHAR(10)&amp;CHAR(10)&amp;"Best,"&amp;CHAR(10)&amp;IF(AM76&lt;&gt;"",AM76,IF(Offer!$C$5&lt;&gt;"",Offer!$C$5,"[NAME]"))&amp;CHAR(10)&amp;"FC Urban"</f>
        <v/>
      </c>
      <c r="AL76" s="14">
        <f>IF(AH76="","No email yet",IF(ISNUMBER(SEARCH("[",AJ76)),"Fill placeholders",IF(ISNUMBER(AD76),"Ready to send","Ready · no fixed slot")))</f>
        <v/>
      </c>
      <c r="AO76" s="17" t="n"/>
      <c r="AP76" s="17" t="n"/>
    </row>
    <row r="77">
      <c r="A77" s="11" t="n">
        <v>75</v>
      </c>
      <c r="B77" s="11" t="n">
        <v>2</v>
      </c>
      <c r="C77" s="11" t="inlineStr">
        <is>
          <t>Law firm</t>
        </is>
      </c>
      <c r="D77" s="11" t="inlineStr">
        <is>
          <t>City of London</t>
        </is>
      </c>
      <c r="E77" s="11" t="inlineStr">
        <is>
          <t>Runnymede Law Limited</t>
        </is>
      </c>
      <c r="F77" s="11" t="inlineStr">
        <is>
          <t>Runnymede Law</t>
        </is>
      </c>
      <c r="G77" s="12" t="inlineStr">
        <is>
          <t>https://www.runnymede.com</t>
        </is>
      </c>
      <c r="H77" s="11" t="n"/>
      <c r="I77" s="11" t="inlineStr">
        <is>
          <t>Not found</t>
        </is>
      </c>
      <c r="J77" s="11" t="n"/>
      <c r="K77" s="11" t="inlineStr">
        <is>
          <t>09248715</t>
        </is>
      </c>
      <c r="L77" s="12" t="inlineStr">
        <is>
          <t>Open</t>
        </is>
      </c>
      <c r="M77" s="11" t="inlineStr">
        <is>
          <t>Full</t>
        </is>
      </c>
      <c r="N77" s="13" t="n">
        <v>41915</v>
      </c>
      <c r="O77" s="11" t="inlineStr">
        <is>
          <t>Exchequer Court, 33 St. Mary Axe, London</t>
        </is>
      </c>
      <c r="P77" s="11" t="inlineStr">
        <is>
          <t>EC3A 8AA</t>
        </is>
      </c>
      <c r="Q77" s="11" t="inlineStr">
        <is>
          <t>No</t>
        </is>
      </c>
      <c r="W77" s="11" t="inlineStr">
        <is>
          <t>Liverpool St - Attlee Centre</t>
        </is>
      </c>
      <c r="X77" s="11" t="n">
        <v>10</v>
      </c>
      <c r="Y77" s="11" t="inlineStr">
        <is>
          <t>Shoreditch Powerleague (15.5)</t>
        </is>
      </c>
      <c r="Z77" s="11" t="inlineStr">
        <is>
          <t>Shoreditch Powerleague</t>
        </is>
      </c>
      <c r="AA77" s="11" t="n">
        <v>16</v>
      </c>
      <c r="AB77" s="14">
        <f>IFERROR(INDEX(Venues!$E$2:$E$17,MATCH(Z77,Venues!$A$2:$A$17,0)),"Not checked")</f>
        <v/>
      </c>
      <c r="AC77" s="14">
        <f>IFERROR(INDEX(Venues!$F$2:$F$17,MATCH(Z77,Venues!$A$2:$A$17,0)),0)</f>
        <v/>
      </c>
      <c r="AD77" s="15">
        <f>IFERROR(INDEX(Venues!$M$2:$M$17,MATCH(Z77,Venues!$A$2:$A$17,0)),"")</f>
        <v/>
      </c>
      <c r="AE77" s="14">
        <f>IFERROR(INDEX(Venues!$N$2:$N$17,MATCH(Z77,Venues!$A$2:$A$17,0)),"5-a-side")</f>
        <v/>
      </c>
      <c r="AF77" s="16">
        <f>IF(Offer!$C$4="","",Offer!$C$4)</f>
        <v/>
      </c>
      <c r="AG77" s="14">
        <f>Z77&amp;" ("&amp;AA77&amp;" min walk) · "&amp;IF(ISNUMBER(AD77),TEXT(AD77,"ddd d mmm, hh:mm"),"slot to confirm with venue")&amp;" · "&amp;AE77&amp;" · "&amp;IF(AF77&lt;&gt;"","£"&amp;TEXT(AF77,"0.00")&amp;" pp","price TBC")</f>
        <v/>
      </c>
      <c r="AH77" s="14">
        <f>IF(U77&lt;&gt;"",U77,IF(H77&lt;&gt;"",H77,""))</f>
        <v/>
      </c>
      <c r="AI77" s="14">
        <f>"After-work football for "&amp;F77&amp;" · "&amp;Z77&amp;", "&amp;AA77&amp;" min from your office"</f>
        <v/>
      </c>
      <c r="AJ77" s="14">
        <f>"Hi "&amp;IF(R77&lt;&gt;"",R77,F77&amp;" team")&amp;","&amp;CHAR(10)&amp;CHAR(10)&amp;"I'm "&amp;IF(AM77&lt;&gt;"",AM77,IF(Offer!$C$5&lt;&gt;"",Offer!$C$5,"[NAME]"))&amp;" from FC Urban. We organise after-work football for teams in the City and Canary Wharf."&amp;CHAR(10)&amp;CHAR(10)&amp;"We have a "&amp;AE77&amp;" pitch at "&amp;Z77&amp;", "&amp;IF(OR(AA77=8,AA77=11,AA77=18),"an ","a ")&amp;AA77&amp;"-minute walk from your "&amp;P77&amp;" office, "&amp;IF(ISNUMBER(AD77),"on "&amp;TEXT(AD77,"dddd d mmmm")&amp;" at "&amp;TEXT(AD77,"hh:mm"),"on a weekday evening that suits your team")&amp;". It's "&amp;IF(AF77&lt;&gt;"","£"&amp;IF(AF77=INT(AF77),TEXT(AF77,"0"),TEXT(AF77,"0.00")),"[PRICE PER PLAYER]")&amp;" a player and we handle the pitch booking, sign-ups and payments, so all it takes is one person sharing a link with the team."&amp;CHAR(10)&amp;CHAR(10)&amp;"It works well as a team social or "&amp;IF(ISNUMBER(SEARCH(LEFT(F77,1),"AEIOU")),"an ","a ")&amp;F77&amp;"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LINK]")&amp;CHAR(10)&amp;CHAR(10)&amp;"Best,"&amp;CHAR(10)&amp;IF(AM77&lt;&gt;"",AM77,IF(Offer!$C$5&lt;&gt;"",Offer!$C$5,"[NAME]"))&amp;CHAR(10)&amp;"FC Urban"</f>
        <v/>
      </c>
      <c r="AK77" s="14">
        <f>"Hi "&amp;IF(R77&lt;&gt;"",R77,F77&amp;" team")&amp;","&amp;CHAR(10)&amp;CHAR(10)&amp;"Just bumping this up. The "&amp;AE77&amp;" pitch at "&amp;Z77&amp;" is still free "&amp;IF(ISNUMBER(AD77),TEXT(AD77,"ddd d mmm")&amp;", "&amp;TEXT(AD77,"hh:mm"),"weekday evenings")&amp;", "&amp;IF(OR(AA77=8,AA77=11,AA77=18),"an ","a ")&amp;AA77&amp;"-minute walk from your office, "&amp;IF(AF77&lt;&gt;"","£"&amp;IF(AF77=INT(AF77),TEXT(AF77,"0"),TEXT(AF77,"0.00")),"[PRICE PER PLAYER]")&amp;" a player. Happy to hold it for "&amp;F77&amp;"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LINK]")&amp;CHAR(10)&amp;CHAR(10)&amp;"Best,"&amp;CHAR(10)&amp;IF(AM77&lt;&gt;"",AM77,IF(Offer!$C$5&lt;&gt;"",Offer!$C$5,"[NAME]"))&amp;CHAR(10)&amp;"FC Urban"</f>
        <v/>
      </c>
      <c r="AL77" s="14">
        <f>IF(AH77="","No email yet",IF(ISNUMBER(SEARCH("[",AJ77)),"Fill placeholders",IF(ISNUMBER(AD77),"Ready to send","Ready · no fixed slot")))</f>
        <v/>
      </c>
      <c r="AO77" s="17" t="n"/>
      <c r="AP77" s="17" t="n"/>
    </row>
    <row r="78">
      <c r="A78" s="11" t="n">
        <v>76</v>
      </c>
      <c r="B78" s="11" t="n">
        <v>2</v>
      </c>
      <c r="C78" s="11" t="inlineStr">
        <is>
          <t>Law firm</t>
        </is>
      </c>
      <c r="D78" s="11" t="inlineStr">
        <is>
          <t>City of London</t>
        </is>
      </c>
      <c r="E78" s="11" t="inlineStr">
        <is>
          <t>Doyle Clayton Solicitors Limited</t>
        </is>
      </c>
      <c r="F78" s="11" t="inlineStr">
        <is>
          <t>Doyle Clayton Solicitors</t>
        </is>
      </c>
      <c r="G78" s="12" t="inlineStr">
        <is>
          <t>https://doyleclayton.co.uk</t>
        </is>
      </c>
      <c r="H78" s="11" t="inlineStr">
        <is>
          <t>info@doyleclayton.co.uk</t>
        </is>
      </c>
      <c r="I78" s="11" t="inlineStr">
        <is>
          <t>general</t>
        </is>
      </c>
      <c r="J78" s="12" t="inlineStr">
        <is>
          <t>Open page</t>
        </is>
      </c>
      <c r="K78" s="11" t="inlineStr">
        <is>
          <t>06963121</t>
        </is>
      </c>
      <c r="L78" s="12" t="inlineStr">
        <is>
          <t>Open</t>
        </is>
      </c>
      <c r="M78" s="11" t="inlineStr">
        <is>
          <t>Full</t>
        </is>
      </c>
      <c r="N78" s="13" t="n">
        <v>40009</v>
      </c>
      <c r="O78" s="11" t="inlineStr">
        <is>
          <t>24 Chiswell Street, 7Th Floor, London</t>
        </is>
      </c>
      <c r="P78" s="11" t="inlineStr">
        <is>
          <t>EC1Y 4TY</t>
        </is>
      </c>
      <c r="Q78" s="11" t="inlineStr">
        <is>
          <t>No</t>
        </is>
      </c>
      <c r="W78" s="11" t="inlineStr">
        <is>
          <t>Finsbury Leisure Centre (EC1V 3PU)</t>
        </is>
      </c>
      <c r="X78" s="11" t="n">
        <v>11</v>
      </c>
      <c r="Y78" s="11" t="inlineStr">
        <is>
          <t>Shoreditch Powerleague (16.2); Old St - Moreland Primary School (17.3)</t>
        </is>
      </c>
      <c r="Z78" s="11" t="inlineStr">
        <is>
          <t>Shoreditch Powerleague</t>
        </is>
      </c>
      <c r="AA78" s="11" t="n">
        <v>16</v>
      </c>
      <c r="AB78" s="14">
        <f>IFERROR(INDEX(Venues!$E$2:$E$17,MATCH(Z78,Venues!$A$2:$A$17,0)),"Not checked")</f>
        <v/>
      </c>
      <c r="AC78" s="14">
        <f>IFERROR(INDEX(Venues!$F$2:$F$17,MATCH(Z78,Venues!$A$2:$A$17,0)),0)</f>
        <v/>
      </c>
      <c r="AD78" s="15">
        <f>IFERROR(INDEX(Venues!$M$2:$M$17,MATCH(Z78,Venues!$A$2:$A$17,0)),"")</f>
        <v/>
      </c>
      <c r="AE78" s="14">
        <f>IFERROR(INDEX(Venues!$N$2:$N$17,MATCH(Z78,Venues!$A$2:$A$17,0)),"5-a-side")</f>
        <v/>
      </c>
      <c r="AF78" s="16">
        <f>IF(Offer!$C$4="","",Offer!$C$4)</f>
        <v/>
      </c>
      <c r="AG78" s="14">
        <f>Z78&amp;" ("&amp;AA78&amp;" min walk) · "&amp;IF(ISNUMBER(AD78),TEXT(AD78,"ddd d mmm, hh:mm"),"slot to confirm with venue")&amp;" · "&amp;AE78&amp;" · "&amp;IF(AF78&lt;&gt;"","£"&amp;TEXT(AF78,"0.00")&amp;" pp","price TBC")</f>
        <v/>
      </c>
      <c r="AH78" s="14">
        <f>IF(U78&lt;&gt;"",U78,IF(H78&lt;&gt;"",H78,""))</f>
        <v/>
      </c>
      <c r="AI78" s="14">
        <f>"After-work football for "&amp;F78&amp;" · "&amp;Z78&amp;", "&amp;AA78&amp;" min from your office"</f>
        <v/>
      </c>
      <c r="AJ78" s="14">
        <f>"Hi "&amp;IF(R78&lt;&gt;"",R78,F78&amp;" team")&amp;","&amp;CHAR(10)&amp;CHAR(10)&amp;"I'm "&amp;IF(AM78&lt;&gt;"",AM78,IF(Offer!$C$5&lt;&gt;"",Offer!$C$5,"[NAME]"))&amp;" from FC Urban. We organise after-work football for teams in the City and Canary Wharf."&amp;CHAR(10)&amp;CHAR(10)&amp;"We have a "&amp;AE78&amp;" pitch at "&amp;Z78&amp;", "&amp;IF(OR(AA78=8,AA78=11,AA78=18),"an ","a ")&amp;AA78&amp;"-minute walk from your "&amp;P78&amp;" office, "&amp;IF(ISNUMBER(AD78),"on "&amp;TEXT(AD78,"dddd d mmmm")&amp;" at "&amp;TEXT(AD78,"hh:mm"),"on a weekday evening that suits your team")&amp;". It's "&amp;IF(AF78&lt;&gt;"","£"&amp;IF(AF78=INT(AF78),TEXT(AF78,"0"),TEXT(AF78,"0.00")),"[PRICE PER PLAYER]")&amp;" a player and we handle the pitch booking, sign-ups and payments, so all it takes is one person sharing a link with the team."&amp;CHAR(10)&amp;CHAR(10)&amp;"It works well as a team social or "&amp;IF(ISNUMBER(SEARCH(LEFT(F78,1),"AEIOU")),"an ","a ")&amp;F78&amp;"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LINK]")&amp;CHAR(10)&amp;CHAR(10)&amp;"Best,"&amp;CHAR(10)&amp;IF(AM78&lt;&gt;"",AM78,IF(Offer!$C$5&lt;&gt;"",Offer!$C$5,"[NAME]"))&amp;CHAR(10)&amp;"FC Urban"</f>
        <v/>
      </c>
      <c r="AK78" s="14">
        <f>"Hi "&amp;IF(R78&lt;&gt;"",R78,F78&amp;" team")&amp;","&amp;CHAR(10)&amp;CHAR(10)&amp;"Just bumping this up. The "&amp;AE78&amp;" pitch at "&amp;Z78&amp;" is still free "&amp;IF(ISNUMBER(AD78),TEXT(AD78,"ddd d mmm")&amp;", "&amp;TEXT(AD78,"hh:mm"),"weekday evenings")&amp;", "&amp;IF(OR(AA78=8,AA78=11,AA78=18),"an ","a ")&amp;AA78&amp;"-minute walk from your office, "&amp;IF(AF78&lt;&gt;"","£"&amp;IF(AF78=INT(AF78),TEXT(AF78,"0"),TEXT(AF78,"0.00")),"[PRICE PER PLAYER]")&amp;" a player. Happy to hold it for "&amp;F78&amp;"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LINK]")&amp;CHAR(10)&amp;CHAR(10)&amp;"Best,"&amp;CHAR(10)&amp;IF(AM78&lt;&gt;"",AM78,IF(Offer!$C$5&lt;&gt;"",Offer!$C$5,"[NAME]"))&amp;CHAR(10)&amp;"FC Urban"</f>
        <v/>
      </c>
      <c r="AL78" s="14">
        <f>IF(AH78="","No email yet",IF(ISNUMBER(SEARCH("[",AJ78)),"Fill placeholders",IF(ISNUMBER(AD78),"Ready to send","Ready · no fixed slot")))</f>
        <v/>
      </c>
      <c r="AO78" s="17" t="n"/>
      <c r="AP78" s="17" t="n"/>
    </row>
    <row r="79">
      <c r="A79" s="11" t="n">
        <v>77</v>
      </c>
      <c r="B79" s="11" t="n">
        <v>2</v>
      </c>
      <c r="C79" s="11" t="inlineStr">
        <is>
          <t>Law firm</t>
        </is>
      </c>
      <c r="D79" s="11" t="inlineStr">
        <is>
          <t>City of London</t>
        </is>
      </c>
      <c r="E79" s="11" t="inlineStr">
        <is>
          <t>Michael Osborne LLP</t>
        </is>
      </c>
      <c r="F79" s="11" t="inlineStr">
        <is>
          <t>Michael Osborne</t>
        </is>
      </c>
      <c r="G79" s="12" t="inlineStr">
        <is>
          <t>https://osborneslaw.com</t>
        </is>
      </c>
      <c r="H79" s="11" t="inlineStr">
        <is>
          <t>enquires@osborneslaw.com</t>
        </is>
      </c>
      <c r="I79" s="11" t="inlineStr">
        <is>
          <t>named person</t>
        </is>
      </c>
      <c r="J79" s="12" t="inlineStr">
        <is>
          <t>Open page</t>
        </is>
      </c>
      <c r="K79" s="11" t="inlineStr">
        <is>
          <t>OC322220</t>
        </is>
      </c>
      <c r="L79" s="12" t="inlineStr">
        <is>
          <t>Open</t>
        </is>
      </c>
      <c r="M79" s="11" t="inlineStr">
        <is>
          <t>Full</t>
        </is>
      </c>
      <c r="N79" s="13" t="n">
        <v>38967</v>
      </c>
      <c r="O79" s="11" t="inlineStr">
        <is>
          <t>5Th Floor, 70 Gracechurch Street, London</t>
        </is>
      </c>
      <c r="P79" s="11" t="inlineStr">
        <is>
          <t>EC3V 0XL</t>
        </is>
      </c>
      <c r="Q79" s="11" t="inlineStr">
        <is>
          <t>No</t>
        </is>
      </c>
      <c r="W79" s="11" t="inlineStr">
        <is>
          <t>City of London School (EC4V 3AL)</t>
        </is>
      </c>
      <c r="X79" s="11" t="n">
        <v>16</v>
      </c>
      <c r="Y79" s="11" t="inlineStr">
        <is>
          <t>Liverpool St - Attlee Centre (17); Marlborough Sports Garden (SE1 1SD) (18.2)</t>
        </is>
      </c>
      <c r="Z79" s="11" t="inlineStr">
        <is>
          <t>City of London School (EC4V 3AL)</t>
        </is>
      </c>
      <c r="AA79" s="11" t="n">
        <v>16</v>
      </c>
      <c r="AB79" s="14">
        <f>IFERROR(INDEX(Venues!$E$2:$E$17,MATCH(Z79,Venues!$A$2:$A$17,0)),"Not checked")</f>
        <v/>
      </c>
      <c r="AC79" s="14">
        <f>IFERROR(INDEX(Venues!$F$2:$F$17,MATCH(Z79,Venues!$A$2:$A$17,0)),0)</f>
        <v/>
      </c>
      <c r="AD79" s="15">
        <f>IFERROR(INDEX(Venues!$M$2:$M$17,MATCH(Z79,Venues!$A$2:$A$17,0)),"")</f>
        <v/>
      </c>
      <c r="AE79" s="14">
        <f>IFERROR(INDEX(Venues!$N$2:$N$17,MATCH(Z79,Venues!$A$2:$A$17,0)),"5-a-side")</f>
        <v/>
      </c>
      <c r="AF79" s="16">
        <f>IF(Offer!$C$4="","",Offer!$C$4)</f>
        <v/>
      </c>
      <c r="AG79" s="14">
        <f>Z79&amp;" ("&amp;AA79&amp;" min walk) · "&amp;IF(ISNUMBER(AD79),TEXT(AD79,"ddd d mmm, hh:mm"),"slot to confirm with venue")&amp;" · "&amp;AE79&amp;" · "&amp;IF(AF79&lt;&gt;"","£"&amp;TEXT(AF79,"0.00")&amp;" pp","price TBC")</f>
        <v/>
      </c>
      <c r="AH79" s="14">
        <f>IF(U79&lt;&gt;"",U79,IF(H79&lt;&gt;"",H79,""))</f>
        <v/>
      </c>
      <c r="AI79" s="14">
        <f>"After-work football for "&amp;F79&amp;" · "&amp;Z79&amp;", "&amp;AA79&amp;" min from your office"</f>
        <v/>
      </c>
      <c r="AJ79" s="14">
        <f>"Hi "&amp;IF(R79&lt;&gt;"",R79,F79&amp;" team")&amp;","&amp;CHAR(10)&amp;CHAR(10)&amp;"I'm "&amp;IF(AM79&lt;&gt;"",AM79,IF(Offer!$C$5&lt;&gt;"",Offer!$C$5,"[NAME]"))&amp;" from FC Urban. We organise after-work football for teams in the City and Canary Wharf."&amp;CHAR(10)&amp;CHAR(10)&amp;"We have a "&amp;AE79&amp;" pitch at "&amp;Z79&amp;", "&amp;IF(OR(AA79=8,AA79=11,AA79=18),"an ","a ")&amp;AA79&amp;"-minute walk from your "&amp;P79&amp;" office, "&amp;IF(ISNUMBER(AD79),"on "&amp;TEXT(AD79,"dddd d mmmm")&amp;" at "&amp;TEXT(AD79,"hh:mm"),"on a weekday evening that suits your team")&amp;". It's "&amp;IF(AF79&lt;&gt;"","£"&amp;IF(AF79=INT(AF79),TEXT(AF79,"0"),TEXT(AF79,"0.00")),"[PRICE PER PLAYER]")&amp;" a player and we handle the pitch booking, sign-ups and payments, so all it takes is one person sharing a link with the team."&amp;CHAR(10)&amp;CHAR(10)&amp;"It works well as a team social or "&amp;IF(ISNUMBER(SEARCH(LEFT(F79,1),"AEIOU")),"an ","a ")&amp;F79&amp;"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LINK]")&amp;CHAR(10)&amp;CHAR(10)&amp;"Best,"&amp;CHAR(10)&amp;IF(AM79&lt;&gt;"",AM79,IF(Offer!$C$5&lt;&gt;"",Offer!$C$5,"[NAME]"))&amp;CHAR(10)&amp;"FC Urban"</f>
        <v/>
      </c>
      <c r="AK79" s="14">
        <f>"Hi "&amp;IF(R79&lt;&gt;"",R79,F79&amp;" team")&amp;","&amp;CHAR(10)&amp;CHAR(10)&amp;"Just bumping this up. The "&amp;AE79&amp;" pitch at "&amp;Z79&amp;" is still free "&amp;IF(ISNUMBER(AD79),TEXT(AD79,"ddd d mmm")&amp;", "&amp;TEXT(AD79,"hh:mm"),"weekday evenings")&amp;", "&amp;IF(OR(AA79=8,AA79=11,AA79=18),"an ","a ")&amp;AA79&amp;"-minute walk from your office, "&amp;IF(AF79&lt;&gt;"","£"&amp;IF(AF79=INT(AF79),TEXT(AF79,"0"),TEXT(AF79,"0.00")),"[PRICE PER PLAYER]")&amp;" a player. Happy to hold it for "&amp;F79&amp;"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LINK]")&amp;CHAR(10)&amp;CHAR(10)&amp;"Best,"&amp;CHAR(10)&amp;IF(AM79&lt;&gt;"",AM79,IF(Offer!$C$5&lt;&gt;"",Offer!$C$5,"[NAME]"))&amp;CHAR(10)&amp;"FC Urban"</f>
        <v/>
      </c>
      <c r="AL79" s="14">
        <f>IF(AH79="","No email yet",IF(ISNUMBER(SEARCH("[",AJ79)),"Fill placeholders",IF(ISNUMBER(AD79),"Ready to send","Ready · no fixed slot")))</f>
        <v/>
      </c>
      <c r="AO79" s="17" t="n"/>
      <c r="AP79" s="17" t="n"/>
    </row>
    <row r="80">
      <c r="A80" s="11" t="n">
        <v>78</v>
      </c>
      <c r="B80" s="11" t="n">
        <v>2</v>
      </c>
      <c r="C80" s="11" t="inlineStr">
        <is>
          <t>Law firm</t>
        </is>
      </c>
      <c r="D80" s="11" t="inlineStr">
        <is>
          <t>City of London</t>
        </is>
      </c>
      <c r="E80" s="11" t="inlineStr">
        <is>
          <t>Stewartsbridge LLP</t>
        </is>
      </c>
      <c r="F80" s="11" t="inlineStr">
        <is>
          <t>Stewartsbridge</t>
        </is>
      </c>
      <c r="G80" s="12" t="inlineStr">
        <is>
          <t>https://www.stewartslaw.com</t>
        </is>
      </c>
      <c r="H80" s="11" t="inlineStr">
        <is>
          <t>info@stewartslaw.com</t>
        </is>
      </c>
      <c r="I80" s="11" t="inlineStr">
        <is>
          <t>general</t>
        </is>
      </c>
      <c r="J80" s="12" t="inlineStr">
        <is>
          <t>Open page</t>
        </is>
      </c>
      <c r="K80" s="11" t="inlineStr">
        <is>
          <t>OC321631</t>
        </is>
      </c>
      <c r="L80" s="12" t="inlineStr">
        <is>
          <t>Open</t>
        </is>
      </c>
      <c r="M80" s="11" t="inlineStr">
        <is>
          <t>Full</t>
        </is>
      </c>
      <c r="N80" s="13" t="n">
        <v>38945</v>
      </c>
      <c r="O80" s="11" t="inlineStr">
        <is>
          <t>5Th Floor, 70 Gracechurch Street, London</t>
        </is>
      </c>
      <c r="P80" s="11" t="inlineStr">
        <is>
          <t>EC3V 0XL</t>
        </is>
      </c>
      <c r="Q80" s="11" t="inlineStr">
        <is>
          <t>No</t>
        </is>
      </c>
      <c r="W80" s="11" t="inlineStr">
        <is>
          <t>City of London School (EC4V 3AL)</t>
        </is>
      </c>
      <c r="X80" s="11" t="n">
        <v>16</v>
      </c>
      <c r="Y80" s="11" t="inlineStr">
        <is>
          <t>Liverpool St - Attlee Centre (17); Marlborough Sports Garden (SE1 1SD) (18.2)</t>
        </is>
      </c>
      <c r="Z80" s="11" t="inlineStr">
        <is>
          <t>City of London School (EC4V 3AL)</t>
        </is>
      </c>
      <c r="AA80" s="11" t="n">
        <v>16</v>
      </c>
      <c r="AB80" s="14">
        <f>IFERROR(INDEX(Venues!$E$2:$E$17,MATCH(Z80,Venues!$A$2:$A$17,0)),"Not checked")</f>
        <v/>
      </c>
      <c r="AC80" s="14">
        <f>IFERROR(INDEX(Venues!$F$2:$F$17,MATCH(Z80,Venues!$A$2:$A$17,0)),0)</f>
        <v/>
      </c>
      <c r="AD80" s="15">
        <f>IFERROR(INDEX(Venues!$M$2:$M$17,MATCH(Z80,Venues!$A$2:$A$17,0)),"")</f>
        <v/>
      </c>
      <c r="AE80" s="14">
        <f>IFERROR(INDEX(Venues!$N$2:$N$17,MATCH(Z80,Venues!$A$2:$A$17,0)),"5-a-side")</f>
        <v/>
      </c>
      <c r="AF80" s="16">
        <f>IF(Offer!$C$4="","",Offer!$C$4)</f>
        <v/>
      </c>
      <c r="AG80" s="14">
        <f>Z80&amp;" ("&amp;AA80&amp;" min walk) · "&amp;IF(ISNUMBER(AD80),TEXT(AD80,"ddd d mmm, hh:mm"),"slot to confirm with venue")&amp;" · "&amp;AE80&amp;" · "&amp;IF(AF80&lt;&gt;"","£"&amp;TEXT(AF80,"0.00")&amp;" pp","price TBC")</f>
        <v/>
      </c>
      <c r="AH80" s="14">
        <f>IF(U80&lt;&gt;"",U80,IF(H80&lt;&gt;"",H80,""))</f>
        <v/>
      </c>
      <c r="AI80" s="14">
        <f>"After-work football for "&amp;F80&amp;" · "&amp;Z80&amp;", "&amp;AA80&amp;" min from your office"</f>
        <v/>
      </c>
      <c r="AJ80" s="14">
        <f>"Hi "&amp;IF(R80&lt;&gt;"",R80,F80&amp;" team")&amp;","&amp;CHAR(10)&amp;CHAR(10)&amp;"I'm "&amp;IF(AM80&lt;&gt;"",AM80,IF(Offer!$C$5&lt;&gt;"",Offer!$C$5,"[NAME]"))&amp;" from FC Urban. We organise after-work football for teams in the City and Canary Wharf."&amp;CHAR(10)&amp;CHAR(10)&amp;"We have a "&amp;AE80&amp;" pitch at "&amp;Z80&amp;", "&amp;IF(OR(AA80=8,AA80=11,AA80=18),"an ","a ")&amp;AA80&amp;"-minute walk from your "&amp;P80&amp;" office, "&amp;IF(ISNUMBER(AD80),"on "&amp;TEXT(AD80,"dddd d mmmm")&amp;" at "&amp;TEXT(AD80,"hh:mm"),"on a weekday evening that suits your team")&amp;". It's "&amp;IF(AF80&lt;&gt;"","£"&amp;IF(AF80=INT(AF80),TEXT(AF80,"0"),TEXT(AF80,"0.00")),"[PRICE PER PLAYER]")&amp;" a player and we handle the pitch booking, sign-ups and payments, so all it takes is one person sharing a link with the team."&amp;CHAR(10)&amp;CHAR(10)&amp;"It works well as a team social or "&amp;IF(ISNUMBER(SEARCH(LEFT(F80,1),"AEIOU")),"an ","a ")&amp;F80&amp;"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LINK]")&amp;CHAR(10)&amp;CHAR(10)&amp;"Best,"&amp;CHAR(10)&amp;IF(AM80&lt;&gt;"",AM80,IF(Offer!$C$5&lt;&gt;"",Offer!$C$5,"[NAME]"))&amp;CHAR(10)&amp;"FC Urban"</f>
        <v/>
      </c>
      <c r="AK80" s="14">
        <f>"Hi "&amp;IF(R80&lt;&gt;"",R80,F80&amp;" team")&amp;","&amp;CHAR(10)&amp;CHAR(10)&amp;"Just bumping this up. The "&amp;AE80&amp;" pitch at "&amp;Z80&amp;" is still free "&amp;IF(ISNUMBER(AD80),TEXT(AD80,"ddd d mmm")&amp;", "&amp;TEXT(AD80,"hh:mm"),"weekday evenings")&amp;", "&amp;IF(OR(AA80=8,AA80=11,AA80=18),"an ","a ")&amp;AA80&amp;"-minute walk from your office, "&amp;IF(AF80&lt;&gt;"","£"&amp;IF(AF80=INT(AF80),TEXT(AF80,"0"),TEXT(AF80,"0.00")),"[PRICE PER PLAYER]")&amp;" a player. Happy to hold it for "&amp;F80&amp;"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LINK]")&amp;CHAR(10)&amp;CHAR(10)&amp;"Best,"&amp;CHAR(10)&amp;IF(AM80&lt;&gt;"",AM80,IF(Offer!$C$5&lt;&gt;"",Offer!$C$5,"[NAME]"))&amp;CHAR(10)&amp;"FC Urban"</f>
        <v/>
      </c>
      <c r="AL80" s="14">
        <f>IF(AH80="","No email yet",IF(ISNUMBER(SEARCH("[",AJ80)),"Fill placeholders",IF(ISNUMBER(AD80),"Ready to send","Ready · no fixed slot")))</f>
        <v/>
      </c>
      <c r="AO80" s="17" t="n"/>
      <c r="AP80" s="17" t="n"/>
    </row>
    <row r="81">
      <c r="A81" s="11" t="n">
        <v>79</v>
      </c>
      <c r="B81" s="11" t="n">
        <v>2</v>
      </c>
      <c r="C81" s="11" t="inlineStr">
        <is>
          <t>Law firm</t>
        </is>
      </c>
      <c r="D81" s="11" t="inlineStr">
        <is>
          <t>City of London</t>
        </is>
      </c>
      <c r="E81" s="11" t="inlineStr">
        <is>
          <t>ALM Global (EMEA) Ltd</t>
        </is>
      </c>
      <c r="F81" s="11" t="inlineStr">
        <is>
          <t>ALM Global</t>
        </is>
      </c>
      <c r="G81" s="12" t="inlineStr">
        <is>
          <t>https://www.almglobal.com</t>
        </is>
      </c>
      <c r="H81" s="11" t="inlineStr">
        <is>
          <t>london@almglobal.com</t>
        </is>
      </c>
      <c r="I81" s="11" t="inlineStr">
        <is>
          <t>general</t>
        </is>
      </c>
      <c r="J81" s="12" t="inlineStr">
        <is>
          <t>Open page</t>
        </is>
      </c>
      <c r="K81" s="11" t="inlineStr">
        <is>
          <t>04110598</t>
        </is>
      </c>
      <c r="L81" s="12" t="inlineStr">
        <is>
          <t>Open</t>
        </is>
      </c>
      <c r="M81" s="11" t="inlineStr">
        <is>
          <t>Full</t>
        </is>
      </c>
      <c r="N81" s="13" t="n">
        <v>36845</v>
      </c>
      <c r="O81" s="11" t="inlineStr">
        <is>
          <t>4Th Floor Holborn Gate, 330 High Holborn, London</t>
        </is>
      </c>
      <c r="P81" s="11" t="inlineStr">
        <is>
          <t>WC1V 7QT</t>
        </is>
      </c>
      <c r="Q81" s="11" t="inlineStr">
        <is>
          <t>No</t>
        </is>
      </c>
      <c r="W81" s="11" t="inlineStr">
        <is>
          <t>St Pancras - Coram's Fields 3G</t>
        </is>
      </c>
      <c r="X81" s="11" t="n">
        <v>17</v>
      </c>
      <c r="Y81" s="11" t="n"/>
      <c r="Z81" s="11" t="inlineStr">
        <is>
          <t>St Pancras - Coram's Fields 3G</t>
        </is>
      </c>
      <c r="AA81" s="11" t="n">
        <v>17</v>
      </c>
      <c r="AB81" s="14">
        <f>IFERROR(INDEX(Venues!$E$2:$E$17,MATCH(Z81,Venues!$A$2:$A$17,0)),"Not checked")</f>
        <v/>
      </c>
      <c r="AC81" s="14">
        <f>IFERROR(INDEX(Venues!$F$2:$F$17,MATCH(Z81,Venues!$A$2:$A$17,0)),0)</f>
        <v/>
      </c>
      <c r="AD81" s="15">
        <f>IFERROR(INDEX(Venues!$M$2:$M$17,MATCH(Z81,Venues!$A$2:$A$17,0)),"")</f>
        <v/>
      </c>
      <c r="AE81" s="14">
        <f>IFERROR(INDEX(Venues!$N$2:$N$17,MATCH(Z81,Venues!$A$2:$A$17,0)),"5-a-side")</f>
        <v/>
      </c>
      <c r="AF81" s="16">
        <f>IF(Offer!$C$4="","",Offer!$C$4)</f>
        <v/>
      </c>
      <c r="AG81" s="14">
        <f>Z81&amp;" ("&amp;AA81&amp;" min walk) · "&amp;IF(ISNUMBER(AD81),TEXT(AD81,"ddd d mmm, hh:mm"),"slot to confirm with venue")&amp;" · "&amp;AE81&amp;" · "&amp;IF(AF81&lt;&gt;"","£"&amp;TEXT(AF81,"0.00")&amp;" pp","price TBC")</f>
        <v/>
      </c>
      <c r="AH81" s="14">
        <f>IF(U81&lt;&gt;"",U81,IF(H81&lt;&gt;"",H81,""))</f>
        <v/>
      </c>
      <c r="AI81" s="14">
        <f>"After-work football for "&amp;F81&amp;" · "&amp;Z81&amp;", "&amp;AA81&amp;" min from your office"</f>
        <v/>
      </c>
      <c r="AJ81" s="14">
        <f>"Hi "&amp;IF(R81&lt;&gt;"",R81,F81&amp;" team")&amp;","&amp;CHAR(10)&amp;CHAR(10)&amp;"I'm "&amp;IF(AM81&lt;&gt;"",AM81,IF(Offer!$C$5&lt;&gt;"",Offer!$C$5,"[NAME]"))&amp;" from FC Urban. We organise after-work football for teams in the City and Canary Wharf."&amp;CHAR(10)&amp;CHAR(10)&amp;"We have a "&amp;AE81&amp;" pitch at "&amp;Z81&amp;", "&amp;IF(OR(AA81=8,AA81=11,AA81=18),"an ","a ")&amp;AA81&amp;"-minute walk from your "&amp;P81&amp;" office, "&amp;IF(ISNUMBER(AD81),"on "&amp;TEXT(AD81,"dddd d mmmm")&amp;" at "&amp;TEXT(AD81,"hh:mm"),"on a weekday evening that suits your team")&amp;". It's "&amp;IF(AF81&lt;&gt;"","£"&amp;IF(AF81=INT(AF81),TEXT(AF81,"0"),TEXT(AF81,"0.00")),"[PRICE PER PLAYER]")&amp;" a player and we handle the pitch booking, sign-ups and payments, so all it takes is one person sharing a link with the team."&amp;CHAR(10)&amp;CHAR(10)&amp;"It works well as a team social or "&amp;IF(ISNUMBER(SEARCH(LEFT(F81,1),"AEIOU")),"an ","a ")&amp;F81&amp;"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LINK]")&amp;CHAR(10)&amp;CHAR(10)&amp;"Best,"&amp;CHAR(10)&amp;IF(AM81&lt;&gt;"",AM81,IF(Offer!$C$5&lt;&gt;"",Offer!$C$5,"[NAME]"))&amp;CHAR(10)&amp;"FC Urban"</f>
        <v/>
      </c>
      <c r="AK81" s="14">
        <f>"Hi "&amp;IF(R81&lt;&gt;"",R81,F81&amp;" team")&amp;","&amp;CHAR(10)&amp;CHAR(10)&amp;"Just bumping this up. The "&amp;AE81&amp;" pitch at "&amp;Z81&amp;" is still free "&amp;IF(ISNUMBER(AD81),TEXT(AD81,"ddd d mmm")&amp;", "&amp;TEXT(AD81,"hh:mm"),"weekday evenings")&amp;", "&amp;IF(OR(AA81=8,AA81=11,AA81=18),"an ","a ")&amp;AA81&amp;"-minute walk from your office, "&amp;IF(AF81&lt;&gt;"","£"&amp;IF(AF81=INT(AF81),TEXT(AF81,"0"),TEXT(AF81,"0.00")),"[PRICE PER PLAYER]")&amp;" a player. Happy to hold it for "&amp;F81&amp;"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LINK]")&amp;CHAR(10)&amp;CHAR(10)&amp;"Best,"&amp;CHAR(10)&amp;IF(AM81&lt;&gt;"",AM81,IF(Offer!$C$5&lt;&gt;"",Offer!$C$5,"[NAME]"))&amp;CHAR(10)&amp;"FC Urban"</f>
        <v/>
      </c>
      <c r="AL81" s="14">
        <f>IF(AH81="","No email yet",IF(ISNUMBER(SEARCH("[",AJ81)),"Fill placeholders",IF(ISNUMBER(AD81),"Ready to send","Ready · no fixed slot")))</f>
        <v/>
      </c>
      <c r="AO81" s="17" t="n"/>
      <c r="AP81" s="17" t="n"/>
    </row>
    <row r="82">
      <c r="A82" s="11" t="n">
        <v>80</v>
      </c>
      <c r="B82" s="11" t="n">
        <v>2</v>
      </c>
      <c r="C82" s="11" t="inlineStr">
        <is>
          <t>Law firm</t>
        </is>
      </c>
      <c r="D82" s="11" t="inlineStr">
        <is>
          <t>City of London</t>
        </is>
      </c>
      <c r="E82" s="11" t="inlineStr">
        <is>
          <t>39 Essex Chambers (Services) Limited</t>
        </is>
      </c>
      <c r="F82" s="11" t="inlineStr">
        <is>
          <t>39 Essex Chambers</t>
        </is>
      </c>
      <c r="G82" s="12" t="inlineStr">
        <is>
          <t>https://www.39essex.com</t>
        </is>
      </c>
      <c r="H82" s="11" t="inlineStr">
        <is>
          <t>info@39essex.com</t>
        </is>
      </c>
      <c r="I82" s="11" t="inlineStr">
        <is>
          <t>general</t>
        </is>
      </c>
      <c r="J82" s="12" t="inlineStr">
        <is>
          <t>Open page</t>
        </is>
      </c>
      <c r="K82" s="11" t="inlineStr">
        <is>
          <t>07385894</t>
        </is>
      </c>
      <c r="L82" s="12" t="inlineStr">
        <is>
          <t>Open</t>
        </is>
      </c>
      <c r="M82" s="11" t="inlineStr">
        <is>
          <t>Full</t>
        </is>
      </c>
      <c r="N82" s="13" t="n">
        <v>40444</v>
      </c>
      <c r="O82" s="11" t="inlineStr">
        <is>
          <t>81 Chancery Lane, London</t>
        </is>
      </c>
      <c r="P82" s="11" t="inlineStr">
        <is>
          <t>WC2A 1DD</t>
        </is>
      </c>
      <c r="Q82" s="11" t="inlineStr">
        <is>
          <t>No</t>
        </is>
      </c>
      <c r="W82" s="11" t="inlineStr">
        <is>
          <t>City of London School (EC4V 3AL)</t>
        </is>
      </c>
      <c r="X82" s="11" t="n">
        <v>17</v>
      </c>
      <c r="Y82" s="11" t="n"/>
      <c r="Z82" s="11" t="inlineStr">
        <is>
          <t>City of London School (EC4V 3AL)</t>
        </is>
      </c>
      <c r="AA82" s="11" t="n">
        <v>17</v>
      </c>
      <c r="AB82" s="14">
        <f>IFERROR(INDEX(Venues!$E$2:$E$17,MATCH(Z82,Venues!$A$2:$A$17,0)),"Not checked")</f>
        <v/>
      </c>
      <c r="AC82" s="14">
        <f>IFERROR(INDEX(Venues!$F$2:$F$17,MATCH(Z82,Venues!$A$2:$A$17,0)),0)</f>
        <v/>
      </c>
      <c r="AD82" s="15">
        <f>IFERROR(INDEX(Venues!$M$2:$M$17,MATCH(Z82,Venues!$A$2:$A$17,0)),"")</f>
        <v/>
      </c>
      <c r="AE82" s="14">
        <f>IFERROR(INDEX(Venues!$N$2:$N$17,MATCH(Z82,Venues!$A$2:$A$17,0)),"5-a-side")</f>
        <v/>
      </c>
      <c r="AF82" s="16">
        <f>IF(Offer!$C$4="","",Offer!$C$4)</f>
        <v/>
      </c>
      <c r="AG82" s="14">
        <f>Z82&amp;" ("&amp;AA82&amp;" min walk) · "&amp;IF(ISNUMBER(AD82),TEXT(AD82,"ddd d mmm, hh:mm"),"slot to confirm with venue")&amp;" · "&amp;AE82&amp;" · "&amp;IF(AF82&lt;&gt;"","£"&amp;TEXT(AF82,"0.00")&amp;" pp","price TBC")</f>
        <v/>
      </c>
      <c r="AH82" s="14">
        <f>IF(U82&lt;&gt;"",U82,IF(H82&lt;&gt;"",H82,""))</f>
        <v/>
      </c>
      <c r="AI82" s="14">
        <f>"After-work football for "&amp;F82&amp;" · "&amp;Z82&amp;", "&amp;AA82&amp;" min from your office"</f>
        <v/>
      </c>
      <c r="AJ82" s="14">
        <f>"Hi "&amp;IF(R82&lt;&gt;"",R82,F82&amp;" team")&amp;","&amp;CHAR(10)&amp;CHAR(10)&amp;"I'm "&amp;IF(AM82&lt;&gt;"",AM82,IF(Offer!$C$5&lt;&gt;"",Offer!$C$5,"[NAME]"))&amp;" from FC Urban. We organise after-work football for teams in the City and Canary Wharf."&amp;CHAR(10)&amp;CHAR(10)&amp;"We have a "&amp;AE82&amp;" pitch at "&amp;Z82&amp;", "&amp;IF(OR(AA82=8,AA82=11,AA82=18),"an ","a ")&amp;AA82&amp;"-minute walk from your "&amp;P82&amp;" office, "&amp;IF(ISNUMBER(AD82),"on "&amp;TEXT(AD82,"dddd d mmmm")&amp;" at "&amp;TEXT(AD82,"hh:mm"),"on a weekday evening that suits your team")&amp;". It's "&amp;IF(AF82&lt;&gt;"","£"&amp;IF(AF82=INT(AF82),TEXT(AF82,"0"),TEXT(AF82,"0.00")),"[PRICE PER PLAYER]")&amp;" a player and we handle the pitch booking, sign-ups and payments, so all it takes is one person sharing a link with the team."&amp;CHAR(10)&amp;CHAR(10)&amp;"It works well as a team social or "&amp;IF(ISNUMBER(SEARCH(LEFT(F82,1),"AEIOU")),"an ","a ")&amp;F82&amp;"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LINK]")&amp;CHAR(10)&amp;CHAR(10)&amp;"Best,"&amp;CHAR(10)&amp;IF(AM82&lt;&gt;"",AM82,IF(Offer!$C$5&lt;&gt;"",Offer!$C$5,"[NAME]"))&amp;CHAR(10)&amp;"FC Urban"</f>
        <v/>
      </c>
      <c r="AK82" s="14">
        <f>"Hi "&amp;IF(R82&lt;&gt;"",R82,F82&amp;" team")&amp;","&amp;CHAR(10)&amp;CHAR(10)&amp;"Just bumping this up. The "&amp;AE82&amp;" pitch at "&amp;Z82&amp;" is still free "&amp;IF(ISNUMBER(AD82),TEXT(AD82,"ddd d mmm")&amp;", "&amp;TEXT(AD82,"hh:mm"),"weekday evenings")&amp;", "&amp;IF(OR(AA82=8,AA82=11,AA82=18),"an ","a ")&amp;AA82&amp;"-minute walk from your office, "&amp;IF(AF82&lt;&gt;"","£"&amp;IF(AF82=INT(AF82),TEXT(AF82,"0"),TEXT(AF82,"0.00")),"[PRICE PER PLAYER]")&amp;" a player. Happy to hold it for "&amp;F82&amp;"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LINK]")&amp;CHAR(10)&amp;CHAR(10)&amp;"Best,"&amp;CHAR(10)&amp;IF(AM82&lt;&gt;"",AM82,IF(Offer!$C$5&lt;&gt;"",Offer!$C$5,"[NAME]"))&amp;CHAR(10)&amp;"FC Urban"</f>
        <v/>
      </c>
      <c r="AL82" s="14">
        <f>IF(AH82="","No email yet",IF(ISNUMBER(SEARCH("[",AJ82)),"Fill placeholders",IF(ISNUMBER(AD82),"Ready to send","Ready · no fixed slot")))</f>
        <v/>
      </c>
      <c r="AO82" s="17" t="n"/>
      <c r="AP82" s="17" t="n"/>
    </row>
    <row r="83">
      <c r="A83" s="11" t="n">
        <v>81</v>
      </c>
      <c r="B83" s="11" t="n">
        <v>2</v>
      </c>
      <c r="C83" s="11" t="inlineStr">
        <is>
          <t>Law firm</t>
        </is>
      </c>
      <c r="D83" s="11" t="inlineStr">
        <is>
          <t>City of London</t>
        </is>
      </c>
      <c r="E83" s="11" t="inlineStr">
        <is>
          <t>White &amp; Case LLP</t>
        </is>
      </c>
      <c r="F83" s="11" t="inlineStr">
        <is>
          <t>White &amp; Case</t>
        </is>
      </c>
      <c r="G83" s="12" t="inlineStr">
        <is>
          <t>https://www.whitecase.co.uk</t>
        </is>
      </c>
      <c r="H83" s="11" t="inlineStr">
        <is>
          <t>londonearlycareers@whitecase.com</t>
        </is>
      </c>
      <c r="I83" s="11" t="inlineStr">
        <is>
          <t>general</t>
        </is>
      </c>
      <c r="J83" s="12" t="inlineStr">
        <is>
          <t>Open page</t>
        </is>
      </c>
      <c r="K83" s="11" t="inlineStr">
        <is>
          <t>OC324340</t>
        </is>
      </c>
      <c r="L83" s="12" t="inlineStr">
        <is>
          <t>Open</t>
        </is>
      </c>
      <c r="M83" s="11" t="inlineStr">
        <is>
          <t>Full</t>
        </is>
      </c>
      <c r="N83" s="13" t="n">
        <v>39052</v>
      </c>
      <c r="O83" s="11" t="inlineStr">
        <is>
          <t>5 Old Broad Street, London</t>
        </is>
      </c>
      <c r="P83" s="11" t="inlineStr">
        <is>
          <t>EC2N 1DW</t>
        </is>
      </c>
      <c r="Q83" s="11" t="inlineStr">
        <is>
          <t>No</t>
        </is>
      </c>
      <c r="W83" s="11" t="inlineStr">
        <is>
          <t>Liverpool St - Attlee Centre</t>
        </is>
      </c>
      <c r="X83" s="11" t="n">
        <v>15</v>
      </c>
      <c r="Y83" s="11" t="inlineStr">
        <is>
          <t>City of London School (EC4V 3AL) (17.1); Shoreditch Powerleague (18.9)</t>
        </is>
      </c>
      <c r="Z83" s="11" t="inlineStr">
        <is>
          <t>City of London School (EC4V 3AL)</t>
        </is>
      </c>
      <c r="AA83" s="11" t="n">
        <v>17</v>
      </c>
      <c r="AB83" s="14">
        <f>IFERROR(INDEX(Venues!$E$2:$E$17,MATCH(Z83,Venues!$A$2:$A$17,0)),"Not checked")</f>
        <v/>
      </c>
      <c r="AC83" s="14">
        <f>IFERROR(INDEX(Venues!$F$2:$F$17,MATCH(Z83,Venues!$A$2:$A$17,0)),0)</f>
        <v/>
      </c>
      <c r="AD83" s="15">
        <f>IFERROR(INDEX(Venues!$M$2:$M$17,MATCH(Z83,Venues!$A$2:$A$17,0)),"")</f>
        <v/>
      </c>
      <c r="AE83" s="14">
        <f>IFERROR(INDEX(Venues!$N$2:$N$17,MATCH(Z83,Venues!$A$2:$A$17,0)),"5-a-side")</f>
        <v/>
      </c>
      <c r="AF83" s="16">
        <f>IF(Offer!$C$4="","",Offer!$C$4)</f>
        <v/>
      </c>
      <c r="AG83" s="14">
        <f>Z83&amp;" ("&amp;AA83&amp;" min walk) · "&amp;IF(ISNUMBER(AD83),TEXT(AD83,"ddd d mmm, hh:mm"),"slot to confirm with venue")&amp;" · "&amp;AE83&amp;" · "&amp;IF(AF83&lt;&gt;"","£"&amp;TEXT(AF83,"0.00")&amp;" pp","price TBC")</f>
        <v/>
      </c>
      <c r="AH83" s="14">
        <f>IF(U83&lt;&gt;"",U83,IF(H83&lt;&gt;"",H83,""))</f>
        <v/>
      </c>
      <c r="AI83" s="14">
        <f>"After-work football for "&amp;F83&amp;" · "&amp;Z83&amp;", "&amp;AA83&amp;" min from your office"</f>
        <v/>
      </c>
      <c r="AJ83" s="14">
        <f>"Hi "&amp;IF(R83&lt;&gt;"",R83,F83&amp;" team")&amp;","&amp;CHAR(10)&amp;CHAR(10)&amp;"I'm "&amp;IF(AM83&lt;&gt;"",AM83,IF(Offer!$C$5&lt;&gt;"",Offer!$C$5,"[NAME]"))&amp;" from FC Urban. We organise after-work football for teams in the City and Canary Wharf."&amp;CHAR(10)&amp;CHAR(10)&amp;"We have a "&amp;AE83&amp;" pitch at "&amp;Z83&amp;", "&amp;IF(OR(AA83=8,AA83=11,AA83=18),"an ","a ")&amp;AA83&amp;"-minute walk from your "&amp;P83&amp;" office, "&amp;IF(ISNUMBER(AD83),"on "&amp;TEXT(AD83,"dddd d mmmm")&amp;" at "&amp;TEXT(AD83,"hh:mm"),"on a weekday evening that suits your team")&amp;". It's "&amp;IF(AF83&lt;&gt;"","£"&amp;IF(AF83=INT(AF83),TEXT(AF83,"0"),TEXT(AF83,"0.00")),"[PRICE PER PLAYER]")&amp;" a player and we handle the pitch booking, sign-ups and payments, so all it takes is one person sharing a link with the team."&amp;CHAR(10)&amp;CHAR(10)&amp;"It works well as a team social or "&amp;IF(ISNUMBER(SEARCH(LEFT(F83,1),"AEIOU")),"an ","a ")&amp;F83&amp;"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LINK]")&amp;CHAR(10)&amp;CHAR(10)&amp;"Best,"&amp;CHAR(10)&amp;IF(AM83&lt;&gt;"",AM83,IF(Offer!$C$5&lt;&gt;"",Offer!$C$5,"[NAME]"))&amp;CHAR(10)&amp;"FC Urban"</f>
        <v/>
      </c>
      <c r="AK83" s="14">
        <f>"Hi "&amp;IF(R83&lt;&gt;"",R83,F83&amp;" team")&amp;","&amp;CHAR(10)&amp;CHAR(10)&amp;"Just bumping this up. The "&amp;AE83&amp;" pitch at "&amp;Z83&amp;" is still free "&amp;IF(ISNUMBER(AD83),TEXT(AD83,"ddd d mmm")&amp;", "&amp;TEXT(AD83,"hh:mm"),"weekday evenings")&amp;", "&amp;IF(OR(AA83=8,AA83=11,AA83=18),"an ","a ")&amp;AA83&amp;"-minute walk from your office, "&amp;IF(AF83&lt;&gt;"","£"&amp;IF(AF83=INT(AF83),TEXT(AF83,"0"),TEXT(AF83,"0.00")),"[PRICE PER PLAYER]")&amp;" a player. Happy to hold it for "&amp;F83&amp;"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LINK]")&amp;CHAR(10)&amp;CHAR(10)&amp;"Best,"&amp;CHAR(10)&amp;IF(AM83&lt;&gt;"",AM83,IF(Offer!$C$5&lt;&gt;"",Offer!$C$5,"[NAME]"))&amp;CHAR(10)&amp;"FC Urban"</f>
        <v/>
      </c>
      <c r="AL83" s="14">
        <f>IF(AH83="","No email yet",IF(ISNUMBER(SEARCH("[",AJ83)),"Fill placeholders",IF(ISNUMBER(AD83),"Ready to send","Ready · no fixed slot")))</f>
        <v/>
      </c>
      <c r="AO83" s="17" t="n"/>
      <c r="AP83" s="17" t="n"/>
    </row>
    <row r="84">
      <c r="A84" s="11" t="n">
        <v>82</v>
      </c>
      <c r="B84" s="11" t="n">
        <v>2</v>
      </c>
      <c r="C84" s="11" t="inlineStr">
        <is>
          <t>Law firm</t>
        </is>
      </c>
      <c r="D84" s="11" t="inlineStr">
        <is>
          <t>City of London</t>
        </is>
      </c>
      <c r="E84" s="11" t="inlineStr">
        <is>
          <t>Greenberg Traurig, LLP</t>
        </is>
      </c>
      <c r="F84" s="11" t="inlineStr">
        <is>
          <t>Greenberg Traurig</t>
        </is>
      </c>
      <c r="G84" s="12" t="inlineStr">
        <is>
          <t>https://www.gtlaw.com</t>
        </is>
      </c>
      <c r="H84" s="11" t="inlineStr">
        <is>
          <t>london@gtlaw.com</t>
        </is>
      </c>
      <c r="I84" s="11" t="inlineStr">
        <is>
          <t>general</t>
        </is>
      </c>
      <c r="J84" s="12" t="inlineStr">
        <is>
          <t>Open page</t>
        </is>
      </c>
      <c r="K84" s="11" t="inlineStr">
        <is>
          <t>OC346053</t>
        </is>
      </c>
      <c r="L84" s="12" t="inlineStr">
        <is>
          <t>Open</t>
        </is>
      </c>
      <c r="M84" s="11" t="inlineStr">
        <is>
          <t>Full</t>
        </is>
      </c>
      <c r="N84" s="13" t="n">
        <v>39965</v>
      </c>
      <c r="O84" s="11" t="inlineStr">
        <is>
          <t>The Shard Level 8, 32 London Bridge Street, London</t>
        </is>
      </c>
      <c r="P84" s="11" t="inlineStr">
        <is>
          <t>SE1 9SG</t>
        </is>
      </c>
      <c r="Q84" s="11" t="inlineStr">
        <is>
          <t>No</t>
        </is>
      </c>
      <c r="W84" s="11" t="inlineStr">
        <is>
          <t>Marlborough Sports Garden (SE1 1SD)</t>
        </is>
      </c>
      <c r="X84" s="11" t="n">
        <v>7</v>
      </c>
      <c r="Y84" s="11" t="inlineStr">
        <is>
          <t>Borough Academy (14.6); City of London School (EC4V 3AL) (17.2)</t>
        </is>
      </c>
      <c r="Z84" s="11" t="inlineStr">
        <is>
          <t>City of London School (EC4V 3AL)</t>
        </is>
      </c>
      <c r="AA84" s="11" t="n">
        <v>17</v>
      </c>
      <c r="AB84" s="14">
        <f>IFERROR(INDEX(Venues!$E$2:$E$17,MATCH(Z84,Venues!$A$2:$A$17,0)),"Not checked")</f>
        <v/>
      </c>
      <c r="AC84" s="14">
        <f>IFERROR(INDEX(Venues!$F$2:$F$17,MATCH(Z84,Venues!$A$2:$A$17,0)),0)</f>
        <v/>
      </c>
      <c r="AD84" s="15">
        <f>IFERROR(INDEX(Venues!$M$2:$M$17,MATCH(Z84,Venues!$A$2:$A$17,0)),"")</f>
        <v/>
      </c>
      <c r="AE84" s="14">
        <f>IFERROR(INDEX(Venues!$N$2:$N$17,MATCH(Z84,Venues!$A$2:$A$17,0)),"5-a-side")</f>
        <v/>
      </c>
      <c r="AF84" s="16">
        <f>IF(Offer!$C$4="","",Offer!$C$4)</f>
        <v/>
      </c>
      <c r="AG84" s="14">
        <f>Z84&amp;" ("&amp;AA84&amp;" min walk) · "&amp;IF(ISNUMBER(AD84),TEXT(AD84,"ddd d mmm, hh:mm"),"slot to confirm with venue")&amp;" · "&amp;AE84&amp;" · "&amp;IF(AF84&lt;&gt;"","£"&amp;TEXT(AF84,"0.00")&amp;" pp","price TBC")</f>
        <v/>
      </c>
      <c r="AH84" s="14">
        <f>IF(U84&lt;&gt;"",U84,IF(H84&lt;&gt;"",H84,""))</f>
        <v/>
      </c>
      <c r="AI84" s="14">
        <f>"After-work football for "&amp;F84&amp;" · "&amp;Z84&amp;", "&amp;AA84&amp;" min from your office"</f>
        <v/>
      </c>
      <c r="AJ84" s="14">
        <f>"Hi "&amp;IF(R84&lt;&gt;"",R84,F84&amp;" team")&amp;","&amp;CHAR(10)&amp;CHAR(10)&amp;"I'm "&amp;IF(AM84&lt;&gt;"",AM84,IF(Offer!$C$5&lt;&gt;"",Offer!$C$5,"[NAME]"))&amp;" from FC Urban. We organise after-work football for teams in the City and Canary Wharf."&amp;CHAR(10)&amp;CHAR(10)&amp;"We have a "&amp;AE84&amp;" pitch at "&amp;Z84&amp;", "&amp;IF(OR(AA84=8,AA84=11,AA84=18),"an ","a ")&amp;AA84&amp;"-minute walk from your "&amp;P84&amp;" office, "&amp;IF(ISNUMBER(AD84),"on "&amp;TEXT(AD84,"dddd d mmmm")&amp;" at "&amp;TEXT(AD84,"hh:mm"),"on a weekday evening that suits your team")&amp;". It's "&amp;IF(AF84&lt;&gt;"","£"&amp;IF(AF84=INT(AF84),TEXT(AF84,"0"),TEXT(AF84,"0.00")),"[PRICE PER PLAYER]")&amp;" a player and we handle the pitch booking, sign-ups and payments, so all it takes is one person sharing a link with the team."&amp;CHAR(10)&amp;CHAR(10)&amp;"It works well as a team social or "&amp;IF(ISNUMBER(SEARCH(LEFT(F84,1),"AEIOU")),"an ","a ")&amp;F84&amp;"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LINK]")&amp;CHAR(10)&amp;CHAR(10)&amp;"Best,"&amp;CHAR(10)&amp;IF(AM84&lt;&gt;"",AM84,IF(Offer!$C$5&lt;&gt;"",Offer!$C$5,"[NAME]"))&amp;CHAR(10)&amp;"FC Urban"</f>
        <v/>
      </c>
      <c r="AK84" s="14">
        <f>"Hi "&amp;IF(R84&lt;&gt;"",R84,F84&amp;" team")&amp;","&amp;CHAR(10)&amp;CHAR(10)&amp;"Just bumping this up. The "&amp;AE84&amp;" pitch at "&amp;Z84&amp;" is still free "&amp;IF(ISNUMBER(AD84),TEXT(AD84,"ddd d mmm")&amp;", "&amp;TEXT(AD84,"hh:mm"),"weekday evenings")&amp;", "&amp;IF(OR(AA84=8,AA84=11,AA84=18),"an ","a ")&amp;AA84&amp;"-minute walk from your office, "&amp;IF(AF84&lt;&gt;"","£"&amp;IF(AF84=INT(AF84),TEXT(AF84,"0"),TEXT(AF84,"0.00")),"[PRICE PER PLAYER]")&amp;" a player. Happy to hold it for "&amp;F84&amp;"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LINK]")&amp;CHAR(10)&amp;CHAR(10)&amp;"Best,"&amp;CHAR(10)&amp;IF(AM84&lt;&gt;"",AM84,IF(Offer!$C$5&lt;&gt;"",Offer!$C$5,"[NAME]"))&amp;CHAR(10)&amp;"FC Urban"</f>
        <v/>
      </c>
      <c r="AL84" s="14">
        <f>IF(AH84="","No email yet",IF(ISNUMBER(SEARCH("[",AJ84)),"Fill placeholders",IF(ISNUMBER(AD84),"Ready to send","Ready · no fixed slot")))</f>
        <v/>
      </c>
      <c r="AO84" s="17" t="n"/>
      <c r="AP84" s="17" t="n"/>
    </row>
    <row r="85">
      <c r="A85" s="11" t="n">
        <v>83</v>
      </c>
      <c r="B85" s="11" t="n">
        <v>2</v>
      </c>
      <c r="C85" s="11" t="inlineStr">
        <is>
          <t>Law firm</t>
        </is>
      </c>
      <c r="D85" s="11" t="inlineStr">
        <is>
          <t>City of London</t>
        </is>
      </c>
      <c r="E85" s="11" t="inlineStr">
        <is>
          <t>Keystone Law Limited</t>
        </is>
      </c>
      <c r="F85" s="11" t="inlineStr">
        <is>
          <t>Keystone Law</t>
        </is>
      </c>
      <c r="G85" s="12" t="inlineStr">
        <is>
          <t>https://www.keystone.com</t>
        </is>
      </c>
      <c r="H85" s="11" t="inlineStr">
        <is>
          <t>info@keystone.com</t>
        </is>
      </c>
      <c r="I85" s="11" t="inlineStr">
        <is>
          <t>general</t>
        </is>
      </c>
      <c r="J85" s="12" t="inlineStr">
        <is>
          <t>Open page</t>
        </is>
      </c>
      <c r="K85" s="11" t="inlineStr">
        <is>
          <t>04650763</t>
        </is>
      </c>
      <c r="L85" s="12" t="inlineStr">
        <is>
          <t>Open</t>
        </is>
      </c>
      <c r="M85" s="11" t="inlineStr">
        <is>
          <t>Full</t>
        </is>
      </c>
      <c r="N85" s="13" t="n">
        <v>37650</v>
      </c>
      <c r="O85" s="11" t="inlineStr">
        <is>
          <t>48 Chancery Lane, London</t>
        </is>
      </c>
      <c r="P85" s="11" t="inlineStr">
        <is>
          <t>WC2A 1JF</t>
        </is>
      </c>
      <c r="Q85" s="11" t="inlineStr">
        <is>
          <t>No</t>
        </is>
      </c>
      <c r="W85" s="11" t="inlineStr">
        <is>
          <t>City of London School (EC4V 3AL)</t>
        </is>
      </c>
      <c r="X85" s="11" t="n">
        <v>18</v>
      </c>
      <c r="Y85" s="11" t="inlineStr">
        <is>
          <t>St Pancras - Coram's Fields 3G (18.2)</t>
        </is>
      </c>
      <c r="Z85" s="11" t="inlineStr">
        <is>
          <t>City of London School (EC4V 3AL)</t>
        </is>
      </c>
      <c r="AA85" s="11" t="n">
        <v>18</v>
      </c>
      <c r="AB85" s="14">
        <f>IFERROR(INDEX(Venues!$E$2:$E$17,MATCH(Z85,Venues!$A$2:$A$17,0)),"Not checked")</f>
        <v/>
      </c>
      <c r="AC85" s="14">
        <f>IFERROR(INDEX(Venues!$F$2:$F$17,MATCH(Z85,Venues!$A$2:$A$17,0)),0)</f>
        <v/>
      </c>
      <c r="AD85" s="15">
        <f>IFERROR(INDEX(Venues!$M$2:$M$17,MATCH(Z85,Venues!$A$2:$A$17,0)),"")</f>
        <v/>
      </c>
      <c r="AE85" s="14">
        <f>IFERROR(INDEX(Venues!$N$2:$N$17,MATCH(Z85,Venues!$A$2:$A$17,0)),"5-a-side")</f>
        <v/>
      </c>
      <c r="AF85" s="16">
        <f>IF(Offer!$C$4="","",Offer!$C$4)</f>
        <v/>
      </c>
      <c r="AG85" s="14">
        <f>Z85&amp;" ("&amp;AA85&amp;" min walk) · "&amp;IF(ISNUMBER(AD85),TEXT(AD85,"ddd d mmm, hh:mm"),"slot to confirm with venue")&amp;" · "&amp;AE85&amp;" · "&amp;IF(AF85&lt;&gt;"","£"&amp;TEXT(AF85,"0.00")&amp;" pp","price TBC")</f>
        <v/>
      </c>
      <c r="AH85" s="14">
        <f>IF(U85&lt;&gt;"",U85,IF(H85&lt;&gt;"",H85,""))</f>
        <v/>
      </c>
      <c r="AI85" s="14">
        <f>"After-work football for "&amp;F85&amp;" · "&amp;Z85&amp;", "&amp;AA85&amp;" min from your office"</f>
        <v/>
      </c>
      <c r="AJ85" s="14">
        <f>"Hi "&amp;IF(R85&lt;&gt;"",R85,F85&amp;" team")&amp;","&amp;CHAR(10)&amp;CHAR(10)&amp;"I'm "&amp;IF(AM85&lt;&gt;"",AM85,IF(Offer!$C$5&lt;&gt;"",Offer!$C$5,"[NAME]"))&amp;" from FC Urban. We organise after-work football for teams in the City and Canary Wharf."&amp;CHAR(10)&amp;CHAR(10)&amp;"We have a "&amp;AE85&amp;" pitch at "&amp;Z85&amp;", "&amp;IF(OR(AA85=8,AA85=11,AA85=18),"an ","a ")&amp;AA85&amp;"-minute walk from your "&amp;P85&amp;" office, "&amp;IF(ISNUMBER(AD85),"on "&amp;TEXT(AD85,"dddd d mmmm")&amp;" at "&amp;TEXT(AD85,"hh:mm"),"on a weekday evening that suits your team")&amp;". It's "&amp;IF(AF85&lt;&gt;"","£"&amp;IF(AF85=INT(AF85),TEXT(AF85,"0"),TEXT(AF85,"0.00")),"[PRICE PER PLAYER]")&amp;" a player and we handle the pitch booking, sign-ups and payments, so all it takes is one person sharing a link with the team."&amp;CHAR(10)&amp;CHAR(10)&amp;"It works well as a team social or "&amp;IF(ISNUMBER(SEARCH(LEFT(F85,1),"AEIOU")),"an ","a ")&amp;F85&amp;"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LINK]")&amp;CHAR(10)&amp;CHAR(10)&amp;"Best,"&amp;CHAR(10)&amp;IF(AM85&lt;&gt;"",AM85,IF(Offer!$C$5&lt;&gt;"",Offer!$C$5,"[NAME]"))&amp;CHAR(10)&amp;"FC Urban"</f>
        <v/>
      </c>
      <c r="AK85" s="14">
        <f>"Hi "&amp;IF(R85&lt;&gt;"",R85,F85&amp;" team")&amp;","&amp;CHAR(10)&amp;CHAR(10)&amp;"Just bumping this up. The "&amp;AE85&amp;" pitch at "&amp;Z85&amp;" is still free "&amp;IF(ISNUMBER(AD85),TEXT(AD85,"ddd d mmm")&amp;", "&amp;TEXT(AD85,"hh:mm"),"weekday evenings")&amp;", "&amp;IF(OR(AA85=8,AA85=11,AA85=18),"an ","a ")&amp;AA85&amp;"-minute walk from your office, "&amp;IF(AF85&lt;&gt;"","£"&amp;IF(AF85=INT(AF85),TEXT(AF85,"0"),TEXT(AF85,"0.00")),"[PRICE PER PLAYER]")&amp;" a player. Happy to hold it for "&amp;F85&amp;"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LINK]")&amp;CHAR(10)&amp;CHAR(10)&amp;"Best,"&amp;CHAR(10)&amp;IF(AM85&lt;&gt;"",AM85,IF(Offer!$C$5&lt;&gt;"",Offer!$C$5,"[NAME]"))&amp;CHAR(10)&amp;"FC Urban"</f>
        <v/>
      </c>
      <c r="AL85" s="14">
        <f>IF(AH85="","No email yet",IF(ISNUMBER(SEARCH("[",AJ85)),"Fill placeholders",IF(ISNUMBER(AD85),"Ready to send","Ready · no fixed slot")))</f>
        <v/>
      </c>
      <c r="AO85" s="17" t="n"/>
      <c r="AP85" s="17" t="n"/>
    </row>
    <row r="86">
      <c r="A86" s="11" t="n">
        <v>84</v>
      </c>
      <c r="B86" s="11" t="n">
        <v>2</v>
      </c>
      <c r="C86" s="11" t="inlineStr">
        <is>
          <t>Law firm</t>
        </is>
      </c>
      <c r="D86" s="11" t="inlineStr">
        <is>
          <t>City of London</t>
        </is>
      </c>
      <c r="E86" s="11" t="inlineStr">
        <is>
          <t>Shearwater Law Ltd.</t>
        </is>
      </c>
      <c r="F86" s="11" t="inlineStr">
        <is>
          <t>Shearwater Law</t>
        </is>
      </c>
      <c r="G86" s="12" t="inlineStr">
        <is>
          <t>https://shearwater.com</t>
        </is>
      </c>
      <c r="H86" s="11" t="inlineStr">
        <is>
          <t>info@shearwater.com</t>
        </is>
      </c>
      <c r="I86" s="11" t="inlineStr">
        <is>
          <t>general</t>
        </is>
      </c>
      <c r="J86" s="12" t="inlineStr">
        <is>
          <t>Open page</t>
        </is>
      </c>
      <c r="K86" s="11" t="inlineStr">
        <is>
          <t>08589434</t>
        </is>
      </c>
      <c r="L86" s="12" t="inlineStr">
        <is>
          <t>Open</t>
        </is>
      </c>
      <c r="M86" s="11" t="inlineStr">
        <is>
          <t>Full</t>
        </is>
      </c>
      <c r="N86" s="13" t="n">
        <v>41453</v>
      </c>
      <c r="O86" s="11" t="inlineStr">
        <is>
          <t>90 Fenchurch Street, London</t>
        </is>
      </c>
      <c r="P86" s="11" t="inlineStr">
        <is>
          <t>EC3M 4ST</t>
        </is>
      </c>
      <c r="Q86" s="11" t="inlineStr">
        <is>
          <t>No</t>
        </is>
      </c>
      <c r="W86" s="11" t="inlineStr">
        <is>
          <t>Liverpool St - Attlee Centre</t>
        </is>
      </c>
      <c r="X86" s="11" t="n">
        <v>10</v>
      </c>
      <c r="Y86" s="11" t="inlineStr">
        <is>
          <t>Shoreditch Powerleague (18.4)</t>
        </is>
      </c>
      <c r="Z86" s="11" t="inlineStr">
        <is>
          <t>Shoreditch Powerleague</t>
        </is>
      </c>
      <c r="AA86" s="11" t="n">
        <v>18</v>
      </c>
      <c r="AB86" s="14">
        <f>IFERROR(INDEX(Venues!$E$2:$E$17,MATCH(Z86,Venues!$A$2:$A$17,0)),"Not checked")</f>
        <v/>
      </c>
      <c r="AC86" s="14">
        <f>IFERROR(INDEX(Venues!$F$2:$F$17,MATCH(Z86,Venues!$A$2:$A$17,0)),0)</f>
        <v/>
      </c>
      <c r="AD86" s="15">
        <f>IFERROR(INDEX(Venues!$M$2:$M$17,MATCH(Z86,Venues!$A$2:$A$17,0)),"")</f>
        <v/>
      </c>
      <c r="AE86" s="14">
        <f>IFERROR(INDEX(Venues!$N$2:$N$17,MATCH(Z86,Venues!$A$2:$A$17,0)),"5-a-side")</f>
        <v/>
      </c>
      <c r="AF86" s="16">
        <f>IF(Offer!$C$4="","",Offer!$C$4)</f>
        <v/>
      </c>
      <c r="AG86" s="14">
        <f>Z86&amp;" ("&amp;AA86&amp;" min walk) · "&amp;IF(ISNUMBER(AD86),TEXT(AD86,"ddd d mmm, hh:mm"),"slot to confirm with venue")&amp;" · "&amp;AE86&amp;" · "&amp;IF(AF86&lt;&gt;"","£"&amp;TEXT(AF86,"0.00")&amp;" pp","price TBC")</f>
        <v/>
      </c>
      <c r="AH86" s="14">
        <f>IF(U86&lt;&gt;"",U86,IF(H86&lt;&gt;"",H86,""))</f>
        <v/>
      </c>
      <c r="AI86" s="14">
        <f>"After-work football for "&amp;F86&amp;" · "&amp;Z86&amp;", "&amp;AA86&amp;" min from your office"</f>
        <v/>
      </c>
      <c r="AJ86" s="14">
        <f>"Hi "&amp;IF(R86&lt;&gt;"",R86,F86&amp;" team")&amp;","&amp;CHAR(10)&amp;CHAR(10)&amp;"I'm "&amp;IF(AM86&lt;&gt;"",AM86,IF(Offer!$C$5&lt;&gt;"",Offer!$C$5,"[NAME]"))&amp;" from FC Urban. We organise after-work football for teams in the City and Canary Wharf."&amp;CHAR(10)&amp;CHAR(10)&amp;"We have a "&amp;AE86&amp;" pitch at "&amp;Z86&amp;", "&amp;IF(OR(AA86=8,AA86=11,AA86=18),"an ","a ")&amp;AA86&amp;"-minute walk from your "&amp;P86&amp;" office, "&amp;IF(ISNUMBER(AD86),"on "&amp;TEXT(AD86,"dddd d mmmm")&amp;" at "&amp;TEXT(AD86,"hh:mm"),"on a weekday evening that suits your team")&amp;". It's "&amp;IF(AF86&lt;&gt;"","£"&amp;IF(AF86=INT(AF86),TEXT(AF86,"0"),TEXT(AF86,"0.00")),"[PRICE PER PLAYER]")&amp;" a player and we handle the pitch booking, sign-ups and payments, so all it takes is one person sharing a link with the team."&amp;CHAR(10)&amp;CHAR(10)&amp;"It works well as a team social or "&amp;IF(ISNUMBER(SEARCH(LEFT(F86,1),"AEIOU")),"an ","a ")&amp;F86&amp;"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LINK]")&amp;CHAR(10)&amp;CHAR(10)&amp;"Best,"&amp;CHAR(10)&amp;IF(AM86&lt;&gt;"",AM86,IF(Offer!$C$5&lt;&gt;"",Offer!$C$5,"[NAME]"))&amp;CHAR(10)&amp;"FC Urban"</f>
        <v/>
      </c>
      <c r="AK86" s="14">
        <f>"Hi "&amp;IF(R86&lt;&gt;"",R86,F86&amp;" team")&amp;","&amp;CHAR(10)&amp;CHAR(10)&amp;"Just bumping this up. The "&amp;AE86&amp;" pitch at "&amp;Z86&amp;" is still free "&amp;IF(ISNUMBER(AD86),TEXT(AD86,"ddd d mmm")&amp;", "&amp;TEXT(AD86,"hh:mm"),"weekday evenings")&amp;", "&amp;IF(OR(AA86=8,AA86=11,AA86=18),"an ","a ")&amp;AA86&amp;"-minute walk from your office, "&amp;IF(AF86&lt;&gt;"","£"&amp;IF(AF86=INT(AF86),TEXT(AF86,"0"),TEXT(AF86,"0.00")),"[PRICE PER PLAYER]")&amp;" a player. Happy to hold it for "&amp;F86&amp;"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LINK]")&amp;CHAR(10)&amp;CHAR(10)&amp;"Best,"&amp;CHAR(10)&amp;IF(AM86&lt;&gt;"",AM86,IF(Offer!$C$5&lt;&gt;"",Offer!$C$5,"[NAME]"))&amp;CHAR(10)&amp;"FC Urban"</f>
        <v/>
      </c>
      <c r="AL86" s="14">
        <f>IF(AH86="","No email yet",IF(ISNUMBER(SEARCH("[",AJ86)),"Fill placeholders",IF(ISNUMBER(AD86),"Ready to send","Ready · no fixed slot")))</f>
        <v/>
      </c>
      <c r="AO86" s="17" t="n"/>
      <c r="AP86" s="17" t="n"/>
    </row>
    <row r="87">
      <c r="A87" s="11" t="n">
        <v>85</v>
      </c>
      <c r="B87" s="11" t="n">
        <v>2</v>
      </c>
      <c r="C87" s="11" t="inlineStr">
        <is>
          <t>Law firm</t>
        </is>
      </c>
      <c r="D87" s="11" t="inlineStr">
        <is>
          <t>City of London</t>
        </is>
      </c>
      <c r="E87" s="11" t="inlineStr">
        <is>
          <t>Anthony Gold Solicitors LLP</t>
        </is>
      </c>
      <c r="F87" s="11" t="inlineStr">
        <is>
          <t>Anthony Gold Solicitors</t>
        </is>
      </c>
      <c r="G87" s="12" t="inlineStr">
        <is>
          <t>https://anthonygold.co.uk</t>
        </is>
      </c>
      <c r="H87" s="11" t="inlineStr">
        <is>
          <t>mail@anthonygold.co.uk</t>
        </is>
      </c>
      <c r="I87" s="11" t="inlineStr">
        <is>
          <t>general</t>
        </is>
      </c>
      <c r="J87" s="12" t="inlineStr">
        <is>
          <t>Open page</t>
        </is>
      </c>
      <c r="K87" s="11" t="inlineStr">
        <is>
          <t>OC433560</t>
        </is>
      </c>
      <c r="L87" s="12" t="inlineStr">
        <is>
          <t>Open</t>
        </is>
      </c>
      <c r="M87" s="11" t="inlineStr">
        <is>
          <t>Full</t>
        </is>
      </c>
      <c r="N87" s="13" t="n">
        <v>44104</v>
      </c>
      <c r="O87" s="11" t="inlineStr">
        <is>
          <t>The Cottons Centre 5Th Floor, South West, Hays Lane</t>
        </is>
      </c>
      <c r="P87" s="11" t="inlineStr">
        <is>
          <t>SE1 2QG</t>
        </is>
      </c>
      <c r="Q87" s="11" t="inlineStr">
        <is>
          <t>No</t>
        </is>
      </c>
      <c r="W87" s="11" t="inlineStr">
        <is>
          <t>Marlborough Sports Garden (SE1 1SD)</t>
        </is>
      </c>
      <c r="X87" s="11" t="n">
        <v>11</v>
      </c>
      <c r="Y87" s="11" t="inlineStr">
        <is>
          <t>Borough Academy (18.3); City of London School (EC4V 3AL) (18.6)</t>
        </is>
      </c>
      <c r="Z87" s="11" t="inlineStr">
        <is>
          <t>City of London School (EC4V 3AL)</t>
        </is>
      </c>
      <c r="AA87" s="11" t="n">
        <v>19</v>
      </c>
      <c r="AB87" s="14">
        <f>IFERROR(INDEX(Venues!$E$2:$E$17,MATCH(Z87,Venues!$A$2:$A$17,0)),"Not checked")</f>
        <v/>
      </c>
      <c r="AC87" s="14">
        <f>IFERROR(INDEX(Venues!$F$2:$F$17,MATCH(Z87,Venues!$A$2:$A$17,0)),0)</f>
        <v/>
      </c>
      <c r="AD87" s="15">
        <f>IFERROR(INDEX(Venues!$M$2:$M$17,MATCH(Z87,Venues!$A$2:$A$17,0)),"")</f>
        <v/>
      </c>
      <c r="AE87" s="14">
        <f>IFERROR(INDEX(Venues!$N$2:$N$17,MATCH(Z87,Venues!$A$2:$A$17,0)),"5-a-side")</f>
        <v/>
      </c>
      <c r="AF87" s="16">
        <f>IF(Offer!$C$4="","",Offer!$C$4)</f>
        <v/>
      </c>
      <c r="AG87" s="14">
        <f>Z87&amp;" ("&amp;AA87&amp;" min walk) · "&amp;IF(ISNUMBER(AD87),TEXT(AD87,"ddd d mmm, hh:mm"),"slot to confirm with venue")&amp;" · "&amp;AE87&amp;" · "&amp;IF(AF87&lt;&gt;"","£"&amp;TEXT(AF87,"0.00")&amp;" pp","price TBC")</f>
        <v/>
      </c>
      <c r="AH87" s="14">
        <f>IF(U87&lt;&gt;"",U87,IF(H87&lt;&gt;"",H87,""))</f>
        <v/>
      </c>
      <c r="AI87" s="14">
        <f>"After-work football for "&amp;F87&amp;" · "&amp;Z87&amp;", "&amp;AA87&amp;" min from your office"</f>
        <v/>
      </c>
      <c r="AJ87" s="14">
        <f>"Hi "&amp;IF(R87&lt;&gt;"",R87,F87&amp;" team")&amp;","&amp;CHAR(10)&amp;CHAR(10)&amp;"I'm "&amp;IF(AM87&lt;&gt;"",AM87,IF(Offer!$C$5&lt;&gt;"",Offer!$C$5,"[NAME]"))&amp;" from FC Urban. We organise after-work football for teams in the City and Canary Wharf."&amp;CHAR(10)&amp;CHAR(10)&amp;"We have a "&amp;AE87&amp;" pitch at "&amp;Z87&amp;", "&amp;IF(OR(AA87=8,AA87=11,AA87=18),"an ","a ")&amp;AA87&amp;"-minute walk from your "&amp;P87&amp;" office, "&amp;IF(ISNUMBER(AD87),"on "&amp;TEXT(AD87,"dddd d mmmm")&amp;" at "&amp;TEXT(AD87,"hh:mm"),"on a weekday evening that suits your team")&amp;". It's "&amp;IF(AF87&lt;&gt;"","£"&amp;IF(AF87=INT(AF87),TEXT(AF87,"0"),TEXT(AF87,"0.00")),"[PRICE PER PLAYER]")&amp;" a player and we handle the pitch booking, sign-ups and payments, so all it takes is one person sharing a link with the team."&amp;CHAR(10)&amp;CHAR(10)&amp;"It works well as a team social or "&amp;IF(ISNUMBER(SEARCH(LEFT(F87,1),"AEIOU")),"an ","a ")&amp;F87&amp;"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LINK]")&amp;CHAR(10)&amp;CHAR(10)&amp;"Best,"&amp;CHAR(10)&amp;IF(AM87&lt;&gt;"",AM87,IF(Offer!$C$5&lt;&gt;"",Offer!$C$5,"[NAME]"))&amp;CHAR(10)&amp;"FC Urban"</f>
        <v/>
      </c>
      <c r="AK87" s="14">
        <f>"Hi "&amp;IF(R87&lt;&gt;"",R87,F87&amp;" team")&amp;","&amp;CHAR(10)&amp;CHAR(10)&amp;"Just bumping this up. The "&amp;AE87&amp;" pitch at "&amp;Z87&amp;" is still free "&amp;IF(ISNUMBER(AD87),TEXT(AD87,"ddd d mmm")&amp;", "&amp;TEXT(AD87,"hh:mm"),"weekday evenings")&amp;", "&amp;IF(OR(AA87=8,AA87=11,AA87=18),"an ","a ")&amp;AA87&amp;"-minute walk from your office, "&amp;IF(AF87&lt;&gt;"","£"&amp;IF(AF87=INT(AF87),TEXT(AF87,"0"),TEXT(AF87,"0.00")),"[PRICE PER PLAYER]")&amp;" a player. Happy to hold it for "&amp;F87&amp;"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LINK]")&amp;CHAR(10)&amp;CHAR(10)&amp;"Best,"&amp;CHAR(10)&amp;IF(AM87&lt;&gt;"",AM87,IF(Offer!$C$5&lt;&gt;"",Offer!$C$5,"[NAME]"))&amp;CHAR(10)&amp;"FC Urban"</f>
        <v/>
      </c>
      <c r="AL87" s="14">
        <f>IF(AH87="","No email yet",IF(ISNUMBER(SEARCH("[",AJ87)),"Fill placeholders",IF(ISNUMBER(AD87),"Ready to send","Ready · no fixed slot")))</f>
        <v/>
      </c>
      <c r="AO87" s="17" t="n"/>
      <c r="AP87" s="17" t="n"/>
    </row>
    <row r="88">
      <c r="A88" s="11" t="n">
        <v>86</v>
      </c>
      <c r="B88" s="11" t="n">
        <v>2</v>
      </c>
      <c r="C88" s="11" t="inlineStr">
        <is>
          <t>Law firm</t>
        </is>
      </c>
      <c r="D88" s="11" t="inlineStr">
        <is>
          <t>City of London</t>
        </is>
      </c>
      <c r="E88" s="11" t="inlineStr">
        <is>
          <t>King &amp; Spalding International LLP</t>
        </is>
      </c>
      <c r="F88" s="11" t="inlineStr">
        <is>
          <t>King &amp; Spalding</t>
        </is>
      </c>
      <c r="G88" s="12" t="inlineStr">
        <is>
          <t>https://www.kslaw.com</t>
        </is>
      </c>
      <c r="H88" s="11" t="inlineStr">
        <is>
          <t>london@kslaw.com</t>
        </is>
      </c>
      <c r="I88" s="11" t="inlineStr">
        <is>
          <t>general</t>
        </is>
      </c>
      <c r="J88" s="12" t="inlineStr">
        <is>
          <t>Open page</t>
        </is>
      </c>
      <c r="K88" s="11" t="inlineStr">
        <is>
          <t>OC303151</t>
        </is>
      </c>
      <c r="L88" s="12" t="inlineStr">
        <is>
          <t>Open</t>
        </is>
      </c>
      <c r="M88" s="11" t="inlineStr">
        <is>
          <t>Full</t>
        </is>
      </c>
      <c r="N88" s="13" t="n">
        <v>37539</v>
      </c>
      <c r="O88" s="11" t="inlineStr">
        <is>
          <t>8 Bishopsgate, London</t>
        </is>
      </c>
      <c r="P88" s="11" t="inlineStr">
        <is>
          <t>EC2N 4BQ</t>
        </is>
      </c>
      <c r="Q88" s="11" t="inlineStr">
        <is>
          <t>No</t>
        </is>
      </c>
      <c r="W88" s="11" t="inlineStr">
        <is>
          <t>Liverpool St - Attlee Centre</t>
        </is>
      </c>
      <c r="X88" s="11" t="n">
        <v>14</v>
      </c>
      <c r="Y88" s="11" t="inlineStr">
        <is>
          <t>City of London School (EC4V 3AL) (18.7); Shoreditch Powerleague (18.7)</t>
        </is>
      </c>
      <c r="Z88" s="11" t="inlineStr">
        <is>
          <t>City of London School (EC4V 3AL)</t>
        </is>
      </c>
      <c r="AA88" s="11" t="n">
        <v>19</v>
      </c>
      <c r="AB88" s="14">
        <f>IFERROR(INDEX(Venues!$E$2:$E$17,MATCH(Z88,Venues!$A$2:$A$17,0)),"Not checked")</f>
        <v/>
      </c>
      <c r="AC88" s="14">
        <f>IFERROR(INDEX(Venues!$F$2:$F$17,MATCH(Z88,Venues!$A$2:$A$17,0)),0)</f>
        <v/>
      </c>
      <c r="AD88" s="15">
        <f>IFERROR(INDEX(Venues!$M$2:$M$17,MATCH(Z88,Venues!$A$2:$A$17,0)),"")</f>
        <v/>
      </c>
      <c r="AE88" s="14">
        <f>IFERROR(INDEX(Venues!$N$2:$N$17,MATCH(Z88,Venues!$A$2:$A$17,0)),"5-a-side")</f>
        <v/>
      </c>
      <c r="AF88" s="16">
        <f>IF(Offer!$C$4="","",Offer!$C$4)</f>
        <v/>
      </c>
      <c r="AG88" s="14">
        <f>Z88&amp;" ("&amp;AA88&amp;" min walk) · "&amp;IF(ISNUMBER(AD88),TEXT(AD88,"ddd d mmm, hh:mm"),"slot to confirm with venue")&amp;" · "&amp;AE88&amp;" · "&amp;IF(AF88&lt;&gt;"","£"&amp;TEXT(AF88,"0.00")&amp;" pp","price TBC")</f>
        <v/>
      </c>
      <c r="AH88" s="14">
        <f>IF(U88&lt;&gt;"",U88,IF(H88&lt;&gt;"",H88,""))</f>
        <v/>
      </c>
      <c r="AI88" s="14">
        <f>"After-work football for "&amp;F88&amp;" · "&amp;Z88&amp;", "&amp;AA88&amp;" min from your office"</f>
        <v/>
      </c>
      <c r="AJ88" s="14">
        <f>"Hi "&amp;IF(R88&lt;&gt;"",R88,F88&amp;" team")&amp;","&amp;CHAR(10)&amp;CHAR(10)&amp;"I'm "&amp;IF(AM88&lt;&gt;"",AM88,IF(Offer!$C$5&lt;&gt;"",Offer!$C$5,"[NAME]"))&amp;" from FC Urban. We organise after-work football for teams in the City and Canary Wharf."&amp;CHAR(10)&amp;CHAR(10)&amp;"We have a "&amp;AE88&amp;" pitch at "&amp;Z88&amp;", "&amp;IF(OR(AA88=8,AA88=11,AA88=18),"an ","a ")&amp;AA88&amp;"-minute walk from your "&amp;P88&amp;" office, "&amp;IF(ISNUMBER(AD88),"on "&amp;TEXT(AD88,"dddd d mmmm")&amp;" at "&amp;TEXT(AD88,"hh:mm"),"on a weekday evening that suits your team")&amp;". It's "&amp;IF(AF88&lt;&gt;"","£"&amp;IF(AF88=INT(AF88),TEXT(AF88,"0"),TEXT(AF88,"0.00")),"[PRICE PER PLAYER]")&amp;" a player and we handle the pitch booking, sign-ups and payments, so all it takes is one person sharing a link with the team."&amp;CHAR(10)&amp;CHAR(10)&amp;"It works well as a team social or "&amp;IF(ISNUMBER(SEARCH(LEFT(F88,1),"AEIOU")),"an ","a ")&amp;F88&amp;"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LINK]")&amp;CHAR(10)&amp;CHAR(10)&amp;"Best,"&amp;CHAR(10)&amp;IF(AM88&lt;&gt;"",AM88,IF(Offer!$C$5&lt;&gt;"",Offer!$C$5,"[NAME]"))&amp;CHAR(10)&amp;"FC Urban"</f>
        <v/>
      </c>
      <c r="AK88" s="14">
        <f>"Hi "&amp;IF(R88&lt;&gt;"",R88,F88&amp;" team")&amp;","&amp;CHAR(10)&amp;CHAR(10)&amp;"Just bumping this up. The "&amp;AE88&amp;" pitch at "&amp;Z88&amp;" is still free "&amp;IF(ISNUMBER(AD88),TEXT(AD88,"ddd d mmm")&amp;", "&amp;TEXT(AD88,"hh:mm"),"weekday evenings")&amp;", "&amp;IF(OR(AA88=8,AA88=11,AA88=18),"an ","a ")&amp;AA88&amp;"-minute walk from your office, "&amp;IF(AF88&lt;&gt;"","£"&amp;IF(AF88=INT(AF88),TEXT(AF88,"0"),TEXT(AF88,"0.00")),"[PRICE PER PLAYER]")&amp;" a player. Happy to hold it for "&amp;F88&amp;"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LINK]")&amp;CHAR(10)&amp;CHAR(10)&amp;"Best,"&amp;CHAR(10)&amp;IF(AM88&lt;&gt;"",AM88,IF(Offer!$C$5&lt;&gt;"",Offer!$C$5,"[NAME]"))&amp;CHAR(10)&amp;"FC Urban"</f>
        <v/>
      </c>
      <c r="AL88" s="14">
        <f>IF(AH88="","No email yet",IF(ISNUMBER(SEARCH("[",AJ88)),"Fill placeholders",IF(ISNUMBER(AD88),"Ready to send","Ready · no fixed slot")))</f>
        <v/>
      </c>
      <c r="AO88" s="17" t="n"/>
      <c r="AP88" s="17" t="n"/>
    </row>
    <row r="89">
      <c r="A89" s="11" t="n">
        <v>87</v>
      </c>
      <c r="B89" s="11" t="n">
        <v>2</v>
      </c>
      <c r="C89" s="11" t="inlineStr">
        <is>
          <t>Law firm</t>
        </is>
      </c>
      <c r="D89" s="11" t="inlineStr">
        <is>
          <t>City of London</t>
        </is>
      </c>
      <c r="E89" s="11" t="inlineStr">
        <is>
          <t>McDermott Will &amp; Schulte UK LLP</t>
        </is>
      </c>
      <c r="F89" s="11" t="inlineStr">
        <is>
          <t>McDermott Will &amp; Schulte</t>
        </is>
      </c>
      <c r="G89" s="12" t="inlineStr">
        <is>
          <t>https://www.mcdermottlaw.com</t>
        </is>
      </c>
      <c r="H89" s="11" t="n"/>
      <c r="I89" s="11" t="inlineStr">
        <is>
          <t>Not found</t>
        </is>
      </c>
      <c r="J89" s="11" t="n"/>
      <c r="K89" s="11" t="inlineStr">
        <is>
          <t>OC311909</t>
        </is>
      </c>
      <c r="L89" s="12" t="inlineStr">
        <is>
          <t>Open</t>
        </is>
      </c>
      <c r="M89" s="11" t="inlineStr">
        <is>
          <t>Full</t>
        </is>
      </c>
      <c r="N89" s="13" t="n">
        <v>38413</v>
      </c>
      <c r="O89" s="11" t="inlineStr">
        <is>
          <t>22 Bishopsgate, London</t>
        </is>
      </c>
      <c r="P89" s="11" t="inlineStr">
        <is>
          <t>EC2N 4BQ</t>
        </is>
      </c>
      <c r="Q89" s="11" t="inlineStr">
        <is>
          <t>No</t>
        </is>
      </c>
      <c r="W89" s="11" t="inlineStr">
        <is>
          <t>Liverpool St - Attlee Centre</t>
        </is>
      </c>
      <c r="X89" s="11" t="n">
        <v>14</v>
      </c>
      <c r="Y89" s="11" t="inlineStr">
        <is>
          <t>City of London School (EC4V 3AL) (18.7); Shoreditch Powerleague (18.7)</t>
        </is>
      </c>
      <c r="Z89" s="11" t="inlineStr">
        <is>
          <t>City of London School (EC4V 3AL)</t>
        </is>
      </c>
      <c r="AA89" s="11" t="n">
        <v>19</v>
      </c>
      <c r="AB89" s="14">
        <f>IFERROR(INDEX(Venues!$E$2:$E$17,MATCH(Z89,Venues!$A$2:$A$17,0)),"Not checked")</f>
        <v/>
      </c>
      <c r="AC89" s="14">
        <f>IFERROR(INDEX(Venues!$F$2:$F$17,MATCH(Z89,Venues!$A$2:$A$17,0)),0)</f>
        <v/>
      </c>
      <c r="AD89" s="15">
        <f>IFERROR(INDEX(Venues!$M$2:$M$17,MATCH(Z89,Venues!$A$2:$A$17,0)),"")</f>
        <v/>
      </c>
      <c r="AE89" s="14">
        <f>IFERROR(INDEX(Venues!$N$2:$N$17,MATCH(Z89,Venues!$A$2:$A$17,0)),"5-a-side")</f>
        <v/>
      </c>
      <c r="AF89" s="16">
        <f>IF(Offer!$C$4="","",Offer!$C$4)</f>
        <v/>
      </c>
      <c r="AG89" s="14">
        <f>Z89&amp;" ("&amp;AA89&amp;" min walk) · "&amp;IF(ISNUMBER(AD89),TEXT(AD89,"ddd d mmm, hh:mm"),"slot to confirm with venue")&amp;" · "&amp;AE89&amp;" · "&amp;IF(AF89&lt;&gt;"","£"&amp;TEXT(AF89,"0.00")&amp;" pp","price TBC")</f>
        <v/>
      </c>
      <c r="AH89" s="14">
        <f>IF(U89&lt;&gt;"",U89,IF(H89&lt;&gt;"",H89,""))</f>
        <v/>
      </c>
      <c r="AI89" s="14">
        <f>"After-work football for "&amp;F89&amp;" · "&amp;Z89&amp;", "&amp;AA89&amp;" min from your office"</f>
        <v/>
      </c>
      <c r="AJ89" s="14">
        <f>"Hi "&amp;IF(R89&lt;&gt;"",R89,F89&amp;" team")&amp;","&amp;CHAR(10)&amp;CHAR(10)&amp;"I'm "&amp;IF(AM89&lt;&gt;"",AM89,IF(Offer!$C$5&lt;&gt;"",Offer!$C$5,"[NAME]"))&amp;" from FC Urban. We organise after-work football for teams in the City and Canary Wharf."&amp;CHAR(10)&amp;CHAR(10)&amp;"We have a "&amp;AE89&amp;" pitch at "&amp;Z89&amp;", "&amp;IF(OR(AA89=8,AA89=11,AA89=18),"an ","a ")&amp;AA89&amp;"-minute walk from your "&amp;P89&amp;" office, "&amp;IF(ISNUMBER(AD89),"on "&amp;TEXT(AD89,"dddd d mmmm")&amp;" at "&amp;TEXT(AD89,"hh:mm"),"on a weekday evening that suits your team")&amp;". It's "&amp;IF(AF89&lt;&gt;"","£"&amp;IF(AF89=INT(AF89),TEXT(AF89,"0"),TEXT(AF89,"0.00")),"[PRICE PER PLAYER]")&amp;" a player and we handle the pitch booking, sign-ups and payments, so all it takes is one person sharing a link with the team."&amp;CHAR(10)&amp;CHAR(10)&amp;"It works well as a team social or "&amp;IF(ISNUMBER(SEARCH(LEFT(F89,1),"AEIOU")),"an ","a ")&amp;F89&amp;"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LINK]")&amp;CHAR(10)&amp;CHAR(10)&amp;"Best,"&amp;CHAR(10)&amp;IF(AM89&lt;&gt;"",AM89,IF(Offer!$C$5&lt;&gt;"",Offer!$C$5,"[NAME]"))&amp;CHAR(10)&amp;"FC Urban"</f>
        <v/>
      </c>
      <c r="AK89" s="14">
        <f>"Hi "&amp;IF(R89&lt;&gt;"",R89,F89&amp;" team")&amp;","&amp;CHAR(10)&amp;CHAR(10)&amp;"Just bumping this up. The "&amp;AE89&amp;" pitch at "&amp;Z89&amp;" is still free "&amp;IF(ISNUMBER(AD89),TEXT(AD89,"ddd d mmm")&amp;", "&amp;TEXT(AD89,"hh:mm"),"weekday evenings")&amp;", "&amp;IF(OR(AA89=8,AA89=11,AA89=18),"an ","a ")&amp;AA89&amp;"-minute walk from your office, "&amp;IF(AF89&lt;&gt;"","£"&amp;IF(AF89=INT(AF89),TEXT(AF89,"0"),TEXT(AF89,"0.00")),"[PRICE PER PLAYER]")&amp;" a player. Happy to hold it for "&amp;F89&amp;"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LINK]")&amp;CHAR(10)&amp;CHAR(10)&amp;"Best,"&amp;CHAR(10)&amp;IF(AM89&lt;&gt;"",AM89,IF(Offer!$C$5&lt;&gt;"",Offer!$C$5,"[NAME]"))&amp;CHAR(10)&amp;"FC Urban"</f>
        <v/>
      </c>
      <c r="AL89" s="14">
        <f>IF(AH89="","No email yet",IF(ISNUMBER(SEARCH("[",AJ89)),"Fill placeholders",IF(ISNUMBER(AD89),"Ready to send","Ready · no fixed slot")))</f>
        <v/>
      </c>
      <c r="AO89" s="17" t="n"/>
      <c r="AP89" s="17" t="n"/>
    </row>
    <row r="90">
      <c r="A90" s="11" t="n">
        <v>88</v>
      </c>
      <c r="B90" s="11" t="n">
        <v>2</v>
      </c>
      <c r="C90" s="11" t="inlineStr">
        <is>
          <t>Law firm</t>
        </is>
      </c>
      <c r="D90" s="11" t="inlineStr">
        <is>
          <t>City of London</t>
        </is>
      </c>
      <c r="E90" s="11" t="inlineStr">
        <is>
          <t>Payne Hicks Beach LLP</t>
        </is>
      </c>
      <c r="F90" s="11" t="inlineStr">
        <is>
          <t>Payne Hicks Beach</t>
        </is>
      </c>
      <c r="G90" s="12" t="inlineStr">
        <is>
          <t>https://www.phb.co.uk</t>
        </is>
      </c>
      <c r="H90" s="11" t="inlineStr">
        <is>
          <t>enquiries@phb.co.uk</t>
        </is>
      </c>
      <c r="I90" s="11" t="inlineStr">
        <is>
          <t>general</t>
        </is>
      </c>
      <c r="J90" s="12" t="inlineStr">
        <is>
          <t>Open page</t>
        </is>
      </c>
      <c r="K90" s="11" t="inlineStr">
        <is>
          <t>OC430964</t>
        </is>
      </c>
      <c r="L90" s="12" t="inlineStr">
        <is>
          <t>Open</t>
        </is>
      </c>
      <c r="M90" s="11" t="inlineStr">
        <is>
          <t>Full</t>
        </is>
      </c>
      <c r="N90" s="13" t="n">
        <v>43893</v>
      </c>
      <c r="O90" s="11" t="inlineStr">
        <is>
          <t>10 New Square, Lincoln'S Inn, London</t>
        </is>
      </c>
      <c r="P90" s="11" t="inlineStr">
        <is>
          <t>WC2A 3QG</t>
        </is>
      </c>
      <c r="Q90" s="11" t="inlineStr">
        <is>
          <t>No</t>
        </is>
      </c>
      <c r="W90" s="11" t="inlineStr">
        <is>
          <t>City of London School (EC4V 3AL)</t>
        </is>
      </c>
      <c r="X90" s="11" t="n">
        <v>19</v>
      </c>
      <c r="Y90" s="11" t="n"/>
      <c r="Z90" s="11" t="inlineStr">
        <is>
          <t>City of London School (EC4V 3AL)</t>
        </is>
      </c>
      <c r="AA90" s="11" t="n">
        <v>19</v>
      </c>
      <c r="AB90" s="14">
        <f>IFERROR(INDEX(Venues!$E$2:$E$17,MATCH(Z90,Venues!$A$2:$A$17,0)),"Not checked")</f>
        <v/>
      </c>
      <c r="AC90" s="14">
        <f>IFERROR(INDEX(Venues!$F$2:$F$17,MATCH(Z90,Venues!$A$2:$A$17,0)),0)</f>
        <v/>
      </c>
      <c r="AD90" s="15">
        <f>IFERROR(INDEX(Venues!$M$2:$M$17,MATCH(Z90,Venues!$A$2:$A$17,0)),"")</f>
        <v/>
      </c>
      <c r="AE90" s="14">
        <f>IFERROR(INDEX(Venues!$N$2:$N$17,MATCH(Z90,Venues!$A$2:$A$17,0)),"5-a-side")</f>
        <v/>
      </c>
      <c r="AF90" s="16">
        <f>IF(Offer!$C$4="","",Offer!$C$4)</f>
        <v/>
      </c>
      <c r="AG90" s="14">
        <f>Z90&amp;" ("&amp;AA90&amp;" min walk) · "&amp;IF(ISNUMBER(AD90),TEXT(AD90,"ddd d mmm, hh:mm"),"slot to confirm with venue")&amp;" · "&amp;AE90&amp;" · "&amp;IF(AF90&lt;&gt;"","£"&amp;TEXT(AF90,"0.00")&amp;" pp","price TBC")</f>
        <v/>
      </c>
      <c r="AH90" s="14">
        <f>IF(U90&lt;&gt;"",U90,IF(H90&lt;&gt;"",H90,""))</f>
        <v/>
      </c>
      <c r="AI90" s="14">
        <f>"After-work football for "&amp;F90&amp;" · "&amp;Z90&amp;", "&amp;AA90&amp;" min from your office"</f>
        <v/>
      </c>
      <c r="AJ90" s="14">
        <f>"Hi "&amp;IF(R90&lt;&gt;"",R90,F90&amp;" team")&amp;","&amp;CHAR(10)&amp;CHAR(10)&amp;"I'm "&amp;IF(AM90&lt;&gt;"",AM90,IF(Offer!$C$5&lt;&gt;"",Offer!$C$5,"[NAME]"))&amp;" from FC Urban. We organise after-work football for teams in the City and Canary Wharf."&amp;CHAR(10)&amp;CHAR(10)&amp;"We have a "&amp;AE90&amp;" pitch at "&amp;Z90&amp;", "&amp;IF(OR(AA90=8,AA90=11,AA90=18),"an ","a ")&amp;AA90&amp;"-minute walk from your "&amp;P90&amp;" office, "&amp;IF(ISNUMBER(AD90),"on "&amp;TEXT(AD90,"dddd d mmmm")&amp;" at "&amp;TEXT(AD90,"hh:mm"),"on a weekday evening that suits your team")&amp;". It's "&amp;IF(AF90&lt;&gt;"","£"&amp;IF(AF90=INT(AF90),TEXT(AF90,"0"),TEXT(AF90,"0.00")),"[PRICE PER PLAYER]")&amp;" a player and we handle the pitch booking, sign-ups and payments, so all it takes is one person sharing a link with the team."&amp;CHAR(10)&amp;CHAR(10)&amp;"It works well as a team social or "&amp;IF(ISNUMBER(SEARCH(LEFT(F90,1),"AEIOU")),"an ","a ")&amp;F90&amp;"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LINK]")&amp;CHAR(10)&amp;CHAR(10)&amp;"Best,"&amp;CHAR(10)&amp;IF(AM90&lt;&gt;"",AM90,IF(Offer!$C$5&lt;&gt;"",Offer!$C$5,"[NAME]"))&amp;CHAR(10)&amp;"FC Urban"</f>
        <v/>
      </c>
      <c r="AK90" s="14">
        <f>"Hi "&amp;IF(R90&lt;&gt;"",R90,F90&amp;" team")&amp;","&amp;CHAR(10)&amp;CHAR(10)&amp;"Just bumping this up. The "&amp;AE90&amp;" pitch at "&amp;Z90&amp;" is still free "&amp;IF(ISNUMBER(AD90),TEXT(AD90,"ddd d mmm")&amp;", "&amp;TEXT(AD90,"hh:mm"),"weekday evenings")&amp;", "&amp;IF(OR(AA90=8,AA90=11,AA90=18),"an ","a ")&amp;AA90&amp;"-minute walk from your office, "&amp;IF(AF90&lt;&gt;"","£"&amp;IF(AF90=INT(AF90),TEXT(AF90,"0"),TEXT(AF90,"0.00")),"[PRICE PER PLAYER]")&amp;" a player. Happy to hold it for "&amp;F90&amp;"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LINK]")&amp;CHAR(10)&amp;CHAR(10)&amp;"Best,"&amp;CHAR(10)&amp;IF(AM90&lt;&gt;"",AM90,IF(Offer!$C$5&lt;&gt;"",Offer!$C$5,"[NAME]"))&amp;CHAR(10)&amp;"FC Urban"</f>
        <v/>
      </c>
      <c r="AL90" s="14">
        <f>IF(AH90="","No email yet",IF(ISNUMBER(SEARCH("[",AJ90)),"Fill placeholders",IF(ISNUMBER(AD90),"Ready to send","Ready · no fixed slot")))</f>
        <v/>
      </c>
      <c r="AO90" s="17" t="n"/>
      <c r="AP90" s="17" t="n"/>
    </row>
    <row r="91">
      <c r="A91" s="11" t="n">
        <v>89</v>
      </c>
      <c r="B91" s="11" t="n">
        <v>2</v>
      </c>
      <c r="C91" s="11" t="inlineStr">
        <is>
          <t>Law firm</t>
        </is>
      </c>
      <c r="D91" s="11" t="inlineStr">
        <is>
          <t>City of London</t>
        </is>
      </c>
      <c r="E91" s="11" t="inlineStr">
        <is>
          <t>Secretariat International UK Ltd</t>
        </is>
      </c>
      <c r="F91" s="11" t="inlineStr">
        <is>
          <t>Secretariat</t>
        </is>
      </c>
      <c r="G91" s="12" t="inlineStr">
        <is>
          <t>https://secretariat-intl.com</t>
        </is>
      </c>
      <c r="H91" s="11" t="inlineStr">
        <is>
          <t>marketing@secretariat-intl.com</t>
        </is>
      </c>
      <c r="I91" s="11" t="inlineStr">
        <is>
          <t>role (press / marketing)</t>
        </is>
      </c>
      <c r="J91" s="12" t="inlineStr">
        <is>
          <t>Open page</t>
        </is>
      </c>
      <c r="K91" s="11" t="inlineStr">
        <is>
          <t>09692990</t>
        </is>
      </c>
      <c r="L91" s="12" t="inlineStr">
        <is>
          <t>Open</t>
        </is>
      </c>
      <c r="M91" s="11" t="inlineStr">
        <is>
          <t>Full</t>
        </is>
      </c>
      <c r="N91" s="13" t="n">
        <v>42205</v>
      </c>
      <c r="O91" s="11" t="inlineStr">
        <is>
          <t>22 Bishopsgate, 22Nd Floor, London</t>
        </is>
      </c>
      <c r="P91" s="11" t="inlineStr">
        <is>
          <t>EC2N 4BQ</t>
        </is>
      </c>
      <c r="Q91" s="11" t="inlineStr">
        <is>
          <t>No</t>
        </is>
      </c>
      <c r="W91" s="11" t="inlineStr">
        <is>
          <t>Liverpool St - Attlee Centre</t>
        </is>
      </c>
      <c r="X91" s="11" t="n">
        <v>14</v>
      </c>
      <c r="Y91" s="11" t="inlineStr">
        <is>
          <t>City of London School (EC4V 3AL) (18.7); Shoreditch Powerleague (18.7)</t>
        </is>
      </c>
      <c r="Z91" s="11" t="inlineStr">
        <is>
          <t>City of London School (EC4V 3AL)</t>
        </is>
      </c>
      <c r="AA91" s="11" t="n">
        <v>19</v>
      </c>
      <c r="AB91" s="14">
        <f>IFERROR(INDEX(Venues!$E$2:$E$17,MATCH(Z91,Venues!$A$2:$A$17,0)),"Not checked")</f>
        <v/>
      </c>
      <c r="AC91" s="14">
        <f>IFERROR(INDEX(Venues!$F$2:$F$17,MATCH(Z91,Venues!$A$2:$A$17,0)),0)</f>
        <v/>
      </c>
      <c r="AD91" s="15">
        <f>IFERROR(INDEX(Venues!$M$2:$M$17,MATCH(Z91,Venues!$A$2:$A$17,0)),"")</f>
        <v/>
      </c>
      <c r="AE91" s="14">
        <f>IFERROR(INDEX(Venues!$N$2:$N$17,MATCH(Z91,Venues!$A$2:$A$17,0)),"5-a-side")</f>
        <v/>
      </c>
      <c r="AF91" s="16">
        <f>IF(Offer!$C$4="","",Offer!$C$4)</f>
        <v/>
      </c>
      <c r="AG91" s="14">
        <f>Z91&amp;" ("&amp;AA91&amp;" min walk) · "&amp;IF(ISNUMBER(AD91),TEXT(AD91,"ddd d mmm, hh:mm"),"slot to confirm with venue")&amp;" · "&amp;AE91&amp;" · "&amp;IF(AF91&lt;&gt;"","£"&amp;TEXT(AF91,"0.00")&amp;" pp","price TBC")</f>
        <v/>
      </c>
      <c r="AH91" s="14">
        <f>IF(U91&lt;&gt;"",U91,IF(H91&lt;&gt;"",H91,""))</f>
        <v/>
      </c>
      <c r="AI91" s="14">
        <f>"After-work football for "&amp;F91&amp;" · "&amp;Z91&amp;", "&amp;AA91&amp;" min from your office"</f>
        <v/>
      </c>
      <c r="AJ91" s="14">
        <f>"Hi "&amp;IF(R91&lt;&gt;"",R91,F91&amp;" team")&amp;","&amp;CHAR(10)&amp;CHAR(10)&amp;"I'm "&amp;IF(AM91&lt;&gt;"",AM91,IF(Offer!$C$5&lt;&gt;"",Offer!$C$5,"[NAME]"))&amp;" from FC Urban. We organise after-work football for teams in the City and Canary Wharf."&amp;CHAR(10)&amp;CHAR(10)&amp;"We have a "&amp;AE91&amp;" pitch at "&amp;Z91&amp;", "&amp;IF(OR(AA91=8,AA91=11,AA91=18),"an ","a ")&amp;AA91&amp;"-minute walk from your "&amp;P91&amp;" office, "&amp;IF(ISNUMBER(AD91),"on "&amp;TEXT(AD91,"dddd d mmmm")&amp;" at "&amp;TEXT(AD91,"hh:mm"),"on a weekday evening that suits your team")&amp;". It's "&amp;IF(AF91&lt;&gt;"","£"&amp;IF(AF91=INT(AF91),TEXT(AF91,"0"),TEXT(AF91,"0.00")),"[PRICE PER PLAYER]")&amp;" a player and we handle the pitch booking, sign-ups and payments, so all it takes is one person sharing a link with the team."&amp;CHAR(10)&amp;CHAR(10)&amp;"It works well as a team social or "&amp;IF(ISNUMBER(SEARCH(LEFT(F91,1),"AEIOU")),"an ","a ")&amp;F91&amp;"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LINK]")&amp;CHAR(10)&amp;CHAR(10)&amp;"Best,"&amp;CHAR(10)&amp;IF(AM91&lt;&gt;"",AM91,IF(Offer!$C$5&lt;&gt;"",Offer!$C$5,"[NAME]"))&amp;CHAR(10)&amp;"FC Urban"</f>
        <v/>
      </c>
      <c r="AK91" s="14">
        <f>"Hi "&amp;IF(R91&lt;&gt;"",R91,F91&amp;" team")&amp;","&amp;CHAR(10)&amp;CHAR(10)&amp;"Just bumping this up. The "&amp;AE91&amp;" pitch at "&amp;Z91&amp;" is still free "&amp;IF(ISNUMBER(AD91),TEXT(AD91,"ddd d mmm")&amp;", "&amp;TEXT(AD91,"hh:mm"),"weekday evenings")&amp;", "&amp;IF(OR(AA91=8,AA91=11,AA91=18),"an ","a ")&amp;AA91&amp;"-minute walk from your office, "&amp;IF(AF91&lt;&gt;"","£"&amp;IF(AF91=INT(AF91),TEXT(AF91,"0"),TEXT(AF91,"0.00")),"[PRICE PER PLAYER]")&amp;" a player. Happy to hold it for "&amp;F91&amp;"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LINK]")&amp;CHAR(10)&amp;CHAR(10)&amp;"Best,"&amp;CHAR(10)&amp;IF(AM91&lt;&gt;"",AM91,IF(Offer!$C$5&lt;&gt;"",Offer!$C$5,"[NAME]"))&amp;CHAR(10)&amp;"FC Urban"</f>
        <v/>
      </c>
      <c r="AL91" s="14">
        <f>IF(AH91="","No email yet",IF(ISNUMBER(SEARCH("[",AJ91)),"Fill placeholders",IF(ISNUMBER(AD91),"Ready to send","Ready · no fixed slot")))</f>
        <v/>
      </c>
      <c r="AO91" s="17" t="n"/>
      <c r="AP91" s="17" t="n"/>
    </row>
    <row r="92">
      <c r="A92" s="11" t="n">
        <v>90</v>
      </c>
      <c r="B92" s="11" t="n">
        <v>2</v>
      </c>
      <c r="C92" s="11" t="inlineStr">
        <is>
          <t>Bank</t>
        </is>
      </c>
      <c r="D92" s="11" t="inlineStr">
        <is>
          <t>City of London</t>
        </is>
      </c>
      <c r="E92" s="11" t="inlineStr">
        <is>
          <t>Clearbank Limited</t>
        </is>
      </c>
      <c r="F92" s="11" t="inlineStr">
        <is>
          <t>Clearbank</t>
        </is>
      </c>
      <c r="G92" s="12" t="inlineStr">
        <is>
          <t>https://clear.bank</t>
        </is>
      </c>
      <c r="H92" s="11" t="inlineStr">
        <is>
          <t>press@clear.bank</t>
        </is>
      </c>
      <c r="I92" s="11" t="inlineStr">
        <is>
          <t>role (press / marketing)</t>
        </is>
      </c>
      <c r="J92" s="12" t="inlineStr">
        <is>
          <t>Open page</t>
        </is>
      </c>
      <c r="K92" s="11" t="inlineStr">
        <is>
          <t>09736376</t>
        </is>
      </c>
      <c r="L92" s="12" t="inlineStr">
        <is>
          <t>Open</t>
        </is>
      </c>
      <c r="M92" s="11" t="inlineStr">
        <is>
          <t>Full</t>
        </is>
      </c>
      <c r="N92" s="13" t="n">
        <v>42233</v>
      </c>
      <c r="O92" s="11" t="inlineStr">
        <is>
          <t>Level 27, The Broadgate Tower, 20 Primrose Street, London</t>
        </is>
      </c>
      <c r="P92" s="11" t="inlineStr">
        <is>
          <t>EC2A 2EW</t>
        </is>
      </c>
      <c r="Q92" s="11" t="inlineStr">
        <is>
          <t>Yes</t>
        </is>
      </c>
      <c r="W92" s="11" t="inlineStr">
        <is>
          <t>Shoreditch Powerleague</t>
        </is>
      </c>
      <c r="X92" s="11" t="n">
        <v>6</v>
      </c>
      <c r="Y92" s="11" t="inlineStr">
        <is>
          <t>Liverpool St - Attlee Centre (9.9)</t>
        </is>
      </c>
      <c r="Z92" s="11" t="inlineStr">
        <is>
          <t>Shoreditch Powerleague</t>
        </is>
      </c>
      <c r="AA92" s="11" t="n">
        <v>6</v>
      </c>
      <c r="AB92" s="14">
        <f>IFERROR(INDEX(Venues!$E$2:$E$17,MATCH(Z92,Venues!$A$2:$A$17,0)),"Not checked")</f>
        <v/>
      </c>
      <c r="AC92" s="14">
        <f>IFERROR(INDEX(Venues!$F$2:$F$17,MATCH(Z92,Venues!$A$2:$A$17,0)),0)</f>
        <v/>
      </c>
      <c r="AD92" s="15">
        <f>IFERROR(INDEX(Venues!$M$2:$M$17,MATCH(Z92,Venues!$A$2:$A$17,0)),"")</f>
        <v/>
      </c>
      <c r="AE92" s="14">
        <f>IFERROR(INDEX(Venues!$N$2:$N$17,MATCH(Z92,Venues!$A$2:$A$17,0)),"5-a-side")</f>
        <v/>
      </c>
      <c r="AF92" s="16">
        <f>IF(Offer!$C$4="","",Offer!$C$4)</f>
        <v/>
      </c>
      <c r="AG92" s="14">
        <f>Z92&amp;" ("&amp;AA92&amp;" min walk) · "&amp;IF(ISNUMBER(AD92),TEXT(AD92,"ddd d mmm, hh:mm"),"slot to confirm with venue")&amp;" · "&amp;AE92&amp;" · "&amp;IF(AF92&lt;&gt;"","£"&amp;TEXT(AF92,"0.00")&amp;" pp","price TBC")</f>
        <v/>
      </c>
      <c r="AH92" s="14">
        <f>IF(U92&lt;&gt;"",U92,IF(H92&lt;&gt;"",H92,""))</f>
        <v/>
      </c>
      <c r="AI92" s="14">
        <f>"After-work football for "&amp;F92&amp;" · "&amp;Z92&amp;", "&amp;AA92&amp;" min from your office"</f>
        <v/>
      </c>
      <c r="AJ92" s="14">
        <f>"Hi "&amp;IF(R92&lt;&gt;"",R92,F92&amp;" team")&amp;","&amp;CHAR(10)&amp;CHAR(10)&amp;"I'm "&amp;IF(AM92&lt;&gt;"",AM92,IF(Offer!$C$5&lt;&gt;"",Offer!$C$5,"[NAME]"))&amp;" from FC Urban. We organise after-work football for teams in the City and Canary Wharf."&amp;CHAR(10)&amp;CHAR(10)&amp;"We have a "&amp;AE92&amp;" pitch at "&amp;Z92&amp;", "&amp;IF(OR(AA92=8,AA92=11,AA92=18),"an ","a ")&amp;AA92&amp;"-minute walk from your "&amp;P92&amp;" office, "&amp;IF(ISNUMBER(AD92),"on "&amp;TEXT(AD92,"dddd d mmmm")&amp;" at "&amp;TEXT(AD92,"hh:mm"),"on a weekday evening that suits your team")&amp;". It's "&amp;IF(AF92&lt;&gt;"","£"&amp;IF(AF92=INT(AF92),TEXT(AF92,"0"),TEXT(AF92,"0.00")),"[PRICE PER PLAYER]")&amp;" a player and we handle the pitch booking, sign-ups and payments, so all it takes is one person sharing a link with the team."&amp;CHAR(10)&amp;CHAR(10)&amp;"It works well as a team social or "&amp;IF(ISNUMBER(SEARCH(LEFT(F92,1),"AEIOU")),"an ","a ")&amp;F92&amp;"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LINK]")&amp;CHAR(10)&amp;CHAR(10)&amp;"Best,"&amp;CHAR(10)&amp;IF(AM92&lt;&gt;"",AM92,IF(Offer!$C$5&lt;&gt;"",Offer!$C$5,"[NAME]"))&amp;CHAR(10)&amp;"FC Urban"</f>
        <v/>
      </c>
      <c r="AK92" s="14">
        <f>"Hi "&amp;IF(R92&lt;&gt;"",R92,F92&amp;" team")&amp;","&amp;CHAR(10)&amp;CHAR(10)&amp;"Just bumping this up. The "&amp;AE92&amp;" pitch at "&amp;Z92&amp;" is still free "&amp;IF(ISNUMBER(AD92),TEXT(AD92,"ddd d mmm")&amp;", "&amp;TEXT(AD92,"hh:mm"),"weekday evenings")&amp;", "&amp;IF(OR(AA92=8,AA92=11,AA92=18),"an ","a ")&amp;AA92&amp;"-minute walk from your office, "&amp;IF(AF92&lt;&gt;"","£"&amp;IF(AF92=INT(AF92),TEXT(AF92,"0"),TEXT(AF92,"0.00")),"[PRICE PER PLAYER]")&amp;" a player. Happy to hold it for "&amp;F92&amp;"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LINK]")&amp;CHAR(10)&amp;CHAR(10)&amp;"Best,"&amp;CHAR(10)&amp;IF(AM92&lt;&gt;"",AM92,IF(Offer!$C$5&lt;&gt;"",Offer!$C$5,"[NAME]"))&amp;CHAR(10)&amp;"FC Urban"</f>
        <v/>
      </c>
      <c r="AL92" s="14">
        <f>IF(AH92="","No email yet",IF(ISNUMBER(SEARCH("[",AJ92)),"Fill placeholders",IF(ISNUMBER(AD92),"Ready to send","Ready · no fixed slot")))</f>
        <v/>
      </c>
      <c r="AO92" s="17" t="n"/>
      <c r="AP92" s="17" t="n"/>
    </row>
    <row r="93">
      <c r="A93" s="11" t="n">
        <v>91</v>
      </c>
      <c r="B93" s="11" t="n">
        <v>2</v>
      </c>
      <c r="C93" s="11" t="inlineStr">
        <is>
          <t>Bank</t>
        </is>
      </c>
      <c r="D93" s="11" t="inlineStr">
        <is>
          <t>City of London</t>
        </is>
      </c>
      <c r="E93" s="11" t="inlineStr">
        <is>
          <t>United Bank for Africa (UK) Limited</t>
        </is>
      </c>
      <c r="F93" s="11" t="inlineStr">
        <is>
          <t>United Bank for Africa</t>
        </is>
      </c>
      <c r="G93" s="12" t="inlineStr">
        <is>
          <t>https://www.ubagroup.com</t>
        </is>
      </c>
      <c r="H93" s="11" t="inlineStr">
        <is>
          <t>cfc@ubagroup.com</t>
        </is>
      </c>
      <c r="I93" s="11" t="inlineStr">
        <is>
          <t>named person</t>
        </is>
      </c>
      <c r="J93" s="12" t="inlineStr">
        <is>
          <t>Open page</t>
        </is>
      </c>
      <c r="K93" s="11" t="inlineStr">
        <is>
          <t>03104974</t>
        </is>
      </c>
      <c r="L93" s="12" t="inlineStr">
        <is>
          <t>Open</t>
        </is>
      </c>
      <c r="M93" s="11" t="inlineStr">
        <is>
          <t>Full</t>
        </is>
      </c>
      <c r="N93" s="13" t="n">
        <v>34963</v>
      </c>
      <c r="O93" s="11" t="inlineStr">
        <is>
          <t>36 Queen Street, London</t>
        </is>
      </c>
      <c r="P93" s="11" t="inlineStr">
        <is>
          <t>EC4R 1BN</t>
        </is>
      </c>
      <c r="Q93" s="11" t="inlineStr">
        <is>
          <t>Yes</t>
        </is>
      </c>
      <c r="W93" s="11" t="inlineStr">
        <is>
          <t>City of London School (EC4V 3AL)</t>
        </is>
      </c>
      <c r="X93" s="11" t="n">
        <v>7</v>
      </c>
      <c r="Y93" s="11" t="inlineStr">
        <is>
          <t>Marlborough Sports Garden (SE1 1SD) (14.1)</t>
        </is>
      </c>
      <c r="Z93" s="11" t="inlineStr">
        <is>
          <t>City of London School (EC4V 3AL)</t>
        </is>
      </c>
      <c r="AA93" s="11" t="n">
        <v>7</v>
      </c>
      <c r="AB93" s="14">
        <f>IFERROR(INDEX(Venues!$E$2:$E$17,MATCH(Z93,Venues!$A$2:$A$17,0)),"Not checked")</f>
        <v/>
      </c>
      <c r="AC93" s="14">
        <f>IFERROR(INDEX(Venues!$F$2:$F$17,MATCH(Z93,Venues!$A$2:$A$17,0)),0)</f>
        <v/>
      </c>
      <c r="AD93" s="15">
        <f>IFERROR(INDEX(Venues!$M$2:$M$17,MATCH(Z93,Venues!$A$2:$A$17,0)),"")</f>
        <v/>
      </c>
      <c r="AE93" s="14">
        <f>IFERROR(INDEX(Venues!$N$2:$N$17,MATCH(Z93,Venues!$A$2:$A$17,0)),"5-a-side")</f>
        <v/>
      </c>
      <c r="AF93" s="16">
        <f>IF(Offer!$C$4="","",Offer!$C$4)</f>
        <v/>
      </c>
      <c r="AG93" s="14">
        <f>Z93&amp;" ("&amp;AA93&amp;" min walk) · "&amp;IF(ISNUMBER(AD93),TEXT(AD93,"ddd d mmm, hh:mm"),"slot to confirm with venue")&amp;" · "&amp;AE93&amp;" · "&amp;IF(AF93&lt;&gt;"","£"&amp;TEXT(AF93,"0.00")&amp;" pp","price TBC")</f>
        <v/>
      </c>
      <c r="AH93" s="14">
        <f>IF(U93&lt;&gt;"",U93,IF(H93&lt;&gt;"",H93,""))</f>
        <v/>
      </c>
      <c r="AI93" s="14">
        <f>"After-work football for "&amp;F93&amp;" · "&amp;Z93&amp;", "&amp;AA93&amp;" min from your office"</f>
        <v/>
      </c>
      <c r="AJ93" s="14">
        <f>"Hi "&amp;IF(R93&lt;&gt;"",R93,F93&amp;" team")&amp;","&amp;CHAR(10)&amp;CHAR(10)&amp;"I'm "&amp;IF(AM93&lt;&gt;"",AM93,IF(Offer!$C$5&lt;&gt;"",Offer!$C$5,"[NAME]"))&amp;" from FC Urban. We organise after-work football for teams in the City and Canary Wharf."&amp;CHAR(10)&amp;CHAR(10)&amp;"We have a "&amp;AE93&amp;" pitch at "&amp;Z93&amp;", "&amp;IF(OR(AA93=8,AA93=11,AA93=18),"an ","a ")&amp;AA93&amp;"-minute walk from your "&amp;P93&amp;" office, "&amp;IF(ISNUMBER(AD93),"on "&amp;TEXT(AD93,"dddd d mmmm")&amp;" at "&amp;TEXT(AD93,"hh:mm"),"on a weekday evening that suits your team")&amp;". It's "&amp;IF(AF93&lt;&gt;"","£"&amp;IF(AF93=INT(AF93),TEXT(AF93,"0"),TEXT(AF93,"0.00")),"[PRICE PER PLAYER]")&amp;" a player and we handle the pitch booking, sign-ups and payments, so all it takes is one person sharing a link with the team."&amp;CHAR(10)&amp;CHAR(10)&amp;"It works well as a team social or "&amp;IF(ISNUMBER(SEARCH(LEFT(F93,1),"AEIOU")),"an ","a ")&amp;F93&amp;"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LINK]")&amp;CHAR(10)&amp;CHAR(10)&amp;"Best,"&amp;CHAR(10)&amp;IF(AM93&lt;&gt;"",AM93,IF(Offer!$C$5&lt;&gt;"",Offer!$C$5,"[NAME]"))&amp;CHAR(10)&amp;"FC Urban"</f>
        <v/>
      </c>
      <c r="AK93" s="14">
        <f>"Hi "&amp;IF(R93&lt;&gt;"",R93,F93&amp;" team")&amp;","&amp;CHAR(10)&amp;CHAR(10)&amp;"Just bumping this up. The "&amp;AE93&amp;" pitch at "&amp;Z93&amp;" is still free "&amp;IF(ISNUMBER(AD93),TEXT(AD93,"ddd d mmm")&amp;", "&amp;TEXT(AD93,"hh:mm"),"weekday evenings")&amp;", "&amp;IF(OR(AA93=8,AA93=11,AA93=18),"an ","a ")&amp;AA93&amp;"-minute walk from your office, "&amp;IF(AF93&lt;&gt;"","£"&amp;IF(AF93=INT(AF93),TEXT(AF93,"0"),TEXT(AF93,"0.00")),"[PRICE PER PLAYER]")&amp;" a player. Happy to hold it for "&amp;F93&amp;"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LINK]")&amp;CHAR(10)&amp;CHAR(10)&amp;"Best,"&amp;CHAR(10)&amp;IF(AM93&lt;&gt;"",AM93,IF(Offer!$C$5&lt;&gt;"",Offer!$C$5,"[NAME]"))&amp;CHAR(10)&amp;"FC Urban"</f>
        <v/>
      </c>
      <c r="AL93" s="14">
        <f>IF(AH93="","No email yet",IF(ISNUMBER(SEARCH("[",AJ93)),"Fill placeholders",IF(ISNUMBER(AD93),"Ready to send","Ready · no fixed slot")))</f>
        <v/>
      </c>
      <c r="AO93" s="17" t="n"/>
      <c r="AP93" s="17" t="n"/>
    </row>
    <row r="94">
      <c r="A94" s="11" t="n">
        <v>92</v>
      </c>
      <c r="B94" s="11" t="n">
        <v>2</v>
      </c>
      <c r="C94" s="11" t="inlineStr">
        <is>
          <t>Bank</t>
        </is>
      </c>
      <c r="D94" s="11" t="inlineStr">
        <is>
          <t>City of London</t>
        </is>
      </c>
      <c r="E94" s="11" t="inlineStr">
        <is>
          <t>Monzo Bank Limited</t>
        </is>
      </c>
      <c r="F94" s="11" t="inlineStr">
        <is>
          <t>Monzo</t>
        </is>
      </c>
      <c r="G94" s="12" t="inlineStr">
        <is>
          <t>https://monzo.com</t>
        </is>
      </c>
      <c r="H94" s="11" t="inlineStr">
        <is>
          <t>help@monzo.com</t>
        </is>
      </c>
      <c r="I94" s="11" t="inlineStr">
        <is>
          <t>general</t>
        </is>
      </c>
      <c r="J94" s="12" t="inlineStr">
        <is>
          <t>Open page</t>
        </is>
      </c>
      <c r="K94" s="11" t="inlineStr">
        <is>
          <t>09446231</t>
        </is>
      </c>
      <c r="L94" s="12" t="inlineStr">
        <is>
          <t>Open</t>
        </is>
      </c>
      <c r="M94" s="11" t="inlineStr">
        <is>
          <t>Full</t>
        </is>
      </c>
      <c r="N94" s="13" t="n">
        <v>42053</v>
      </c>
      <c r="O94" s="11" t="inlineStr">
        <is>
          <t>Broadwalk House, 5 Appold Street, London</t>
        </is>
      </c>
      <c r="P94" s="11" t="inlineStr">
        <is>
          <t>EC2A 2AG</t>
        </is>
      </c>
      <c r="Q94" s="11" t="inlineStr">
        <is>
          <t>No</t>
        </is>
      </c>
      <c r="W94" s="11" t="inlineStr">
        <is>
          <t>Shoreditch Powerleague</t>
        </is>
      </c>
      <c r="X94" s="11" t="n">
        <v>7</v>
      </c>
      <c r="Y94" s="11" t="inlineStr">
        <is>
          <t>Liverpool St - Attlee Centre (10.9); Finsbury Leisure Centre (EC1V 3PU) (18.2)</t>
        </is>
      </c>
      <c r="Z94" s="11" t="inlineStr">
        <is>
          <t>Shoreditch Powerleague</t>
        </is>
      </c>
      <c r="AA94" s="11" t="n">
        <v>7</v>
      </c>
      <c r="AB94" s="14">
        <f>IFERROR(INDEX(Venues!$E$2:$E$17,MATCH(Z94,Venues!$A$2:$A$17,0)),"Not checked")</f>
        <v/>
      </c>
      <c r="AC94" s="14">
        <f>IFERROR(INDEX(Venues!$F$2:$F$17,MATCH(Z94,Venues!$A$2:$A$17,0)),0)</f>
        <v/>
      </c>
      <c r="AD94" s="15">
        <f>IFERROR(INDEX(Venues!$M$2:$M$17,MATCH(Z94,Venues!$A$2:$A$17,0)),"")</f>
        <v/>
      </c>
      <c r="AE94" s="14">
        <f>IFERROR(INDEX(Venues!$N$2:$N$17,MATCH(Z94,Venues!$A$2:$A$17,0)),"5-a-side")</f>
        <v/>
      </c>
      <c r="AF94" s="16">
        <f>IF(Offer!$C$4="","",Offer!$C$4)</f>
        <v/>
      </c>
      <c r="AG94" s="14">
        <f>Z94&amp;" ("&amp;AA94&amp;" min walk) · "&amp;IF(ISNUMBER(AD94),TEXT(AD94,"ddd d mmm, hh:mm"),"slot to confirm with venue")&amp;" · "&amp;AE94&amp;" · "&amp;IF(AF94&lt;&gt;"","£"&amp;TEXT(AF94,"0.00")&amp;" pp","price TBC")</f>
        <v/>
      </c>
      <c r="AH94" s="14">
        <f>IF(U94&lt;&gt;"",U94,IF(H94&lt;&gt;"",H94,""))</f>
        <v/>
      </c>
      <c r="AI94" s="14">
        <f>"After-work football for "&amp;F94&amp;" · "&amp;Z94&amp;", "&amp;AA94&amp;" min from your office"</f>
        <v/>
      </c>
      <c r="AJ94" s="14">
        <f>"Hi "&amp;IF(R94&lt;&gt;"",R94,F94&amp;" team")&amp;","&amp;CHAR(10)&amp;CHAR(10)&amp;"I'm "&amp;IF(AM94&lt;&gt;"",AM94,IF(Offer!$C$5&lt;&gt;"",Offer!$C$5,"[NAME]"))&amp;" from FC Urban. We organise after-work football for teams in the City and Canary Wharf."&amp;CHAR(10)&amp;CHAR(10)&amp;"We have a "&amp;AE94&amp;" pitch at "&amp;Z94&amp;", "&amp;IF(OR(AA94=8,AA94=11,AA94=18),"an ","a ")&amp;AA94&amp;"-minute walk from your "&amp;P94&amp;" office, "&amp;IF(ISNUMBER(AD94),"on "&amp;TEXT(AD94,"dddd d mmmm")&amp;" at "&amp;TEXT(AD94,"hh:mm"),"on a weekday evening that suits your team")&amp;". It's "&amp;IF(AF94&lt;&gt;"","£"&amp;IF(AF94=INT(AF94),TEXT(AF94,"0"),TEXT(AF94,"0.00")),"[PRICE PER PLAYER]")&amp;" a player and we handle the pitch booking, sign-ups and payments, so all it takes is one person sharing a link with the team."&amp;CHAR(10)&amp;CHAR(10)&amp;"It works well as a team social or "&amp;IF(ISNUMBER(SEARCH(LEFT(F94,1),"AEIOU")),"an ","a ")&amp;F94&amp;"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LINK]")&amp;CHAR(10)&amp;CHAR(10)&amp;"Best,"&amp;CHAR(10)&amp;IF(AM94&lt;&gt;"",AM94,IF(Offer!$C$5&lt;&gt;"",Offer!$C$5,"[NAME]"))&amp;CHAR(10)&amp;"FC Urban"</f>
        <v/>
      </c>
      <c r="AK94" s="14">
        <f>"Hi "&amp;IF(R94&lt;&gt;"",R94,F94&amp;" team")&amp;","&amp;CHAR(10)&amp;CHAR(10)&amp;"Just bumping this up. The "&amp;AE94&amp;" pitch at "&amp;Z94&amp;" is still free "&amp;IF(ISNUMBER(AD94),TEXT(AD94,"ddd d mmm")&amp;", "&amp;TEXT(AD94,"hh:mm"),"weekday evenings")&amp;", "&amp;IF(OR(AA94=8,AA94=11,AA94=18),"an ","a ")&amp;AA94&amp;"-minute walk from your office, "&amp;IF(AF94&lt;&gt;"","£"&amp;IF(AF94=INT(AF94),TEXT(AF94,"0"),TEXT(AF94,"0.00")),"[PRICE PER PLAYER]")&amp;" a player. Happy to hold it for "&amp;F94&amp;"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LINK]")&amp;CHAR(10)&amp;CHAR(10)&amp;"Best,"&amp;CHAR(10)&amp;IF(AM94&lt;&gt;"",AM94,IF(Offer!$C$5&lt;&gt;"",Offer!$C$5,"[NAME]"))&amp;CHAR(10)&amp;"FC Urban"</f>
        <v/>
      </c>
      <c r="AL94" s="14">
        <f>IF(AH94="","No email yet",IF(ISNUMBER(SEARCH("[",AJ94)),"Fill placeholders",IF(ISNUMBER(AD94),"Ready to send","Ready · no fixed slot")))</f>
        <v/>
      </c>
      <c r="AO94" s="17" t="n"/>
      <c r="AP94" s="17" t="n"/>
    </row>
    <row r="95">
      <c r="A95" s="11" t="n">
        <v>93</v>
      </c>
      <c r="B95" s="11" t="n">
        <v>2</v>
      </c>
      <c r="C95" s="11" t="inlineStr">
        <is>
          <t>Bank</t>
        </is>
      </c>
      <c r="D95" s="11" t="inlineStr">
        <is>
          <t>City of London</t>
        </is>
      </c>
      <c r="E95" s="11" t="inlineStr">
        <is>
          <t>Fire Financial Services Limited</t>
        </is>
      </c>
      <c r="F95" s="11" t="inlineStr">
        <is>
          <t>Fire Financial</t>
        </is>
      </c>
      <c r="G95" s="12" t="inlineStr">
        <is>
          <t>https://www.fire.com</t>
        </is>
      </c>
      <c r="H95" s="11" t="inlineStr">
        <is>
          <t>sales@fire.com</t>
        </is>
      </c>
      <c r="I95" s="11" t="inlineStr">
        <is>
          <t>general</t>
        </is>
      </c>
      <c r="J95" s="12" t="inlineStr">
        <is>
          <t>Open page</t>
        </is>
      </c>
      <c r="K95" s="11" t="inlineStr">
        <is>
          <t>11549793</t>
        </is>
      </c>
      <c r="L95" s="12" t="inlineStr">
        <is>
          <t>Open</t>
        </is>
      </c>
      <c r="M95" s="11" t="inlineStr">
        <is>
          <t>Full</t>
        </is>
      </c>
      <c r="N95" s="13" t="n">
        <v>43346</v>
      </c>
      <c r="O95" s="11" t="inlineStr">
        <is>
          <t>The Rise 41, Luke Street, London</t>
        </is>
      </c>
      <c r="P95" s="11" t="inlineStr">
        <is>
          <t>EC2A 4DP</t>
        </is>
      </c>
      <c r="Q95" s="11" t="inlineStr">
        <is>
          <t>Yes</t>
        </is>
      </c>
      <c r="W95" s="11" t="inlineStr">
        <is>
          <t>Shoreditch Powerleague</t>
        </is>
      </c>
      <c r="X95" s="11" t="n">
        <v>9</v>
      </c>
      <c r="Y95" s="11" t="inlineStr">
        <is>
          <t>Finsbury Leisure Centre (EC1V 3PU) (13.4); Liverpool St - Attlee Centre (16.3)</t>
        </is>
      </c>
      <c r="Z95" s="11" t="inlineStr">
        <is>
          <t>Shoreditch Powerleague</t>
        </is>
      </c>
      <c r="AA95" s="11" t="n">
        <v>9</v>
      </c>
      <c r="AB95" s="14">
        <f>IFERROR(INDEX(Venues!$E$2:$E$17,MATCH(Z95,Venues!$A$2:$A$17,0)),"Not checked")</f>
        <v/>
      </c>
      <c r="AC95" s="14">
        <f>IFERROR(INDEX(Venues!$F$2:$F$17,MATCH(Z95,Venues!$A$2:$A$17,0)),0)</f>
        <v/>
      </c>
      <c r="AD95" s="15">
        <f>IFERROR(INDEX(Venues!$M$2:$M$17,MATCH(Z95,Venues!$A$2:$A$17,0)),"")</f>
        <v/>
      </c>
      <c r="AE95" s="14">
        <f>IFERROR(INDEX(Venues!$N$2:$N$17,MATCH(Z95,Venues!$A$2:$A$17,0)),"5-a-side")</f>
        <v/>
      </c>
      <c r="AF95" s="16">
        <f>IF(Offer!$C$4="","",Offer!$C$4)</f>
        <v/>
      </c>
      <c r="AG95" s="14">
        <f>Z95&amp;" ("&amp;AA95&amp;" min walk) · "&amp;IF(ISNUMBER(AD95),TEXT(AD95,"ddd d mmm, hh:mm"),"slot to confirm with venue")&amp;" · "&amp;AE95&amp;" · "&amp;IF(AF95&lt;&gt;"","£"&amp;TEXT(AF95,"0.00")&amp;" pp","price TBC")</f>
        <v/>
      </c>
      <c r="AH95" s="14">
        <f>IF(U95&lt;&gt;"",U95,IF(H95&lt;&gt;"",H95,""))</f>
        <v/>
      </c>
      <c r="AI95" s="14">
        <f>"After-work football for "&amp;F95&amp;" · "&amp;Z95&amp;", "&amp;AA95&amp;" min from your office"</f>
        <v/>
      </c>
      <c r="AJ95" s="14">
        <f>"Hi "&amp;IF(R95&lt;&gt;"",R95,F95&amp;" team")&amp;","&amp;CHAR(10)&amp;CHAR(10)&amp;"I'm "&amp;IF(AM95&lt;&gt;"",AM95,IF(Offer!$C$5&lt;&gt;"",Offer!$C$5,"[NAME]"))&amp;" from FC Urban. We organise after-work football for teams in the City and Canary Wharf."&amp;CHAR(10)&amp;CHAR(10)&amp;"We have a "&amp;AE95&amp;" pitch at "&amp;Z95&amp;", "&amp;IF(OR(AA95=8,AA95=11,AA95=18),"an ","a ")&amp;AA95&amp;"-minute walk from your "&amp;P95&amp;" office, "&amp;IF(ISNUMBER(AD95),"on "&amp;TEXT(AD95,"dddd d mmmm")&amp;" at "&amp;TEXT(AD95,"hh:mm"),"on a weekday evening that suits your team")&amp;". It's "&amp;IF(AF95&lt;&gt;"","£"&amp;IF(AF95=INT(AF95),TEXT(AF95,"0"),TEXT(AF95,"0.00")),"[PRICE PER PLAYER]")&amp;" a player and we handle the pitch booking, sign-ups and payments, so all it takes is one person sharing a link with the team."&amp;CHAR(10)&amp;CHAR(10)&amp;"It works well as a team social or "&amp;IF(ISNUMBER(SEARCH(LEFT(F95,1),"AEIOU")),"an ","a ")&amp;F95&amp;"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LINK]")&amp;CHAR(10)&amp;CHAR(10)&amp;"Best,"&amp;CHAR(10)&amp;IF(AM95&lt;&gt;"",AM95,IF(Offer!$C$5&lt;&gt;"",Offer!$C$5,"[NAME]"))&amp;CHAR(10)&amp;"FC Urban"</f>
        <v/>
      </c>
      <c r="AK95" s="14">
        <f>"Hi "&amp;IF(R95&lt;&gt;"",R95,F95&amp;" team")&amp;","&amp;CHAR(10)&amp;CHAR(10)&amp;"Just bumping this up. The "&amp;AE95&amp;" pitch at "&amp;Z95&amp;" is still free "&amp;IF(ISNUMBER(AD95),TEXT(AD95,"ddd d mmm")&amp;", "&amp;TEXT(AD95,"hh:mm"),"weekday evenings")&amp;", "&amp;IF(OR(AA95=8,AA95=11,AA95=18),"an ","a ")&amp;AA95&amp;"-minute walk from your office, "&amp;IF(AF95&lt;&gt;"","£"&amp;IF(AF95=INT(AF95),TEXT(AF95,"0"),TEXT(AF95,"0.00")),"[PRICE PER PLAYER]")&amp;" a player. Happy to hold it for "&amp;F95&amp;"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LINK]")&amp;CHAR(10)&amp;CHAR(10)&amp;"Best,"&amp;CHAR(10)&amp;IF(AM95&lt;&gt;"",AM95,IF(Offer!$C$5&lt;&gt;"",Offer!$C$5,"[NAME]"))&amp;CHAR(10)&amp;"FC Urban"</f>
        <v/>
      </c>
      <c r="AL95" s="14">
        <f>IF(AH95="","No email yet",IF(ISNUMBER(SEARCH("[",AJ95)),"Fill placeholders",IF(ISNUMBER(AD95),"Ready to send","Ready · no fixed slot")))</f>
        <v/>
      </c>
      <c r="AO95" s="17" t="n"/>
      <c r="AP95" s="17" t="n"/>
    </row>
    <row r="96">
      <c r="A96" s="11" t="n">
        <v>94</v>
      </c>
      <c r="B96" s="11" t="n">
        <v>2</v>
      </c>
      <c r="C96" s="11" t="inlineStr">
        <is>
          <t>Bank</t>
        </is>
      </c>
      <c r="D96" s="11" t="inlineStr">
        <is>
          <t>City of London</t>
        </is>
      </c>
      <c r="E96" s="11" t="inlineStr">
        <is>
          <t>Kroo Bank Ltd</t>
        </is>
      </c>
      <c r="F96" s="11" t="inlineStr">
        <is>
          <t>Kroo Bank</t>
        </is>
      </c>
      <c r="G96" s="12" t="inlineStr">
        <is>
          <t>https://kroo.com</t>
        </is>
      </c>
      <c r="H96" s="11" t="inlineStr">
        <is>
          <t>help@kroo.com</t>
        </is>
      </c>
      <c r="I96" s="11" t="inlineStr">
        <is>
          <t>general</t>
        </is>
      </c>
      <c r="J96" s="12" t="inlineStr">
        <is>
          <t>Open page</t>
        </is>
      </c>
      <c r="K96" s="11" t="inlineStr">
        <is>
          <t>10359002</t>
        </is>
      </c>
      <c r="L96" s="12" t="inlineStr">
        <is>
          <t>Open</t>
        </is>
      </c>
      <c r="M96" s="11" t="inlineStr">
        <is>
          <t>Full</t>
        </is>
      </c>
      <c r="N96" s="13" t="n">
        <v>42618</v>
      </c>
      <c r="O96" s="11" t="inlineStr">
        <is>
          <t>20 Farringdon Street, London</t>
        </is>
      </c>
      <c r="P96" s="11" t="inlineStr">
        <is>
          <t>EC4A 4AB</t>
        </is>
      </c>
      <c r="Q96" s="11" t="inlineStr">
        <is>
          <t>No</t>
        </is>
      </c>
      <c r="W96" s="11" t="inlineStr">
        <is>
          <t>City of London School (EC4V 3AL)</t>
        </is>
      </c>
      <c r="X96" s="11" t="n">
        <v>10</v>
      </c>
      <c r="Y96" s="11" t="n"/>
      <c r="Z96" s="11" t="inlineStr">
        <is>
          <t>City of London School (EC4V 3AL)</t>
        </is>
      </c>
      <c r="AA96" s="11" t="n">
        <v>10</v>
      </c>
      <c r="AB96" s="14">
        <f>IFERROR(INDEX(Venues!$E$2:$E$17,MATCH(Z96,Venues!$A$2:$A$17,0)),"Not checked")</f>
        <v/>
      </c>
      <c r="AC96" s="14">
        <f>IFERROR(INDEX(Venues!$F$2:$F$17,MATCH(Z96,Venues!$A$2:$A$17,0)),0)</f>
        <v/>
      </c>
      <c r="AD96" s="15">
        <f>IFERROR(INDEX(Venues!$M$2:$M$17,MATCH(Z96,Venues!$A$2:$A$17,0)),"")</f>
        <v/>
      </c>
      <c r="AE96" s="14">
        <f>IFERROR(INDEX(Venues!$N$2:$N$17,MATCH(Z96,Venues!$A$2:$A$17,0)),"5-a-side")</f>
        <v/>
      </c>
      <c r="AF96" s="16">
        <f>IF(Offer!$C$4="","",Offer!$C$4)</f>
        <v/>
      </c>
      <c r="AG96" s="14">
        <f>Z96&amp;" ("&amp;AA96&amp;" min walk) · "&amp;IF(ISNUMBER(AD96),TEXT(AD96,"ddd d mmm, hh:mm"),"slot to confirm with venue")&amp;" · "&amp;AE96&amp;" · "&amp;IF(AF96&lt;&gt;"","£"&amp;TEXT(AF96,"0.00")&amp;" pp","price TBC")</f>
        <v/>
      </c>
      <c r="AH96" s="14">
        <f>IF(U96&lt;&gt;"",U96,IF(H96&lt;&gt;"",H96,""))</f>
        <v/>
      </c>
      <c r="AI96" s="14">
        <f>"After-work football for "&amp;F96&amp;" · "&amp;Z96&amp;", "&amp;AA96&amp;" min from your office"</f>
        <v/>
      </c>
      <c r="AJ96" s="14">
        <f>"Hi "&amp;IF(R96&lt;&gt;"",R96,F96&amp;" team")&amp;","&amp;CHAR(10)&amp;CHAR(10)&amp;"I'm "&amp;IF(AM96&lt;&gt;"",AM96,IF(Offer!$C$5&lt;&gt;"",Offer!$C$5,"[NAME]"))&amp;" from FC Urban. We organise after-work football for teams in the City and Canary Wharf."&amp;CHAR(10)&amp;CHAR(10)&amp;"We have a "&amp;AE96&amp;" pitch at "&amp;Z96&amp;", "&amp;IF(OR(AA96=8,AA96=11,AA96=18),"an ","a ")&amp;AA96&amp;"-minute walk from your "&amp;P96&amp;" office, "&amp;IF(ISNUMBER(AD96),"on "&amp;TEXT(AD96,"dddd d mmmm")&amp;" at "&amp;TEXT(AD96,"hh:mm"),"on a weekday evening that suits your team")&amp;". It's "&amp;IF(AF96&lt;&gt;"","£"&amp;IF(AF96=INT(AF96),TEXT(AF96,"0"),TEXT(AF96,"0.00")),"[PRICE PER PLAYER]")&amp;" a player and we handle the pitch booking, sign-ups and payments, so all it takes is one person sharing a link with the team."&amp;CHAR(10)&amp;CHAR(10)&amp;"It works well as a team social or "&amp;IF(ISNUMBER(SEARCH(LEFT(F96,1),"AEIOU")),"an ","a ")&amp;F96&amp;"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LINK]")&amp;CHAR(10)&amp;CHAR(10)&amp;"Best,"&amp;CHAR(10)&amp;IF(AM96&lt;&gt;"",AM96,IF(Offer!$C$5&lt;&gt;"",Offer!$C$5,"[NAME]"))&amp;CHAR(10)&amp;"FC Urban"</f>
        <v/>
      </c>
      <c r="AK96" s="14">
        <f>"Hi "&amp;IF(R96&lt;&gt;"",R96,F96&amp;" team")&amp;","&amp;CHAR(10)&amp;CHAR(10)&amp;"Just bumping this up. The "&amp;AE96&amp;" pitch at "&amp;Z96&amp;" is still free "&amp;IF(ISNUMBER(AD96),TEXT(AD96,"ddd d mmm")&amp;", "&amp;TEXT(AD96,"hh:mm"),"weekday evenings")&amp;", "&amp;IF(OR(AA96=8,AA96=11,AA96=18),"an ","a ")&amp;AA96&amp;"-minute walk from your office, "&amp;IF(AF96&lt;&gt;"","£"&amp;IF(AF96=INT(AF96),TEXT(AF96,"0"),TEXT(AF96,"0.00")),"[PRICE PER PLAYER]")&amp;" a player. Happy to hold it for "&amp;F96&amp;"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LINK]")&amp;CHAR(10)&amp;CHAR(10)&amp;"Best,"&amp;CHAR(10)&amp;IF(AM96&lt;&gt;"",AM96,IF(Offer!$C$5&lt;&gt;"",Offer!$C$5,"[NAME]"))&amp;CHAR(10)&amp;"FC Urban"</f>
        <v/>
      </c>
      <c r="AL96" s="14">
        <f>IF(AH96="","No email yet",IF(ISNUMBER(SEARCH("[",AJ96)),"Fill placeholders",IF(ISNUMBER(AD96),"Ready to send","Ready · no fixed slot")))</f>
        <v/>
      </c>
      <c r="AO96" s="17" t="n"/>
      <c r="AP96" s="17" t="n"/>
    </row>
    <row r="97">
      <c r="A97" s="11" t="n">
        <v>95</v>
      </c>
      <c r="B97" s="11" t="n">
        <v>2</v>
      </c>
      <c r="C97" s="11" t="inlineStr">
        <is>
          <t>Bank</t>
        </is>
      </c>
      <c r="D97" s="11" t="inlineStr">
        <is>
          <t>City of London</t>
        </is>
      </c>
      <c r="E97" s="11" t="inlineStr">
        <is>
          <t>ADIB (UK) Limited</t>
        </is>
      </c>
      <c r="F97" s="11" t="inlineStr">
        <is>
          <t>ADIB</t>
        </is>
      </c>
      <c r="G97" s="12" t="inlineStr">
        <is>
          <t>https://www.adib.com</t>
        </is>
      </c>
      <c r="H97" s="11" t="inlineStr">
        <is>
          <t>info@adib.com</t>
        </is>
      </c>
      <c r="I97" s="11" t="inlineStr">
        <is>
          <t>general</t>
        </is>
      </c>
      <c r="J97" s="12" t="inlineStr">
        <is>
          <t>Open page</t>
        </is>
      </c>
      <c r="K97" s="11" t="inlineStr">
        <is>
          <t>07327879</t>
        </is>
      </c>
      <c r="L97" s="12" t="inlineStr">
        <is>
          <t>Open</t>
        </is>
      </c>
      <c r="M97" s="11" t="inlineStr">
        <is>
          <t>Full</t>
        </is>
      </c>
      <c r="N97" s="13" t="n">
        <v>40386</v>
      </c>
      <c r="O97" s="11" t="inlineStr">
        <is>
          <t>Cannon Place, 78 Cannon Street, London</t>
        </is>
      </c>
      <c r="P97" s="11" t="inlineStr">
        <is>
          <t>EC4N 6AF</t>
        </is>
      </c>
      <c r="Q97" s="11" t="inlineStr">
        <is>
          <t>No</t>
        </is>
      </c>
      <c r="W97" s="11" t="inlineStr">
        <is>
          <t>City of London School (EC4V 3AL)</t>
        </is>
      </c>
      <c r="X97" s="11" t="n">
        <v>10</v>
      </c>
      <c r="Y97" s="11" t="inlineStr">
        <is>
          <t>Marlborough Sports Garden (SE1 1SD) (14.7)</t>
        </is>
      </c>
      <c r="Z97" s="11" t="inlineStr">
        <is>
          <t>City of London School (EC4V 3AL)</t>
        </is>
      </c>
      <c r="AA97" s="11" t="n">
        <v>10</v>
      </c>
      <c r="AB97" s="14">
        <f>IFERROR(INDEX(Venues!$E$2:$E$17,MATCH(Z97,Venues!$A$2:$A$17,0)),"Not checked")</f>
        <v/>
      </c>
      <c r="AC97" s="14">
        <f>IFERROR(INDEX(Venues!$F$2:$F$17,MATCH(Z97,Venues!$A$2:$A$17,0)),0)</f>
        <v/>
      </c>
      <c r="AD97" s="15">
        <f>IFERROR(INDEX(Venues!$M$2:$M$17,MATCH(Z97,Venues!$A$2:$A$17,0)),"")</f>
        <v/>
      </c>
      <c r="AE97" s="14">
        <f>IFERROR(INDEX(Venues!$N$2:$N$17,MATCH(Z97,Venues!$A$2:$A$17,0)),"5-a-side")</f>
        <v/>
      </c>
      <c r="AF97" s="16">
        <f>IF(Offer!$C$4="","",Offer!$C$4)</f>
        <v/>
      </c>
      <c r="AG97" s="14">
        <f>Z97&amp;" ("&amp;AA97&amp;" min walk) · "&amp;IF(ISNUMBER(AD97),TEXT(AD97,"ddd d mmm, hh:mm"),"slot to confirm with venue")&amp;" · "&amp;AE97&amp;" · "&amp;IF(AF97&lt;&gt;"","£"&amp;TEXT(AF97,"0.00")&amp;" pp","price TBC")</f>
        <v/>
      </c>
      <c r="AH97" s="14">
        <f>IF(U97&lt;&gt;"",U97,IF(H97&lt;&gt;"",H97,""))</f>
        <v/>
      </c>
      <c r="AI97" s="14">
        <f>"After-work football for "&amp;F97&amp;" · "&amp;Z97&amp;", "&amp;AA97&amp;" min from your office"</f>
        <v/>
      </c>
      <c r="AJ97" s="14">
        <f>"Hi "&amp;IF(R97&lt;&gt;"",R97,F97&amp;" team")&amp;","&amp;CHAR(10)&amp;CHAR(10)&amp;"I'm "&amp;IF(AM97&lt;&gt;"",AM97,IF(Offer!$C$5&lt;&gt;"",Offer!$C$5,"[NAME]"))&amp;" from FC Urban. We organise after-work football for teams in the City and Canary Wharf."&amp;CHAR(10)&amp;CHAR(10)&amp;"We have a "&amp;AE97&amp;" pitch at "&amp;Z97&amp;", "&amp;IF(OR(AA97=8,AA97=11,AA97=18),"an ","a ")&amp;AA97&amp;"-minute walk from your "&amp;P97&amp;" office, "&amp;IF(ISNUMBER(AD97),"on "&amp;TEXT(AD97,"dddd d mmmm")&amp;" at "&amp;TEXT(AD97,"hh:mm"),"on a weekday evening that suits your team")&amp;". It's "&amp;IF(AF97&lt;&gt;"","£"&amp;IF(AF97=INT(AF97),TEXT(AF97,"0"),TEXT(AF97,"0.00")),"[PRICE PER PLAYER]")&amp;" a player and we handle the pitch booking, sign-ups and payments, so all it takes is one person sharing a link with the team."&amp;CHAR(10)&amp;CHAR(10)&amp;"It works well as a team social or "&amp;IF(ISNUMBER(SEARCH(LEFT(F97,1),"AEIOU")),"an ","a ")&amp;F97&amp;"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LINK]")&amp;CHAR(10)&amp;CHAR(10)&amp;"Best,"&amp;CHAR(10)&amp;IF(AM97&lt;&gt;"",AM97,IF(Offer!$C$5&lt;&gt;"",Offer!$C$5,"[NAME]"))&amp;CHAR(10)&amp;"FC Urban"</f>
        <v/>
      </c>
      <c r="AK97" s="14">
        <f>"Hi "&amp;IF(R97&lt;&gt;"",R97,F97&amp;" team")&amp;","&amp;CHAR(10)&amp;CHAR(10)&amp;"Just bumping this up. The "&amp;AE97&amp;" pitch at "&amp;Z97&amp;" is still free "&amp;IF(ISNUMBER(AD97),TEXT(AD97,"ddd d mmm")&amp;", "&amp;TEXT(AD97,"hh:mm"),"weekday evenings")&amp;", "&amp;IF(OR(AA97=8,AA97=11,AA97=18),"an ","a ")&amp;AA97&amp;"-minute walk from your office, "&amp;IF(AF97&lt;&gt;"","£"&amp;IF(AF97=INT(AF97),TEXT(AF97,"0"),TEXT(AF97,"0.00")),"[PRICE PER PLAYER]")&amp;" a player. Happy to hold it for "&amp;F97&amp;"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LINK]")&amp;CHAR(10)&amp;CHAR(10)&amp;"Best,"&amp;CHAR(10)&amp;IF(AM97&lt;&gt;"",AM97,IF(Offer!$C$5&lt;&gt;"",Offer!$C$5,"[NAME]"))&amp;CHAR(10)&amp;"FC Urban"</f>
        <v/>
      </c>
      <c r="AL97" s="14">
        <f>IF(AH97="","No email yet",IF(ISNUMBER(SEARCH("[",AJ97)),"Fill placeholders",IF(ISNUMBER(AD97),"Ready to send","Ready · no fixed slot")))</f>
        <v/>
      </c>
      <c r="AO97" s="17" t="n"/>
      <c r="AP97" s="17" t="n"/>
    </row>
    <row r="98">
      <c r="A98" s="11" t="n">
        <v>96</v>
      </c>
      <c r="B98" s="11" t="n">
        <v>2</v>
      </c>
      <c r="C98" s="11" t="inlineStr">
        <is>
          <t>Bank</t>
        </is>
      </c>
      <c r="D98" s="11" t="inlineStr">
        <is>
          <t>City of London</t>
        </is>
      </c>
      <c r="E98" s="11" t="inlineStr">
        <is>
          <t>DNB (UK) Limited</t>
        </is>
      </c>
      <c r="F98" s="11" t="inlineStr">
        <is>
          <t>DNB</t>
        </is>
      </c>
      <c r="G98" s="12" t="inlineStr">
        <is>
          <t>https://www.dnb.com</t>
        </is>
      </c>
      <c r="H98" s="11" t="inlineStr">
        <is>
          <t>acquisitiont@dnb.com</t>
        </is>
      </c>
      <c r="I98" s="11" t="inlineStr">
        <is>
          <t>named person</t>
        </is>
      </c>
      <c r="J98" s="12" t="inlineStr">
        <is>
          <t>Open page</t>
        </is>
      </c>
      <c r="K98" s="11" t="inlineStr">
        <is>
          <t>03342104</t>
        </is>
      </c>
      <c r="L98" s="12" t="inlineStr">
        <is>
          <t>Open</t>
        </is>
      </c>
      <c r="M98" s="11" t="inlineStr">
        <is>
          <t>Full</t>
        </is>
      </c>
      <c r="N98" s="13" t="n">
        <v>35516</v>
      </c>
      <c r="O98" s="11" t="inlineStr">
        <is>
          <t>8Th Floor, The Walbrook Building 8Th Floor, The Walbrook Building, 25 Walbrook, London</t>
        </is>
      </c>
      <c r="P98" s="11" t="inlineStr">
        <is>
          <t>EC4N 8AF</t>
        </is>
      </c>
      <c r="Q98" s="11" t="inlineStr">
        <is>
          <t>Yes</t>
        </is>
      </c>
      <c r="W98" s="11" t="inlineStr">
        <is>
          <t>City of London School (EC4V 3AL)</t>
        </is>
      </c>
      <c r="X98" s="11" t="n">
        <v>10</v>
      </c>
      <c r="Y98" s="11" t="inlineStr">
        <is>
          <t>Marlborough Sports Garden (SE1 1SD) (15.7)</t>
        </is>
      </c>
      <c r="Z98" s="11" t="inlineStr">
        <is>
          <t>City of London School (EC4V 3AL)</t>
        </is>
      </c>
      <c r="AA98" s="11" t="n">
        <v>10</v>
      </c>
      <c r="AB98" s="14">
        <f>IFERROR(INDEX(Venues!$E$2:$E$17,MATCH(Z98,Venues!$A$2:$A$17,0)),"Not checked")</f>
        <v/>
      </c>
      <c r="AC98" s="14">
        <f>IFERROR(INDEX(Venues!$F$2:$F$17,MATCH(Z98,Venues!$A$2:$A$17,0)),0)</f>
        <v/>
      </c>
      <c r="AD98" s="15">
        <f>IFERROR(INDEX(Venues!$M$2:$M$17,MATCH(Z98,Venues!$A$2:$A$17,0)),"")</f>
        <v/>
      </c>
      <c r="AE98" s="14">
        <f>IFERROR(INDEX(Venues!$N$2:$N$17,MATCH(Z98,Venues!$A$2:$A$17,0)),"5-a-side")</f>
        <v/>
      </c>
      <c r="AF98" s="16">
        <f>IF(Offer!$C$4="","",Offer!$C$4)</f>
        <v/>
      </c>
      <c r="AG98" s="14">
        <f>Z98&amp;" ("&amp;AA98&amp;" min walk) · "&amp;IF(ISNUMBER(AD98),TEXT(AD98,"ddd d mmm, hh:mm"),"slot to confirm with venue")&amp;" · "&amp;AE98&amp;" · "&amp;IF(AF98&lt;&gt;"","£"&amp;TEXT(AF98,"0.00")&amp;" pp","price TBC")</f>
        <v/>
      </c>
      <c r="AH98" s="14">
        <f>IF(U98&lt;&gt;"",U98,IF(H98&lt;&gt;"",H98,""))</f>
        <v/>
      </c>
      <c r="AI98" s="14">
        <f>"After-work football for "&amp;F98&amp;" · "&amp;Z98&amp;", "&amp;AA98&amp;" min from your office"</f>
        <v/>
      </c>
      <c r="AJ98" s="14">
        <f>"Hi "&amp;IF(R98&lt;&gt;"",R98,F98&amp;" team")&amp;","&amp;CHAR(10)&amp;CHAR(10)&amp;"I'm "&amp;IF(AM98&lt;&gt;"",AM98,IF(Offer!$C$5&lt;&gt;"",Offer!$C$5,"[NAME]"))&amp;" from FC Urban. We organise after-work football for teams in the City and Canary Wharf."&amp;CHAR(10)&amp;CHAR(10)&amp;"We have a "&amp;AE98&amp;" pitch at "&amp;Z98&amp;", "&amp;IF(OR(AA98=8,AA98=11,AA98=18),"an ","a ")&amp;AA98&amp;"-minute walk from your "&amp;P98&amp;" office, "&amp;IF(ISNUMBER(AD98),"on "&amp;TEXT(AD98,"dddd d mmmm")&amp;" at "&amp;TEXT(AD98,"hh:mm"),"on a weekday evening that suits your team")&amp;". It's "&amp;IF(AF98&lt;&gt;"","£"&amp;IF(AF98=INT(AF98),TEXT(AF98,"0"),TEXT(AF98,"0.00")),"[PRICE PER PLAYER]")&amp;" a player and we handle the pitch booking, sign-ups and payments, so all it takes is one person sharing a link with the team."&amp;CHAR(10)&amp;CHAR(10)&amp;"It works well as a team social or "&amp;IF(ISNUMBER(SEARCH(LEFT(F98,1),"AEIOU")),"an ","a ")&amp;F98&amp;"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LINK]")&amp;CHAR(10)&amp;CHAR(10)&amp;"Best,"&amp;CHAR(10)&amp;IF(AM98&lt;&gt;"",AM98,IF(Offer!$C$5&lt;&gt;"",Offer!$C$5,"[NAME]"))&amp;CHAR(10)&amp;"FC Urban"</f>
        <v/>
      </c>
      <c r="AK98" s="14">
        <f>"Hi "&amp;IF(R98&lt;&gt;"",R98,F98&amp;" team")&amp;","&amp;CHAR(10)&amp;CHAR(10)&amp;"Just bumping this up. The "&amp;AE98&amp;" pitch at "&amp;Z98&amp;" is still free "&amp;IF(ISNUMBER(AD98),TEXT(AD98,"ddd d mmm")&amp;", "&amp;TEXT(AD98,"hh:mm"),"weekday evenings")&amp;", "&amp;IF(OR(AA98=8,AA98=11,AA98=18),"an ","a ")&amp;AA98&amp;"-minute walk from your office, "&amp;IF(AF98&lt;&gt;"","£"&amp;IF(AF98=INT(AF98),TEXT(AF98,"0"),TEXT(AF98,"0.00")),"[PRICE PER PLAYER]")&amp;" a player. Happy to hold it for "&amp;F98&amp;"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LINK]")&amp;CHAR(10)&amp;CHAR(10)&amp;"Best,"&amp;CHAR(10)&amp;IF(AM98&lt;&gt;"",AM98,IF(Offer!$C$5&lt;&gt;"",Offer!$C$5,"[NAME]"))&amp;CHAR(10)&amp;"FC Urban"</f>
        <v/>
      </c>
      <c r="AL98" s="14">
        <f>IF(AH98="","No email yet",IF(ISNUMBER(SEARCH("[",AJ98)),"Fill placeholders",IF(ISNUMBER(AD98),"Ready to send","Ready · no fixed slot")))</f>
        <v/>
      </c>
      <c r="AO98" s="17" t="n"/>
      <c r="AP98" s="17" t="n"/>
    </row>
    <row r="99">
      <c r="A99" s="11" t="n">
        <v>97</v>
      </c>
      <c r="B99" s="11" t="n">
        <v>2</v>
      </c>
      <c r="C99" s="11" t="inlineStr">
        <is>
          <t>Bank</t>
        </is>
      </c>
      <c r="D99" s="11" t="inlineStr">
        <is>
          <t>City of London</t>
        </is>
      </c>
      <c r="E99" s="11" t="inlineStr">
        <is>
          <t>Nomura Bank International PLC.</t>
        </is>
      </c>
      <c r="F99" s="11" t="inlineStr">
        <is>
          <t>Nomura</t>
        </is>
      </c>
      <c r="G99" s="12" t="inlineStr">
        <is>
          <t>https://www.nomura.com</t>
        </is>
      </c>
      <c r="H99" s="11" t="inlineStr">
        <is>
          <t>pressoffice@nomura.com</t>
        </is>
      </c>
      <c r="I99" s="11" t="inlineStr">
        <is>
          <t>role (press / marketing)</t>
        </is>
      </c>
      <c r="J99" s="12" t="inlineStr">
        <is>
          <t>Open page</t>
        </is>
      </c>
      <c r="K99" s="11" t="inlineStr">
        <is>
          <t>01981122</t>
        </is>
      </c>
      <c r="L99" s="12" t="inlineStr">
        <is>
          <t>Open</t>
        </is>
      </c>
      <c r="M99" s="11" t="inlineStr">
        <is>
          <t>Full</t>
        </is>
      </c>
      <c r="N99" s="13" t="n">
        <v>31434</v>
      </c>
      <c r="O99" s="11" t="inlineStr">
        <is>
          <t>1 Angel Lane, London</t>
        </is>
      </c>
      <c r="P99" s="11" t="inlineStr">
        <is>
          <t>EC4R 3AB</t>
        </is>
      </c>
      <c r="Q99" s="11" t="inlineStr">
        <is>
          <t>No</t>
        </is>
      </c>
      <c r="W99" s="11" t="inlineStr">
        <is>
          <t>City of London School (EC4V 3AL)</t>
        </is>
      </c>
      <c r="X99" s="11" t="n">
        <v>11</v>
      </c>
      <c r="Y99" s="11" t="inlineStr">
        <is>
          <t>Marlborough Sports Garden (SE1 1SD) (12.1); Borough Academy (18.7)</t>
        </is>
      </c>
      <c r="Z99" s="11" t="inlineStr">
        <is>
          <t>City of London School (EC4V 3AL)</t>
        </is>
      </c>
      <c r="AA99" s="11" t="n">
        <v>11</v>
      </c>
      <c r="AB99" s="14">
        <f>IFERROR(INDEX(Venues!$E$2:$E$17,MATCH(Z99,Venues!$A$2:$A$17,0)),"Not checked")</f>
        <v/>
      </c>
      <c r="AC99" s="14">
        <f>IFERROR(INDEX(Venues!$F$2:$F$17,MATCH(Z99,Venues!$A$2:$A$17,0)),0)</f>
        <v/>
      </c>
      <c r="AD99" s="15">
        <f>IFERROR(INDEX(Venues!$M$2:$M$17,MATCH(Z99,Venues!$A$2:$A$17,0)),"")</f>
        <v/>
      </c>
      <c r="AE99" s="14">
        <f>IFERROR(INDEX(Venues!$N$2:$N$17,MATCH(Z99,Venues!$A$2:$A$17,0)),"5-a-side")</f>
        <v/>
      </c>
      <c r="AF99" s="16">
        <f>IF(Offer!$C$4="","",Offer!$C$4)</f>
        <v/>
      </c>
      <c r="AG99" s="14">
        <f>Z99&amp;" ("&amp;AA99&amp;" min walk) · "&amp;IF(ISNUMBER(AD99),TEXT(AD99,"ddd d mmm, hh:mm"),"slot to confirm with venue")&amp;" · "&amp;AE99&amp;" · "&amp;IF(AF99&lt;&gt;"","£"&amp;TEXT(AF99,"0.00")&amp;" pp","price TBC")</f>
        <v/>
      </c>
      <c r="AH99" s="14">
        <f>IF(U99&lt;&gt;"",U99,IF(H99&lt;&gt;"",H99,""))</f>
        <v/>
      </c>
      <c r="AI99" s="14">
        <f>"After-work football for "&amp;F99&amp;" · "&amp;Z99&amp;", "&amp;AA99&amp;" min from your office"</f>
        <v/>
      </c>
      <c r="AJ99" s="14">
        <f>"Hi "&amp;IF(R99&lt;&gt;"",R99,F99&amp;" team")&amp;","&amp;CHAR(10)&amp;CHAR(10)&amp;"I'm "&amp;IF(AM99&lt;&gt;"",AM99,IF(Offer!$C$5&lt;&gt;"",Offer!$C$5,"[NAME]"))&amp;" from FC Urban. We organise after-work football for teams in the City and Canary Wharf."&amp;CHAR(10)&amp;CHAR(10)&amp;"We have a "&amp;AE99&amp;" pitch at "&amp;Z99&amp;", "&amp;IF(OR(AA99=8,AA99=11,AA99=18),"an ","a ")&amp;AA99&amp;"-minute walk from your "&amp;P99&amp;" office, "&amp;IF(ISNUMBER(AD99),"on "&amp;TEXT(AD99,"dddd d mmmm")&amp;" at "&amp;TEXT(AD99,"hh:mm"),"on a weekday evening that suits your team")&amp;". It's "&amp;IF(AF99&lt;&gt;"","£"&amp;IF(AF99=INT(AF99),TEXT(AF99,"0"),TEXT(AF99,"0.00")),"[PRICE PER PLAYER]")&amp;" a player and we handle the pitch booking, sign-ups and payments, so all it takes is one person sharing a link with the team."&amp;CHAR(10)&amp;CHAR(10)&amp;"It works well as a team social or "&amp;IF(ISNUMBER(SEARCH(LEFT(F99,1),"AEIOU")),"an ","a ")&amp;F99&amp;"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LINK]")&amp;CHAR(10)&amp;CHAR(10)&amp;"Best,"&amp;CHAR(10)&amp;IF(AM99&lt;&gt;"",AM99,IF(Offer!$C$5&lt;&gt;"",Offer!$C$5,"[NAME]"))&amp;CHAR(10)&amp;"FC Urban"</f>
        <v/>
      </c>
      <c r="AK99" s="14">
        <f>"Hi "&amp;IF(R99&lt;&gt;"",R99,F99&amp;" team")&amp;","&amp;CHAR(10)&amp;CHAR(10)&amp;"Just bumping this up. The "&amp;AE99&amp;" pitch at "&amp;Z99&amp;" is still free "&amp;IF(ISNUMBER(AD99),TEXT(AD99,"ddd d mmm")&amp;", "&amp;TEXT(AD99,"hh:mm"),"weekday evenings")&amp;", "&amp;IF(OR(AA99=8,AA99=11,AA99=18),"an ","a ")&amp;AA99&amp;"-minute walk from your office, "&amp;IF(AF99&lt;&gt;"","£"&amp;IF(AF99=INT(AF99),TEXT(AF99,"0"),TEXT(AF99,"0.00")),"[PRICE PER PLAYER]")&amp;" a player. Happy to hold it for "&amp;F99&amp;"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LINK]")&amp;CHAR(10)&amp;CHAR(10)&amp;"Best,"&amp;CHAR(10)&amp;IF(AM99&lt;&gt;"",AM99,IF(Offer!$C$5&lt;&gt;"",Offer!$C$5,"[NAME]"))&amp;CHAR(10)&amp;"FC Urban"</f>
        <v/>
      </c>
      <c r="AL99" s="14">
        <f>IF(AH99="","No email yet",IF(ISNUMBER(SEARCH("[",AJ99)),"Fill placeholders",IF(ISNUMBER(AD99),"Ready to send","Ready · no fixed slot")))</f>
        <v/>
      </c>
      <c r="AO99" s="17" t="n"/>
      <c r="AP99" s="17" t="n"/>
    </row>
    <row r="100">
      <c r="A100" s="11" t="n">
        <v>98</v>
      </c>
      <c r="B100" s="11" t="n">
        <v>2</v>
      </c>
      <c r="C100" s="11" t="inlineStr">
        <is>
          <t>Bank</t>
        </is>
      </c>
      <c r="D100" s="11" t="inlineStr">
        <is>
          <t>City of London</t>
        </is>
      </c>
      <c r="E100" s="11" t="inlineStr">
        <is>
          <t>UBS International IB Limited</t>
        </is>
      </c>
      <c r="F100" s="11" t="inlineStr">
        <is>
          <t>UBS</t>
        </is>
      </c>
      <c r="G100" s="12" t="inlineStr">
        <is>
          <t>https://www.ubs.com</t>
        </is>
      </c>
      <c r="H100" s="11" t="inlineStr">
        <is>
          <t>lee.osullivan@ubs.com</t>
        </is>
      </c>
      <c r="I100" s="11" t="inlineStr">
        <is>
          <t>named person</t>
        </is>
      </c>
      <c r="J100" s="12" t="inlineStr">
        <is>
          <t>Open page</t>
        </is>
      </c>
      <c r="K100" s="11" t="inlineStr">
        <is>
          <t>01767389</t>
        </is>
      </c>
      <c r="L100" s="12" t="inlineStr">
        <is>
          <t>Open</t>
        </is>
      </c>
      <c r="M100" s="11" t="inlineStr">
        <is>
          <t>Full</t>
        </is>
      </c>
      <c r="N100" s="13" t="n">
        <v>30624</v>
      </c>
      <c r="O100" s="11" t="inlineStr">
        <is>
          <t>5 Broadgate, London</t>
        </is>
      </c>
      <c r="P100" s="11" t="inlineStr">
        <is>
          <t>EC2M 2QS</t>
        </is>
      </c>
      <c r="Q100" s="11" t="inlineStr">
        <is>
          <t>No</t>
        </is>
      </c>
      <c r="W100" s="11" t="inlineStr">
        <is>
          <t>Liverpool St - Attlee Centre</t>
        </is>
      </c>
      <c r="X100" s="11" t="n">
        <v>12</v>
      </c>
      <c r="Y100" s="11" t="inlineStr">
        <is>
          <t>Shoreditch Powerleague (11.6); Finsbury Leisure Centre (EC1V 3PU) (18.8)</t>
        </is>
      </c>
      <c r="Z100" s="11" t="inlineStr">
        <is>
          <t>Shoreditch Powerleague</t>
        </is>
      </c>
      <c r="AA100" s="11" t="n">
        <v>12</v>
      </c>
      <c r="AB100" s="14">
        <f>IFERROR(INDEX(Venues!$E$2:$E$17,MATCH(Z100,Venues!$A$2:$A$17,0)),"Not checked")</f>
        <v/>
      </c>
      <c r="AC100" s="14">
        <f>IFERROR(INDEX(Venues!$F$2:$F$17,MATCH(Z100,Venues!$A$2:$A$17,0)),0)</f>
        <v/>
      </c>
      <c r="AD100" s="15">
        <f>IFERROR(INDEX(Venues!$M$2:$M$17,MATCH(Z100,Venues!$A$2:$A$17,0)),"")</f>
        <v/>
      </c>
      <c r="AE100" s="14">
        <f>IFERROR(INDEX(Venues!$N$2:$N$17,MATCH(Z100,Venues!$A$2:$A$17,0)),"5-a-side")</f>
        <v/>
      </c>
      <c r="AF100" s="16">
        <f>IF(Offer!$C$4="","",Offer!$C$4)</f>
        <v/>
      </c>
      <c r="AG100" s="14">
        <f>Z100&amp;" ("&amp;AA100&amp;" min walk) · "&amp;IF(ISNUMBER(AD100),TEXT(AD100,"ddd d mmm, hh:mm"),"slot to confirm with venue")&amp;" · "&amp;AE100&amp;" · "&amp;IF(AF100&lt;&gt;"","£"&amp;TEXT(AF100,"0.00")&amp;" pp","price TBC")</f>
        <v/>
      </c>
      <c r="AH100" s="14">
        <f>IF(U100&lt;&gt;"",U100,IF(H100&lt;&gt;"",H100,""))</f>
        <v/>
      </c>
      <c r="AI100" s="14">
        <f>"After-work football for "&amp;F100&amp;" · "&amp;Z100&amp;", "&amp;AA100&amp;" min from your office"</f>
        <v/>
      </c>
      <c r="AJ100" s="14">
        <f>"Hi "&amp;IF(R100&lt;&gt;"",R100,F100&amp;" team")&amp;","&amp;CHAR(10)&amp;CHAR(10)&amp;"I'm "&amp;IF(AM100&lt;&gt;"",AM100,IF(Offer!$C$5&lt;&gt;"",Offer!$C$5,"[NAME]"))&amp;" from FC Urban. We organise after-work football for teams in the City and Canary Wharf."&amp;CHAR(10)&amp;CHAR(10)&amp;"We have a "&amp;AE100&amp;" pitch at "&amp;Z100&amp;", "&amp;IF(OR(AA100=8,AA100=11,AA100=18),"an ","a ")&amp;AA100&amp;"-minute walk from your "&amp;P100&amp;" office, "&amp;IF(ISNUMBER(AD100),"on "&amp;TEXT(AD100,"dddd d mmmm")&amp;" at "&amp;TEXT(AD100,"hh:mm"),"on a weekday evening that suits your team")&amp;". It's "&amp;IF(AF100&lt;&gt;"","£"&amp;IF(AF100=INT(AF100),TEXT(AF100,"0"),TEXT(AF100,"0.00")),"[PRICE PER PLAYER]")&amp;" a player and we handle the pitch booking, sign-ups and payments, so all it takes is one person sharing a link with the team."&amp;CHAR(10)&amp;CHAR(10)&amp;"It works well as a team social or "&amp;IF(ISNUMBER(SEARCH(LEFT(F100,1),"AEIOU")),"an ","a ")&amp;F100&amp;"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LINK]")&amp;CHAR(10)&amp;CHAR(10)&amp;"Best,"&amp;CHAR(10)&amp;IF(AM100&lt;&gt;"",AM100,IF(Offer!$C$5&lt;&gt;"",Offer!$C$5,"[NAME]"))&amp;CHAR(10)&amp;"FC Urban"</f>
        <v/>
      </c>
      <c r="AK100" s="14">
        <f>"Hi "&amp;IF(R100&lt;&gt;"",R100,F100&amp;" team")&amp;","&amp;CHAR(10)&amp;CHAR(10)&amp;"Just bumping this up. The "&amp;AE100&amp;" pitch at "&amp;Z100&amp;" is still free "&amp;IF(ISNUMBER(AD100),TEXT(AD100,"ddd d mmm")&amp;", "&amp;TEXT(AD100,"hh:mm"),"weekday evenings")&amp;", "&amp;IF(OR(AA100=8,AA100=11,AA100=18),"an ","a ")&amp;AA100&amp;"-minute walk from your office, "&amp;IF(AF100&lt;&gt;"","£"&amp;IF(AF100=INT(AF100),TEXT(AF100,"0"),TEXT(AF100,"0.00")),"[PRICE PER PLAYER]")&amp;" a player. Happy to hold it for "&amp;F100&amp;"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LINK]")&amp;CHAR(10)&amp;CHAR(10)&amp;"Best,"&amp;CHAR(10)&amp;IF(AM100&lt;&gt;"",AM100,IF(Offer!$C$5&lt;&gt;"",Offer!$C$5,"[NAME]"))&amp;CHAR(10)&amp;"FC Urban"</f>
        <v/>
      </c>
      <c r="AL100" s="14">
        <f>IF(AH100="","No email yet",IF(ISNUMBER(SEARCH("[",AJ100)),"Fill placeholders",IF(ISNUMBER(AD100),"Ready to send","Ready · no fixed slot")))</f>
        <v/>
      </c>
      <c r="AO100" s="17" t="n"/>
      <c r="AP100" s="17" t="n"/>
    </row>
    <row r="101">
      <c r="A101" s="11" t="n">
        <v>99</v>
      </c>
      <c r="B101" s="11" t="n">
        <v>2</v>
      </c>
      <c r="C101" s="11" t="inlineStr">
        <is>
          <t>Bank</t>
        </is>
      </c>
      <c r="D101" s="11" t="inlineStr">
        <is>
          <t>City of London</t>
        </is>
      </c>
      <c r="E101" s="11" t="inlineStr">
        <is>
          <t>British Arab Commercial Bank PLC</t>
        </is>
      </c>
      <c r="F101" s="11" t="inlineStr">
        <is>
          <t>British Arab Commercial Bank</t>
        </is>
      </c>
      <c r="G101" s="12" t="inlineStr">
        <is>
          <t>https://www.bacb.co.uk/</t>
        </is>
      </c>
      <c r="H101" s="11" t="inlineStr">
        <is>
          <t>gil.cohen@bacb.co.uk</t>
        </is>
      </c>
      <c r="I101" s="11" t="inlineStr">
        <is>
          <t>named person</t>
        </is>
      </c>
      <c r="J101" s="12" t="inlineStr">
        <is>
          <t>Open page</t>
        </is>
      </c>
      <c r="K101" s="11" t="inlineStr">
        <is>
          <t>01047302</t>
        </is>
      </c>
      <c r="L101" s="12" t="inlineStr">
        <is>
          <t>Open</t>
        </is>
      </c>
      <c r="M101" s="11" t="inlineStr">
        <is>
          <t>Full</t>
        </is>
      </c>
      <c r="N101" s="13" t="n">
        <v>26381</v>
      </c>
      <c r="O101" s="11" t="inlineStr">
        <is>
          <t>8-10 Mansion House Place, London</t>
        </is>
      </c>
      <c r="P101" s="11" t="inlineStr">
        <is>
          <t>EC4N 8BJ</t>
        </is>
      </c>
      <c r="Q101" s="11" t="inlineStr">
        <is>
          <t>Yes</t>
        </is>
      </c>
      <c r="W101" s="11" t="inlineStr">
        <is>
          <t>City of London School (EC4V 3AL)</t>
        </is>
      </c>
      <c r="X101" s="11" t="n">
        <v>12</v>
      </c>
      <c r="Y101" s="11" t="inlineStr">
        <is>
          <t>Marlborough Sports Garden (SE1 1SD) (17.2)</t>
        </is>
      </c>
      <c r="Z101" s="11" t="inlineStr">
        <is>
          <t>City of London School (EC4V 3AL)</t>
        </is>
      </c>
      <c r="AA101" s="11" t="n">
        <v>12</v>
      </c>
      <c r="AB101" s="14">
        <f>IFERROR(INDEX(Venues!$E$2:$E$17,MATCH(Z101,Venues!$A$2:$A$17,0)),"Not checked")</f>
        <v/>
      </c>
      <c r="AC101" s="14">
        <f>IFERROR(INDEX(Venues!$F$2:$F$17,MATCH(Z101,Venues!$A$2:$A$17,0)),0)</f>
        <v/>
      </c>
      <c r="AD101" s="15">
        <f>IFERROR(INDEX(Venues!$M$2:$M$17,MATCH(Z101,Venues!$A$2:$A$17,0)),"")</f>
        <v/>
      </c>
      <c r="AE101" s="14">
        <f>IFERROR(INDEX(Venues!$N$2:$N$17,MATCH(Z101,Venues!$A$2:$A$17,0)),"5-a-side")</f>
        <v/>
      </c>
      <c r="AF101" s="16">
        <f>IF(Offer!$C$4="","",Offer!$C$4)</f>
        <v/>
      </c>
      <c r="AG101" s="14">
        <f>Z101&amp;" ("&amp;AA101&amp;" min walk) · "&amp;IF(ISNUMBER(AD101),TEXT(AD101,"ddd d mmm, hh:mm"),"slot to confirm with venue")&amp;" · "&amp;AE101&amp;" · "&amp;IF(AF101&lt;&gt;"","£"&amp;TEXT(AF101,"0.00")&amp;" pp","price TBC")</f>
        <v/>
      </c>
      <c r="AH101" s="14">
        <f>IF(U101&lt;&gt;"",U101,IF(H101&lt;&gt;"",H101,""))</f>
        <v/>
      </c>
      <c r="AI101" s="14">
        <f>"After-work football for "&amp;F101&amp;" · "&amp;Z101&amp;", "&amp;AA101&amp;" min from your office"</f>
        <v/>
      </c>
      <c r="AJ101" s="14">
        <f>"Hi "&amp;IF(R101&lt;&gt;"",R101,F101&amp;" team")&amp;","&amp;CHAR(10)&amp;CHAR(10)&amp;"I'm "&amp;IF(AM101&lt;&gt;"",AM101,IF(Offer!$C$5&lt;&gt;"",Offer!$C$5,"[NAME]"))&amp;" from FC Urban. We organise after-work football for teams in the City and Canary Wharf."&amp;CHAR(10)&amp;CHAR(10)&amp;"We have a "&amp;AE101&amp;" pitch at "&amp;Z101&amp;", "&amp;IF(OR(AA101=8,AA101=11,AA101=18),"an ","a ")&amp;AA101&amp;"-minute walk from your "&amp;P101&amp;" office, "&amp;IF(ISNUMBER(AD101),"on "&amp;TEXT(AD101,"dddd d mmmm")&amp;" at "&amp;TEXT(AD101,"hh:mm"),"on a weekday evening that suits your team")&amp;". It's "&amp;IF(AF101&lt;&gt;"","£"&amp;IF(AF101=INT(AF101),TEXT(AF101,"0"),TEXT(AF101,"0.00")),"[PRICE PER PLAYER]")&amp;" a player and we handle the pitch booking, sign-ups and payments, so all it takes is one person sharing a link with the team."&amp;CHAR(10)&amp;CHAR(10)&amp;"It works well as a team social or "&amp;IF(ISNUMBER(SEARCH(LEFT(F101,1),"AEIOU")),"an ","a ")&amp;F101&amp;"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LINK]")&amp;CHAR(10)&amp;CHAR(10)&amp;"Best,"&amp;CHAR(10)&amp;IF(AM101&lt;&gt;"",AM101,IF(Offer!$C$5&lt;&gt;"",Offer!$C$5,"[NAME]"))&amp;CHAR(10)&amp;"FC Urban"</f>
        <v/>
      </c>
      <c r="AK101" s="14">
        <f>"Hi "&amp;IF(R101&lt;&gt;"",R101,F101&amp;" team")&amp;","&amp;CHAR(10)&amp;CHAR(10)&amp;"Just bumping this up. The "&amp;AE101&amp;" pitch at "&amp;Z101&amp;" is still free "&amp;IF(ISNUMBER(AD101),TEXT(AD101,"ddd d mmm")&amp;", "&amp;TEXT(AD101,"hh:mm"),"weekday evenings")&amp;", "&amp;IF(OR(AA101=8,AA101=11,AA101=18),"an ","a ")&amp;AA101&amp;"-minute walk from your office, "&amp;IF(AF101&lt;&gt;"","£"&amp;IF(AF101=INT(AF101),TEXT(AF101,"0"),TEXT(AF101,"0.00")),"[PRICE PER PLAYER]")&amp;" a player. Happy to hold it for "&amp;F101&amp;"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LINK]")&amp;CHAR(10)&amp;CHAR(10)&amp;"Best,"&amp;CHAR(10)&amp;IF(AM101&lt;&gt;"",AM101,IF(Offer!$C$5&lt;&gt;"",Offer!$C$5,"[NAME]"))&amp;CHAR(10)&amp;"FC Urban"</f>
        <v/>
      </c>
      <c r="AL101" s="14">
        <f>IF(AH101="","No email yet",IF(ISNUMBER(SEARCH("[",AJ101)),"Fill placeholders",IF(ISNUMBER(AD101),"Ready to send","Ready · no fixed slot")))</f>
        <v/>
      </c>
      <c r="AO101" s="17" t="n"/>
      <c r="AP101" s="17" t="n"/>
    </row>
    <row r="102">
      <c r="A102" s="11" t="n">
        <v>100</v>
      </c>
      <c r="B102" s="11" t="n">
        <v>2</v>
      </c>
      <c r="C102" s="11" t="inlineStr">
        <is>
          <t>Bank</t>
        </is>
      </c>
      <c r="D102" s="11" t="inlineStr">
        <is>
          <t>City of London</t>
        </is>
      </c>
      <c r="E102" s="11" t="inlineStr">
        <is>
          <t>Recognise Bank Limited</t>
        </is>
      </c>
      <c r="F102" s="11" t="inlineStr">
        <is>
          <t>Recognise Bank</t>
        </is>
      </c>
      <c r="G102" s="12" t="inlineStr">
        <is>
          <t>https://recognisebank.co.uk</t>
        </is>
      </c>
      <c r="H102" s="11" t="inlineStr">
        <is>
          <t>help@recognisebank.co.uk</t>
        </is>
      </c>
      <c r="I102" s="11" t="inlineStr">
        <is>
          <t>general</t>
        </is>
      </c>
      <c r="J102" s="12" t="inlineStr">
        <is>
          <t>Open page</t>
        </is>
      </c>
      <c r="K102" s="11" t="inlineStr">
        <is>
          <t>10603119</t>
        </is>
      </c>
      <c r="L102" s="12" t="inlineStr">
        <is>
          <t>Open</t>
        </is>
      </c>
      <c r="M102" s="11" t="inlineStr">
        <is>
          <t>Full</t>
        </is>
      </c>
      <c r="N102" s="13" t="n">
        <v>42772</v>
      </c>
      <c r="O102" s="11" t="inlineStr">
        <is>
          <t>Floor 4, Henry Thomas House, 5-11, Worship Street, London</t>
        </is>
      </c>
      <c r="P102" s="11" t="inlineStr">
        <is>
          <t>EC2A 2BH</t>
        </is>
      </c>
      <c r="Q102" s="11" t="inlineStr">
        <is>
          <t>Yes</t>
        </is>
      </c>
      <c r="W102" s="11" t="inlineStr">
        <is>
          <t>Shoreditch Powerleague</t>
        </is>
      </c>
      <c r="X102" s="11" t="n">
        <v>12</v>
      </c>
      <c r="Y102" s="11" t="inlineStr">
        <is>
          <t>Finsbury Leisure Centre (EC1V 3PU) (12.1); Liverpool St - Attlee Centre (17)</t>
        </is>
      </c>
      <c r="Z102" s="11" t="inlineStr">
        <is>
          <t>Shoreditch Powerleague</t>
        </is>
      </c>
      <c r="AA102" s="11" t="n">
        <v>12</v>
      </c>
      <c r="AB102" s="14">
        <f>IFERROR(INDEX(Venues!$E$2:$E$17,MATCH(Z102,Venues!$A$2:$A$17,0)),"Not checked")</f>
        <v/>
      </c>
      <c r="AC102" s="14">
        <f>IFERROR(INDEX(Venues!$F$2:$F$17,MATCH(Z102,Venues!$A$2:$A$17,0)),0)</f>
        <v/>
      </c>
      <c r="AD102" s="15">
        <f>IFERROR(INDEX(Venues!$M$2:$M$17,MATCH(Z102,Venues!$A$2:$A$17,0)),"")</f>
        <v/>
      </c>
      <c r="AE102" s="14">
        <f>IFERROR(INDEX(Venues!$N$2:$N$17,MATCH(Z102,Venues!$A$2:$A$17,0)),"5-a-side")</f>
        <v/>
      </c>
      <c r="AF102" s="16">
        <f>IF(Offer!$C$4="","",Offer!$C$4)</f>
        <v/>
      </c>
      <c r="AG102" s="14">
        <f>Z102&amp;" ("&amp;AA102&amp;" min walk) · "&amp;IF(ISNUMBER(AD102),TEXT(AD102,"ddd d mmm, hh:mm"),"slot to confirm with venue")&amp;" · "&amp;AE102&amp;" · "&amp;IF(AF102&lt;&gt;"","£"&amp;TEXT(AF102,"0.00")&amp;" pp","price TBC")</f>
        <v/>
      </c>
      <c r="AH102" s="14">
        <f>IF(U102&lt;&gt;"",U102,IF(H102&lt;&gt;"",H102,""))</f>
        <v/>
      </c>
      <c r="AI102" s="14">
        <f>"After-work football for "&amp;F102&amp;" · "&amp;Z102&amp;", "&amp;AA102&amp;" min from your office"</f>
        <v/>
      </c>
      <c r="AJ102" s="14">
        <f>"Hi "&amp;IF(R102&lt;&gt;"",R102,F102&amp;" team")&amp;","&amp;CHAR(10)&amp;CHAR(10)&amp;"I'm "&amp;IF(AM102&lt;&gt;"",AM102,IF(Offer!$C$5&lt;&gt;"",Offer!$C$5,"[NAME]"))&amp;" from FC Urban. We organise after-work football for teams in the City and Canary Wharf."&amp;CHAR(10)&amp;CHAR(10)&amp;"We have a "&amp;AE102&amp;" pitch at "&amp;Z102&amp;", "&amp;IF(OR(AA102=8,AA102=11,AA102=18),"an ","a ")&amp;AA102&amp;"-minute walk from your "&amp;P102&amp;" office, "&amp;IF(ISNUMBER(AD102),"on "&amp;TEXT(AD102,"dddd d mmmm")&amp;" at "&amp;TEXT(AD102,"hh:mm"),"on a weekday evening that suits your team")&amp;". It's "&amp;IF(AF102&lt;&gt;"","£"&amp;IF(AF102=INT(AF102),TEXT(AF102,"0"),TEXT(AF102,"0.00")),"[PRICE PER PLAYER]")&amp;" a player and we handle the pitch booking, sign-ups and payments, so all it takes is one person sharing a link with the team."&amp;CHAR(10)&amp;CHAR(10)&amp;"It works well as a team social or "&amp;IF(ISNUMBER(SEARCH(LEFT(F102,1),"AEIOU")),"an ","a ")&amp;F102&amp;"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LINK]")&amp;CHAR(10)&amp;CHAR(10)&amp;"Best,"&amp;CHAR(10)&amp;IF(AM102&lt;&gt;"",AM102,IF(Offer!$C$5&lt;&gt;"",Offer!$C$5,"[NAME]"))&amp;CHAR(10)&amp;"FC Urban"</f>
        <v/>
      </c>
      <c r="AK102" s="14">
        <f>"Hi "&amp;IF(R102&lt;&gt;"",R102,F102&amp;" team")&amp;","&amp;CHAR(10)&amp;CHAR(10)&amp;"Just bumping this up. The "&amp;AE102&amp;" pitch at "&amp;Z102&amp;" is still free "&amp;IF(ISNUMBER(AD102),TEXT(AD102,"ddd d mmm")&amp;", "&amp;TEXT(AD102,"hh:mm"),"weekday evenings")&amp;", "&amp;IF(OR(AA102=8,AA102=11,AA102=18),"an ","a ")&amp;AA102&amp;"-minute walk from your office, "&amp;IF(AF102&lt;&gt;"","£"&amp;IF(AF102=INT(AF102),TEXT(AF102,"0"),TEXT(AF102,"0.00")),"[PRICE PER PLAYER]")&amp;" a player. Happy to hold it for "&amp;F102&amp;"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LINK]")&amp;CHAR(10)&amp;CHAR(10)&amp;"Best,"&amp;CHAR(10)&amp;IF(AM102&lt;&gt;"",AM102,IF(Offer!$C$5&lt;&gt;"",Offer!$C$5,"[NAME]"))&amp;CHAR(10)&amp;"FC Urban"</f>
        <v/>
      </c>
      <c r="AL102" s="14">
        <f>IF(AH102="","No email yet",IF(ISNUMBER(SEARCH("[",AJ102)),"Fill placeholders",IF(ISNUMBER(AD102),"Ready to send","Ready · no fixed slot")))</f>
        <v/>
      </c>
      <c r="AO102" s="17" t="n"/>
      <c r="AP102" s="17" t="n"/>
    </row>
    <row r="103">
      <c r="A103" s="11" t="n">
        <v>101</v>
      </c>
      <c r="B103" s="11" t="n">
        <v>2</v>
      </c>
      <c r="C103" s="11" t="inlineStr">
        <is>
          <t>Bank</t>
        </is>
      </c>
      <c r="D103" s="11" t="inlineStr">
        <is>
          <t>City of London</t>
        </is>
      </c>
      <c r="E103" s="11" t="inlineStr">
        <is>
          <t>Goldman Sachs International Bank</t>
        </is>
      </c>
      <c r="F103" s="11" t="inlineStr">
        <is>
          <t>Goldman Sachs International Bank</t>
        </is>
      </c>
      <c r="G103" s="12" t="inlineStr">
        <is>
          <t>https://www.goldmansachs.com</t>
        </is>
      </c>
      <c r="H103" s="11" t="n"/>
      <c r="I103" s="11" t="inlineStr">
        <is>
          <t>Not found</t>
        </is>
      </c>
      <c r="J103" s="11" t="n"/>
      <c r="K103" s="11" t="inlineStr">
        <is>
          <t>01122503</t>
        </is>
      </c>
      <c r="L103" s="12" t="inlineStr">
        <is>
          <t>Open</t>
        </is>
      </c>
      <c r="M103" s="11" t="inlineStr">
        <is>
          <t>Full</t>
        </is>
      </c>
      <c r="N103" s="13" t="n">
        <v>26857</v>
      </c>
      <c r="O103" s="11" t="inlineStr">
        <is>
          <t>Plumtree Court, 25 Shoe Lane, London</t>
        </is>
      </c>
      <c r="P103" s="11" t="inlineStr">
        <is>
          <t>EC4A 4AU</t>
        </is>
      </c>
      <c r="Q103" s="11" t="inlineStr">
        <is>
          <t>Yes</t>
        </is>
      </c>
      <c r="W103" s="11" t="inlineStr">
        <is>
          <t>City of London School (EC4V 3AL)</t>
        </is>
      </c>
      <c r="X103" s="11" t="n">
        <v>12</v>
      </c>
      <c r="Y103" s="11" t="n"/>
      <c r="Z103" s="11" t="inlineStr">
        <is>
          <t>City of London School (EC4V 3AL)</t>
        </is>
      </c>
      <c r="AA103" s="11" t="n">
        <v>12</v>
      </c>
      <c r="AB103" s="14">
        <f>IFERROR(INDEX(Venues!$E$2:$E$17,MATCH(Z103,Venues!$A$2:$A$17,0)),"Not checked")</f>
        <v/>
      </c>
      <c r="AC103" s="14">
        <f>IFERROR(INDEX(Venues!$F$2:$F$17,MATCH(Z103,Venues!$A$2:$A$17,0)),0)</f>
        <v/>
      </c>
      <c r="AD103" s="15">
        <f>IFERROR(INDEX(Venues!$M$2:$M$17,MATCH(Z103,Venues!$A$2:$A$17,0)),"")</f>
        <v/>
      </c>
      <c r="AE103" s="14">
        <f>IFERROR(INDEX(Venues!$N$2:$N$17,MATCH(Z103,Venues!$A$2:$A$17,0)),"5-a-side")</f>
        <v/>
      </c>
      <c r="AF103" s="16">
        <f>IF(Offer!$C$4="","",Offer!$C$4)</f>
        <v/>
      </c>
      <c r="AG103" s="14">
        <f>Z103&amp;" ("&amp;AA103&amp;" min walk) · "&amp;IF(ISNUMBER(AD103),TEXT(AD103,"ddd d mmm, hh:mm"),"slot to confirm with venue")&amp;" · "&amp;AE103&amp;" · "&amp;IF(AF103&lt;&gt;"","£"&amp;TEXT(AF103,"0.00")&amp;" pp","price TBC")</f>
        <v/>
      </c>
      <c r="AH103" s="14">
        <f>IF(U103&lt;&gt;"",U103,IF(H103&lt;&gt;"",H103,""))</f>
        <v/>
      </c>
      <c r="AI103" s="14">
        <f>"After-work football for "&amp;F103&amp;" · "&amp;Z103&amp;", "&amp;AA103&amp;" min from your office"</f>
        <v/>
      </c>
      <c r="AJ103" s="14">
        <f>"Hi "&amp;IF(R103&lt;&gt;"",R103,F103&amp;" team")&amp;","&amp;CHAR(10)&amp;CHAR(10)&amp;"I'm "&amp;IF(AM103&lt;&gt;"",AM103,IF(Offer!$C$5&lt;&gt;"",Offer!$C$5,"[NAME]"))&amp;" from FC Urban. We organise after-work football for teams in the City and Canary Wharf."&amp;CHAR(10)&amp;CHAR(10)&amp;"We have a "&amp;AE103&amp;" pitch at "&amp;Z103&amp;", "&amp;IF(OR(AA103=8,AA103=11,AA103=18),"an ","a ")&amp;AA103&amp;"-minute walk from your "&amp;P103&amp;" office, "&amp;IF(ISNUMBER(AD103),"on "&amp;TEXT(AD103,"dddd d mmmm")&amp;" at "&amp;TEXT(AD103,"hh:mm"),"on a weekday evening that suits your team")&amp;". It's "&amp;IF(AF103&lt;&gt;"","£"&amp;IF(AF103=INT(AF103),TEXT(AF103,"0"),TEXT(AF103,"0.00")),"[PRICE PER PLAYER]")&amp;" a player and we handle the pitch booking, sign-ups and payments, so all it takes is one person sharing a link with the team."&amp;CHAR(10)&amp;CHAR(10)&amp;"It works well as a team social or "&amp;IF(ISNUMBER(SEARCH(LEFT(F103,1),"AEIOU")),"an ","a ")&amp;F103&amp;"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LINK]")&amp;CHAR(10)&amp;CHAR(10)&amp;"Best,"&amp;CHAR(10)&amp;IF(AM103&lt;&gt;"",AM103,IF(Offer!$C$5&lt;&gt;"",Offer!$C$5,"[NAME]"))&amp;CHAR(10)&amp;"FC Urban"</f>
        <v/>
      </c>
      <c r="AK103" s="14">
        <f>"Hi "&amp;IF(R103&lt;&gt;"",R103,F103&amp;" team")&amp;","&amp;CHAR(10)&amp;CHAR(10)&amp;"Just bumping this up. The "&amp;AE103&amp;" pitch at "&amp;Z103&amp;" is still free "&amp;IF(ISNUMBER(AD103),TEXT(AD103,"ddd d mmm")&amp;", "&amp;TEXT(AD103,"hh:mm"),"weekday evenings")&amp;", "&amp;IF(OR(AA103=8,AA103=11,AA103=18),"an ","a ")&amp;AA103&amp;"-minute walk from your office, "&amp;IF(AF103&lt;&gt;"","£"&amp;IF(AF103=INT(AF103),TEXT(AF103,"0"),TEXT(AF103,"0.00")),"[PRICE PER PLAYER]")&amp;" a player. Happy to hold it for "&amp;F103&amp;"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LINK]")&amp;CHAR(10)&amp;CHAR(10)&amp;"Best,"&amp;CHAR(10)&amp;IF(AM103&lt;&gt;"",AM103,IF(Offer!$C$5&lt;&gt;"",Offer!$C$5,"[NAME]"))&amp;CHAR(10)&amp;"FC Urban"</f>
        <v/>
      </c>
      <c r="AL103" s="14">
        <f>IF(AH103="","No email yet",IF(ISNUMBER(SEARCH("[",AJ103)),"Fill placeholders",IF(ISNUMBER(AD103),"Ready to send","Ready · no fixed slot")))</f>
        <v/>
      </c>
      <c r="AO103" s="17" t="n"/>
      <c r="AP103" s="17" t="n"/>
    </row>
    <row r="104">
      <c r="A104" s="11" t="n">
        <v>102</v>
      </c>
      <c r="B104" s="11" t="n">
        <v>2</v>
      </c>
      <c r="C104" s="11" t="inlineStr">
        <is>
          <t>Bank</t>
        </is>
      </c>
      <c r="D104" s="11" t="inlineStr">
        <is>
          <t>City of London</t>
        </is>
      </c>
      <c r="E104" s="11" t="inlineStr">
        <is>
          <t>Birmingham Bank Limited</t>
        </is>
      </c>
      <c r="F104" s="11" t="inlineStr">
        <is>
          <t>Birmingham Bank</t>
        </is>
      </c>
      <c r="G104" s="12" t="inlineStr">
        <is>
          <t>https://www.birminghambank.com</t>
        </is>
      </c>
      <c r="H104" s="11" t="inlineStr">
        <is>
          <t>info@birminghambank.com</t>
        </is>
      </c>
      <c r="I104" s="11" t="inlineStr">
        <is>
          <t>general</t>
        </is>
      </c>
      <c r="J104" s="12" t="inlineStr">
        <is>
          <t>Open page</t>
        </is>
      </c>
      <c r="K104" s="11" t="inlineStr">
        <is>
          <t>00555071</t>
        </is>
      </c>
      <c r="L104" s="12" t="inlineStr">
        <is>
          <t>Open</t>
        </is>
      </c>
      <c r="M104" s="11" t="inlineStr">
        <is>
          <t>Full</t>
        </is>
      </c>
      <c r="N104" s="13" t="n">
        <v>20356</v>
      </c>
      <c r="O104" s="11" t="inlineStr">
        <is>
          <t>Riverbank House, 2 Swan Lane, London</t>
        </is>
      </c>
      <c r="P104" s="11" t="inlineStr">
        <is>
          <t>EC4R 3TT</t>
        </is>
      </c>
      <c r="Q104" s="11" t="inlineStr">
        <is>
          <t>No</t>
        </is>
      </c>
      <c r="W104" s="11" t="inlineStr">
        <is>
          <t>City of London School (EC4V 3AL)</t>
        </is>
      </c>
      <c r="X104" s="11" t="n">
        <v>12</v>
      </c>
      <c r="Y104" s="11" t="inlineStr">
        <is>
          <t>Marlborough Sports Garden (SE1 1SD) (12.4)</t>
        </is>
      </c>
      <c r="Z104" s="11" t="inlineStr">
        <is>
          <t>City of London School (EC4V 3AL)</t>
        </is>
      </c>
      <c r="AA104" s="11" t="n">
        <v>12</v>
      </c>
      <c r="AB104" s="14">
        <f>IFERROR(INDEX(Venues!$E$2:$E$17,MATCH(Z104,Venues!$A$2:$A$17,0)),"Not checked")</f>
        <v/>
      </c>
      <c r="AC104" s="14">
        <f>IFERROR(INDEX(Venues!$F$2:$F$17,MATCH(Z104,Venues!$A$2:$A$17,0)),0)</f>
        <v/>
      </c>
      <c r="AD104" s="15">
        <f>IFERROR(INDEX(Venues!$M$2:$M$17,MATCH(Z104,Venues!$A$2:$A$17,0)),"")</f>
        <v/>
      </c>
      <c r="AE104" s="14">
        <f>IFERROR(INDEX(Venues!$N$2:$N$17,MATCH(Z104,Venues!$A$2:$A$17,0)),"5-a-side")</f>
        <v/>
      </c>
      <c r="AF104" s="16">
        <f>IF(Offer!$C$4="","",Offer!$C$4)</f>
        <v/>
      </c>
      <c r="AG104" s="14">
        <f>Z104&amp;" ("&amp;AA104&amp;" min walk) · "&amp;IF(ISNUMBER(AD104),TEXT(AD104,"ddd d mmm, hh:mm"),"slot to confirm with venue")&amp;" · "&amp;AE104&amp;" · "&amp;IF(AF104&lt;&gt;"","£"&amp;TEXT(AF104,"0.00")&amp;" pp","price TBC")</f>
        <v/>
      </c>
      <c r="AH104" s="14">
        <f>IF(U104&lt;&gt;"",U104,IF(H104&lt;&gt;"",H104,""))</f>
        <v/>
      </c>
      <c r="AI104" s="14">
        <f>"After-work football for "&amp;F104&amp;" · "&amp;Z104&amp;", "&amp;AA104&amp;" min from your office"</f>
        <v/>
      </c>
      <c r="AJ104" s="14">
        <f>"Hi "&amp;IF(R104&lt;&gt;"",R104,F104&amp;" team")&amp;","&amp;CHAR(10)&amp;CHAR(10)&amp;"I'm "&amp;IF(AM104&lt;&gt;"",AM104,IF(Offer!$C$5&lt;&gt;"",Offer!$C$5,"[NAME]"))&amp;" from FC Urban. We organise after-work football for teams in the City and Canary Wharf."&amp;CHAR(10)&amp;CHAR(10)&amp;"We have a "&amp;AE104&amp;" pitch at "&amp;Z104&amp;", "&amp;IF(OR(AA104=8,AA104=11,AA104=18),"an ","a ")&amp;AA104&amp;"-minute walk from your "&amp;P104&amp;" office, "&amp;IF(ISNUMBER(AD104),"on "&amp;TEXT(AD104,"dddd d mmmm")&amp;" at "&amp;TEXT(AD104,"hh:mm"),"on a weekday evening that suits your team")&amp;". It's "&amp;IF(AF104&lt;&gt;"","£"&amp;IF(AF104=INT(AF104),TEXT(AF104,"0"),TEXT(AF104,"0.00")),"[PRICE PER PLAYER]")&amp;" a player and we handle the pitch booking, sign-ups and payments, so all it takes is one person sharing a link with the team."&amp;CHAR(10)&amp;CHAR(10)&amp;"It works well as a team social or "&amp;IF(ISNUMBER(SEARCH(LEFT(F104,1),"AEIOU")),"an ","a ")&amp;F104&amp;"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LINK]")&amp;CHAR(10)&amp;CHAR(10)&amp;"Best,"&amp;CHAR(10)&amp;IF(AM104&lt;&gt;"",AM104,IF(Offer!$C$5&lt;&gt;"",Offer!$C$5,"[NAME]"))&amp;CHAR(10)&amp;"FC Urban"</f>
        <v/>
      </c>
      <c r="AK104" s="14">
        <f>"Hi "&amp;IF(R104&lt;&gt;"",R104,F104&amp;" team")&amp;","&amp;CHAR(10)&amp;CHAR(10)&amp;"Just bumping this up. The "&amp;AE104&amp;" pitch at "&amp;Z104&amp;" is still free "&amp;IF(ISNUMBER(AD104),TEXT(AD104,"ddd d mmm")&amp;", "&amp;TEXT(AD104,"hh:mm"),"weekday evenings")&amp;", "&amp;IF(OR(AA104=8,AA104=11,AA104=18),"an ","a ")&amp;AA104&amp;"-minute walk from your office, "&amp;IF(AF104&lt;&gt;"","£"&amp;IF(AF104=INT(AF104),TEXT(AF104,"0"),TEXT(AF104,"0.00")),"[PRICE PER PLAYER]")&amp;" a player. Happy to hold it for "&amp;F104&amp;"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LINK]")&amp;CHAR(10)&amp;CHAR(10)&amp;"Best,"&amp;CHAR(10)&amp;IF(AM104&lt;&gt;"",AM104,IF(Offer!$C$5&lt;&gt;"",Offer!$C$5,"[NAME]"))&amp;CHAR(10)&amp;"FC Urban"</f>
        <v/>
      </c>
      <c r="AL104" s="14">
        <f>IF(AH104="","No email yet",IF(ISNUMBER(SEARCH("[",AJ104)),"Fill placeholders",IF(ISNUMBER(AD104),"Ready to send","Ready · no fixed slot")))</f>
        <v/>
      </c>
      <c r="AO104" s="17" t="n"/>
      <c r="AP104" s="17" t="n"/>
    </row>
    <row r="105">
      <c r="A105" s="11" t="n">
        <v>103</v>
      </c>
      <c r="B105" s="11" t="n">
        <v>2</v>
      </c>
      <c r="C105" s="11" t="inlineStr">
        <is>
          <t>Bank</t>
        </is>
      </c>
      <c r="D105" s="11" t="inlineStr">
        <is>
          <t>City of London</t>
        </is>
      </c>
      <c r="E105" s="11" t="inlineStr">
        <is>
          <t>This Bank Limited</t>
        </is>
      </c>
      <c r="F105" s="11" t="inlineStr">
        <is>
          <t>This Bank</t>
        </is>
      </c>
      <c r="G105" s="12" t="inlineStr">
        <is>
          <t>https://thisbank.co.uk/</t>
        </is>
      </c>
      <c r="H105" s="11" t="inlineStr">
        <is>
          <t>customerservice@thisbank.co.uk</t>
        </is>
      </c>
      <c r="I105" s="11" t="inlineStr">
        <is>
          <t>general</t>
        </is>
      </c>
      <c r="J105" s="12" t="inlineStr">
        <is>
          <t>Open page</t>
        </is>
      </c>
      <c r="K105" s="11" t="inlineStr">
        <is>
          <t>11734380</t>
        </is>
      </c>
      <c r="L105" s="12" t="inlineStr">
        <is>
          <t>Open</t>
        </is>
      </c>
      <c r="M105" s="11" t="inlineStr">
        <is>
          <t>Full</t>
        </is>
      </c>
      <c r="N105" s="13" t="n">
        <v>43453</v>
      </c>
      <c r="O105" s="11" t="inlineStr">
        <is>
          <t>City Bridge House, 57 Southwark Street, London</t>
        </is>
      </c>
      <c r="P105" s="11" t="inlineStr">
        <is>
          <t>SE1 1RU</t>
        </is>
      </c>
      <c r="Q105" s="11" t="inlineStr">
        <is>
          <t>No</t>
        </is>
      </c>
      <c r="W105" s="11" t="inlineStr">
        <is>
          <t>Marlborough Sports Garden (SE1 1SD)</t>
        </is>
      </c>
      <c r="X105" s="11" t="n">
        <v>2</v>
      </c>
      <c r="Y105" s="11" t="inlineStr">
        <is>
          <t>Borough Academy (7.9); City of London School (EC4V 3AL) (12.8)</t>
        </is>
      </c>
      <c r="Z105" s="11" t="inlineStr">
        <is>
          <t>City of London School (EC4V 3AL)</t>
        </is>
      </c>
      <c r="AA105" s="11" t="n">
        <v>13</v>
      </c>
      <c r="AB105" s="14">
        <f>IFERROR(INDEX(Venues!$E$2:$E$17,MATCH(Z105,Venues!$A$2:$A$17,0)),"Not checked")</f>
        <v/>
      </c>
      <c r="AC105" s="14">
        <f>IFERROR(INDEX(Venues!$F$2:$F$17,MATCH(Z105,Venues!$A$2:$A$17,0)),0)</f>
        <v/>
      </c>
      <c r="AD105" s="15">
        <f>IFERROR(INDEX(Venues!$M$2:$M$17,MATCH(Z105,Venues!$A$2:$A$17,0)),"")</f>
        <v/>
      </c>
      <c r="AE105" s="14">
        <f>IFERROR(INDEX(Venues!$N$2:$N$17,MATCH(Z105,Venues!$A$2:$A$17,0)),"5-a-side")</f>
        <v/>
      </c>
      <c r="AF105" s="16">
        <f>IF(Offer!$C$4="","",Offer!$C$4)</f>
        <v/>
      </c>
      <c r="AG105" s="14">
        <f>Z105&amp;" ("&amp;AA105&amp;" min walk) · "&amp;IF(ISNUMBER(AD105),TEXT(AD105,"ddd d mmm, hh:mm"),"slot to confirm with venue")&amp;" · "&amp;AE105&amp;" · "&amp;IF(AF105&lt;&gt;"","£"&amp;TEXT(AF105,"0.00")&amp;" pp","price TBC")</f>
        <v/>
      </c>
      <c r="AH105" s="14">
        <f>IF(U105&lt;&gt;"",U105,IF(H105&lt;&gt;"",H105,""))</f>
        <v/>
      </c>
      <c r="AI105" s="14">
        <f>"After-work football for "&amp;F105&amp;" · "&amp;Z105&amp;", "&amp;AA105&amp;" min from your office"</f>
        <v/>
      </c>
      <c r="AJ105" s="14">
        <f>"Hi "&amp;IF(R105&lt;&gt;"",R105,F105&amp;" team")&amp;","&amp;CHAR(10)&amp;CHAR(10)&amp;"I'm "&amp;IF(AM105&lt;&gt;"",AM105,IF(Offer!$C$5&lt;&gt;"",Offer!$C$5,"[NAME]"))&amp;" from FC Urban. We organise after-work football for teams in the City and Canary Wharf."&amp;CHAR(10)&amp;CHAR(10)&amp;"We have a "&amp;AE105&amp;" pitch at "&amp;Z105&amp;", "&amp;IF(OR(AA105=8,AA105=11,AA105=18),"an ","a ")&amp;AA105&amp;"-minute walk from your "&amp;P105&amp;" office, "&amp;IF(ISNUMBER(AD105),"on "&amp;TEXT(AD105,"dddd d mmmm")&amp;" at "&amp;TEXT(AD105,"hh:mm"),"on a weekday evening that suits your team")&amp;". It's "&amp;IF(AF105&lt;&gt;"","£"&amp;IF(AF105=INT(AF105),TEXT(AF105,"0"),TEXT(AF105,"0.00")),"[PRICE PER PLAYER]")&amp;" a player and we handle the pitch booking, sign-ups and payments, so all it takes is one person sharing a link with the team."&amp;CHAR(10)&amp;CHAR(10)&amp;"It works well as a team social or "&amp;IF(ISNUMBER(SEARCH(LEFT(F105,1),"AEIOU")),"an ","a ")&amp;F105&amp;"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LINK]")&amp;CHAR(10)&amp;CHAR(10)&amp;"Best,"&amp;CHAR(10)&amp;IF(AM105&lt;&gt;"",AM105,IF(Offer!$C$5&lt;&gt;"",Offer!$C$5,"[NAME]"))&amp;CHAR(10)&amp;"FC Urban"</f>
        <v/>
      </c>
      <c r="AK105" s="14">
        <f>"Hi "&amp;IF(R105&lt;&gt;"",R105,F105&amp;" team")&amp;","&amp;CHAR(10)&amp;CHAR(10)&amp;"Just bumping this up. The "&amp;AE105&amp;" pitch at "&amp;Z105&amp;" is still free "&amp;IF(ISNUMBER(AD105),TEXT(AD105,"ddd d mmm")&amp;", "&amp;TEXT(AD105,"hh:mm"),"weekday evenings")&amp;", "&amp;IF(OR(AA105=8,AA105=11,AA105=18),"an ","a ")&amp;AA105&amp;"-minute walk from your office, "&amp;IF(AF105&lt;&gt;"","£"&amp;IF(AF105=INT(AF105),TEXT(AF105,"0"),TEXT(AF105,"0.00")),"[PRICE PER PLAYER]")&amp;" a player. Happy to hold it for "&amp;F105&amp;"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LINK]")&amp;CHAR(10)&amp;CHAR(10)&amp;"Best,"&amp;CHAR(10)&amp;IF(AM105&lt;&gt;"",AM105,IF(Offer!$C$5&lt;&gt;"",Offer!$C$5,"[NAME]"))&amp;CHAR(10)&amp;"FC Urban"</f>
        <v/>
      </c>
      <c r="AL105" s="14">
        <f>IF(AH105="","No email yet",IF(ISNUMBER(SEARCH("[",AJ105)),"Fill placeholders",IF(ISNUMBER(AD105),"Ready to send","Ready · no fixed slot")))</f>
        <v/>
      </c>
      <c r="AO105" s="17" t="n"/>
      <c r="AP105" s="17" t="n"/>
    </row>
    <row r="106">
      <c r="A106" s="11" t="n">
        <v>104</v>
      </c>
      <c r="B106" s="11" t="n">
        <v>2</v>
      </c>
      <c r="C106" s="11" t="inlineStr">
        <is>
          <t>Bank</t>
        </is>
      </c>
      <c r="D106" s="11" t="inlineStr">
        <is>
          <t>City of London</t>
        </is>
      </c>
      <c r="E106" s="11" t="inlineStr">
        <is>
          <t>Alpha Bank London Limited</t>
        </is>
      </c>
      <c r="F106" s="11" t="inlineStr">
        <is>
          <t>Alpha Bank London</t>
        </is>
      </c>
      <c r="G106" s="12" t="inlineStr">
        <is>
          <t>https://www.enersys.com</t>
        </is>
      </c>
      <c r="H106" s="11" t="inlineStr">
        <is>
          <t>compliance@enersys.com</t>
        </is>
      </c>
      <c r="I106" s="11" t="inlineStr">
        <is>
          <t>privacy / compliance</t>
        </is>
      </c>
      <c r="J106" s="12" t="inlineStr">
        <is>
          <t>Open page</t>
        </is>
      </c>
      <c r="K106" s="11" t="inlineStr">
        <is>
          <t>00185070</t>
        </is>
      </c>
      <c r="L106" s="12" t="inlineStr">
        <is>
          <t>Open</t>
        </is>
      </c>
      <c r="M106" s="11" t="inlineStr">
        <is>
          <t>Full</t>
        </is>
      </c>
      <c r="N106" s="13" t="n">
        <v>8326</v>
      </c>
      <c r="O106" s="11" t="inlineStr">
        <is>
          <t>Capital House, 85 King William Street, London</t>
        </is>
      </c>
      <c r="P106" s="11" t="inlineStr">
        <is>
          <t>EC4N 7BL</t>
        </is>
      </c>
      <c r="Q106" s="11" t="inlineStr">
        <is>
          <t>Yes</t>
        </is>
      </c>
      <c r="W106" s="11" t="inlineStr">
        <is>
          <t>City of London School (EC4V 3AL)</t>
        </is>
      </c>
      <c r="X106" s="11" t="n">
        <v>13</v>
      </c>
      <c r="Y106" s="11" t="inlineStr">
        <is>
          <t>Marlborough Sports Garden (SE1 1SD) (17.2)</t>
        </is>
      </c>
      <c r="Z106" s="11" t="inlineStr">
        <is>
          <t>City of London School (EC4V 3AL)</t>
        </is>
      </c>
      <c r="AA106" s="11" t="n">
        <v>13</v>
      </c>
      <c r="AB106" s="14">
        <f>IFERROR(INDEX(Venues!$E$2:$E$17,MATCH(Z106,Venues!$A$2:$A$17,0)),"Not checked")</f>
        <v/>
      </c>
      <c r="AC106" s="14">
        <f>IFERROR(INDEX(Venues!$F$2:$F$17,MATCH(Z106,Venues!$A$2:$A$17,0)),0)</f>
        <v/>
      </c>
      <c r="AD106" s="15">
        <f>IFERROR(INDEX(Venues!$M$2:$M$17,MATCH(Z106,Venues!$A$2:$A$17,0)),"")</f>
        <v/>
      </c>
      <c r="AE106" s="14">
        <f>IFERROR(INDEX(Venues!$N$2:$N$17,MATCH(Z106,Venues!$A$2:$A$17,0)),"5-a-side")</f>
        <v/>
      </c>
      <c r="AF106" s="16">
        <f>IF(Offer!$C$4="","",Offer!$C$4)</f>
        <v/>
      </c>
      <c r="AG106" s="14">
        <f>Z106&amp;" ("&amp;AA106&amp;" min walk) · "&amp;IF(ISNUMBER(AD106),TEXT(AD106,"ddd d mmm, hh:mm"),"slot to confirm with venue")&amp;" · "&amp;AE106&amp;" · "&amp;IF(AF106&lt;&gt;"","£"&amp;TEXT(AF106,"0.00")&amp;" pp","price TBC")</f>
        <v/>
      </c>
      <c r="AH106" s="14">
        <f>IF(U106&lt;&gt;"",U106,IF(H106&lt;&gt;"",H106,""))</f>
        <v/>
      </c>
      <c r="AI106" s="14">
        <f>"After-work football for "&amp;F106&amp;" · "&amp;Z106&amp;", "&amp;AA106&amp;" min from your office"</f>
        <v/>
      </c>
      <c r="AJ106" s="14">
        <f>"Hi "&amp;IF(R106&lt;&gt;"",R106,F106&amp;" team")&amp;","&amp;CHAR(10)&amp;CHAR(10)&amp;"I'm "&amp;IF(AM106&lt;&gt;"",AM106,IF(Offer!$C$5&lt;&gt;"",Offer!$C$5,"[NAME]"))&amp;" from FC Urban. We organise after-work football for teams in the City and Canary Wharf."&amp;CHAR(10)&amp;CHAR(10)&amp;"We have a "&amp;AE106&amp;" pitch at "&amp;Z106&amp;", "&amp;IF(OR(AA106=8,AA106=11,AA106=18),"an ","a ")&amp;AA106&amp;"-minute walk from your "&amp;P106&amp;" office, "&amp;IF(ISNUMBER(AD106),"on "&amp;TEXT(AD106,"dddd d mmmm")&amp;" at "&amp;TEXT(AD106,"hh:mm"),"on a weekday evening that suits your team")&amp;". It's "&amp;IF(AF106&lt;&gt;"","£"&amp;IF(AF106=INT(AF106),TEXT(AF106,"0"),TEXT(AF106,"0.00")),"[PRICE PER PLAYER]")&amp;" a player and we handle the pitch booking, sign-ups and payments, so all it takes is one person sharing a link with the team."&amp;CHAR(10)&amp;CHAR(10)&amp;"It works well as a team social or "&amp;IF(ISNUMBER(SEARCH(LEFT(F106,1),"AEIOU")),"an ","a ")&amp;F106&amp;"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LINK]")&amp;CHAR(10)&amp;CHAR(10)&amp;"Best,"&amp;CHAR(10)&amp;IF(AM106&lt;&gt;"",AM106,IF(Offer!$C$5&lt;&gt;"",Offer!$C$5,"[NAME]"))&amp;CHAR(10)&amp;"FC Urban"</f>
        <v/>
      </c>
      <c r="AK106" s="14">
        <f>"Hi "&amp;IF(R106&lt;&gt;"",R106,F106&amp;" team")&amp;","&amp;CHAR(10)&amp;CHAR(10)&amp;"Just bumping this up. The "&amp;AE106&amp;" pitch at "&amp;Z106&amp;" is still free "&amp;IF(ISNUMBER(AD106),TEXT(AD106,"ddd d mmm")&amp;", "&amp;TEXT(AD106,"hh:mm"),"weekday evenings")&amp;", "&amp;IF(OR(AA106=8,AA106=11,AA106=18),"an ","a ")&amp;AA106&amp;"-minute walk from your office, "&amp;IF(AF106&lt;&gt;"","£"&amp;IF(AF106=INT(AF106),TEXT(AF106,"0"),TEXT(AF106,"0.00")),"[PRICE PER PLAYER]")&amp;" a player. Happy to hold it for "&amp;F106&amp;"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LINK]")&amp;CHAR(10)&amp;CHAR(10)&amp;"Best,"&amp;CHAR(10)&amp;IF(AM106&lt;&gt;"",AM106,IF(Offer!$C$5&lt;&gt;"",Offer!$C$5,"[NAME]"))&amp;CHAR(10)&amp;"FC Urban"</f>
        <v/>
      </c>
      <c r="AL106" s="14">
        <f>IF(AH106="","No email yet",IF(ISNUMBER(SEARCH("[",AJ106)),"Fill placeholders",IF(ISNUMBER(AD106),"Ready to send","Ready · no fixed slot")))</f>
        <v/>
      </c>
      <c r="AO106" s="17" t="n"/>
      <c r="AP106" s="17" t="n"/>
    </row>
    <row r="107">
      <c r="A107" s="11" t="n">
        <v>105</v>
      </c>
      <c r="B107" s="11" t="n">
        <v>2</v>
      </c>
      <c r="C107" s="11" t="inlineStr">
        <is>
          <t>Bank</t>
        </is>
      </c>
      <c r="D107" s="11" t="inlineStr">
        <is>
          <t>City of London</t>
        </is>
      </c>
      <c r="E107" s="11" t="inlineStr">
        <is>
          <t>SMBC Bank International PLC</t>
        </is>
      </c>
      <c r="F107" s="11" t="inlineStr">
        <is>
          <t>SMBC</t>
        </is>
      </c>
      <c r="G107" s="12" t="inlineStr">
        <is>
          <t>https://www.smbcgroup.com</t>
        </is>
      </c>
      <c r="H107" s="11" t="inlineStr">
        <is>
          <t>kazutomo_yoshida@sa.smbcgroup.com</t>
        </is>
      </c>
      <c r="I107" s="11" t="inlineStr">
        <is>
          <t>named person</t>
        </is>
      </c>
      <c r="J107" s="12" t="inlineStr">
        <is>
          <t>Open page</t>
        </is>
      </c>
      <c r="K107" s="11" t="inlineStr">
        <is>
          <t>04684034</t>
        </is>
      </c>
      <c r="L107" s="12" t="inlineStr">
        <is>
          <t>Open</t>
        </is>
      </c>
      <c r="M107" s="11" t="inlineStr">
        <is>
          <t>Full</t>
        </is>
      </c>
      <c r="N107" s="13" t="n">
        <v>37683</v>
      </c>
      <c r="O107" s="11" t="inlineStr">
        <is>
          <t>100 Liverpool Street, London</t>
        </is>
      </c>
      <c r="P107" s="11" t="inlineStr">
        <is>
          <t>EC2M 2AT</t>
        </is>
      </c>
      <c r="Q107" s="11" t="inlineStr">
        <is>
          <t>No</t>
        </is>
      </c>
      <c r="W107" s="11" t="inlineStr">
        <is>
          <t>Liverpool St - Attlee Centre</t>
        </is>
      </c>
      <c r="X107" s="11" t="n">
        <v>12</v>
      </c>
      <c r="Y107" s="11" t="inlineStr">
        <is>
          <t>Shoreditch Powerleague (13.1)</t>
        </is>
      </c>
      <c r="Z107" s="11" t="inlineStr">
        <is>
          <t>Shoreditch Powerleague</t>
        </is>
      </c>
      <c r="AA107" s="11" t="n">
        <v>13</v>
      </c>
      <c r="AB107" s="14">
        <f>IFERROR(INDEX(Venues!$E$2:$E$17,MATCH(Z107,Venues!$A$2:$A$17,0)),"Not checked")</f>
        <v/>
      </c>
      <c r="AC107" s="14">
        <f>IFERROR(INDEX(Venues!$F$2:$F$17,MATCH(Z107,Venues!$A$2:$A$17,0)),0)</f>
        <v/>
      </c>
      <c r="AD107" s="15">
        <f>IFERROR(INDEX(Venues!$M$2:$M$17,MATCH(Z107,Venues!$A$2:$A$17,0)),"")</f>
        <v/>
      </c>
      <c r="AE107" s="14">
        <f>IFERROR(INDEX(Venues!$N$2:$N$17,MATCH(Z107,Venues!$A$2:$A$17,0)),"5-a-side")</f>
        <v/>
      </c>
      <c r="AF107" s="16">
        <f>IF(Offer!$C$4="","",Offer!$C$4)</f>
        <v/>
      </c>
      <c r="AG107" s="14">
        <f>Z107&amp;" ("&amp;AA107&amp;" min walk) · "&amp;IF(ISNUMBER(AD107),TEXT(AD107,"ddd d mmm, hh:mm"),"slot to confirm with venue")&amp;" · "&amp;AE107&amp;" · "&amp;IF(AF107&lt;&gt;"","£"&amp;TEXT(AF107,"0.00")&amp;" pp","price TBC")</f>
        <v/>
      </c>
      <c r="AH107" s="14">
        <f>IF(U107&lt;&gt;"",U107,IF(H107&lt;&gt;"",H107,""))</f>
        <v/>
      </c>
      <c r="AI107" s="14">
        <f>"After-work football for "&amp;F107&amp;" · "&amp;Z107&amp;", "&amp;AA107&amp;" min from your office"</f>
        <v/>
      </c>
      <c r="AJ107" s="14">
        <f>"Hi "&amp;IF(R107&lt;&gt;"",R107,F107&amp;" team")&amp;","&amp;CHAR(10)&amp;CHAR(10)&amp;"I'm "&amp;IF(AM107&lt;&gt;"",AM107,IF(Offer!$C$5&lt;&gt;"",Offer!$C$5,"[NAME]"))&amp;" from FC Urban. We organise after-work football for teams in the City and Canary Wharf."&amp;CHAR(10)&amp;CHAR(10)&amp;"We have a "&amp;AE107&amp;" pitch at "&amp;Z107&amp;", "&amp;IF(OR(AA107=8,AA107=11,AA107=18),"an ","a ")&amp;AA107&amp;"-minute walk from your "&amp;P107&amp;" office, "&amp;IF(ISNUMBER(AD107),"on "&amp;TEXT(AD107,"dddd d mmmm")&amp;" at "&amp;TEXT(AD107,"hh:mm"),"on a weekday evening that suits your team")&amp;". It's "&amp;IF(AF107&lt;&gt;"","£"&amp;IF(AF107=INT(AF107),TEXT(AF107,"0"),TEXT(AF107,"0.00")),"[PRICE PER PLAYER]")&amp;" a player and we handle the pitch booking, sign-ups and payments, so all it takes is one person sharing a link with the team."&amp;CHAR(10)&amp;CHAR(10)&amp;"It works well as a team social or "&amp;IF(ISNUMBER(SEARCH(LEFT(F107,1),"AEIOU")),"an ","a ")&amp;F107&amp;"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LINK]")&amp;CHAR(10)&amp;CHAR(10)&amp;"Best,"&amp;CHAR(10)&amp;IF(AM107&lt;&gt;"",AM107,IF(Offer!$C$5&lt;&gt;"",Offer!$C$5,"[NAME]"))&amp;CHAR(10)&amp;"FC Urban"</f>
        <v/>
      </c>
      <c r="AK107" s="14">
        <f>"Hi "&amp;IF(R107&lt;&gt;"",R107,F107&amp;" team")&amp;","&amp;CHAR(10)&amp;CHAR(10)&amp;"Just bumping this up. The "&amp;AE107&amp;" pitch at "&amp;Z107&amp;" is still free "&amp;IF(ISNUMBER(AD107),TEXT(AD107,"ddd d mmm")&amp;", "&amp;TEXT(AD107,"hh:mm"),"weekday evenings")&amp;", "&amp;IF(OR(AA107=8,AA107=11,AA107=18),"an ","a ")&amp;AA107&amp;"-minute walk from your office, "&amp;IF(AF107&lt;&gt;"","£"&amp;IF(AF107=INT(AF107),TEXT(AF107,"0"),TEXT(AF107,"0.00")),"[PRICE PER PLAYER]")&amp;" a player. Happy to hold it for "&amp;F107&amp;"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LINK]")&amp;CHAR(10)&amp;CHAR(10)&amp;"Best,"&amp;CHAR(10)&amp;IF(AM107&lt;&gt;"",AM107,IF(Offer!$C$5&lt;&gt;"",Offer!$C$5,"[NAME]"))&amp;CHAR(10)&amp;"FC Urban"</f>
        <v/>
      </c>
      <c r="AL107" s="14">
        <f>IF(AH107="","No email yet",IF(ISNUMBER(SEARCH("[",AJ107)),"Fill placeholders",IF(ISNUMBER(AD107),"Ready to send","Ready · no fixed slot")))</f>
        <v/>
      </c>
      <c r="AO107" s="17" t="n"/>
      <c r="AP107" s="17" t="n"/>
    </row>
    <row r="108">
      <c r="A108" s="11" t="n">
        <v>106</v>
      </c>
      <c r="B108" s="11" t="n">
        <v>2</v>
      </c>
      <c r="C108" s="11" t="inlineStr">
        <is>
          <t>Bank</t>
        </is>
      </c>
      <c r="D108" s="11" t="inlineStr">
        <is>
          <t>City of London</t>
        </is>
      </c>
      <c r="E108" s="11" t="inlineStr">
        <is>
          <t>Fidbank UK Limited</t>
        </is>
      </c>
      <c r="F108" s="11" t="inlineStr">
        <is>
          <t>Fidbank</t>
        </is>
      </c>
      <c r="G108" s="12" t="inlineStr">
        <is>
          <t>https://fidbank.co.uk</t>
        </is>
      </c>
      <c r="H108" s="11" t="inlineStr">
        <is>
          <t>info@fidbank.uk</t>
        </is>
      </c>
      <c r="I108" s="11" t="inlineStr">
        <is>
          <t>general</t>
        </is>
      </c>
      <c r="J108" s="12" t="inlineStr">
        <is>
          <t>Open page</t>
        </is>
      </c>
      <c r="K108" s="11" t="inlineStr">
        <is>
          <t>04661188</t>
        </is>
      </c>
      <c r="L108" s="12" t="inlineStr">
        <is>
          <t>Open</t>
        </is>
      </c>
      <c r="M108" s="11" t="inlineStr">
        <is>
          <t>Full</t>
        </is>
      </c>
      <c r="N108" s="13" t="n">
        <v>37662</v>
      </c>
      <c r="O108" s="11" t="inlineStr">
        <is>
          <t>1 Kings Arms Yard, London</t>
        </is>
      </c>
      <c r="P108" s="11" t="inlineStr">
        <is>
          <t>EC2R 7AF</t>
        </is>
      </c>
      <c r="Q108" s="11" t="inlineStr">
        <is>
          <t>Yes</t>
        </is>
      </c>
      <c r="W108" s="11" t="inlineStr">
        <is>
          <t>City of London School (EC4V 3AL)</t>
        </is>
      </c>
      <c r="X108" s="11" t="n">
        <v>14</v>
      </c>
      <c r="Y108" s="11" t="inlineStr">
        <is>
          <t>Liverpool St - Attlee Centre (18.6)</t>
        </is>
      </c>
      <c r="Z108" s="11" t="inlineStr">
        <is>
          <t>City of London School (EC4V 3AL)</t>
        </is>
      </c>
      <c r="AA108" s="11" t="n">
        <v>14</v>
      </c>
      <c r="AB108" s="14">
        <f>IFERROR(INDEX(Venues!$E$2:$E$17,MATCH(Z108,Venues!$A$2:$A$17,0)),"Not checked")</f>
        <v/>
      </c>
      <c r="AC108" s="14">
        <f>IFERROR(INDEX(Venues!$F$2:$F$17,MATCH(Z108,Venues!$A$2:$A$17,0)),0)</f>
        <v/>
      </c>
      <c r="AD108" s="15">
        <f>IFERROR(INDEX(Venues!$M$2:$M$17,MATCH(Z108,Venues!$A$2:$A$17,0)),"")</f>
        <v/>
      </c>
      <c r="AE108" s="14">
        <f>IFERROR(INDEX(Venues!$N$2:$N$17,MATCH(Z108,Venues!$A$2:$A$17,0)),"5-a-side")</f>
        <v/>
      </c>
      <c r="AF108" s="16">
        <f>IF(Offer!$C$4="","",Offer!$C$4)</f>
        <v/>
      </c>
      <c r="AG108" s="14">
        <f>Z108&amp;" ("&amp;AA108&amp;" min walk) · "&amp;IF(ISNUMBER(AD108),TEXT(AD108,"ddd d mmm, hh:mm"),"slot to confirm with venue")&amp;" · "&amp;AE108&amp;" · "&amp;IF(AF108&lt;&gt;"","£"&amp;TEXT(AF108,"0.00")&amp;" pp","price TBC")</f>
        <v/>
      </c>
      <c r="AH108" s="14">
        <f>IF(U108&lt;&gt;"",U108,IF(H108&lt;&gt;"",H108,""))</f>
        <v/>
      </c>
      <c r="AI108" s="14">
        <f>"After-work football for "&amp;F108&amp;" · "&amp;Z108&amp;", "&amp;AA108&amp;" min from your office"</f>
        <v/>
      </c>
      <c r="AJ108" s="14">
        <f>"Hi "&amp;IF(R108&lt;&gt;"",R108,F108&amp;" team")&amp;","&amp;CHAR(10)&amp;CHAR(10)&amp;"I'm "&amp;IF(AM108&lt;&gt;"",AM108,IF(Offer!$C$5&lt;&gt;"",Offer!$C$5,"[NAME]"))&amp;" from FC Urban. We organise after-work football for teams in the City and Canary Wharf."&amp;CHAR(10)&amp;CHAR(10)&amp;"We have a "&amp;AE108&amp;" pitch at "&amp;Z108&amp;", "&amp;IF(OR(AA108=8,AA108=11,AA108=18),"an ","a ")&amp;AA108&amp;"-minute walk from your "&amp;P108&amp;" office, "&amp;IF(ISNUMBER(AD108),"on "&amp;TEXT(AD108,"dddd d mmmm")&amp;" at "&amp;TEXT(AD108,"hh:mm"),"on a weekday evening that suits your team")&amp;". It's "&amp;IF(AF108&lt;&gt;"","£"&amp;IF(AF108=INT(AF108),TEXT(AF108,"0"),TEXT(AF108,"0.00")),"[PRICE PER PLAYER]")&amp;" a player and we handle the pitch booking, sign-ups and payments, so all it takes is one person sharing a link with the team."&amp;CHAR(10)&amp;CHAR(10)&amp;"It works well as a team social or "&amp;IF(ISNUMBER(SEARCH(LEFT(F108,1),"AEIOU")),"an ","a ")&amp;F108&amp;"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LINK]")&amp;CHAR(10)&amp;CHAR(10)&amp;"Best,"&amp;CHAR(10)&amp;IF(AM108&lt;&gt;"",AM108,IF(Offer!$C$5&lt;&gt;"",Offer!$C$5,"[NAME]"))&amp;CHAR(10)&amp;"FC Urban"</f>
        <v/>
      </c>
      <c r="AK108" s="14">
        <f>"Hi "&amp;IF(R108&lt;&gt;"",R108,F108&amp;" team")&amp;","&amp;CHAR(10)&amp;CHAR(10)&amp;"Just bumping this up. The "&amp;AE108&amp;" pitch at "&amp;Z108&amp;" is still free "&amp;IF(ISNUMBER(AD108),TEXT(AD108,"ddd d mmm")&amp;", "&amp;TEXT(AD108,"hh:mm"),"weekday evenings")&amp;", "&amp;IF(OR(AA108=8,AA108=11,AA108=18),"an ","a ")&amp;AA108&amp;"-minute walk from your office, "&amp;IF(AF108&lt;&gt;"","£"&amp;IF(AF108=INT(AF108),TEXT(AF108,"0"),TEXT(AF108,"0.00")),"[PRICE PER PLAYER]")&amp;" a player. Happy to hold it for "&amp;F108&amp;"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LINK]")&amp;CHAR(10)&amp;CHAR(10)&amp;"Best,"&amp;CHAR(10)&amp;IF(AM108&lt;&gt;"",AM108,IF(Offer!$C$5&lt;&gt;"",Offer!$C$5,"[NAME]"))&amp;CHAR(10)&amp;"FC Urban"</f>
        <v/>
      </c>
      <c r="AL108" s="14">
        <f>IF(AH108="","No email yet",IF(ISNUMBER(SEARCH("[",AJ108)),"Fill placeholders",IF(ISNUMBER(AD108),"Ready to send","Ready · no fixed slot")))</f>
        <v/>
      </c>
      <c r="AO108" s="17" t="n"/>
      <c r="AP108" s="17" t="n"/>
    </row>
    <row r="109">
      <c r="A109" s="11" t="n">
        <v>107</v>
      </c>
      <c r="B109" s="11" t="n">
        <v>2</v>
      </c>
      <c r="C109" s="11" t="inlineStr">
        <is>
          <t>Bank</t>
        </is>
      </c>
      <c r="D109" s="11" t="inlineStr">
        <is>
          <t>City of London</t>
        </is>
      </c>
      <c r="E109" s="11" t="inlineStr">
        <is>
          <t>Zenith Bank (UK) Limited</t>
        </is>
      </c>
      <c r="F109" s="11" t="inlineStr">
        <is>
          <t>Zenith Bank</t>
        </is>
      </c>
      <c r="G109" s="12" t="inlineStr">
        <is>
          <t>https://zenith.com</t>
        </is>
      </c>
      <c r="H109" s="11" t="inlineStr">
        <is>
          <t>info@zenith.com</t>
        </is>
      </c>
      <c r="I109" s="11" t="inlineStr">
        <is>
          <t>general</t>
        </is>
      </c>
      <c r="J109" s="12" t="inlineStr">
        <is>
          <t>Open page</t>
        </is>
      </c>
      <c r="K109" s="11" t="inlineStr">
        <is>
          <t>05713749</t>
        </is>
      </c>
      <c r="L109" s="12" t="inlineStr">
        <is>
          <t>Open</t>
        </is>
      </c>
      <c r="M109" s="11" t="inlineStr">
        <is>
          <t>Full</t>
        </is>
      </c>
      <c r="N109" s="13" t="n">
        <v>38765</v>
      </c>
      <c r="O109" s="11" t="inlineStr">
        <is>
          <t>39 Cornhill, London</t>
        </is>
      </c>
      <c r="P109" s="11" t="inlineStr">
        <is>
          <t>EC3V 3ND</t>
        </is>
      </c>
      <c r="Q109" s="11" t="inlineStr">
        <is>
          <t>Yes</t>
        </is>
      </c>
      <c r="W109" s="11" t="inlineStr">
        <is>
          <t>City of London School (EC4V 3AL)</t>
        </is>
      </c>
      <c r="X109" s="11" t="n">
        <v>14</v>
      </c>
      <c r="Y109" s="11" t="inlineStr">
        <is>
          <t>Liverpool St - Attlee Centre (18.1); Marlborough Sports Garden (SE1 1SD) (18.9)</t>
        </is>
      </c>
      <c r="Z109" s="11" t="inlineStr">
        <is>
          <t>City of London School (EC4V 3AL)</t>
        </is>
      </c>
      <c r="AA109" s="11" t="n">
        <v>14</v>
      </c>
      <c r="AB109" s="14">
        <f>IFERROR(INDEX(Venues!$E$2:$E$17,MATCH(Z109,Venues!$A$2:$A$17,0)),"Not checked")</f>
        <v/>
      </c>
      <c r="AC109" s="14">
        <f>IFERROR(INDEX(Venues!$F$2:$F$17,MATCH(Z109,Venues!$A$2:$A$17,0)),0)</f>
        <v/>
      </c>
      <c r="AD109" s="15">
        <f>IFERROR(INDEX(Venues!$M$2:$M$17,MATCH(Z109,Venues!$A$2:$A$17,0)),"")</f>
        <v/>
      </c>
      <c r="AE109" s="14">
        <f>IFERROR(INDEX(Venues!$N$2:$N$17,MATCH(Z109,Venues!$A$2:$A$17,0)),"5-a-side")</f>
        <v/>
      </c>
      <c r="AF109" s="16">
        <f>IF(Offer!$C$4="","",Offer!$C$4)</f>
        <v/>
      </c>
      <c r="AG109" s="14">
        <f>Z109&amp;" ("&amp;AA109&amp;" min walk) · "&amp;IF(ISNUMBER(AD109),TEXT(AD109,"ddd d mmm, hh:mm"),"slot to confirm with venue")&amp;" · "&amp;AE109&amp;" · "&amp;IF(AF109&lt;&gt;"","£"&amp;TEXT(AF109,"0.00")&amp;" pp","price TBC")</f>
        <v/>
      </c>
      <c r="AH109" s="14">
        <f>IF(U109&lt;&gt;"",U109,IF(H109&lt;&gt;"",H109,""))</f>
        <v/>
      </c>
      <c r="AI109" s="14">
        <f>"After-work football for "&amp;F109&amp;" · "&amp;Z109&amp;", "&amp;AA109&amp;" min from your office"</f>
        <v/>
      </c>
      <c r="AJ109" s="14">
        <f>"Hi "&amp;IF(R109&lt;&gt;"",R109,F109&amp;" team")&amp;","&amp;CHAR(10)&amp;CHAR(10)&amp;"I'm "&amp;IF(AM109&lt;&gt;"",AM109,IF(Offer!$C$5&lt;&gt;"",Offer!$C$5,"[NAME]"))&amp;" from FC Urban. We organise after-work football for teams in the City and Canary Wharf."&amp;CHAR(10)&amp;CHAR(10)&amp;"We have a "&amp;AE109&amp;" pitch at "&amp;Z109&amp;", "&amp;IF(OR(AA109=8,AA109=11,AA109=18),"an ","a ")&amp;AA109&amp;"-minute walk from your "&amp;P109&amp;" office, "&amp;IF(ISNUMBER(AD109),"on "&amp;TEXT(AD109,"dddd d mmmm")&amp;" at "&amp;TEXT(AD109,"hh:mm"),"on a weekday evening that suits your team")&amp;". It's "&amp;IF(AF109&lt;&gt;"","£"&amp;IF(AF109=INT(AF109),TEXT(AF109,"0"),TEXT(AF109,"0.00")),"[PRICE PER PLAYER]")&amp;" a player and we handle the pitch booking, sign-ups and payments, so all it takes is one person sharing a link with the team."&amp;CHAR(10)&amp;CHAR(10)&amp;"It works well as a team social or "&amp;IF(ISNUMBER(SEARCH(LEFT(F109,1),"AEIOU")),"an ","a ")&amp;F109&amp;"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LINK]")&amp;CHAR(10)&amp;CHAR(10)&amp;"Best,"&amp;CHAR(10)&amp;IF(AM109&lt;&gt;"",AM109,IF(Offer!$C$5&lt;&gt;"",Offer!$C$5,"[NAME]"))&amp;CHAR(10)&amp;"FC Urban"</f>
        <v/>
      </c>
      <c r="AK109" s="14">
        <f>"Hi "&amp;IF(R109&lt;&gt;"",R109,F109&amp;" team")&amp;","&amp;CHAR(10)&amp;CHAR(10)&amp;"Just bumping this up. The "&amp;AE109&amp;" pitch at "&amp;Z109&amp;" is still free "&amp;IF(ISNUMBER(AD109),TEXT(AD109,"ddd d mmm")&amp;", "&amp;TEXT(AD109,"hh:mm"),"weekday evenings")&amp;", "&amp;IF(OR(AA109=8,AA109=11,AA109=18),"an ","a ")&amp;AA109&amp;"-minute walk from your office, "&amp;IF(AF109&lt;&gt;"","£"&amp;IF(AF109=INT(AF109),TEXT(AF109,"0"),TEXT(AF109,"0.00")),"[PRICE PER PLAYER]")&amp;" a player. Happy to hold it for "&amp;F109&amp;"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LINK]")&amp;CHAR(10)&amp;CHAR(10)&amp;"Best,"&amp;CHAR(10)&amp;IF(AM109&lt;&gt;"",AM109,IF(Offer!$C$5&lt;&gt;"",Offer!$C$5,"[NAME]"))&amp;CHAR(10)&amp;"FC Urban"</f>
        <v/>
      </c>
      <c r="AL109" s="14">
        <f>IF(AH109="","No email yet",IF(ISNUMBER(SEARCH("[",AJ109)),"Fill placeholders",IF(ISNUMBER(AD109),"Ready to send","Ready · no fixed slot")))</f>
        <v/>
      </c>
      <c r="AO109" s="17" t="n"/>
      <c r="AP109" s="17" t="n"/>
    </row>
    <row r="110">
      <c r="A110" s="11" t="n">
        <v>108</v>
      </c>
      <c r="B110" s="11" t="n">
        <v>2</v>
      </c>
      <c r="C110" s="11" t="inlineStr">
        <is>
          <t>Bank</t>
        </is>
      </c>
      <c r="D110" s="11" t="inlineStr">
        <is>
          <t>City of London</t>
        </is>
      </c>
      <c r="E110" s="11" t="inlineStr">
        <is>
          <t>Sc Ventures Holdings Limited</t>
        </is>
      </c>
      <c r="F110" s="11" t="inlineStr">
        <is>
          <t>Sc Ventures</t>
        </is>
      </c>
      <c r="G110" s="12" t="inlineStr">
        <is>
          <t>https://scventures.io/</t>
        </is>
      </c>
      <c r="H110" s="11" t="n"/>
      <c r="I110" s="11" t="inlineStr">
        <is>
          <t>Not found</t>
        </is>
      </c>
      <c r="J110" s="11" t="n"/>
      <c r="K110" s="11" t="inlineStr">
        <is>
          <t>00106502</t>
        </is>
      </c>
      <c r="L110" s="12" t="inlineStr">
        <is>
          <t>Open</t>
        </is>
      </c>
      <c r="M110" s="11" t="inlineStr">
        <is>
          <t>Full</t>
        </is>
      </c>
      <c r="N110" s="13" t="n">
        <v>3639</v>
      </c>
      <c r="O110" s="11" t="inlineStr">
        <is>
          <t>1 Basinghall Avenue, London</t>
        </is>
      </c>
      <c r="P110" s="11" t="inlineStr">
        <is>
          <t>EC2V 5DD</t>
        </is>
      </c>
      <c r="Q110" s="11" t="inlineStr">
        <is>
          <t>No</t>
        </is>
      </c>
      <c r="W110" s="11" t="inlineStr">
        <is>
          <t>City of London School (EC4V 3AL)</t>
        </is>
      </c>
      <c r="X110" s="11" t="n">
        <v>15</v>
      </c>
      <c r="Y110" s="11" t="inlineStr">
        <is>
          <t>Finsbury Leisure Centre (EC1V 3PU) (17.1)</t>
        </is>
      </c>
      <c r="Z110" s="11" t="inlineStr">
        <is>
          <t>City of London School (EC4V 3AL)</t>
        </is>
      </c>
      <c r="AA110" s="11" t="n">
        <v>15</v>
      </c>
      <c r="AB110" s="14">
        <f>IFERROR(INDEX(Venues!$E$2:$E$17,MATCH(Z110,Venues!$A$2:$A$17,0)),"Not checked")</f>
        <v/>
      </c>
      <c r="AC110" s="14">
        <f>IFERROR(INDEX(Venues!$F$2:$F$17,MATCH(Z110,Venues!$A$2:$A$17,0)),0)</f>
        <v/>
      </c>
      <c r="AD110" s="15">
        <f>IFERROR(INDEX(Venues!$M$2:$M$17,MATCH(Z110,Venues!$A$2:$A$17,0)),"")</f>
        <v/>
      </c>
      <c r="AE110" s="14">
        <f>IFERROR(INDEX(Venues!$N$2:$N$17,MATCH(Z110,Venues!$A$2:$A$17,0)),"5-a-side")</f>
        <v/>
      </c>
      <c r="AF110" s="16">
        <f>IF(Offer!$C$4="","",Offer!$C$4)</f>
        <v/>
      </c>
      <c r="AG110" s="14">
        <f>Z110&amp;" ("&amp;AA110&amp;" min walk) · "&amp;IF(ISNUMBER(AD110),TEXT(AD110,"ddd d mmm, hh:mm"),"slot to confirm with venue")&amp;" · "&amp;AE110&amp;" · "&amp;IF(AF110&lt;&gt;"","£"&amp;TEXT(AF110,"0.00")&amp;" pp","price TBC")</f>
        <v/>
      </c>
      <c r="AH110" s="14">
        <f>IF(U110&lt;&gt;"",U110,IF(H110&lt;&gt;"",H110,""))</f>
        <v/>
      </c>
      <c r="AI110" s="14">
        <f>"After-work football for "&amp;F110&amp;" · "&amp;Z110&amp;", "&amp;AA110&amp;" min from your office"</f>
        <v/>
      </c>
      <c r="AJ110" s="14">
        <f>"Hi "&amp;IF(R110&lt;&gt;"",R110,F110&amp;" team")&amp;","&amp;CHAR(10)&amp;CHAR(10)&amp;"I'm "&amp;IF(AM110&lt;&gt;"",AM110,IF(Offer!$C$5&lt;&gt;"",Offer!$C$5,"[NAME]"))&amp;" from FC Urban. We organise after-work football for teams in the City and Canary Wharf."&amp;CHAR(10)&amp;CHAR(10)&amp;"We have a "&amp;AE110&amp;" pitch at "&amp;Z110&amp;", "&amp;IF(OR(AA110=8,AA110=11,AA110=18),"an ","a ")&amp;AA110&amp;"-minute walk from your "&amp;P110&amp;" office, "&amp;IF(ISNUMBER(AD110),"on "&amp;TEXT(AD110,"dddd d mmmm")&amp;" at "&amp;TEXT(AD110,"hh:mm"),"on a weekday evening that suits your team")&amp;". It's "&amp;IF(AF110&lt;&gt;"","£"&amp;IF(AF110=INT(AF110),TEXT(AF110,"0"),TEXT(AF110,"0.00")),"[PRICE PER PLAYER]")&amp;" a player and we handle the pitch booking, sign-ups and payments, so all it takes is one person sharing a link with the team."&amp;CHAR(10)&amp;CHAR(10)&amp;"It works well as a team social or "&amp;IF(ISNUMBER(SEARCH(LEFT(F110,1),"AEIOU")),"an ","a ")&amp;F110&amp;"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LINK]")&amp;CHAR(10)&amp;CHAR(10)&amp;"Best,"&amp;CHAR(10)&amp;IF(AM110&lt;&gt;"",AM110,IF(Offer!$C$5&lt;&gt;"",Offer!$C$5,"[NAME]"))&amp;CHAR(10)&amp;"FC Urban"</f>
        <v/>
      </c>
      <c r="AK110" s="14">
        <f>"Hi "&amp;IF(R110&lt;&gt;"",R110,F110&amp;" team")&amp;","&amp;CHAR(10)&amp;CHAR(10)&amp;"Just bumping this up. The "&amp;AE110&amp;" pitch at "&amp;Z110&amp;" is still free "&amp;IF(ISNUMBER(AD110),TEXT(AD110,"ddd d mmm")&amp;", "&amp;TEXT(AD110,"hh:mm"),"weekday evenings")&amp;", "&amp;IF(OR(AA110=8,AA110=11,AA110=18),"an ","a ")&amp;AA110&amp;"-minute walk from your office, "&amp;IF(AF110&lt;&gt;"","£"&amp;IF(AF110=INT(AF110),TEXT(AF110,"0"),TEXT(AF110,"0.00")),"[PRICE PER PLAYER]")&amp;" a player. Happy to hold it for "&amp;F110&amp;"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LINK]")&amp;CHAR(10)&amp;CHAR(10)&amp;"Best,"&amp;CHAR(10)&amp;IF(AM110&lt;&gt;"",AM110,IF(Offer!$C$5&lt;&gt;"",Offer!$C$5,"[NAME]"))&amp;CHAR(10)&amp;"FC Urban"</f>
        <v/>
      </c>
      <c r="AL110" s="14">
        <f>IF(AH110="","No email yet",IF(ISNUMBER(SEARCH("[",AJ110)),"Fill placeholders",IF(ISNUMBER(AD110),"Ready to send","Ready · no fixed slot")))</f>
        <v/>
      </c>
      <c r="AO110" s="17" t="n"/>
      <c r="AP110" s="17" t="n"/>
    </row>
    <row r="111">
      <c r="A111" s="11" t="n">
        <v>109</v>
      </c>
      <c r="B111" s="11" t="n">
        <v>2</v>
      </c>
      <c r="C111" s="11" t="inlineStr">
        <is>
          <t>Bank</t>
        </is>
      </c>
      <c r="D111" s="11" t="inlineStr">
        <is>
          <t>City of London</t>
        </is>
      </c>
      <c r="E111" s="11" t="inlineStr">
        <is>
          <t>Afin Bank Limited</t>
        </is>
      </c>
      <c r="F111" s="11" t="inlineStr">
        <is>
          <t>Afin Bank</t>
        </is>
      </c>
      <c r="G111" s="12" t="inlineStr">
        <is>
          <t>https://afinbank.com</t>
        </is>
      </c>
      <c r="H111" s="11" t="inlineStr">
        <is>
          <t>media@afinbank.com</t>
        </is>
      </c>
      <c r="I111" s="11" t="inlineStr">
        <is>
          <t>role (press / marketing)</t>
        </is>
      </c>
      <c r="J111" s="12" t="inlineStr">
        <is>
          <t>Open page</t>
        </is>
      </c>
      <c r="K111" s="11" t="inlineStr">
        <is>
          <t>13090556</t>
        </is>
      </c>
      <c r="L111" s="12" t="inlineStr">
        <is>
          <t>Open</t>
        </is>
      </c>
      <c r="M111" s="11" t="inlineStr">
        <is>
          <t>Full</t>
        </is>
      </c>
      <c r="N111" s="13" t="n">
        <v>44183</v>
      </c>
      <c r="O111" s="11" t="inlineStr">
        <is>
          <t>Lower Ground Floor, 10 Chiswell Street, London</t>
        </is>
      </c>
      <c r="P111" s="11" t="inlineStr">
        <is>
          <t>EC1Y 4UQ</t>
        </is>
      </c>
      <c r="Q111" s="11" t="inlineStr">
        <is>
          <t>Yes</t>
        </is>
      </c>
      <c r="W111" s="11" t="inlineStr">
        <is>
          <t>Finsbury Leisure Centre (EC1V 3PU)</t>
        </is>
      </c>
      <c r="X111" s="11" t="n">
        <v>12</v>
      </c>
      <c r="Y111" s="11" t="inlineStr">
        <is>
          <t>Shoreditch Powerleague (15); Liverpool St - Attlee Centre (18.1)</t>
        </is>
      </c>
      <c r="Z111" s="11" t="inlineStr">
        <is>
          <t>Shoreditch Powerleague</t>
        </is>
      </c>
      <c r="AA111" s="11" t="n">
        <v>15</v>
      </c>
      <c r="AB111" s="14">
        <f>IFERROR(INDEX(Venues!$E$2:$E$17,MATCH(Z111,Venues!$A$2:$A$17,0)),"Not checked")</f>
        <v/>
      </c>
      <c r="AC111" s="14">
        <f>IFERROR(INDEX(Venues!$F$2:$F$17,MATCH(Z111,Venues!$A$2:$A$17,0)),0)</f>
        <v/>
      </c>
      <c r="AD111" s="15">
        <f>IFERROR(INDEX(Venues!$M$2:$M$17,MATCH(Z111,Venues!$A$2:$A$17,0)),"")</f>
        <v/>
      </c>
      <c r="AE111" s="14">
        <f>IFERROR(INDEX(Venues!$N$2:$N$17,MATCH(Z111,Venues!$A$2:$A$17,0)),"5-a-side")</f>
        <v/>
      </c>
      <c r="AF111" s="16">
        <f>IF(Offer!$C$4="","",Offer!$C$4)</f>
        <v/>
      </c>
      <c r="AG111" s="14">
        <f>Z111&amp;" ("&amp;AA111&amp;" min walk) · "&amp;IF(ISNUMBER(AD111),TEXT(AD111,"ddd d mmm, hh:mm"),"slot to confirm with venue")&amp;" · "&amp;AE111&amp;" · "&amp;IF(AF111&lt;&gt;"","£"&amp;TEXT(AF111,"0.00")&amp;" pp","price TBC")</f>
        <v/>
      </c>
      <c r="AH111" s="14">
        <f>IF(U111&lt;&gt;"",U111,IF(H111&lt;&gt;"",H111,""))</f>
        <v/>
      </c>
      <c r="AI111" s="14">
        <f>"After-work football for "&amp;F111&amp;" · "&amp;Z111&amp;", "&amp;AA111&amp;" min from your office"</f>
        <v/>
      </c>
      <c r="AJ111" s="14">
        <f>"Hi "&amp;IF(R111&lt;&gt;"",R111,F111&amp;" team")&amp;","&amp;CHAR(10)&amp;CHAR(10)&amp;"I'm "&amp;IF(AM111&lt;&gt;"",AM111,IF(Offer!$C$5&lt;&gt;"",Offer!$C$5,"[NAME]"))&amp;" from FC Urban. We organise after-work football for teams in the City and Canary Wharf."&amp;CHAR(10)&amp;CHAR(10)&amp;"We have a "&amp;AE111&amp;" pitch at "&amp;Z111&amp;", "&amp;IF(OR(AA111=8,AA111=11,AA111=18),"an ","a ")&amp;AA111&amp;"-minute walk from your "&amp;P111&amp;" office, "&amp;IF(ISNUMBER(AD111),"on "&amp;TEXT(AD111,"dddd d mmmm")&amp;" at "&amp;TEXT(AD111,"hh:mm"),"on a weekday evening that suits your team")&amp;". It's "&amp;IF(AF111&lt;&gt;"","£"&amp;IF(AF111=INT(AF111),TEXT(AF111,"0"),TEXT(AF111,"0.00")),"[PRICE PER PLAYER]")&amp;" a player and we handle the pitch booking, sign-ups and payments, so all it takes is one person sharing a link with the team."&amp;CHAR(10)&amp;CHAR(10)&amp;"It works well as a team social or "&amp;IF(ISNUMBER(SEARCH(LEFT(F111,1),"AEIOU")),"an ","a ")&amp;F111&amp;"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LINK]")&amp;CHAR(10)&amp;CHAR(10)&amp;"Best,"&amp;CHAR(10)&amp;IF(AM111&lt;&gt;"",AM111,IF(Offer!$C$5&lt;&gt;"",Offer!$C$5,"[NAME]"))&amp;CHAR(10)&amp;"FC Urban"</f>
        <v/>
      </c>
      <c r="AK111" s="14">
        <f>"Hi "&amp;IF(R111&lt;&gt;"",R111,F111&amp;" team")&amp;","&amp;CHAR(10)&amp;CHAR(10)&amp;"Just bumping this up. The "&amp;AE111&amp;" pitch at "&amp;Z111&amp;" is still free "&amp;IF(ISNUMBER(AD111),TEXT(AD111,"ddd d mmm")&amp;", "&amp;TEXT(AD111,"hh:mm"),"weekday evenings")&amp;", "&amp;IF(OR(AA111=8,AA111=11,AA111=18),"an ","a ")&amp;AA111&amp;"-minute walk from your office, "&amp;IF(AF111&lt;&gt;"","£"&amp;IF(AF111=INT(AF111),TEXT(AF111,"0"),TEXT(AF111,"0.00")),"[PRICE PER PLAYER]")&amp;" a player. Happy to hold it for "&amp;F111&amp;"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LINK]")&amp;CHAR(10)&amp;CHAR(10)&amp;"Best,"&amp;CHAR(10)&amp;IF(AM111&lt;&gt;"",AM111,IF(Offer!$C$5&lt;&gt;"",Offer!$C$5,"[NAME]"))&amp;CHAR(10)&amp;"FC Urban"</f>
        <v/>
      </c>
      <c r="AL111" s="14">
        <f>IF(AH111="","No email yet",IF(ISNUMBER(SEARCH("[",AJ111)),"Fill placeholders",IF(ISNUMBER(AD111),"Ready to send","Ready · no fixed slot")))</f>
        <v/>
      </c>
      <c r="AO111" s="17" t="n"/>
      <c r="AP111" s="17" t="n"/>
    </row>
    <row r="112">
      <c r="A112" s="11" t="n">
        <v>110</v>
      </c>
      <c r="B112" s="11" t="n">
        <v>2</v>
      </c>
      <c r="C112" s="11" t="inlineStr">
        <is>
          <t>Bank</t>
        </is>
      </c>
      <c r="D112" s="11" t="inlineStr">
        <is>
          <t>City of London</t>
        </is>
      </c>
      <c r="E112" s="11" t="inlineStr">
        <is>
          <t>RBC Europe Limited</t>
        </is>
      </c>
      <c r="F112" s="11" t="inlineStr">
        <is>
          <t>RBC</t>
        </is>
      </c>
      <c r="G112" s="12" t="inlineStr">
        <is>
          <t>https://rbc.co.uk</t>
        </is>
      </c>
      <c r="H112" s="11" t="inlineStr">
        <is>
          <t>brian@rbc.co.uk</t>
        </is>
      </c>
      <c r="I112" s="11" t="inlineStr">
        <is>
          <t>named person</t>
        </is>
      </c>
      <c r="J112" s="12" t="inlineStr">
        <is>
          <t>Open page</t>
        </is>
      </c>
      <c r="K112" s="11" t="inlineStr">
        <is>
          <t>00995939</t>
        </is>
      </c>
      <c r="L112" s="12" t="inlineStr">
        <is>
          <t>Open</t>
        </is>
      </c>
      <c r="M112" s="11" t="inlineStr">
        <is>
          <t>Full</t>
        </is>
      </c>
      <c r="N112" s="13" t="n">
        <v>25904</v>
      </c>
      <c r="O112" s="11" t="inlineStr">
        <is>
          <t>100 Bishopsgate, London</t>
        </is>
      </c>
      <c r="P112" s="11" t="inlineStr">
        <is>
          <t>EC2N 4AA</t>
        </is>
      </c>
      <c r="Q112" s="11" t="inlineStr">
        <is>
          <t>No</t>
        </is>
      </c>
      <c r="W112" s="11" t="inlineStr">
        <is>
          <t>Liverpool St - Attlee Centre</t>
        </is>
      </c>
      <c r="X112" s="11" t="n">
        <v>10</v>
      </c>
      <c r="Y112" s="11" t="inlineStr">
        <is>
          <t>Shoreditch Powerleague (15.2)</t>
        </is>
      </c>
      <c r="Z112" s="11" t="inlineStr">
        <is>
          <t>Shoreditch Powerleague</t>
        </is>
      </c>
      <c r="AA112" s="11" t="n">
        <v>15</v>
      </c>
      <c r="AB112" s="14">
        <f>IFERROR(INDEX(Venues!$E$2:$E$17,MATCH(Z112,Venues!$A$2:$A$17,0)),"Not checked")</f>
        <v/>
      </c>
      <c r="AC112" s="14">
        <f>IFERROR(INDEX(Venues!$F$2:$F$17,MATCH(Z112,Venues!$A$2:$A$17,0)),0)</f>
        <v/>
      </c>
      <c r="AD112" s="15">
        <f>IFERROR(INDEX(Venues!$M$2:$M$17,MATCH(Z112,Venues!$A$2:$A$17,0)),"")</f>
        <v/>
      </c>
      <c r="AE112" s="14">
        <f>IFERROR(INDEX(Venues!$N$2:$N$17,MATCH(Z112,Venues!$A$2:$A$17,0)),"5-a-side")</f>
        <v/>
      </c>
      <c r="AF112" s="16">
        <f>IF(Offer!$C$4="","",Offer!$C$4)</f>
        <v/>
      </c>
      <c r="AG112" s="14">
        <f>Z112&amp;" ("&amp;AA112&amp;" min walk) · "&amp;IF(ISNUMBER(AD112),TEXT(AD112,"ddd d mmm, hh:mm"),"slot to confirm with venue")&amp;" · "&amp;AE112&amp;" · "&amp;IF(AF112&lt;&gt;"","£"&amp;TEXT(AF112,"0.00")&amp;" pp","price TBC")</f>
        <v/>
      </c>
      <c r="AH112" s="14">
        <f>IF(U112&lt;&gt;"",U112,IF(H112&lt;&gt;"",H112,""))</f>
        <v/>
      </c>
      <c r="AI112" s="14">
        <f>"After-work football for "&amp;F112&amp;" · "&amp;Z112&amp;", "&amp;AA112&amp;" min from your office"</f>
        <v/>
      </c>
      <c r="AJ112" s="14">
        <f>"Hi "&amp;IF(R112&lt;&gt;"",R112,F112&amp;" team")&amp;","&amp;CHAR(10)&amp;CHAR(10)&amp;"I'm "&amp;IF(AM112&lt;&gt;"",AM112,IF(Offer!$C$5&lt;&gt;"",Offer!$C$5,"[NAME]"))&amp;" from FC Urban. We organise after-work football for teams in the City and Canary Wharf."&amp;CHAR(10)&amp;CHAR(10)&amp;"We have a "&amp;AE112&amp;" pitch at "&amp;Z112&amp;", "&amp;IF(OR(AA112=8,AA112=11,AA112=18),"an ","a ")&amp;AA112&amp;"-minute walk from your "&amp;P112&amp;" office, "&amp;IF(ISNUMBER(AD112),"on "&amp;TEXT(AD112,"dddd d mmmm")&amp;" at "&amp;TEXT(AD112,"hh:mm"),"on a weekday evening that suits your team")&amp;". It's "&amp;IF(AF112&lt;&gt;"","£"&amp;IF(AF112=INT(AF112),TEXT(AF112,"0"),TEXT(AF112,"0.00")),"[PRICE PER PLAYER]")&amp;" a player and we handle the pitch booking, sign-ups and payments, so all it takes is one person sharing a link with the team."&amp;CHAR(10)&amp;CHAR(10)&amp;"It works well as a team social or "&amp;IF(ISNUMBER(SEARCH(LEFT(F112,1),"AEIOU")),"an ","a ")&amp;F112&amp;"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LINK]")&amp;CHAR(10)&amp;CHAR(10)&amp;"Best,"&amp;CHAR(10)&amp;IF(AM112&lt;&gt;"",AM112,IF(Offer!$C$5&lt;&gt;"",Offer!$C$5,"[NAME]"))&amp;CHAR(10)&amp;"FC Urban"</f>
        <v/>
      </c>
      <c r="AK112" s="14">
        <f>"Hi "&amp;IF(R112&lt;&gt;"",R112,F112&amp;" team")&amp;","&amp;CHAR(10)&amp;CHAR(10)&amp;"Just bumping this up. The "&amp;AE112&amp;" pitch at "&amp;Z112&amp;" is still free "&amp;IF(ISNUMBER(AD112),TEXT(AD112,"ddd d mmm")&amp;", "&amp;TEXT(AD112,"hh:mm"),"weekday evenings")&amp;", "&amp;IF(OR(AA112=8,AA112=11,AA112=18),"an ","a ")&amp;AA112&amp;"-minute walk from your office, "&amp;IF(AF112&lt;&gt;"","£"&amp;IF(AF112=INT(AF112),TEXT(AF112,"0"),TEXT(AF112,"0.00")),"[PRICE PER PLAYER]")&amp;" a player. Happy to hold it for "&amp;F112&amp;"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LINK]")&amp;CHAR(10)&amp;CHAR(10)&amp;"Best,"&amp;CHAR(10)&amp;IF(AM112&lt;&gt;"",AM112,IF(Offer!$C$5&lt;&gt;"",Offer!$C$5,"[NAME]"))&amp;CHAR(10)&amp;"FC Urban"</f>
        <v/>
      </c>
      <c r="AL112" s="14">
        <f>IF(AH112="","No email yet",IF(ISNUMBER(SEARCH("[",AJ112)),"Fill placeholders",IF(ISNUMBER(AD112),"Ready to send","Ready · no fixed slot")))</f>
        <v/>
      </c>
      <c r="AO112" s="17" t="n"/>
      <c r="AP112" s="17" t="n"/>
    </row>
    <row r="113">
      <c r="A113" s="11" t="n">
        <v>111</v>
      </c>
      <c r="B113" s="11" t="n">
        <v>2</v>
      </c>
      <c r="C113" s="11" t="inlineStr">
        <is>
          <t>Bank</t>
        </is>
      </c>
      <c r="D113" s="11" t="inlineStr">
        <is>
          <t>City of London</t>
        </is>
      </c>
      <c r="E113" s="11" t="inlineStr">
        <is>
          <t>LHV Bank Limited</t>
        </is>
      </c>
      <c r="F113" s="11" t="inlineStr">
        <is>
          <t>LHV Bank</t>
        </is>
      </c>
      <c r="G113" s="12" t="inlineStr">
        <is>
          <t>https://www.lhv.com</t>
        </is>
      </c>
      <c r="H113" s="11" t="inlineStr">
        <is>
          <t>info@lhv.com</t>
        </is>
      </c>
      <c r="I113" s="11" t="inlineStr">
        <is>
          <t>general</t>
        </is>
      </c>
      <c r="J113" s="12" t="inlineStr">
        <is>
          <t>Open page</t>
        </is>
      </c>
      <c r="K113" s="11" t="inlineStr">
        <is>
          <t>13180211</t>
        </is>
      </c>
      <c r="L113" s="12" t="inlineStr">
        <is>
          <t>Open</t>
        </is>
      </c>
      <c r="M113" s="11" t="inlineStr">
        <is>
          <t>Full</t>
        </is>
      </c>
      <c r="N113" s="13" t="n">
        <v>44231</v>
      </c>
      <c r="O113" s="11" t="inlineStr">
        <is>
          <t>One Angel Court, 1 Angel Court, London</t>
        </is>
      </c>
      <c r="P113" s="11" t="inlineStr">
        <is>
          <t>EC2R 7HJ</t>
        </is>
      </c>
      <c r="Q113" s="11" t="inlineStr">
        <is>
          <t>Yes</t>
        </is>
      </c>
      <c r="W113" s="11" t="inlineStr">
        <is>
          <t>City of London School (EC4V 3AL)</t>
        </is>
      </c>
      <c r="X113" s="11" t="n">
        <v>15</v>
      </c>
      <c r="Y113" s="11" t="inlineStr">
        <is>
          <t>Liverpool St - Attlee Centre (17)</t>
        </is>
      </c>
      <c r="Z113" s="11" t="inlineStr">
        <is>
          <t>City of London School (EC4V 3AL)</t>
        </is>
      </c>
      <c r="AA113" s="11" t="n">
        <v>15</v>
      </c>
      <c r="AB113" s="14">
        <f>IFERROR(INDEX(Venues!$E$2:$E$17,MATCH(Z113,Venues!$A$2:$A$17,0)),"Not checked")</f>
        <v/>
      </c>
      <c r="AC113" s="14">
        <f>IFERROR(INDEX(Venues!$F$2:$F$17,MATCH(Z113,Venues!$A$2:$A$17,0)),0)</f>
        <v/>
      </c>
      <c r="AD113" s="15">
        <f>IFERROR(INDEX(Venues!$M$2:$M$17,MATCH(Z113,Venues!$A$2:$A$17,0)),"")</f>
        <v/>
      </c>
      <c r="AE113" s="14">
        <f>IFERROR(INDEX(Venues!$N$2:$N$17,MATCH(Z113,Venues!$A$2:$A$17,0)),"5-a-side")</f>
        <v/>
      </c>
      <c r="AF113" s="16">
        <f>IF(Offer!$C$4="","",Offer!$C$4)</f>
        <v/>
      </c>
      <c r="AG113" s="14">
        <f>Z113&amp;" ("&amp;AA113&amp;" min walk) · "&amp;IF(ISNUMBER(AD113),TEXT(AD113,"ddd d mmm, hh:mm"),"slot to confirm with venue")&amp;" · "&amp;AE113&amp;" · "&amp;IF(AF113&lt;&gt;"","£"&amp;TEXT(AF113,"0.00")&amp;" pp","price TBC")</f>
        <v/>
      </c>
      <c r="AH113" s="14">
        <f>IF(U113&lt;&gt;"",U113,IF(H113&lt;&gt;"",H113,""))</f>
        <v/>
      </c>
      <c r="AI113" s="14">
        <f>"After-work football for "&amp;F113&amp;" · "&amp;Z113&amp;", "&amp;AA113&amp;" min from your office"</f>
        <v/>
      </c>
      <c r="AJ113" s="14">
        <f>"Hi "&amp;IF(R113&lt;&gt;"",R113,F113&amp;" team")&amp;","&amp;CHAR(10)&amp;CHAR(10)&amp;"I'm "&amp;IF(AM113&lt;&gt;"",AM113,IF(Offer!$C$5&lt;&gt;"",Offer!$C$5,"[NAME]"))&amp;" from FC Urban. We organise after-work football for teams in the City and Canary Wharf."&amp;CHAR(10)&amp;CHAR(10)&amp;"We have a "&amp;AE113&amp;" pitch at "&amp;Z113&amp;", "&amp;IF(OR(AA113=8,AA113=11,AA113=18),"an ","a ")&amp;AA113&amp;"-minute walk from your "&amp;P113&amp;" office, "&amp;IF(ISNUMBER(AD113),"on "&amp;TEXT(AD113,"dddd d mmmm")&amp;" at "&amp;TEXT(AD113,"hh:mm"),"on a weekday evening that suits your team")&amp;". It's "&amp;IF(AF113&lt;&gt;"","£"&amp;IF(AF113=INT(AF113),TEXT(AF113,"0"),TEXT(AF113,"0.00")),"[PRICE PER PLAYER]")&amp;" a player and we handle the pitch booking, sign-ups and payments, so all it takes is one person sharing a link with the team."&amp;CHAR(10)&amp;CHAR(10)&amp;"It works well as a team social or "&amp;IF(ISNUMBER(SEARCH(LEFT(F113,1),"AEIOU")),"an ","a ")&amp;F113&amp;"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LINK]")&amp;CHAR(10)&amp;CHAR(10)&amp;"Best,"&amp;CHAR(10)&amp;IF(AM113&lt;&gt;"",AM113,IF(Offer!$C$5&lt;&gt;"",Offer!$C$5,"[NAME]"))&amp;CHAR(10)&amp;"FC Urban"</f>
        <v/>
      </c>
      <c r="AK113" s="14">
        <f>"Hi "&amp;IF(R113&lt;&gt;"",R113,F113&amp;" team")&amp;","&amp;CHAR(10)&amp;CHAR(10)&amp;"Just bumping this up. The "&amp;AE113&amp;" pitch at "&amp;Z113&amp;" is still free "&amp;IF(ISNUMBER(AD113),TEXT(AD113,"ddd d mmm")&amp;", "&amp;TEXT(AD113,"hh:mm"),"weekday evenings")&amp;", "&amp;IF(OR(AA113=8,AA113=11,AA113=18),"an ","a ")&amp;AA113&amp;"-minute walk from your office, "&amp;IF(AF113&lt;&gt;"","£"&amp;IF(AF113=INT(AF113),TEXT(AF113,"0"),TEXT(AF113,"0.00")),"[PRICE PER PLAYER]")&amp;" a player. Happy to hold it for "&amp;F113&amp;"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LINK]")&amp;CHAR(10)&amp;CHAR(10)&amp;"Best,"&amp;CHAR(10)&amp;IF(AM113&lt;&gt;"",AM113,IF(Offer!$C$5&lt;&gt;"",Offer!$C$5,"[NAME]"))&amp;CHAR(10)&amp;"FC Urban"</f>
        <v/>
      </c>
      <c r="AL113" s="14">
        <f>IF(AH113="","No email yet",IF(ISNUMBER(SEARCH("[",AJ113)),"Fill placeholders",IF(ISNUMBER(AD113),"Ready to send","Ready · no fixed slot")))</f>
        <v/>
      </c>
      <c r="AO113" s="17" t="n"/>
      <c r="AP113" s="17" t="n"/>
    </row>
    <row r="114">
      <c r="A114" s="11" t="n">
        <v>112</v>
      </c>
      <c r="B114" s="11" t="n">
        <v>2</v>
      </c>
      <c r="C114" s="11" t="inlineStr">
        <is>
          <t>Bank</t>
        </is>
      </c>
      <c r="D114" s="11" t="inlineStr">
        <is>
          <t>City of London</t>
        </is>
      </c>
      <c r="E114" s="11" t="inlineStr">
        <is>
          <t>Turkish Bank (UK) Limited</t>
        </is>
      </c>
      <c r="F114" s="11" t="inlineStr">
        <is>
          <t>Turkish Bank</t>
        </is>
      </c>
      <c r="G114" s="12" t="inlineStr">
        <is>
          <t>https://turkish.co.uk</t>
        </is>
      </c>
      <c r="H114" s="11" t="n"/>
      <c r="I114" s="11" t="inlineStr">
        <is>
          <t>Not found</t>
        </is>
      </c>
      <c r="J114" s="11" t="n"/>
      <c r="K114" s="11" t="inlineStr">
        <is>
          <t>02643004</t>
        </is>
      </c>
      <c r="L114" s="12" t="inlineStr">
        <is>
          <t>Open</t>
        </is>
      </c>
      <c r="M114" s="11" t="inlineStr">
        <is>
          <t>Full</t>
        </is>
      </c>
      <c r="N114" s="13" t="n">
        <v>33485</v>
      </c>
      <c r="O114" s="11" t="inlineStr">
        <is>
          <t>84/86 Borough High Street, London</t>
        </is>
      </c>
      <c r="P114" s="11" t="inlineStr">
        <is>
          <t>SE1 1LN</t>
        </is>
      </c>
      <c r="Q114" s="11" t="inlineStr">
        <is>
          <t>No</t>
        </is>
      </c>
      <c r="W114" s="11" t="inlineStr">
        <is>
          <t>Marlborough Sports Garden (SE1 1SD)</t>
        </is>
      </c>
      <c r="X114" s="11" t="n">
        <v>2</v>
      </c>
      <c r="Y114" s="11" t="inlineStr">
        <is>
          <t>Borough Academy (9.5); City of London School (EC4V 3AL) (16)</t>
        </is>
      </c>
      <c r="Z114" s="11" t="inlineStr">
        <is>
          <t>City of London School (EC4V 3AL)</t>
        </is>
      </c>
      <c r="AA114" s="11" t="n">
        <v>16</v>
      </c>
      <c r="AB114" s="14">
        <f>IFERROR(INDEX(Venues!$E$2:$E$17,MATCH(Z114,Venues!$A$2:$A$17,0)),"Not checked")</f>
        <v/>
      </c>
      <c r="AC114" s="14">
        <f>IFERROR(INDEX(Venues!$F$2:$F$17,MATCH(Z114,Venues!$A$2:$A$17,0)),0)</f>
        <v/>
      </c>
      <c r="AD114" s="15">
        <f>IFERROR(INDEX(Venues!$M$2:$M$17,MATCH(Z114,Venues!$A$2:$A$17,0)),"")</f>
        <v/>
      </c>
      <c r="AE114" s="14">
        <f>IFERROR(INDEX(Venues!$N$2:$N$17,MATCH(Z114,Venues!$A$2:$A$17,0)),"5-a-side")</f>
        <v/>
      </c>
      <c r="AF114" s="16">
        <f>IF(Offer!$C$4="","",Offer!$C$4)</f>
        <v/>
      </c>
      <c r="AG114" s="14">
        <f>Z114&amp;" ("&amp;AA114&amp;" min walk) · "&amp;IF(ISNUMBER(AD114),TEXT(AD114,"ddd d mmm, hh:mm"),"slot to confirm with venue")&amp;" · "&amp;AE114&amp;" · "&amp;IF(AF114&lt;&gt;"","£"&amp;TEXT(AF114,"0.00")&amp;" pp","price TBC")</f>
        <v/>
      </c>
      <c r="AH114" s="14">
        <f>IF(U114&lt;&gt;"",U114,IF(H114&lt;&gt;"",H114,""))</f>
        <v/>
      </c>
      <c r="AI114" s="14">
        <f>"After-work football for "&amp;F114&amp;" · "&amp;Z114&amp;", "&amp;AA114&amp;" min from your office"</f>
        <v/>
      </c>
      <c r="AJ114" s="14">
        <f>"Hi "&amp;IF(R114&lt;&gt;"",R114,F114&amp;" team")&amp;","&amp;CHAR(10)&amp;CHAR(10)&amp;"I'm "&amp;IF(AM114&lt;&gt;"",AM114,IF(Offer!$C$5&lt;&gt;"",Offer!$C$5,"[NAME]"))&amp;" from FC Urban. We organise after-work football for teams in the City and Canary Wharf."&amp;CHAR(10)&amp;CHAR(10)&amp;"We have a "&amp;AE114&amp;" pitch at "&amp;Z114&amp;", "&amp;IF(OR(AA114=8,AA114=11,AA114=18),"an ","a ")&amp;AA114&amp;"-minute walk from your "&amp;P114&amp;" office, "&amp;IF(ISNUMBER(AD114),"on "&amp;TEXT(AD114,"dddd d mmmm")&amp;" at "&amp;TEXT(AD114,"hh:mm"),"on a weekday evening that suits your team")&amp;". It's "&amp;IF(AF114&lt;&gt;"","£"&amp;IF(AF114=INT(AF114),TEXT(AF114,"0"),TEXT(AF114,"0.00")),"[PRICE PER PLAYER]")&amp;" a player and we handle the pitch booking, sign-ups and payments, so all it takes is one person sharing a link with the team."&amp;CHAR(10)&amp;CHAR(10)&amp;"It works well as a team social or "&amp;IF(ISNUMBER(SEARCH(LEFT(F114,1),"AEIOU")),"an ","a ")&amp;F114&amp;"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LINK]")&amp;CHAR(10)&amp;CHAR(10)&amp;"Best,"&amp;CHAR(10)&amp;IF(AM114&lt;&gt;"",AM114,IF(Offer!$C$5&lt;&gt;"",Offer!$C$5,"[NAME]"))&amp;CHAR(10)&amp;"FC Urban"</f>
        <v/>
      </c>
      <c r="AK114" s="14">
        <f>"Hi "&amp;IF(R114&lt;&gt;"",R114,F114&amp;" team")&amp;","&amp;CHAR(10)&amp;CHAR(10)&amp;"Just bumping this up. The "&amp;AE114&amp;" pitch at "&amp;Z114&amp;" is still free "&amp;IF(ISNUMBER(AD114),TEXT(AD114,"ddd d mmm")&amp;", "&amp;TEXT(AD114,"hh:mm"),"weekday evenings")&amp;", "&amp;IF(OR(AA114=8,AA114=11,AA114=18),"an ","a ")&amp;AA114&amp;"-minute walk from your office, "&amp;IF(AF114&lt;&gt;"","£"&amp;IF(AF114=INT(AF114),TEXT(AF114,"0"),TEXT(AF114,"0.00")),"[PRICE PER PLAYER]")&amp;" a player. Happy to hold it for "&amp;F114&amp;"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LINK]")&amp;CHAR(10)&amp;CHAR(10)&amp;"Best,"&amp;CHAR(10)&amp;IF(AM114&lt;&gt;"",AM114,IF(Offer!$C$5&lt;&gt;"",Offer!$C$5,"[NAME]"))&amp;CHAR(10)&amp;"FC Urban"</f>
        <v/>
      </c>
      <c r="AL114" s="14">
        <f>IF(AH114="","No email yet",IF(ISNUMBER(SEARCH("[",AJ114)),"Fill placeholders",IF(ISNUMBER(AD114),"Ready to send","Ready · no fixed slot")))</f>
        <v/>
      </c>
      <c r="AO114" s="17" t="n"/>
      <c r="AP114" s="17" t="n"/>
    </row>
    <row r="115">
      <c r="A115" s="11" t="n">
        <v>113</v>
      </c>
      <c r="B115" s="11" t="n">
        <v>2</v>
      </c>
      <c r="C115" s="11" t="inlineStr">
        <is>
          <t>Bank</t>
        </is>
      </c>
      <c r="D115" s="11" t="inlineStr">
        <is>
          <t>City of London</t>
        </is>
      </c>
      <c r="E115" s="11" t="inlineStr">
        <is>
          <t>Firstbank UK Limited</t>
        </is>
      </c>
      <c r="F115" s="11" t="inlineStr">
        <is>
          <t>Firstbank</t>
        </is>
      </c>
      <c r="G115" s="12" t="inlineStr">
        <is>
          <t>https://www.fbnbank.co.uk/</t>
        </is>
      </c>
      <c r="H115" s="11" t="inlineStr">
        <is>
          <t>info@fbnbank.co.uk</t>
        </is>
      </c>
      <c r="I115" s="11" t="inlineStr">
        <is>
          <t>general</t>
        </is>
      </c>
      <c r="J115" s="12" t="inlineStr">
        <is>
          <t>Open page</t>
        </is>
      </c>
      <c r="K115" s="11" t="inlineStr">
        <is>
          <t>04459383</t>
        </is>
      </c>
      <c r="L115" s="12" t="inlineStr">
        <is>
          <t>Open</t>
        </is>
      </c>
      <c r="M115" s="11" t="inlineStr">
        <is>
          <t>Full</t>
        </is>
      </c>
      <c r="N115" s="13" t="n">
        <v>37419</v>
      </c>
      <c r="O115" s="11" t="inlineStr">
        <is>
          <t>28 Finsbury Circus, London</t>
        </is>
      </c>
      <c r="P115" s="11" t="inlineStr">
        <is>
          <t>EC2M 7DT</t>
        </is>
      </c>
      <c r="Q115" s="11" t="inlineStr">
        <is>
          <t>Yes</t>
        </is>
      </c>
      <c r="W115" s="11" t="inlineStr">
        <is>
          <t>Liverpool St - Attlee Centre</t>
        </is>
      </c>
      <c r="X115" s="11" t="n">
        <v>16</v>
      </c>
      <c r="Y115" s="11" t="inlineStr">
        <is>
          <t>Shoreditch Powerleague (16.7); Finsbury Leisure Centre (EC1V 3PU) (17.4)</t>
        </is>
      </c>
      <c r="Z115" s="11" t="inlineStr">
        <is>
          <t>Shoreditch Powerleague</t>
        </is>
      </c>
      <c r="AA115" s="11" t="n">
        <v>17</v>
      </c>
      <c r="AB115" s="14">
        <f>IFERROR(INDEX(Venues!$E$2:$E$17,MATCH(Z115,Venues!$A$2:$A$17,0)),"Not checked")</f>
        <v/>
      </c>
      <c r="AC115" s="14">
        <f>IFERROR(INDEX(Venues!$F$2:$F$17,MATCH(Z115,Venues!$A$2:$A$17,0)),0)</f>
        <v/>
      </c>
      <c r="AD115" s="15">
        <f>IFERROR(INDEX(Venues!$M$2:$M$17,MATCH(Z115,Venues!$A$2:$A$17,0)),"")</f>
        <v/>
      </c>
      <c r="AE115" s="14">
        <f>IFERROR(INDEX(Venues!$N$2:$N$17,MATCH(Z115,Venues!$A$2:$A$17,0)),"5-a-side")</f>
        <v/>
      </c>
      <c r="AF115" s="16">
        <f>IF(Offer!$C$4="","",Offer!$C$4)</f>
        <v/>
      </c>
      <c r="AG115" s="14">
        <f>Z115&amp;" ("&amp;AA115&amp;" min walk) · "&amp;IF(ISNUMBER(AD115),TEXT(AD115,"ddd d mmm, hh:mm"),"slot to confirm with venue")&amp;" · "&amp;AE115&amp;" · "&amp;IF(AF115&lt;&gt;"","£"&amp;TEXT(AF115,"0.00")&amp;" pp","price TBC")</f>
        <v/>
      </c>
      <c r="AH115" s="14">
        <f>IF(U115&lt;&gt;"",U115,IF(H115&lt;&gt;"",H115,""))</f>
        <v/>
      </c>
      <c r="AI115" s="14">
        <f>"After-work football for "&amp;F115&amp;" · "&amp;Z115&amp;", "&amp;AA115&amp;" min from your office"</f>
        <v/>
      </c>
      <c r="AJ115" s="14">
        <f>"Hi "&amp;IF(R115&lt;&gt;"",R115,F115&amp;" team")&amp;","&amp;CHAR(10)&amp;CHAR(10)&amp;"I'm "&amp;IF(AM115&lt;&gt;"",AM115,IF(Offer!$C$5&lt;&gt;"",Offer!$C$5,"[NAME]"))&amp;" from FC Urban. We organise after-work football for teams in the City and Canary Wharf."&amp;CHAR(10)&amp;CHAR(10)&amp;"We have a "&amp;AE115&amp;" pitch at "&amp;Z115&amp;", "&amp;IF(OR(AA115=8,AA115=11,AA115=18),"an ","a ")&amp;AA115&amp;"-minute walk from your "&amp;P115&amp;" office, "&amp;IF(ISNUMBER(AD115),"on "&amp;TEXT(AD115,"dddd d mmmm")&amp;" at "&amp;TEXT(AD115,"hh:mm"),"on a weekday evening that suits your team")&amp;". It's "&amp;IF(AF115&lt;&gt;"","£"&amp;IF(AF115=INT(AF115),TEXT(AF115,"0"),TEXT(AF115,"0.00")),"[PRICE PER PLAYER]")&amp;" a player and we handle the pitch booking, sign-ups and payments, so all it takes is one person sharing a link with the team."&amp;CHAR(10)&amp;CHAR(10)&amp;"It works well as a team social or "&amp;IF(ISNUMBER(SEARCH(LEFT(F115,1),"AEIOU")),"an ","a ")&amp;F115&amp;"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LINK]")&amp;CHAR(10)&amp;CHAR(10)&amp;"Best,"&amp;CHAR(10)&amp;IF(AM115&lt;&gt;"",AM115,IF(Offer!$C$5&lt;&gt;"",Offer!$C$5,"[NAME]"))&amp;CHAR(10)&amp;"FC Urban"</f>
        <v/>
      </c>
      <c r="AK115" s="14">
        <f>"Hi "&amp;IF(R115&lt;&gt;"",R115,F115&amp;" team")&amp;","&amp;CHAR(10)&amp;CHAR(10)&amp;"Just bumping this up. The "&amp;AE115&amp;" pitch at "&amp;Z115&amp;" is still free "&amp;IF(ISNUMBER(AD115),TEXT(AD115,"ddd d mmm")&amp;", "&amp;TEXT(AD115,"hh:mm"),"weekday evenings")&amp;", "&amp;IF(OR(AA115=8,AA115=11,AA115=18),"an ","a ")&amp;AA115&amp;"-minute walk from your office, "&amp;IF(AF115&lt;&gt;"","£"&amp;IF(AF115=INT(AF115),TEXT(AF115,"0"),TEXT(AF115,"0.00")),"[PRICE PER PLAYER]")&amp;" a player. Happy to hold it for "&amp;F115&amp;"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LINK]")&amp;CHAR(10)&amp;CHAR(10)&amp;"Best,"&amp;CHAR(10)&amp;IF(AM115&lt;&gt;"",AM115,IF(Offer!$C$5&lt;&gt;"",Offer!$C$5,"[NAME]"))&amp;CHAR(10)&amp;"FC Urban"</f>
        <v/>
      </c>
      <c r="AL115" s="14">
        <f>IF(AH115="","No email yet",IF(ISNUMBER(SEARCH("[",AJ115)),"Fill placeholders",IF(ISNUMBER(AD115),"Ready to send","Ready · no fixed slot")))</f>
        <v/>
      </c>
      <c r="AO115" s="17" t="n"/>
      <c r="AP115" s="17" t="n"/>
    </row>
    <row r="116">
      <c r="A116" s="11" t="n">
        <v>114</v>
      </c>
      <c r="B116" s="11" t="n">
        <v>2</v>
      </c>
      <c r="C116" s="11" t="inlineStr">
        <is>
          <t>Bank</t>
        </is>
      </c>
      <c r="D116" s="11" t="inlineStr">
        <is>
          <t>City of London</t>
        </is>
      </c>
      <c r="E116" s="11" t="inlineStr">
        <is>
          <t>Reliance Bank Limited</t>
        </is>
      </c>
      <c r="F116" s="11" t="inlineStr">
        <is>
          <t>Reliance Bank</t>
        </is>
      </c>
      <c r="G116" s="12" t="inlineStr">
        <is>
          <t>https://www.reliance.com</t>
        </is>
      </c>
      <c r="H116" s="11" t="inlineStr">
        <is>
          <t>investor@reliance.com</t>
        </is>
      </c>
      <c r="I116" s="11" t="inlineStr">
        <is>
          <t>general</t>
        </is>
      </c>
      <c r="J116" s="12" t="inlineStr">
        <is>
          <t>Open page</t>
        </is>
      </c>
      <c r="K116" s="11" t="inlineStr">
        <is>
          <t>00068835</t>
        </is>
      </c>
      <c r="L116" s="12" t="inlineStr">
        <is>
          <t>Open</t>
        </is>
      </c>
      <c r="M116" s="11" t="inlineStr">
        <is>
          <t>Full</t>
        </is>
      </c>
      <c r="N116" s="13" t="n">
        <v>363</v>
      </c>
      <c r="O116" s="11" t="inlineStr">
        <is>
          <t>23-24 Lovat Lane, London</t>
        </is>
      </c>
      <c r="P116" s="11" t="inlineStr">
        <is>
          <t>EC3R 8EB</t>
        </is>
      </c>
      <c r="Q116" s="11" t="inlineStr">
        <is>
          <t>Yes</t>
        </is>
      </c>
      <c r="W116" s="11" t="inlineStr">
        <is>
          <t>Marlborough Sports Garden (SE1 1SD)</t>
        </is>
      </c>
      <c r="X116" s="11" t="n">
        <v>16</v>
      </c>
      <c r="Y116" s="11" t="inlineStr">
        <is>
          <t>City of London School (EC4V 3AL) (17.4)</t>
        </is>
      </c>
      <c r="Z116" s="11" t="inlineStr">
        <is>
          <t>City of London School (EC4V 3AL)</t>
        </is>
      </c>
      <c r="AA116" s="11" t="n">
        <v>17</v>
      </c>
      <c r="AB116" s="14">
        <f>IFERROR(INDEX(Venues!$E$2:$E$17,MATCH(Z116,Venues!$A$2:$A$17,0)),"Not checked")</f>
        <v/>
      </c>
      <c r="AC116" s="14">
        <f>IFERROR(INDEX(Venues!$F$2:$F$17,MATCH(Z116,Venues!$A$2:$A$17,0)),0)</f>
        <v/>
      </c>
      <c r="AD116" s="15">
        <f>IFERROR(INDEX(Venues!$M$2:$M$17,MATCH(Z116,Venues!$A$2:$A$17,0)),"")</f>
        <v/>
      </c>
      <c r="AE116" s="14">
        <f>IFERROR(INDEX(Venues!$N$2:$N$17,MATCH(Z116,Venues!$A$2:$A$17,0)),"5-a-side")</f>
        <v/>
      </c>
      <c r="AF116" s="16">
        <f>IF(Offer!$C$4="","",Offer!$C$4)</f>
        <v/>
      </c>
      <c r="AG116" s="14">
        <f>Z116&amp;" ("&amp;AA116&amp;" min walk) · "&amp;IF(ISNUMBER(AD116),TEXT(AD116,"ddd d mmm, hh:mm"),"slot to confirm with venue")&amp;" · "&amp;AE116&amp;" · "&amp;IF(AF116&lt;&gt;"","£"&amp;TEXT(AF116,"0.00")&amp;" pp","price TBC")</f>
        <v/>
      </c>
      <c r="AH116" s="14">
        <f>IF(U116&lt;&gt;"",U116,IF(H116&lt;&gt;"",H116,""))</f>
        <v/>
      </c>
      <c r="AI116" s="14">
        <f>"After-work football for "&amp;F116&amp;" · "&amp;Z116&amp;", "&amp;AA116&amp;" min from your office"</f>
        <v/>
      </c>
      <c r="AJ116" s="14">
        <f>"Hi "&amp;IF(R116&lt;&gt;"",R116,F116&amp;" team")&amp;","&amp;CHAR(10)&amp;CHAR(10)&amp;"I'm "&amp;IF(AM116&lt;&gt;"",AM116,IF(Offer!$C$5&lt;&gt;"",Offer!$C$5,"[NAME]"))&amp;" from FC Urban. We organise after-work football for teams in the City and Canary Wharf."&amp;CHAR(10)&amp;CHAR(10)&amp;"We have a "&amp;AE116&amp;" pitch at "&amp;Z116&amp;", "&amp;IF(OR(AA116=8,AA116=11,AA116=18),"an ","a ")&amp;AA116&amp;"-minute walk from your "&amp;P116&amp;" office, "&amp;IF(ISNUMBER(AD116),"on "&amp;TEXT(AD116,"dddd d mmmm")&amp;" at "&amp;TEXT(AD116,"hh:mm"),"on a weekday evening that suits your team")&amp;". It's "&amp;IF(AF116&lt;&gt;"","£"&amp;IF(AF116=INT(AF116),TEXT(AF116,"0"),TEXT(AF116,"0.00")),"[PRICE PER PLAYER]")&amp;" a player and we handle the pitch booking, sign-ups and payments, so all it takes is one person sharing a link with the team."&amp;CHAR(10)&amp;CHAR(10)&amp;"It works well as a team social or "&amp;IF(ISNUMBER(SEARCH(LEFT(F116,1),"AEIOU")),"an ","a ")&amp;F116&amp;"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LINK]")&amp;CHAR(10)&amp;CHAR(10)&amp;"Best,"&amp;CHAR(10)&amp;IF(AM116&lt;&gt;"",AM116,IF(Offer!$C$5&lt;&gt;"",Offer!$C$5,"[NAME]"))&amp;CHAR(10)&amp;"FC Urban"</f>
        <v/>
      </c>
      <c r="AK116" s="14">
        <f>"Hi "&amp;IF(R116&lt;&gt;"",R116,F116&amp;" team")&amp;","&amp;CHAR(10)&amp;CHAR(10)&amp;"Just bumping this up. The "&amp;AE116&amp;" pitch at "&amp;Z116&amp;" is still free "&amp;IF(ISNUMBER(AD116),TEXT(AD116,"ddd d mmm")&amp;", "&amp;TEXT(AD116,"hh:mm"),"weekday evenings")&amp;", "&amp;IF(OR(AA116=8,AA116=11,AA116=18),"an ","a ")&amp;AA116&amp;"-minute walk from your office, "&amp;IF(AF116&lt;&gt;"","£"&amp;IF(AF116=INT(AF116),TEXT(AF116,"0"),TEXT(AF116,"0.00")),"[PRICE PER PLAYER]")&amp;" a player. Happy to hold it for "&amp;F116&amp;"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LINK]")&amp;CHAR(10)&amp;CHAR(10)&amp;"Best,"&amp;CHAR(10)&amp;IF(AM116&lt;&gt;"",AM116,IF(Offer!$C$5&lt;&gt;"",Offer!$C$5,"[NAME]"))&amp;CHAR(10)&amp;"FC Urban"</f>
        <v/>
      </c>
      <c r="AL116" s="14">
        <f>IF(AH116="","No email yet",IF(ISNUMBER(SEARCH("[",AJ116)),"Fill placeholders",IF(ISNUMBER(AD116),"Ready to send","Ready · no fixed slot")))</f>
        <v/>
      </c>
      <c r="AO116" s="17" t="n"/>
      <c r="AP116" s="17" t="n"/>
    </row>
    <row r="117">
      <c r="A117" s="11" t="n">
        <v>115</v>
      </c>
      <c r="B117" s="11" t="n">
        <v>2</v>
      </c>
      <c r="C117" s="11" t="inlineStr">
        <is>
          <t>Bank</t>
        </is>
      </c>
      <c r="D117" s="11" t="inlineStr">
        <is>
          <t>City of London</t>
        </is>
      </c>
      <c r="E117" s="11" t="inlineStr">
        <is>
          <t>DB UK Bank Limited</t>
        </is>
      </c>
      <c r="F117" s="11" t="inlineStr">
        <is>
          <t>Deutsche Bank</t>
        </is>
      </c>
      <c r="G117" s="12" t="inlineStr">
        <is>
          <t>https://www.db.com</t>
        </is>
      </c>
      <c r="H117" s="11" t="inlineStr">
        <is>
          <t>media.uki@db.com</t>
        </is>
      </c>
      <c r="I117" s="11" t="inlineStr">
        <is>
          <t>role (press / marketing)</t>
        </is>
      </c>
      <c r="J117" s="12" t="inlineStr">
        <is>
          <t>Open page</t>
        </is>
      </c>
      <c r="K117" s="11" t="inlineStr">
        <is>
          <t>00315841</t>
        </is>
      </c>
      <c r="L117" s="12" t="inlineStr">
        <is>
          <t>Open</t>
        </is>
      </c>
      <c r="M117" s="11" t="inlineStr">
        <is>
          <t>Full</t>
        </is>
      </c>
      <c r="N117" s="13" t="n">
        <v>13331</v>
      </c>
      <c r="O117" s="11" t="inlineStr">
        <is>
          <t>21 Moorfields, London</t>
        </is>
      </c>
      <c r="P117" s="11" t="inlineStr">
        <is>
          <t>EC2Y 9DB</t>
        </is>
      </c>
      <c r="Q117" s="11" t="inlineStr">
        <is>
          <t>No</t>
        </is>
      </c>
      <c r="W117" s="11" t="inlineStr">
        <is>
          <t>Finsbury Leisure Centre (EC1V 3PU)</t>
        </is>
      </c>
      <c r="X117" s="11" t="n">
        <v>16</v>
      </c>
      <c r="Y117" s="11" t="inlineStr">
        <is>
          <t>City of London School (EC4V 3AL) (17.5); Shoreditch Powerleague (17.6)</t>
        </is>
      </c>
      <c r="Z117" s="11" t="inlineStr">
        <is>
          <t>City of London School (EC4V 3AL)</t>
        </is>
      </c>
      <c r="AA117" s="11" t="n">
        <v>18</v>
      </c>
      <c r="AB117" s="14">
        <f>IFERROR(INDEX(Venues!$E$2:$E$17,MATCH(Z117,Venues!$A$2:$A$17,0)),"Not checked")</f>
        <v/>
      </c>
      <c r="AC117" s="14">
        <f>IFERROR(INDEX(Venues!$F$2:$F$17,MATCH(Z117,Venues!$A$2:$A$17,0)),0)</f>
        <v/>
      </c>
      <c r="AD117" s="15">
        <f>IFERROR(INDEX(Venues!$M$2:$M$17,MATCH(Z117,Venues!$A$2:$A$17,0)),"")</f>
        <v/>
      </c>
      <c r="AE117" s="14">
        <f>IFERROR(INDEX(Venues!$N$2:$N$17,MATCH(Z117,Venues!$A$2:$A$17,0)),"5-a-side")</f>
        <v/>
      </c>
      <c r="AF117" s="16">
        <f>IF(Offer!$C$4="","",Offer!$C$4)</f>
        <v/>
      </c>
      <c r="AG117" s="14">
        <f>Z117&amp;" ("&amp;AA117&amp;" min walk) · "&amp;IF(ISNUMBER(AD117),TEXT(AD117,"ddd d mmm, hh:mm"),"slot to confirm with venue")&amp;" · "&amp;AE117&amp;" · "&amp;IF(AF117&lt;&gt;"","£"&amp;TEXT(AF117,"0.00")&amp;" pp","price TBC")</f>
        <v/>
      </c>
      <c r="AH117" s="14">
        <f>IF(U117&lt;&gt;"",U117,IF(H117&lt;&gt;"",H117,""))</f>
        <v/>
      </c>
      <c r="AI117" s="14">
        <f>"After-work football for "&amp;F117&amp;" · "&amp;Z117&amp;", "&amp;AA117&amp;" min from your office"</f>
        <v/>
      </c>
      <c r="AJ117" s="14">
        <f>"Hi "&amp;IF(R117&lt;&gt;"",R117,F117&amp;" team")&amp;","&amp;CHAR(10)&amp;CHAR(10)&amp;"I'm "&amp;IF(AM117&lt;&gt;"",AM117,IF(Offer!$C$5&lt;&gt;"",Offer!$C$5,"[NAME]"))&amp;" from FC Urban. We organise after-work football for teams in the City and Canary Wharf."&amp;CHAR(10)&amp;CHAR(10)&amp;"We have a "&amp;AE117&amp;" pitch at "&amp;Z117&amp;", "&amp;IF(OR(AA117=8,AA117=11,AA117=18),"an ","a ")&amp;AA117&amp;"-minute walk from your "&amp;P117&amp;" office, "&amp;IF(ISNUMBER(AD117),"on "&amp;TEXT(AD117,"dddd d mmmm")&amp;" at "&amp;TEXT(AD117,"hh:mm"),"on a weekday evening that suits your team")&amp;". It's "&amp;IF(AF117&lt;&gt;"","£"&amp;IF(AF117=INT(AF117),TEXT(AF117,"0"),TEXT(AF117,"0.00")),"[PRICE PER PLAYER]")&amp;" a player and we handle the pitch booking, sign-ups and payments, so all it takes is one person sharing a link with the team."&amp;CHAR(10)&amp;CHAR(10)&amp;"It works well as a team social or "&amp;IF(ISNUMBER(SEARCH(LEFT(F117,1),"AEIOU")),"an ","a ")&amp;F117&amp;"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LINK]")&amp;CHAR(10)&amp;CHAR(10)&amp;"Best,"&amp;CHAR(10)&amp;IF(AM117&lt;&gt;"",AM117,IF(Offer!$C$5&lt;&gt;"",Offer!$C$5,"[NAME]"))&amp;CHAR(10)&amp;"FC Urban"</f>
        <v/>
      </c>
      <c r="AK117" s="14">
        <f>"Hi "&amp;IF(R117&lt;&gt;"",R117,F117&amp;" team")&amp;","&amp;CHAR(10)&amp;CHAR(10)&amp;"Just bumping this up. The "&amp;AE117&amp;" pitch at "&amp;Z117&amp;" is still free "&amp;IF(ISNUMBER(AD117),TEXT(AD117,"ddd d mmm")&amp;", "&amp;TEXT(AD117,"hh:mm"),"weekday evenings")&amp;", "&amp;IF(OR(AA117=8,AA117=11,AA117=18),"an ","a ")&amp;AA117&amp;"-minute walk from your office, "&amp;IF(AF117&lt;&gt;"","£"&amp;IF(AF117=INT(AF117),TEXT(AF117,"0"),TEXT(AF117,"0.00")),"[PRICE PER PLAYER]")&amp;" a player. Happy to hold it for "&amp;F117&amp;"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LINK]")&amp;CHAR(10)&amp;CHAR(10)&amp;"Best,"&amp;CHAR(10)&amp;IF(AM117&lt;&gt;"",AM117,IF(Offer!$C$5&lt;&gt;"",Offer!$C$5,"[NAME]"))&amp;CHAR(10)&amp;"FC Urban"</f>
        <v/>
      </c>
      <c r="AL117" s="14">
        <f>IF(AH117="","No email yet",IF(ISNUMBER(SEARCH("[",AJ117)),"Fill placeholders",IF(ISNUMBER(AD117),"Ready to send","Ready · no fixed slot")))</f>
        <v/>
      </c>
      <c r="AO117" s="17" t="n"/>
      <c r="AP117" s="17" t="n"/>
    </row>
    <row r="118">
      <c r="A118" s="11" t="n">
        <v>116</v>
      </c>
      <c r="B118" s="11" t="n">
        <v>2</v>
      </c>
      <c r="C118" s="11" t="inlineStr">
        <is>
          <t>Bank</t>
        </is>
      </c>
      <c r="D118" s="11" t="inlineStr">
        <is>
          <t>City of London</t>
        </is>
      </c>
      <c r="E118" s="11" t="inlineStr">
        <is>
          <t>FCMB Bank (UK) Limited</t>
        </is>
      </c>
      <c r="F118" s="11" t="inlineStr">
        <is>
          <t>FCMB Bank</t>
        </is>
      </c>
      <c r="G118" s="12" t="inlineStr">
        <is>
          <t>https://fcmbuk.com/</t>
        </is>
      </c>
      <c r="H118" s="11" t="inlineStr">
        <is>
          <t>info@fcmbuk.com</t>
        </is>
      </c>
      <c r="I118" s="11" t="inlineStr">
        <is>
          <t>general</t>
        </is>
      </c>
      <c r="J118" s="12" t="inlineStr">
        <is>
          <t>Open page</t>
        </is>
      </c>
      <c r="K118" s="11" t="inlineStr">
        <is>
          <t>06621225</t>
        </is>
      </c>
      <c r="L118" s="12" t="inlineStr">
        <is>
          <t>Open</t>
        </is>
      </c>
      <c r="M118" s="11" t="inlineStr">
        <is>
          <t>Full</t>
        </is>
      </c>
      <c r="N118" s="13" t="n">
        <v>39615</v>
      </c>
      <c r="O118" s="11" t="inlineStr">
        <is>
          <t>Dawson House, 5 Jewry Street, London</t>
        </is>
      </c>
      <c r="P118" s="11" t="inlineStr">
        <is>
          <t>EC3N 2EX</t>
        </is>
      </c>
      <c r="Q118" s="11" t="inlineStr">
        <is>
          <t>No</t>
        </is>
      </c>
      <c r="W118" s="11" t="inlineStr">
        <is>
          <t>Liverpool St - Attlee Centre</t>
        </is>
      </c>
      <c r="X118" s="11" t="n">
        <v>10</v>
      </c>
      <c r="Y118" s="11" t="inlineStr">
        <is>
          <t>Whitechapel (18.7); Shoreditch Powerleague (18.8)</t>
        </is>
      </c>
      <c r="Z118" s="11" t="inlineStr">
        <is>
          <t>Shoreditch Powerleague</t>
        </is>
      </c>
      <c r="AA118" s="11" t="n">
        <v>19</v>
      </c>
      <c r="AB118" s="14">
        <f>IFERROR(INDEX(Venues!$E$2:$E$17,MATCH(Z118,Venues!$A$2:$A$17,0)),"Not checked")</f>
        <v/>
      </c>
      <c r="AC118" s="14">
        <f>IFERROR(INDEX(Venues!$F$2:$F$17,MATCH(Z118,Venues!$A$2:$A$17,0)),0)</f>
        <v/>
      </c>
      <c r="AD118" s="15">
        <f>IFERROR(INDEX(Venues!$M$2:$M$17,MATCH(Z118,Venues!$A$2:$A$17,0)),"")</f>
        <v/>
      </c>
      <c r="AE118" s="14">
        <f>IFERROR(INDEX(Venues!$N$2:$N$17,MATCH(Z118,Venues!$A$2:$A$17,0)),"5-a-side")</f>
        <v/>
      </c>
      <c r="AF118" s="16">
        <f>IF(Offer!$C$4="","",Offer!$C$4)</f>
        <v/>
      </c>
      <c r="AG118" s="14">
        <f>Z118&amp;" ("&amp;AA118&amp;" min walk) · "&amp;IF(ISNUMBER(AD118),TEXT(AD118,"ddd d mmm, hh:mm"),"slot to confirm with venue")&amp;" · "&amp;AE118&amp;" · "&amp;IF(AF118&lt;&gt;"","£"&amp;TEXT(AF118,"0.00")&amp;" pp","price TBC")</f>
        <v/>
      </c>
      <c r="AH118" s="14">
        <f>IF(U118&lt;&gt;"",U118,IF(H118&lt;&gt;"",H118,""))</f>
        <v/>
      </c>
      <c r="AI118" s="14">
        <f>"After-work football for "&amp;F118&amp;" · "&amp;Z118&amp;", "&amp;AA118&amp;" min from your office"</f>
        <v/>
      </c>
      <c r="AJ118" s="14">
        <f>"Hi "&amp;IF(R118&lt;&gt;"",R118,F118&amp;" team")&amp;","&amp;CHAR(10)&amp;CHAR(10)&amp;"I'm "&amp;IF(AM118&lt;&gt;"",AM118,IF(Offer!$C$5&lt;&gt;"",Offer!$C$5,"[NAME]"))&amp;" from FC Urban. We organise after-work football for teams in the City and Canary Wharf."&amp;CHAR(10)&amp;CHAR(10)&amp;"We have a "&amp;AE118&amp;" pitch at "&amp;Z118&amp;", "&amp;IF(OR(AA118=8,AA118=11,AA118=18),"an ","a ")&amp;AA118&amp;"-minute walk from your "&amp;P118&amp;" office, "&amp;IF(ISNUMBER(AD118),"on "&amp;TEXT(AD118,"dddd d mmmm")&amp;" at "&amp;TEXT(AD118,"hh:mm"),"on a weekday evening that suits your team")&amp;". It's "&amp;IF(AF118&lt;&gt;"","£"&amp;IF(AF118=INT(AF118),TEXT(AF118,"0"),TEXT(AF118,"0.00")),"[PRICE PER PLAYER]")&amp;" a player and we handle the pitch booking, sign-ups and payments, so all it takes is one person sharing a link with the team."&amp;CHAR(10)&amp;CHAR(10)&amp;"It works well as a team social or "&amp;IF(ISNUMBER(SEARCH(LEFT(F118,1),"AEIOU")),"an ","a ")&amp;F118&amp;"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LINK]")&amp;CHAR(10)&amp;CHAR(10)&amp;"Best,"&amp;CHAR(10)&amp;IF(AM118&lt;&gt;"",AM118,IF(Offer!$C$5&lt;&gt;"",Offer!$C$5,"[NAME]"))&amp;CHAR(10)&amp;"FC Urban"</f>
        <v/>
      </c>
      <c r="AK118" s="14">
        <f>"Hi "&amp;IF(R118&lt;&gt;"",R118,F118&amp;" team")&amp;","&amp;CHAR(10)&amp;CHAR(10)&amp;"Just bumping this up. The "&amp;AE118&amp;" pitch at "&amp;Z118&amp;" is still free "&amp;IF(ISNUMBER(AD118),TEXT(AD118,"ddd d mmm")&amp;", "&amp;TEXT(AD118,"hh:mm"),"weekday evenings")&amp;", "&amp;IF(OR(AA118=8,AA118=11,AA118=18),"an ","a ")&amp;AA118&amp;"-minute walk from your office, "&amp;IF(AF118&lt;&gt;"","£"&amp;IF(AF118=INT(AF118),TEXT(AF118,"0"),TEXT(AF118,"0.00")),"[PRICE PER PLAYER]")&amp;" a player. Happy to hold it for "&amp;F118&amp;"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LINK]")&amp;CHAR(10)&amp;CHAR(10)&amp;"Best,"&amp;CHAR(10)&amp;IF(AM118&lt;&gt;"",AM118,IF(Offer!$C$5&lt;&gt;"",Offer!$C$5,"[NAME]"))&amp;CHAR(10)&amp;"FC Urban"</f>
        <v/>
      </c>
      <c r="AL118" s="14">
        <f>IF(AH118="","No email yet",IF(ISNUMBER(SEARCH("[",AJ118)),"Fill placeholders",IF(ISNUMBER(AD118),"Ready to send","Ready · no fixed slot")))</f>
        <v/>
      </c>
      <c r="AO118" s="17" t="n"/>
      <c r="AP118" s="17" t="n"/>
    </row>
    <row r="119">
      <c r="A119" s="11" t="n">
        <v>117</v>
      </c>
      <c r="B119" s="11" t="n">
        <v>2</v>
      </c>
      <c r="C119" s="11" t="inlineStr">
        <is>
          <t>Public / state-owned bank</t>
        </is>
      </c>
      <c r="D119" s="11" t="inlineStr">
        <is>
          <t>City of London</t>
        </is>
      </c>
      <c r="E119" s="11" t="inlineStr">
        <is>
          <t>Ghana International Bank Public Limited Company</t>
        </is>
      </c>
      <c r="F119" s="11" t="inlineStr">
        <is>
          <t>Ghana International Bank</t>
        </is>
      </c>
      <c r="G119" s="12" t="inlineStr">
        <is>
          <t>https://ghana.com</t>
        </is>
      </c>
      <c r="H119" s="11" t="inlineStr">
        <is>
          <t>support@ghana.com</t>
        </is>
      </c>
      <c r="I119" s="11" t="inlineStr">
        <is>
          <t>role (other)</t>
        </is>
      </c>
      <c r="J119" s="12" t="inlineStr">
        <is>
          <t>Open page</t>
        </is>
      </c>
      <c r="K119" s="11" t="inlineStr">
        <is>
          <t>03468216</t>
        </is>
      </c>
      <c r="L119" s="12" t="inlineStr">
        <is>
          <t>Open</t>
        </is>
      </c>
      <c r="M119" s="11" t="inlineStr">
        <is>
          <t>Full</t>
        </is>
      </c>
      <c r="N119" s="13" t="n">
        <v>35747</v>
      </c>
      <c r="O119" s="11" t="inlineStr">
        <is>
          <t>Regina House 67 Cheapside, 1St Floor, London</t>
        </is>
      </c>
      <c r="P119" s="11" t="inlineStr">
        <is>
          <t>EC2V 6AZ</t>
        </is>
      </c>
      <c r="Q119" s="11" t="inlineStr">
        <is>
          <t>Yes</t>
        </is>
      </c>
      <c r="W119" s="11" t="inlineStr">
        <is>
          <t>City of London School (EC4V 3AL)</t>
        </is>
      </c>
      <c r="X119" s="11" t="n">
        <v>9</v>
      </c>
      <c r="Y119" s="11" t="inlineStr">
        <is>
          <t>Marlborough Sports Garden (SE1 1SD) (18.5)</t>
        </is>
      </c>
      <c r="Z119" s="11" t="inlineStr">
        <is>
          <t>City of London School (EC4V 3AL)</t>
        </is>
      </c>
      <c r="AA119" s="11" t="n">
        <v>9</v>
      </c>
      <c r="AB119" s="14">
        <f>IFERROR(INDEX(Venues!$E$2:$E$17,MATCH(Z119,Venues!$A$2:$A$17,0)),"Not checked")</f>
        <v/>
      </c>
      <c r="AC119" s="14">
        <f>IFERROR(INDEX(Venues!$F$2:$F$17,MATCH(Z119,Venues!$A$2:$A$17,0)),0)</f>
        <v/>
      </c>
      <c r="AD119" s="15">
        <f>IFERROR(INDEX(Venues!$M$2:$M$17,MATCH(Z119,Venues!$A$2:$A$17,0)),"")</f>
        <v/>
      </c>
      <c r="AE119" s="14">
        <f>IFERROR(INDEX(Venues!$N$2:$N$17,MATCH(Z119,Venues!$A$2:$A$17,0)),"5-a-side")</f>
        <v/>
      </c>
      <c r="AF119" s="16">
        <f>IF(Offer!$C$4="","",Offer!$C$4)</f>
        <v/>
      </c>
      <c r="AG119" s="14">
        <f>Z119&amp;" ("&amp;AA119&amp;" min walk) · "&amp;IF(ISNUMBER(AD119),TEXT(AD119,"ddd d mmm, hh:mm"),"slot to confirm with venue")&amp;" · "&amp;AE119&amp;" · "&amp;IF(AF119&lt;&gt;"","£"&amp;TEXT(AF119,"0.00")&amp;" pp","price TBC")</f>
        <v/>
      </c>
      <c r="AH119" s="14">
        <f>IF(U119&lt;&gt;"",U119,IF(H119&lt;&gt;"",H119,""))</f>
        <v/>
      </c>
      <c r="AI119" s="14">
        <f>"After-work football for "&amp;F119&amp;" · "&amp;Z119&amp;", "&amp;AA119&amp;" min from your office"</f>
        <v/>
      </c>
      <c r="AJ119" s="14">
        <f>"Hi "&amp;IF(R119&lt;&gt;"",R119,F119&amp;" team")&amp;","&amp;CHAR(10)&amp;CHAR(10)&amp;"I'm "&amp;IF(AM119&lt;&gt;"",AM119,IF(Offer!$C$5&lt;&gt;"",Offer!$C$5,"[NAME]"))&amp;" from FC Urban. We organise after-work football for teams in the City and Canary Wharf."&amp;CHAR(10)&amp;CHAR(10)&amp;"We have a "&amp;AE119&amp;" pitch at "&amp;Z119&amp;", "&amp;IF(OR(AA119=8,AA119=11,AA119=18),"an ","a ")&amp;AA119&amp;"-minute walk from your "&amp;P119&amp;" office, "&amp;IF(ISNUMBER(AD119),"on "&amp;TEXT(AD119,"dddd d mmmm")&amp;" at "&amp;TEXT(AD119,"hh:mm"),"on a weekday evening that suits your team")&amp;". It's "&amp;IF(AF119&lt;&gt;"","£"&amp;IF(AF119=INT(AF119),TEXT(AF119,"0"),TEXT(AF119,"0.00")),"[PRICE PER PLAYER]")&amp;" a player and we handle the pitch booking, sign-ups and payments, so all it takes is one person sharing a link with the team."&amp;CHAR(10)&amp;CHAR(10)&amp;"It works well as a team social or "&amp;IF(ISNUMBER(SEARCH(LEFT(F119,1),"AEIOU")),"an ","a ")&amp;F119&amp;"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LINK]")&amp;CHAR(10)&amp;CHAR(10)&amp;"Best,"&amp;CHAR(10)&amp;IF(AM119&lt;&gt;"",AM119,IF(Offer!$C$5&lt;&gt;"",Offer!$C$5,"[NAME]"))&amp;CHAR(10)&amp;"FC Urban"</f>
        <v/>
      </c>
      <c r="AK119" s="14">
        <f>"Hi "&amp;IF(R119&lt;&gt;"",R119,F119&amp;" team")&amp;","&amp;CHAR(10)&amp;CHAR(10)&amp;"Just bumping this up. The "&amp;AE119&amp;" pitch at "&amp;Z119&amp;" is still free "&amp;IF(ISNUMBER(AD119),TEXT(AD119,"ddd d mmm")&amp;", "&amp;TEXT(AD119,"hh:mm"),"weekday evenings")&amp;", "&amp;IF(OR(AA119=8,AA119=11,AA119=18),"an ","a ")&amp;AA119&amp;"-minute walk from your office, "&amp;IF(AF119&lt;&gt;"","£"&amp;IF(AF119=INT(AF119),TEXT(AF119,"0"),TEXT(AF119,"0.00")),"[PRICE PER PLAYER]")&amp;" a player. Happy to hold it for "&amp;F119&amp;"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LINK]")&amp;CHAR(10)&amp;CHAR(10)&amp;"Best,"&amp;CHAR(10)&amp;IF(AM119&lt;&gt;"",AM119,IF(Offer!$C$5&lt;&gt;"",Offer!$C$5,"[NAME]"))&amp;CHAR(10)&amp;"FC Urban"</f>
        <v/>
      </c>
      <c r="AL119" s="14">
        <f>IF(AH119="","No email yet",IF(ISNUMBER(SEARCH("[",AJ119)),"Fill placeholders",IF(ISNUMBER(AD119),"Ready to send","Ready · no fixed slot")))</f>
        <v/>
      </c>
      <c r="AO119" s="17" t="n"/>
      <c r="AP119" s="17" t="n"/>
    </row>
    <row r="120">
      <c r="A120" s="11" t="n">
        <v>118</v>
      </c>
      <c r="B120" s="11" t="n">
        <v>2</v>
      </c>
      <c r="C120" s="11" t="inlineStr">
        <is>
          <t>Public / state-owned bank</t>
        </is>
      </c>
      <c r="D120" s="11" t="inlineStr">
        <is>
          <t>City of London</t>
        </is>
      </c>
      <c r="E120" s="11" t="inlineStr">
        <is>
          <t>Union Bank of India (UK) Limited</t>
        </is>
      </c>
      <c r="F120" s="11" t="inlineStr">
        <is>
          <t>Union Bank of India</t>
        </is>
      </c>
      <c r="G120" s="12" t="inlineStr">
        <is>
          <t>https://www.unionbankofindiauk.co.uk/</t>
        </is>
      </c>
      <c r="H120" s="11" t="inlineStr">
        <is>
          <t>info@unionbankofindiauk.co.uk</t>
        </is>
      </c>
      <c r="I120" s="11" t="inlineStr">
        <is>
          <t>general</t>
        </is>
      </c>
      <c r="J120" s="12" t="inlineStr">
        <is>
          <t>Open page</t>
        </is>
      </c>
      <c r="K120" s="11" t="inlineStr">
        <is>
          <t>07653660</t>
        </is>
      </c>
      <c r="L120" s="12" t="inlineStr">
        <is>
          <t>Open</t>
        </is>
      </c>
      <c r="M120" s="11" t="inlineStr">
        <is>
          <t>Full</t>
        </is>
      </c>
      <c r="N120" s="13" t="n">
        <v>40695</v>
      </c>
      <c r="O120" s="11" t="inlineStr">
        <is>
          <t>12 Arthur Street, London</t>
        </is>
      </c>
      <c r="P120" s="11" t="inlineStr">
        <is>
          <t>EC4R 9AB</t>
        </is>
      </c>
      <c r="Q120" s="11" t="inlineStr">
        <is>
          <t>Yes</t>
        </is>
      </c>
      <c r="W120" s="11" t="inlineStr">
        <is>
          <t>City of London School (EC4V 3AL)</t>
        </is>
      </c>
      <c r="X120" s="11" t="n">
        <v>12</v>
      </c>
      <c r="Y120" s="11" t="inlineStr">
        <is>
          <t>Marlborough Sports Garden (SE1 1SD) (13.4)</t>
        </is>
      </c>
      <c r="Z120" s="11" t="inlineStr">
        <is>
          <t>City of London School (EC4V 3AL)</t>
        </is>
      </c>
      <c r="AA120" s="11" t="n">
        <v>12</v>
      </c>
      <c r="AB120" s="14">
        <f>IFERROR(INDEX(Venues!$E$2:$E$17,MATCH(Z120,Venues!$A$2:$A$17,0)),"Not checked")</f>
        <v/>
      </c>
      <c r="AC120" s="14">
        <f>IFERROR(INDEX(Venues!$F$2:$F$17,MATCH(Z120,Venues!$A$2:$A$17,0)),0)</f>
        <v/>
      </c>
      <c r="AD120" s="15">
        <f>IFERROR(INDEX(Venues!$M$2:$M$17,MATCH(Z120,Venues!$A$2:$A$17,0)),"")</f>
        <v/>
      </c>
      <c r="AE120" s="14">
        <f>IFERROR(INDEX(Venues!$N$2:$N$17,MATCH(Z120,Venues!$A$2:$A$17,0)),"5-a-side")</f>
        <v/>
      </c>
      <c r="AF120" s="16">
        <f>IF(Offer!$C$4="","",Offer!$C$4)</f>
        <v/>
      </c>
      <c r="AG120" s="14">
        <f>Z120&amp;" ("&amp;AA120&amp;" min walk) · "&amp;IF(ISNUMBER(AD120),TEXT(AD120,"ddd d mmm, hh:mm"),"slot to confirm with venue")&amp;" · "&amp;AE120&amp;" · "&amp;IF(AF120&lt;&gt;"","£"&amp;TEXT(AF120,"0.00")&amp;" pp","price TBC")</f>
        <v/>
      </c>
      <c r="AH120" s="14">
        <f>IF(U120&lt;&gt;"",U120,IF(H120&lt;&gt;"",H120,""))</f>
        <v/>
      </c>
      <c r="AI120" s="14">
        <f>"After-work football for "&amp;F120&amp;" · "&amp;Z120&amp;", "&amp;AA120&amp;" min from your office"</f>
        <v/>
      </c>
      <c r="AJ120" s="14">
        <f>"Hi "&amp;IF(R120&lt;&gt;"",R120,F120&amp;" team")&amp;","&amp;CHAR(10)&amp;CHAR(10)&amp;"I'm "&amp;IF(AM120&lt;&gt;"",AM120,IF(Offer!$C$5&lt;&gt;"",Offer!$C$5,"[NAME]"))&amp;" from FC Urban. We organise after-work football for teams in the City and Canary Wharf."&amp;CHAR(10)&amp;CHAR(10)&amp;"We have a "&amp;AE120&amp;" pitch at "&amp;Z120&amp;", "&amp;IF(OR(AA120=8,AA120=11,AA120=18),"an ","a ")&amp;AA120&amp;"-minute walk from your "&amp;P120&amp;" office, "&amp;IF(ISNUMBER(AD120),"on "&amp;TEXT(AD120,"dddd d mmmm")&amp;" at "&amp;TEXT(AD120,"hh:mm"),"on a weekday evening that suits your team")&amp;". It's "&amp;IF(AF120&lt;&gt;"","£"&amp;IF(AF120=INT(AF120),TEXT(AF120,"0"),TEXT(AF120,"0.00")),"[PRICE PER PLAYER]")&amp;" a player and we handle the pitch booking, sign-ups and payments, so all it takes is one person sharing a link with the team."&amp;CHAR(10)&amp;CHAR(10)&amp;"It works well as a team social or "&amp;IF(ISNUMBER(SEARCH(LEFT(F120,1),"AEIOU")),"an ","a ")&amp;F120&amp;"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LINK]")&amp;CHAR(10)&amp;CHAR(10)&amp;"Best,"&amp;CHAR(10)&amp;IF(AM120&lt;&gt;"",AM120,IF(Offer!$C$5&lt;&gt;"",Offer!$C$5,"[NAME]"))&amp;CHAR(10)&amp;"FC Urban"</f>
        <v/>
      </c>
      <c r="AK120" s="14">
        <f>"Hi "&amp;IF(R120&lt;&gt;"",R120,F120&amp;" team")&amp;","&amp;CHAR(10)&amp;CHAR(10)&amp;"Just bumping this up. The "&amp;AE120&amp;" pitch at "&amp;Z120&amp;" is still free "&amp;IF(ISNUMBER(AD120),TEXT(AD120,"ddd d mmm")&amp;", "&amp;TEXT(AD120,"hh:mm"),"weekday evenings")&amp;", "&amp;IF(OR(AA120=8,AA120=11,AA120=18),"an ","a ")&amp;AA120&amp;"-minute walk from your office, "&amp;IF(AF120&lt;&gt;"","£"&amp;IF(AF120=INT(AF120),TEXT(AF120,"0"),TEXT(AF120,"0.00")),"[PRICE PER PLAYER]")&amp;" a player. Happy to hold it for "&amp;F120&amp;"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LINK]")&amp;CHAR(10)&amp;CHAR(10)&amp;"Best,"&amp;CHAR(10)&amp;IF(AM120&lt;&gt;"",AM120,IF(Offer!$C$5&lt;&gt;"",Offer!$C$5,"[NAME]"))&amp;CHAR(10)&amp;"FC Urban"</f>
        <v/>
      </c>
      <c r="AL120" s="14">
        <f>IF(AH120="","No email yet",IF(ISNUMBER(SEARCH("[",AJ120)),"Fill placeholders",IF(ISNUMBER(AD120),"Ready to send","Ready · no fixed slot")))</f>
        <v/>
      </c>
      <c r="AO120" s="17" t="n"/>
      <c r="AP120" s="17" t="n"/>
    </row>
    <row r="121">
      <c r="A121" s="11" t="n">
        <v>119</v>
      </c>
      <c r="B121" s="11" t="n">
        <v>2</v>
      </c>
      <c r="C121" s="11" t="inlineStr">
        <is>
          <t>Public / state-owned bank</t>
        </is>
      </c>
      <c r="D121" s="11" t="inlineStr">
        <is>
          <t>City of London</t>
        </is>
      </c>
      <c r="E121" s="11" t="inlineStr">
        <is>
          <t>Punjab National Bank (International) Limited</t>
        </is>
      </c>
      <c r="F121" s="11" t="inlineStr">
        <is>
          <t>Punjab National Bank</t>
        </is>
      </c>
      <c r="G121" s="12" t="inlineStr">
        <is>
          <t>https://www.pnbint.co.uk/</t>
        </is>
      </c>
      <c r="H121" s="11" t="inlineStr">
        <is>
          <t>help@pnbint.co.uk</t>
        </is>
      </c>
      <c r="I121" s="11" t="inlineStr">
        <is>
          <t>general</t>
        </is>
      </c>
      <c r="J121" s="12" t="inlineStr">
        <is>
          <t>Open page</t>
        </is>
      </c>
      <c r="K121" s="11" t="inlineStr">
        <is>
          <t>05781326</t>
        </is>
      </c>
      <c r="L121" s="12" t="inlineStr">
        <is>
          <t>Open</t>
        </is>
      </c>
      <c r="M121" s="11" t="inlineStr">
        <is>
          <t>Full</t>
        </is>
      </c>
      <c r="N121" s="13" t="n">
        <v>38820</v>
      </c>
      <c r="O121" s="11" t="inlineStr">
        <is>
          <t>1 Moorgate, London</t>
        </is>
      </c>
      <c r="P121" s="11" t="inlineStr">
        <is>
          <t>EC2R 6JH</t>
        </is>
      </c>
      <c r="Q121" s="11" t="inlineStr">
        <is>
          <t>Yes</t>
        </is>
      </c>
      <c r="W121" s="11" t="inlineStr">
        <is>
          <t>City of London School (EC4V 3AL)</t>
        </is>
      </c>
      <c r="X121" s="11" t="n">
        <v>13</v>
      </c>
      <c r="Y121" s="11" t="n"/>
      <c r="Z121" s="11" t="inlineStr">
        <is>
          <t>City of London School (EC4V 3AL)</t>
        </is>
      </c>
      <c r="AA121" s="11" t="n">
        <v>13</v>
      </c>
      <c r="AB121" s="14">
        <f>IFERROR(INDEX(Venues!$E$2:$E$17,MATCH(Z121,Venues!$A$2:$A$17,0)),"Not checked")</f>
        <v/>
      </c>
      <c r="AC121" s="14">
        <f>IFERROR(INDEX(Venues!$F$2:$F$17,MATCH(Z121,Venues!$A$2:$A$17,0)),0)</f>
        <v/>
      </c>
      <c r="AD121" s="15">
        <f>IFERROR(INDEX(Venues!$M$2:$M$17,MATCH(Z121,Venues!$A$2:$A$17,0)),"")</f>
        <v/>
      </c>
      <c r="AE121" s="14">
        <f>IFERROR(INDEX(Venues!$N$2:$N$17,MATCH(Z121,Venues!$A$2:$A$17,0)),"5-a-side")</f>
        <v/>
      </c>
      <c r="AF121" s="16">
        <f>IF(Offer!$C$4="","",Offer!$C$4)</f>
        <v/>
      </c>
      <c r="AG121" s="14">
        <f>Z121&amp;" ("&amp;AA121&amp;" min walk) · "&amp;IF(ISNUMBER(AD121),TEXT(AD121,"ddd d mmm, hh:mm"),"slot to confirm with venue")&amp;" · "&amp;AE121&amp;" · "&amp;IF(AF121&lt;&gt;"","£"&amp;TEXT(AF121,"0.00")&amp;" pp","price TBC")</f>
        <v/>
      </c>
      <c r="AH121" s="14">
        <f>IF(U121&lt;&gt;"",U121,IF(H121&lt;&gt;"",H121,""))</f>
        <v/>
      </c>
      <c r="AI121" s="14">
        <f>"After-work football for "&amp;F121&amp;" · "&amp;Z121&amp;", "&amp;AA121&amp;" min from your office"</f>
        <v/>
      </c>
      <c r="AJ121" s="14">
        <f>"Hi "&amp;IF(R121&lt;&gt;"",R121,F121&amp;" team")&amp;","&amp;CHAR(10)&amp;CHAR(10)&amp;"I'm "&amp;IF(AM121&lt;&gt;"",AM121,IF(Offer!$C$5&lt;&gt;"",Offer!$C$5,"[NAME]"))&amp;" from FC Urban. We organise after-work football for teams in the City and Canary Wharf."&amp;CHAR(10)&amp;CHAR(10)&amp;"We have a "&amp;AE121&amp;" pitch at "&amp;Z121&amp;", "&amp;IF(OR(AA121=8,AA121=11,AA121=18),"an ","a ")&amp;AA121&amp;"-minute walk from your "&amp;P121&amp;" office, "&amp;IF(ISNUMBER(AD121),"on "&amp;TEXT(AD121,"dddd d mmmm")&amp;" at "&amp;TEXT(AD121,"hh:mm"),"on a weekday evening that suits your team")&amp;". It's "&amp;IF(AF121&lt;&gt;"","£"&amp;IF(AF121=INT(AF121),TEXT(AF121,"0"),TEXT(AF121,"0.00")),"[PRICE PER PLAYER]")&amp;" a player and we handle the pitch booking, sign-ups and payments, so all it takes is one person sharing a link with the team."&amp;CHAR(10)&amp;CHAR(10)&amp;"It works well as a team social or "&amp;IF(ISNUMBER(SEARCH(LEFT(F121,1),"AEIOU")),"an ","a ")&amp;F121&amp;"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LINK]")&amp;CHAR(10)&amp;CHAR(10)&amp;"Best,"&amp;CHAR(10)&amp;IF(AM121&lt;&gt;"",AM121,IF(Offer!$C$5&lt;&gt;"",Offer!$C$5,"[NAME]"))&amp;CHAR(10)&amp;"FC Urban"</f>
        <v/>
      </c>
      <c r="AK121" s="14">
        <f>"Hi "&amp;IF(R121&lt;&gt;"",R121,F121&amp;" team")&amp;","&amp;CHAR(10)&amp;CHAR(10)&amp;"Just bumping this up. The "&amp;AE121&amp;" pitch at "&amp;Z121&amp;" is still free "&amp;IF(ISNUMBER(AD121),TEXT(AD121,"ddd d mmm")&amp;", "&amp;TEXT(AD121,"hh:mm"),"weekday evenings")&amp;", "&amp;IF(OR(AA121=8,AA121=11,AA121=18),"an ","a ")&amp;AA121&amp;"-minute walk from your office, "&amp;IF(AF121&lt;&gt;"","£"&amp;IF(AF121=INT(AF121),TEXT(AF121,"0"),TEXT(AF121,"0.00")),"[PRICE PER PLAYER]")&amp;" a player. Happy to hold it for "&amp;F121&amp;"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LINK]")&amp;CHAR(10)&amp;CHAR(10)&amp;"Best,"&amp;CHAR(10)&amp;IF(AM121&lt;&gt;"",AM121,IF(Offer!$C$5&lt;&gt;"",Offer!$C$5,"[NAME]"))&amp;CHAR(10)&amp;"FC Urban"</f>
        <v/>
      </c>
      <c r="AL121" s="14">
        <f>IF(AH121="","No email yet",IF(ISNUMBER(SEARCH("[",AJ121)),"Fill placeholders",IF(ISNUMBER(AD121),"Ready to send","Ready · no fixed slot")))</f>
        <v/>
      </c>
      <c r="AO121" s="17" t="n"/>
      <c r="AP121" s="17" t="n"/>
    </row>
    <row r="122">
      <c r="A122" s="11" t="n">
        <v>120</v>
      </c>
      <c r="B122" s="11" t="n">
        <v>2</v>
      </c>
      <c r="C122" s="11" t="inlineStr">
        <is>
          <t>Public / state-owned bank</t>
        </is>
      </c>
      <c r="D122" s="11" t="inlineStr">
        <is>
          <t>City of London</t>
        </is>
      </c>
      <c r="E122" s="11" t="inlineStr">
        <is>
          <t>The Private Infrastructure Development Group Limited</t>
        </is>
      </c>
      <c r="F122" s="11" t="inlineStr">
        <is>
          <t>PIDG</t>
        </is>
      </c>
      <c r="G122" s="12" t="inlineStr">
        <is>
          <t>https://www.pidg.com</t>
        </is>
      </c>
      <c r="H122" s="11" t="n"/>
      <c r="I122" s="11" t="inlineStr">
        <is>
          <t>Not found</t>
        </is>
      </c>
      <c r="J122" s="11" t="n"/>
      <c r="K122" s="11" t="inlineStr">
        <is>
          <t>11265124</t>
        </is>
      </c>
      <c r="L122" s="12" t="inlineStr">
        <is>
          <t>Open</t>
        </is>
      </c>
      <c r="M122" s="11" t="inlineStr">
        <is>
          <t>Full</t>
        </is>
      </c>
      <c r="N122" s="13" t="n">
        <v>43179</v>
      </c>
      <c r="O122" s="11" t="inlineStr">
        <is>
          <t>6 Bevis Marks, London</t>
        </is>
      </c>
      <c r="P122" s="11" t="inlineStr">
        <is>
          <t>EC3A 7BA</t>
        </is>
      </c>
      <c r="Q122" s="11" t="inlineStr">
        <is>
          <t>No</t>
        </is>
      </c>
      <c r="W122" s="11" t="inlineStr">
        <is>
          <t>Liverpool St - Attlee Centre</t>
        </is>
      </c>
      <c r="X122" s="11" t="n">
        <v>9</v>
      </c>
      <c r="Y122" s="11" t="inlineStr">
        <is>
          <t>Shoreditch Powerleague (15.6)</t>
        </is>
      </c>
      <c r="Z122" s="11" t="inlineStr">
        <is>
          <t>Shoreditch Powerleague</t>
        </is>
      </c>
      <c r="AA122" s="11" t="n">
        <v>16</v>
      </c>
      <c r="AB122" s="14">
        <f>IFERROR(INDEX(Venues!$E$2:$E$17,MATCH(Z122,Venues!$A$2:$A$17,0)),"Not checked")</f>
        <v/>
      </c>
      <c r="AC122" s="14">
        <f>IFERROR(INDEX(Venues!$F$2:$F$17,MATCH(Z122,Venues!$A$2:$A$17,0)),0)</f>
        <v/>
      </c>
      <c r="AD122" s="15">
        <f>IFERROR(INDEX(Venues!$M$2:$M$17,MATCH(Z122,Venues!$A$2:$A$17,0)),"")</f>
        <v/>
      </c>
      <c r="AE122" s="14">
        <f>IFERROR(INDEX(Venues!$N$2:$N$17,MATCH(Z122,Venues!$A$2:$A$17,0)),"5-a-side")</f>
        <v/>
      </c>
      <c r="AF122" s="16">
        <f>IF(Offer!$C$4="","",Offer!$C$4)</f>
        <v/>
      </c>
      <c r="AG122" s="14">
        <f>Z122&amp;" ("&amp;AA122&amp;" min walk) · "&amp;IF(ISNUMBER(AD122),TEXT(AD122,"ddd d mmm, hh:mm"),"slot to confirm with venue")&amp;" · "&amp;AE122&amp;" · "&amp;IF(AF122&lt;&gt;"","£"&amp;TEXT(AF122,"0.00")&amp;" pp","price TBC")</f>
        <v/>
      </c>
      <c r="AH122" s="14">
        <f>IF(U122&lt;&gt;"",U122,IF(H122&lt;&gt;"",H122,""))</f>
        <v/>
      </c>
      <c r="AI122" s="14">
        <f>"After-work football for "&amp;F122&amp;" · "&amp;Z122&amp;", "&amp;AA122&amp;" min from your office"</f>
        <v/>
      </c>
      <c r="AJ122" s="14">
        <f>"Hi "&amp;IF(R122&lt;&gt;"",R122,F122&amp;" team")&amp;","&amp;CHAR(10)&amp;CHAR(10)&amp;"I'm "&amp;IF(AM122&lt;&gt;"",AM122,IF(Offer!$C$5&lt;&gt;"",Offer!$C$5,"[NAME]"))&amp;" from FC Urban. We organise after-work football for teams in the City and Canary Wharf."&amp;CHAR(10)&amp;CHAR(10)&amp;"We have a "&amp;AE122&amp;" pitch at "&amp;Z122&amp;", "&amp;IF(OR(AA122=8,AA122=11,AA122=18),"an ","a ")&amp;AA122&amp;"-minute walk from your "&amp;P122&amp;" office, "&amp;IF(ISNUMBER(AD122),"on "&amp;TEXT(AD122,"dddd d mmmm")&amp;" at "&amp;TEXT(AD122,"hh:mm"),"on a weekday evening that suits your team")&amp;". It's "&amp;IF(AF122&lt;&gt;"","£"&amp;IF(AF122=INT(AF122),TEXT(AF122,"0"),TEXT(AF122,"0.00")),"[PRICE PER PLAYER]")&amp;" a player and we handle the pitch booking, sign-ups and payments, so all it takes is one person sharing a link with the team."&amp;CHAR(10)&amp;CHAR(10)&amp;"It works well as a team social or "&amp;IF(ISNUMBER(SEARCH(LEFT(F122,1),"AEIOU")),"an ","a ")&amp;F122&amp;"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LINK]")&amp;CHAR(10)&amp;CHAR(10)&amp;"Best,"&amp;CHAR(10)&amp;IF(AM122&lt;&gt;"",AM122,IF(Offer!$C$5&lt;&gt;"",Offer!$C$5,"[NAME]"))&amp;CHAR(10)&amp;"FC Urban"</f>
        <v/>
      </c>
      <c r="AK122" s="14">
        <f>"Hi "&amp;IF(R122&lt;&gt;"",R122,F122&amp;" team")&amp;","&amp;CHAR(10)&amp;CHAR(10)&amp;"Just bumping this up. The "&amp;AE122&amp;" pitch at "&amp;Z122&amp;" is still free "&amp;IF(ISNUMBER(AD122),TEXT(AD122,"ddd d mmm")&amp;", "&amp;TEXT(AD122,"hh:mm"),"weekday evenings")&amp;", "&amp;IF(OR(AA122=8,AA122=11,AA122=18),"an ","a ")&amp;AA122&amp;"-minute walk from your office, "&amp;IF(AF122&lt;&gt;"","£"&amp;IF(AF122=INT(AF122),TEXT(AF122,"0"),TEXT(AF122,"0.00")),"[PRICE PER PLAYER]")&amp;" a player. Happy to hold it for "&amp;F122&amp;"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LINK]")&amp;CHAR(10)&amp;CHAR(10)&amp;"Best,"&amp;CHAR(10)&amp;IF(AM122&lt;&gt;"",AM122,IF(Offer!$C$5&lt;&gt;"",Offer!$C$5,"[NAME]"))&amp;CHAR(10)&amp;"FC Urban"</f>
        <v/>
      </c>
      <c r="AL122" s="14">
        <f>IF(AH122="","No email yet",IF(ISNUMBER(SEARCH("[",AJ122)),"Fill placeholders",IF(ISNUMBER(AD122),"Ready to send","Ready · no fixed slot")))</f>
        <v/>
      </c>
      <c r="AO122" s="17" t="n"/>
      <c r="AP122" s="17" t="n"/>
    </row>
    <row r="123">
      <c r="A123" s="11" t="n">
        <v>121</v>
      </c>
      <c r="B123" s="11" t="n">
        <v>2</v>
      </c>
      <c r="C123" s="11" t="inlineStr">
        <is>
          <t>Public / state-owned bank</t>
        </is>
      </c>
      <c r="D123" s="11" t="inlineStr">
        <is>
          <t>City of London</t>
        </is>
      </c>
      <c r="E123" s="11" t="inlineStr">
        <is>
          <t>KEXIM Bank (UK) Limited</t>
        </is>
      </c>
      <c r="F123" s="11" t="inlineStr">
        <is>
          <t>KEXIM Bank</t>
        </is>
      </c>
      <c r="G123" s="12" t="inlineStr">
        <is>
          <t>https://www.kexim.co.uk/</t>
        </is>
      </c>
      <c r="H123" s="11" t="inlineStr">
        <is>
          <t>london@kexim.co.uk</t>
        </is>
      </c>
      <c r="I123" s="11" t="inlineStr">
        <is>
          <t>general</t>
        </is>
      </c>
      <c r="J123" s="12" t="inlineStr">
        <is>
          <t>Open page</t>
        </is>
      </c>
      <c r="K123" s="11" t="inlineStr">
        <is>
          <t>02693038</t>
        </is>
      </c>
      <c r="L123" s="12" t="inlineStr">
        <is>
          <t>Open</t>
        </is>
      </c>
      <c r="M123" s="11" t="inlineStr">
        <is>
          <t>Full</t>
        </is>
      </c>
      <c r="N123" s="13" t="n">
        <v>33666</v>
      </c>
      <c r="O123" s="11" t="inlineStr">
        <is>
          <t>3Rd Floor Moorgate Hall, 155 Moorgate, London</t>
        </is>
      </c>
      <c r="P123" s="11" t="inlineStr">
        <is>
          <t>EC2M 6XB</t>
        </is>
      </c>
      <c r="Q123" s="11" t="inlineStr">
        <is>
          <t>Yes</t>
        </is>
      </c>
      <c r="W123" s="11" t="inlineStr">
        <is>
          <t>Finsbury Leisure Centre (EC1V 3PU)</t>
        </is>
      </c>
      <c r="X123" s="11" t="n">
        <v>15</v>
      </c>
      <c r="Y123" s="11" t="inlineStr">
        <is>
          <t>Shoreditch Powerleague (16.2); Liverpool St - Attlee Centre (17.1)</t>
        </is>
      </c>
      <c r="Z123" s="11" t="inlineStr">
        <is>
          <t>Shoreditch Powerleague</t>
        </is>
      </c>
      <c r="AA123" s="11" t="n">
        <v>16</v>
      </c>
      <c r="AB123" s="14">
        <f>IFERROR(INDEX(Venues!$E$2:$E$17,MATCH(Z123,Venues!$A$2:$A$17,0)),"Not checked")</f>
        <v/>
      </c>
      <c r="AC123" s="14">
        <f>IFERROR(INDEX(Venues!$F$2:$F$17,MATCH(Z123,Venues!$A$2:$A$17,0)),0)</f>
        <v/>
      </c>
      <c r="AD123" s="15">
        <f>IFERROR(INDEX(Venues!$M$2:$M$17,MATCH(Z123,Venues!$A$2:$A$17,0)),"")</f>
        <v/>
      </c>
      <c r="AE123" s="14">
        <f>IFERROR(INDEX(Venues!$N$2:$N$17,MATCH(Z123,Venues!$A$2:$A$17,0)),"5-a-side")</f>
        <v/>
      </c>
      <c r="AF123" s="16">
        <f>IF(Offer!$C$4="","",Offer!$C$4)</f>
        <v/>
      </c>
      <c r="AG123" s="14">
        <f>Z123&amp;" ("&amp;AA123&amp;" min walk) · "&amp;IF(ISNUMBER(AD123),TEXT(AD123,"ddd d mmm, hh:mm"),"slot to confirm with venue")&amp;" · "&amp;AE123&amp;" · "&amp;IF(AF123&lt;&gt;"","£"&amp;TEXT(AF123,"0.00")&amp;" pp","price TBC")</f>
        <v/>
      </c>
      <c r="AH123" s="14">
        <f>IF(U123&lt;&gt;"",U123,IF(H123&lt;&gt;"",H123,""))</f>
        <v/>
      </c>
      <c r="AI123" s="14">
        <f>"After-work football for "&amp;F123&amp;" · "&amp;Z123&amp;", "&amp;AA123&amp;" min from your office"</f>
        <v/>
      </c>
      <c r="AJ123" s="14">
        <f>"Hi "&amp;IF(R123&lt;&gt;"",R123,F123&amp;" team")&amp;","&amp;CHAR(10)&amp;CHAR(10)&amp;"I'm "&amp;IF(AM123&lt;&gt;"",AM123,IF(Offer!$C$5&lt;&gt;"",Offer!$C$5,"[NAME]"))&amp;" from FC Urban. We organise after-work football for teams in the City and Canary Wharf."&amp;CHAR(10)&amp;CHAR(10)&amp;"We have a "&amp;AE123&amp;" pitch at "&amp;Z123&amp;", "&amp;IF(OR(AA123=8,AA123=11,AA123=18),"an ","a ")&amp;AA123&amp;"-minute walk from your "&amp;P123&amp;" office, "&amp;IF(ISNUMBER(AD123),"on "&amp;TEXT(AD123,"dddd d mmmm")&amp;" at "&amp;TEXT(AD123,"hh:mm"),"on a weekday evening that suits your team")&amp;". It's "&amp;IF(AF123&lt;&gt;"","£"&amp;IF(AF123=INT(AF123),TEXT(AF123,"0"),TEXT(AF123,"0.00")),"[PRICE PER PLAYER]")&amp;" a player and we handle the pitch booking, sign-ups and payments, so all it takes is one person sharing a link with the team."&amp;CHAR(10)&amp;CHAR(10)&amp;"It works well as a team social or "&amp;IF(ISNUMBER(SEARCH(LEFT(F123,1),"AEIOU")),"an ","a ")&amp;F123&amp;"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LINK]")&amp;CHAR(10)&amp;CHAR(10)&amp;"Best,"&amp;CHAR(10)&amp;IF(AM123&lt;&gt;"",AM123,IF(Offer!$C$5&lt;&gt;"",Offer!$C$5,"[NAME]"))&amp;CHAR(10)&amp;"FC Urban"</f>
        <v/>
      </c>
      <c r="AK123" s="14">
        <f>"Hi "&amp;IF(R123&lt;&gt;"",R123,F123&amp;" team")&amp;","&amp;CHAR(10)&amp;CHAR(10)&amp;"Just bumping this up. The "&amp;AE123&amp;" pitch at "&amp;Z123&amp;" is still free "&amp;IF(ISNUMBER(AD123),TEXT(AD123,"ddd d mmm")&amp;", "&amp;TEXT(AD123,"hh:mm"),"weekday evenings")&amp;", "&amp;IF(OR(AA123=8,AA123=11,AA123=18),"an ","a ")&amp;AA123&amp;"-minute walk from your office, "&amp;IF(AF123&lt;&gt;"","£"&amp;IF(AF123=INT(AF123),TEXT(AF123,"0"),TEXT(AF123,"0.00")),"[PRICE PER PLAYER]")&amp;" a player. Happy to hold it for "&amp;F123&amp;"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LINK]")&amp;CHAR(10)&amp;CHAR(10)&amp;"Best,"&amp;CHAR(10)&amp;IF(AM123&lt;&gt;"",AM123,IF(Offer!$C$5&lt;&gt;"",Offer!$C$5,"[NAME]"))&amp;CHAR(10)&amp;"FC Urban"</f>
        <v/>
      </c>
      <c r="AL123" s="14">
        <f>IF(AH123="","No email yet",IF(ISNUMBER(SEARCH("[",AJ123)),"Fill placeholders",IF(ISNUMBER(AD123),"Ready to send","Ready · no fixed slot")))</f>
        <v/>
      </c>
      <c r="AO123" s="17" t="n"/>
      <c r="AP123" s="17" t="n"/>
    </row>
    <row r="124">
      <c r="A124" s="11" t="n">
        <v>122</v>
      </c>
      <c r="B124" s="11" t="n">
        <v>2</v>
      </c>
      <c r="C124" s="11" t="inlineStr">
        <is>
          <t>Private bank</t>
        </is>
      </c>
      <c r="D124" s="11" t="inlineStr">
        <is>
          <t>City of London</t>
        </is>
      </c>
      <c r="E124" s="11" t="inlineStr">
        <is>
          <t>N. M. Rothschild &amp; Sons Limited</t>
        </is>
      </c>
      <c r="F124" s="11" t="inlineStr">
        <is>
          <t>N. M. Rothschild &amp; Sons</t>
        </is>
      </c>
      <c r="G124" s="12" t="inlineStr">
        <is>
          <t>http://www.nmrothschild.com</t>
        </is>
      </c>
      <c r="H124" s="11" t="n"/>
      <c r="I124" s="11" t="inlineStr">
        <is>
          <t>Not found</t>
        </is>
      </c>
      <c r="J124" s="11" t="n"/>
      <c r="K124" s="11" t="inlineStr">
        <is>
          <t>00925279</t>
        </is>
      </c>
      <c r="L124" s="12" t="inlineStr">
        <is>
          <t>Open</t>
        </is>
      </c>
      <c r="M124" s="11" t="inlineStr">
        <is>
          <t>Full</t>
        </is>
      </c>
      <c r="N124" s="13" t="n">
        <v>24838</v>
      </c>
      <c r="O124" s="11" t="inlineStr">
        <is>
          <t>New Court, St Swithin'S Lane, London</t>
        </is>
      </c>
      <c r="P124" s="11" t="inlineStr">
        <is>
          <t>EC4N 8AL</t>
        </is>
      </c>
      <c r="Q124" s="11" t="inlineStr">
        <is>
          <t>No</t>
        </is>
      </c>
      <c r="W124" s="11" t="inlineStr">
        <is>
          <t>City of London School (EC4V 3AL)</t>
        </is>
      </c>
      <c r="X124" s="11" t="n">
        <v>12</v>
      </c>
      <c r="Y124" s="11" t="inlineStr">
        <is>
          <t>Marlborough Sports Garden (SE1 1SD) (15.9)</t>
        </is>
      </c>
      <c r="Z124" s="11" t="inlineStr">
        <is>
          <t>City of London School (EC4V 3AL)</t>
        </is>
      </c>
      <c r="AA124" s="11" t="n">
        <v>12</v>
      </c>
      <c r="AB124" s="14">
        <f>IFERROR(INDEX(Venues!$E$2:$E$17,MATCH(Z124,Venues!$A$2:$A$17,0)),"Not checked")</f>
        <v/>
      </c>
      <c r="AC124" s="14">
        <f>IFERROR(INDEX(Venues!$F$2:$F$17,MATCH(Z124,Venues!$A$2:$A$17,0)),0)</f>
        <v/>
      </c>
      <c r="AD124" s="15">
        <f>IFERROR(INDEX(Venues!$M$2:$M$17,MATCH(Z124,Venues!$A$2:$A$17,0)),"")</f>
        <v/>
      </c>
      <c r="AE124" s="14">
        <f>IFERROR(INDEX(Venues!$N$2:$N$17,MATCH(Z124,Venues!$A$2:$A$17,0)),"5-a-side")</f>
        <v/>
      </c>
      <c r="AF124" s="16">
        <f>IF(Offer!$C$4="","",Offer!$C$4)</f>
        <v/>
      </c>
      <c r="AG124" s="14">
        <f>Z124&amp;" ("&amp;AA124&amp;" min walk) · "&amp;IF(ISNUMBER(AD124),TEXT(AD124,"ddd d mmm, hh:mm"),"slot to confirm with venue")&amp;" · "&amp;AE124&amp;" · "&amp;IF(AF124&lt;&gt;"","£"&amp;TEXT(AF124,"0.00")&amp;" pp","price TBC")</f>
        <v/>
      </c>
      <c r="AH124" s="14">
        <f>IF(U124&lt;&gt;"",U124,IF(H124&lt;&gt;"",H124,""))</f>
        <v/>
      </c>
      <c r="AI124" s="14">
        <f>"After-work football for "&amp;F124&amp;" · "&amp;Z124&amp;", "&amp;AA124&amp;" min from your office"</f>
        <v/>
      </c>
      <c r="AJ124" s="14">
        <f>"Hi "&amp;IF(R124&lt;&gt;"",R124,F124&amp;" team")&amp;","&amp;CHAR(10)&amp;CHAR(10)&amp;"I'm "&amp;IF(AM124&lt;&gt;"",AM124,IF(Offer!$C$5&lt;&gt;"",Offer!$C$5,"[NAME]"))&amp;" from FC Urban. We organise after-work football for teams in the City and Canary Wharf."&amp;CHAR(10)&amp;CHAR(10)&amp;"We have a "&amp;AE124&amp;" pitch at "&amp;Z124&amp;", "&amp;IF(OR(AA124=8,AA124=11,AA124=18),"an ","a ")&amp;AA124&amp;"-minute walk from your "&amp;P124&amp;" office, "&amp;IF(ISNUMBER(AD124),"on "&amp;TEXT(AD124,"dddd d mmmm")&amp;" at "&amp;TEXT(AD124,"hh:mm"),"on a weekday evening that suits your team")&amp;". It's "&amp;IF(AF124&lt;&gt;"","£"&amp;IF(AF124=INT(AF124),TEXT(AF124,"0"),TEXT(AF124,"0.00")),"[PRICE PER PLAYER]")&amp;" a player and we handle the pitch booking, sign-ups and payments, so all it takes is one person sharing a link with the team."&amp;CHAR(10)&amp;CHAR(10)&amp;"It works well as a team social or "&amp;IF(ISNUMBER(SEARCH(LEFT(F124,1),"AEIOU")),"an ","a ")&amp;F124&amp;"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LINK]")&amp;CHAR(10)&amp;CHAR(10)&amp;"Best,"&amp;CHAR(10)&amp;IF(AM124&lt;&gt;"",AM124,IF(Offer!$C$5&lt;&gt;"",Offer!$C$5,"[NAME]"))&amp;CHAR(10)&amp;"FC Urban"</f>
        <v/>
      </c>
      <c r="AK124" s="14">
        <f>"Hi "&amp;IF(R124&lt;&gt;"",R124,F124&amp;" team")&amp;","&amp;CHAR(10)&amp;CHAR(10)&amp;"Just bumping this up. The "&amp;AE124&amp;" pitch at "&amp;Z124&amp;" is still free "&amp;IF(ISNUMBER(AD124),TEXT(AD124,"ddd d mmm")&amp;", "&amp;TEXT(AD124,"hh:mm"),"weekday evenings")&amp;", "&amp;IF(OR(AA124=8,AA124=11,AA124=18),"an ","a ")&amp;AA124&amp;"-minute walk from your office, "&amp;IF(AF124&lt;&gt;"","£"&amp;IF(AF124=INT(AF124),TEXT(AF124,"0"),TEXT(AF124,"0.00")),"[PRICE PER PLAYER]")&amp;" a player. Happy to hold it for "&amp;F124&amp;"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LINK]")&amp;CHAR(10)&amp;CHAR(10)&amp;"Best,"&amp;CHAR(10)&amp;IF(AM124&lt;&gt;"",AM124,IF(Offer!$C$5&lt;&gt;"",Offer!$C$5,"[NAME]"))&amp;CHAR(10)&amp;"FC Urban"</f>
        <v/>
      </c>
      <c r="AL124" s="14">
        <f>IF(AH124="","No email yet",IF(ISNUMBER(SEARCH("[",AJ124)),"Fill placeholders",IF(ISNUMBER(AD124),"Ready to send","Ready · no fixed slot")))</f>
        <v/>
      </c>
      <c r="AO124" s="17" t="n"/>
      <c r="AP124" s="17" t="n"/>
    </row>
    <row r="125">
      <c r="A125" s="11" t="n">
        <v>123</v>
      </c>
      <c r="B125" s="11" t="n">
        <v>2</v>
      </c>
      <c r="C125" s="11" t="inlineStr">
        <is>
          <t>Private bank</t>
        </is>
      </c>
      <c r="D125" s="11" t="inlineStr">
        <is>
          <t>City of London</t>
        </is>
      </c>
      <c r="E125" s="11" t="inlineStr">
        <is>
          <t>Brown Shipley &amp; Co. Limited</t>
        </is>
      </c>
      <c r="F125" s="11" t="inlineStr">
        <is>
          <t>Brown Shipley &amp; Co</t>
        </is>
      </c>
      <c r="G125" s="12" t="inlineStr">
        <is>
          <t>https://brownshipley.com</t>
        </is>
      </c>
      <c r="H125" s="11" t="inlineStr">
        <is>
          <t>maria.shum@brownshipley.co.uk</t>
        </is>
      </c>
      <c r="I125" s="11" t="inlineStr">
        <is>
          <t>named person</t>
        </is>
      </c>
      <c r="J125" s="12" t="inlineStr">
        <is>
          <t>Open page</t>
        </is>
      </c>
      <c r="K125" s="11" t="inlineStr">
        <is>
          <t>00398426</t>
        </is>
      </c>
      <c r="L125" s="12" t="inlineStr">
        <is>
          <t>Open</t>
        </is>
      </c>
      <c r="M125" s="11" t="inlineStr">
        <is>
          <t>Full</t>
        </is>
      </c>
      <c r="N125" s="13" t="n">
        <v>16688</v>
      </c>
      <c r="O125" s="11" t="inlineStr">
        <is>
          <t>2 Moorgate, London</t>
        </is>
      </c>
      <c r="P125" s="11" t="inlineStr">
        <is>
          <t>EC2R 6AG</t>
        </is>
      </c>
      <c r="Q125" s="11" t="inlineStr">
        <is>
          <t>No</t>
        </is>
      </c>
      <c r="W125" s="11" t="inlineStr">
        <is>
          <t>City of London School (EC4V 3AL)</t>
        </is>
      </c>
      <c r="X125" s="11" t="n">
        <v>12</v>
      </c>
      <c r="Y125" s="11" t="n"/>
      <c r="Z125" s="11" t="inlineStr">
        <is>
          <t>City of London School (EC4V 3AL)</t>
        </is>
      </c>
      <c r="AA125" s="11" t="n">
        <v>12</v>
      </c>
      <c r="AB125" s="14">
        <f>IFERROR(INDEX(Venues!$E$2:$E$17,MATCH(Z125,Venues!$A$2:$A$17,0)),"Not checked")</f>
        <v/>
      </c>
      <c r="AC125" s="14">
        <f>IFERROR(INDEX(Venues!$F$2:$F$17,MATCH(Z125,Venues!$A$2:$A$17,0)),0)</f>
        <v/>
      </c>
      <c r="AD125" s="15">
        <f>IFERROR(INDEX(Venues!$M$2:$M$17,MATCH(Z125,Venues!$A$2:$A$17,0)),"")</f>
        <v/>
      </c>
      <c r="AE125" s="14">
        <f>IFERROR(INDEX(Venues!$N$2:$N$17,MATCH(Z125,Venues!$A$2:$A$17,0)),"5-a-side")</f>
        <v/>
      </c>
      <c r="AF125" s="16">
        <f>IF(Offer!$C$4="","",Offer!$C$4)</f>
        <v/>
      </c>
      <c r="AG125" s="14">
        <f>Z125&amp;" ("&amp;AA125&amp;" min walk) · "&amp;IF(ISNUMBER(AD125),TEXT(AD125,"ddd d mmm, hh:mm"),"slot to confirm with venue")&amp;" · "&amp;AE125&amp;" · "&amp;IF(AF125&lt;&gt;"","£"&amp;TEXT(AF125,"0.00")&amp;" pp","price TBC")</f>
        <v/>
      </c>
      <c r="AH125" s="14">
        <f>IF(U125&lt;&gt;"",U125,IF(H125&lt;&gt;"",H125,""))</f>
        <v/>
      </c>
      <c r="AI125" s="14">
        <f>"After-work football for "&amp;F125&amp;" · "&amp;Z125&amp;", "&amp;AA125&amp;" min from your office"</f>
        <v/>
      </c>
      <c r="AJ125" s="14">
        <f>"Hi "&amp;IF(R125&lt;&gt;"",R125,F125&amp;" team")&amp;","&amp;CHAR(10)&amp;CHAR(10)&amp;"I'm "&amp;IF(AM125&lt;&gt;"",AM125,IF(Offer!$C$5&lt;&gt;"",Offer!$C$5,"[NAME]"))&amp;" from FC Urban. We organise after-work football for teams in the City and Canary Wharf."&amp;CHAR(10)&amp;CHAR(10)&amp;"We have a "&amp;AE125&amp;" pitch at "&amp;Z125&amp;", "&amp;IF(OR(AA125=8,AA125=11,AA125=18),"an ","a ")&amp;AA125&amp;"-minute walk from your "&amp;P125&amp;" office, "&amp;IF(ISNUMBER(AD125),"on "&amp;TEXT(AD125,"dddd d mmmm")&amp;" at "&amp;TEXT(AD125,"hh:mm"),"on a weekday evening that suits your team")&amp;". It's "&amp;IF(AF125&lt;&gt;"","£"&amp;IF(AF125=INT(AF125),TEXT(AF125,"0"),TEXT(AF125,"0.00")),"[PRICE PER PLAYER]")&amp;" a player and we handle the pitch booking, sign-ups and payments, so all it takes is one person sharing a link with the team."&amp;CHAR(10)&amp;CHAR(10)&amp;"It works well as a team social or "&amp;IF(ISNUMBER(SEARCH(LEFT(F125,1),"AEIOU")),"an ","a ")&amp;F125&amp;"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LINK]")&amp;CHAR(10)&amp;CHAR(10)&amp;"Best,"&amp;CHAR(10)&amp;IF(AM125&lt;&gt;"",AM125,IF(Offer!$C$5&lt;&gt;"",Offer!$C$5,"[NAME]"))&amp;CHAR(10)&amp;"FC Urban"</f>
        <v/>
      </c>
      <c r="AK125" s="14">
        <f>"Hi "&amp;IF(R125&lt;&gt;"",R125,F125&amp;" team")&amp;","&amp;CHAR(10)&amp;CHAR(10)&amp;"Just bumping this up. The "&amp;AE125&amp;" pitch at "&amp;Z125&amp;" is still free "&amp;IF(ISNUMBER(AD125),TEXT(AD125,"ddd d mmm")&amp;", "&amp;TEXT(AD125,"hh:mm"),"weekday evenings")&amp;", "&amp;IF(OR(AA125=8,AA125=11,AA125=18),"an ","a ")&amp;AA125&amp;"-minute walk from your office, "&amp;IF(AF125&lt;&gt;"","£"&amp;IF(AF125=INT(AF125),TEXT(AF125,"0"),TEXT(AF125,"0.00")),"[PRICE PER PLAYER]")&amp;" a player. Happy to hold it for "&amp;F125&amp;"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LINK]")&amp;CHAR(10)&amp;CHAR(10)&amp;"Best,"&amp;CHAR(10)&amp;IF(AM125&lt;&gt;"",AM125,IF(Offer!$C$5&lt;&gt;"",Offer!$C$5,"[NAME]"))&amp;CHAR(10)&amp;"FC Urban"</f>
        <v/>
      </c>
      <c r="AL125" s="14">
        <f>IF(AH125="","No email yet",IF(ISNUMBER(SEARCH("[",AJ125)),"Fill placeholders",IF(ISNUMBER(AD125),"Ready to send","Ready · no fixed slot")))</f>
        <v/>
      </c>
      <c r="AO125" s="17" t="n"/>
      <c r="AP125" s="17" t="n"/>
    </row>
    <row r="126">
      <c r="A126" s="11" t="n">
        <v>124</v>
      </c>
      <c r="B126" s="11" t="n">
        <v>2</v>
      </c>
      <c r="C126" s="11" t="inlineStr">
        <is>
          <t>Private bank</t>
        </is>
      </c>
      <c r="D126" s="11" t="inlineStr">
        <is>
          <t>City of London</t>
        </is>
      </c>
      <c r="E126" s="11" t="inlineStr">
        <is>
          <t>Habib Bank Zurich PLC</t>
        </is>
      </c>
      <c r="F126" s="11" t="inlineStr">
        <is>
          <t>Habib Bank Zurich</t>
        </is>
      </c>
      <c r="G126" s="12" t="inlineStr">
        <is>
          <t>https://habibbank.com/gb/</t>
        </is>
      </c>
      <c r="H126" s="11" t="inlineStr">
        <is>
          <t>customerservice.uk@habibbank.com</t>
        </is>
      </c>
      <c r="I126" s="11" t="inlineStr">
        <is>
          <t>general</t>
        </is>
      </c>
      <c r="J126" s="12" t="inlineStr">
        <is>
          <t>Open page</t>
        </is>
      </c>
      <c r="K126" s="11" t="inlineStr">
        <is>
          <t>08864609</t>
        </is>
      </c>
      <c r="L126" s="12" t="inlineStr">
        <is>
          <t>Open</t>
        </is>
      </c>
      <c r="M126" s="11" t="inlineStr">
        <is>
          <t>Full</t>
        </is>
      </c>
      <c r="N126" s="13" t="n">
        <v>41667</v>
      </c>
      <c r="O126" s="11" t="inlineStr">
        <is>
          <t>Habib House, 42 Moorgate, London</t>
        </is>
      </c>
      <c r="P126" s="11" t="inlineStr">
        <is>
          <t>EC2R 6JJ</t>
        </is>
      </c>
      <c r="Q126" s="11" t="inlineStr">
        <is>
          <t>Yes</t>
        </is>
      </c>
      <c r="W126" s="11" t="inlineStr">
        <is>
          <t>City of London School (EC4V 3AL)</t>
        </is>
      </c>
      <c r="X126" s="11" t="n">
        <v>16</v>
      </c>
      <c r="Y126" s="11" t="inlineStr">
        <is>
          <t>Liverpool St - Attlee Centre (17.9); Finsbury Leisure Centre (EC1V 3PU) (18.6)</t>
        </is>
      </c>
      <c r="Z126" s="11" t="inlineStr">
        <is>
          <t>City of London School (EC4V 3AL)</t>
        </is>
      </c>
      <c r="AA126" s="11" t="n">
        <v>16</v>
      </c>
      <c r="AB126" s="14">
        <f>IFERROR(INDEX(Venues!$E$2:$E$17,MATCH(Z126,Venues!$A$2:$A$17,0)),"Not checked")</f>
        <v/>
      </c>
      <c r="AC126" s="14">
        <f>IFERROR(INDEX(Venues!$F$2:$F$17,MATCH(Z126,Venues!$A$2:$A$17,0)),0)</f>
        <v/>
      </c>
      <c r="AD126" s="15">
        <f>IFERROR(INDEX(Venues!$M$2:$M$17,MATCH(Z126,Venues!$A$2:$A$17,0)),"")</f>
        <v/>
      </c>
      <c r="AE126" s="14">
        <f>IFERROR(INDEX(Venues!$N$2:$N$17,MATCH(Z126,Venues!$A$2:$A$17,0)),"5-a-side")</f>
        <v/>
      </c>
      <c r="AF126" s="16">
        <f>IF(Offer!$C$4="","",Offer!$C$4)</f>
        <v/>
      </c>
      <c r="AG126" s="14">
        <f>Z126&amp;" ("&amp;AA126&amp;" min walk) · "&amp;IF(ISNUMBER(AD126),TEXT(AD126,"ddd d mmm, hh:mm"),"slot to confirm with venue")&amp;" · "&amp;AE126&amp;" · "&amp;IF(AF126&lt;&gt;"","£"&amp;TEXT(AF126,"0.00")&amp;" pp","price TBC")</f>
        <v/>
      </c>
      <c r="AH126" s="14">
        <f>IF(U126&lt;&gt;"",U126,IF(H126&lt;&gt;"",H126,""))</f>
        <v/>
      </c>
      <c r="AI126" s="14">
        <f>"After-work football for "&amp;F126&amp;" · "&amp;Z126&amp;", "&amp;AA126&amp;" min from your office"</f>
        <v/>
      </c>
      <c r="AJ126" s="14">
        <f>"Hi "&amp;IF(R126&lt;&gt;"",R126,F126&amp;" team")&amp;","&amp;CHAR(10)&amp;CHAR(10)&amp;"I'm "&amp;IF(AM126&lt;&gt;"",AM126,IF(Offer!$C$5&lt;&gt;"",Offer!$C$5,"[NAME]"))&amp;" from FC Urban. We organise after-work football for teams in the City and Canary Wharf."&amp;CHAR(10)&amp;CHAR(10)&amp;"We have a "&amp;AE126&amp;" pitch at "&amp;Z126&amp;", "&amp;IF(OR(AA126=8,AA126=11,AA126=18),"an ","a ")&amp;AA126&amp;"-minute walk from your "&amp;P126&amp;" office, "&amp;IF(ISNUMBER(AD126),"on "&amp;TEXT(AD126,"dddd d mmmm")&amp;" at "&amp;TEXT(AD126,"hh:mm"),"on a weekday evening that suits your team")&amp;". It's "&amp;IF(AF126&lt;&gt;"","£"&amp;IF(AF126=INT(AF126),TEXT(AF126,"0"),TEXT(AF126,"0.00")),"[PRICE PER PLAYER]")&amp;" a player and we handle the pitch booking, sign-ups and payments, so all it takes is one person sharing a link with the team."&amp;CHAR(10)&amp;CHAR(10)&amp;"It works well as a team social or "&amp;IF(ISNUMBER(SEARCH(LEFT(F126,1),"AEIOU")),"an ","a ")&amp;F126&amp;"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LINK]")&amp;CHAR(10)&amp;CHAR(10)&amp;"Best,"&amp;CHAR(10)&amp;IF(AM126&lt;&gt;"",AM126,IF(Offer!$C$5&lt;&gt;"",Offer!$C$5,"[NAME]"))&amp;CHAR(10)&amp;"FC Urban"</f>
        <v/>
      </c>
      <c r="AK126" s="14">
        <f>"Hi "&amp;IF(R126&lt;&gt;"",R126,F126&amp;" team")&amp;","&amp;CHAR(10)&amp;CHAR(10)&amp;"Just bumping this up. The "&amp;AE126&amp;" pitch at "&amp;Z126&amp;" is still free "&amp;IF(ISNUMBER(AD126),TEXT(AD126,"ddd d mmm")&amp;", "&amp;TEXT(AD126,"hh:mm"),"weekday evenings")&amp;", "&amp;IF(OR(AA126=8,AA126=11,AA126=18),"an ","a ")&amp;AA126&amp;"-minute walk from your office, "&amp;IF(AF126&lt;&gt;"","£"&amp;IF(AF126=INT(AF126),TEXT(AF126,"0"),TEXT(AF126,"0.00")),"[PRICE PER PLAYER]")&amp;" a player. Happy to hold it for "&amp;F126&amp;"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LINK]")&amp;CHAR(10)&amp;CHAR(10)&amp;"Best,"&amp;CHAR(10)&amp;IF(AM126&lt;&gt;"",AM126,IF(Offer!$C$5&lt;&gt;"",Offer!$C$5,"[NAME]"))&amp;CHAR(10)&amp;"FC Urban"</f>
        <v/>
      </c>
      <c r="AL126" s="14">
        <f>IF(AH126="","No email yet",IF(ISNUMBER(SEARCH("[",AJ126)),"Fill placeholders",IF(ISNUMBER(AD126),"Ready to send","Ready · no fixed slot")))</f>
        <v/>
      </c>
      <c r="AO126" s="17" t="n"/>
      <c r="AP126" s="17" t="n"/>
    </row>
    <row r="127">
      <c r="A127" s="11" t="n">
        <v>125</v>
      </c>
      <c r="B127" s="11" t="n">
        <v>2</v>
      </c>
      <c r="C127" s="11" t="inlineStr">
        <is>
          <t>Fund administrator</t>
        </is>
      </c>
      <c r="D127" s="11" t="inlineStr">
        <is>
          <t>City of London</t>
        </is>
      </c>
      <c r="E127" s="11" t="inlineStr">
        <is>
          <t>BNY Mellon Investment Management Holdings (Germany) Limited</t>
        </is>
      </c>
      <c r="F127" s="11" t="inlineStr">
        <is>
          <t>BNY Mellon Investment Management</t>
        </is>
      </c>
      <c r="G127" s="12" t="inlineStr">
        <is>
          <t>https://www.bny.com</t>
        </is>
      </c>
      <c r="H127" s="11" t="inlineStr">
        <is>
          <t>iminstitutional.clientserviceemea@bnymellon.com</t>
        </is>
      </c>
      <c r="I127" s="11" t="inlineStr">
        <is>
          <t>role (other)</t>
        </is>
      </c>
      <c r="J127" s="12" t="inlineStr">
        <is>
          <t>Open page</t>
        </is>
      </c>
      <c r="K127" s="11" t="inlineStr">
        <is>
          <t>05640740</t>
        </is>
      </c>
      <c r="L127" s="12" t="inlineStr">
        <is>
          <t>Open</t>
        </is>
      </c>
      <c r="M127" s="11" t="inlineStr">
        <is>
          <t>Full</t>
        </is>
      </c>
      <c r="N127" s="13" t="n">
        <v>38686</v>
      </c>
      <c r="O127" s="11" t="inlineStr">
        <is>
          <t>Bny Mellon Centre, 160 Queen Victoria Street, London</t>
        </is>
      </c>
      <c r="P127" s="11" t="inlineStr">
        <is>
          <t>EC4V 4LA</t>
        </is>
      </c>
      <c r="Q127" s="11" t="inlineStr">
        <is>
          <t>No</t>
        </is>
      </c>
      <c r="W127" s="11" t="inlineStr">
        <is>
          <t>City of London School (EC4V 3AL)</t>
        </is>
      </c>
      <c r="X127" s="11" t="n">
        <v>4</v>
      </c>
      <c r="Y127" s="11" t="inlineStr">
        <is>
          <t>Marlborough Sports Garden (SE1 1SD) (18.9)</t>
        </is>
      </c>
      <c r="Z127" s="11" t="inlineStr">
        <is>
          <t>City of London School (EC4V 3AL)</t>
        </is>
      </c>
      <c r="AA127" s="11" t="n">
        <v>4</v>
      </c>
      <c r="AB127" s="14">
        <f>IFERROR(INDEX(Venues!$E$2:$E$17,MATCH(Z127,Venues!$A$2:$A$17,0)),"Not checked")</f>
        <v/>
      </c>
      <c r="AC127" s="14">
        <f>IFERROR(INDEX(Venues!$F$2:$F$17,MATCH(Z127,Venues!$A$2:$A$17,0)),0)</f>
        <v/>
      </c>
      <c r="AD127" s="15">
        <f>IFERROR(INDEX(Venues!$M$2:$M$17,MATCH(Z127,Venues!$A$2:$A$17,0)),"")</f>
        <v/>
      </c>
      <c r="AE127" s="14">
        <f>IFERROR(INDEX(Venues!$N$2:$N$17,MATCH(Z127,Venues!$A$2:$A$17,0)),"5-a-side")</f>
        <v/>
      </c>
      <c r="AF127" s="16">
        <f>IF(Offer!$C$4="","",Offer!$C$4)</f>
        <v/>
      </c>
      <c r="AG127" s="14">
        <f>Z127&amp;" ("&amp;AA127&amp;" min walk) · "&amp;IF(ISNUMBER(AD127),TEXT(AD127,"ddd d mmm, hh:mm"),"slot to confirm with venue")&amp;" · "&amp;AE127&amp;" · "&amp;IF(AF127&lt;&gt;"","£"&amp;TEXT(AF127,"0.00")&amp;" pp","price TBC")</f>
        <v/>
      </c>
      <c r="AH127" s="14">
        <f>IF(U127&lt;&gt;"",U127,IF(H127&lt;&gt;"",H127,""))</f>
        <v/>
      </c>
      <c r="AI127" s="14">
        <f>"After-work football for "&amp;F127&amp;" · "&amp;Z127&amp;", "&amp;AA127&amp;" min from your office"</f>
        <v/>
      </c>
      <c r="AJ127" s="14">
        <f>"Hi "&amp;IF(R127&lt;&gt;"",R127,F127&amp;" team")&amp;","&amp;CHAR(10)&amp;CHAR(10)&amp;"I'm "&amp;IF(AM127&lt;&gt;"",AM127,IF(Offer!$C$5&lt;&gt;"",Offer!$C$5,"[NAME]"))&amp;" from FC Urban. We organise after-work football for teams in the City and Canary Wharf."&amp;CHAR(10)&amp;CHAR(10)&amp;"We have a "&amp;AE127&amp;" pitch at "&amp;Z127&amp;", "&amp;IF(OR(AA127=8,AA127=11,AA127=18),"an ","a ")&amp;AA127&amp;"-minute walk from your "&amp;P127&amp;" office, "&amp;IF(ISNUMBER(AD127),"on "&amp;TEXT(AD127,"dddd d mmmm")&amp;" at "&amp;TEXT(AD127,"hh:mm"),"on a weekday evening that suits your team")&amp;". It's "&amp;IF(AF127&lt;&gt;"","£"&amp;IF(AF127=INT(AF127),TEXT(AF127,"0"),TEXT(AF127,"0.00")),"[PRICE PER PLAYER]")&amp;" a player and we handle the pitch booking, sign-ups and payments, so all it takes is one person sharing a link with the team."&amp;CHAR(10)&amp;CHAR(10)&amp;"It works well as a team social or "&amp;IF(ISNUMBER(SEARCH(LEFT(F127,1),"AEIOU")),"an ","a ")&amp;F127&amp;"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LINK]")&amp;CHAR(10)&amp;CHAR(10)&amp;"Best,"&amp;CHAR(10)&amp;IF(AM127&lt;&gt;"",AM127,IF(Offer!$C$5&lt;&gt;"",Offer!$C$5,"[NAME]"))&amp;CHAR(10)&amp;"FC Urban"</f>
        <v/>
      </c>
      <c r="AK127" s="14">
        <f>"Hi "&amp;IF(R127&lt;&gt;"",R127,F127&amp;" team")&amp;","&amp;CHAR(10)&amp;CHAR(10)&amp;"Just bumping this up. The "&amp;AE127&amp;" pitch at "&amp;Z127&amp;" is still free "&amp;IF(ISNUMBER(AD127),TEXT(AD127,"ddd d mmm")&amp;", "&amp;TEXT(AD127,"hh:mm"),"weekday evenings")&amp;", "&amp;IF(OR(AA127=8,AA127=11,AA127=18),"an ","a ")&amp;AA127&amp;"-minute walk from your office, "&amp;IF(AF127&lt;&gt;"","£"&amp;IF(AF127=INT(AF127),TEXT(AF127,"0"),TEXT(AF127,"0.00")),"[PRICE PER PLAYER]")&amp;" a player. Happy to hold it for "&amp;F127&amp;"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LINK]")&amp;CHAR(10)&amp;CHAR(10)&amp;"Best,"&amp;CHAR(10)&amp;IF(AM127&lt;&gt;"",AM127,IF(Offer!$C$5&lt;&gt;"",Offer!$C$5,"[NAME]"))&amp;CHAR(10)&amp;"FC Urban"</f>
        <v/>
      </c>
      <c r="AL127" s="14">
        <f>IF(AH127="","No email yet",IF(ISNUMBER(SEARCH("[",AJ127)),"Fill placeholders",IF(ISNUMBER(AD127),"Ready to send","Ready · no fixed slot")))</f>
        <v/>
      </c>
      <c r="AO127" s="17" t="n"/>
      <c r="AP127" s="17" t="n"/>
    </row>
    <row r="128">
      <c r="A128" s="11" t="n">
        <v>126</v>
      </c>
      <c r="B128" s="11" t="n">
        <v>2</v>
      </c>
      <c r="C128" s="11" t="inlineStr">
        <is>
          <t>Fund administrator</t>
        </is>
      </c>
      <c r="D128" s="11" t="inlineStr">
        <is>
          <t>City of London</t>
        </is>
      </c>
      <c r="E128" s="11" t="inlineStr">
        <is>
          <t>Langham Hall UK LLP</t>
        </is>
      </c>
      <c r="F128" s="11" t="inlineStr">
        <is>
          <t>Langham Hall</t>
        </is>
      </c>
      <c r="G128" s="12" t="inlineStr">
        <is>
          <t>https://www.langhamhall.com</t>
        </is>
      </c>
      <c r="H128" s="11" t="inlineStr">
        <is>
          <t>mia.chen@langhamhall.com</t>
        </is>
      </c>
      <c r="I128" s="11" t="inlineStr">
        <is>
          <t>named person</t>
        </is>
      </c>
      <c r="J128" s="12" t="inlineStr">
        <is>
          <t>Open page</t>
        </is>
      </c>
      <c r="K128" s="11" t="inlineStr">
        <is>
          <t>OC319723</t>
        </is>
      </c>
      <c r="L128" s="12" t="inlineStr">
        <is>
          <t>Open</t>
        </is>
      </c>
      <c r="M128" s="11" t="inlineStr">
        <is>
          <t>Full</t>
        </is>
      </c>
      <c r="N128" s="13" t="n">
        <v>38852</v>
      </c>
      <c r="O128" s="11" t="inlineStr">
        <is>
          <t>3Rd Floor, Broadwalk House, 5 Appold Street, Broadgate, London</t>
        </is>
      </c>
      <c r="P128" s="11" t="inlineStr">
        <is>
          <t>EC2A 2DA</t>
        </is>
      </c>
      <c r="Q128" s="11" t="inlineStr">
        <is>
          <t>Yes</t>
        </is>
      </c>
      <c r="W128" s="11" t="inlineStr">
        <is>
          <t>Shoreditch Powerleague</t>
        </is>
      </c>
      <c r="X128" s="11" t="n">
        <v>7</v>
      </c>
      <c r="Y128" s="11" t="inlineStr">
        <is>
          <t>Liverpool St - Attlee Centre (10.9); Finsbury Leisure Centre (EC1V 3PU) (18.2)</t>
        </is>
      </c>
      <c r="Z128" s="11" t="inlineStr">
        <is>
          <t>Shoreditch Powerleague</t>
        </is>
      </c>
      <c r="AA128" s="11" t="n">
        <v>7</v>
      </c>
      <c r="AB128" s="14">
        <f>IFERROR(INDEX(Venues!$E$2:$E$17,MATCH(Z128,Venues!$A$2:$A$17,0)),"Not checked")</f>
        <v/>
      </c>
      <c r="AC128" s="14">
        <f>IFERROR(INDEX(Venues!$F$2:$F$17,MATCH(Z128,Venues!$A$2:$A$17,0)),0)</f>
        <v/>
      </c>
      <c r="AD128" s="15">
        <f>IFERROR(INDEX(Venues!$M$2:$M$17,MATCH(Z128,Venues!$A$2:$A$17,0)),"")</f>
        <v/>
      </c>
      <c r="AE128" s="14">
        <f>IFERROR(INDEX(Venues!$N$2:$N$17,MATCH(Z128,Venues!$A$2:$A$17,0)),"5-a-side")</f>
        <v/>
      </c>
      <c r="AF128" s="16">
        <f>IF(Offer!$C$4="","",Offer!$C$4)</f>
        <v/>
      </c>
      <c r="AG128" s="14">
        <f>Z128&amp;" ("&amp;AA128&amp;" min walk) · "&amp;IF(ISNUMBER(AD128),TEXT(AD128,"ddd d mmm, hh:mm"),"slot to confirm with venue")&amp;" · "&amp;AE128&amp;" · "&amp;IF(AF128&lt;&gt;"","£"&amp;TEXT(AF128,"0.00")&amp;" pp","price TBC")</f>
        <v/>
      </c>
      <c r="AH128" s="14">
        <f>IF(U128&lt;&gt;"",U128,IF(H128&lt;&gt;"",H128,""))</f>
        <v/>
      </c>
      <c r="AI128" s="14">
        <f>"After-work football for "&amp;F128&amp;" · "&amp;Z128&amp;", "&amp;AA128&amp;" min from your office"</f>
        <v/>
      </c>
      <c r="AJ128" s="14">
        <f>"Hi "&amp;IF(R128&lt;&gt;"",R128,F128&amp;" team")&amp;","&amp;CHAR(10)&amp;CHAR(10)&amp;"I'm "&amp;IF(AM128&lt;&gt;"",AM128,IF(Offer!$C$5&lt;&gt;"",Offer!$C$5,"[NAME]"))&amp;" from FC Urban. We organise after-work football for teams in the City and Canary Wharf."&amp;CHAR(10)&amp;CHAR(10)&amp;"We have a "&amp;AE128&amp;" pitch at "&amp;Z128&amp;", "&amp;IF(OR(AA128=8,AA128=11,AA128=18),"an ","a ")&amp;AA128&amp;"-minute walk from your "&amp;P128&amp;" office, "&amp;IF(ISNUMBER(AD128),"on "&amp;TEXT(AD128,"dddd d mmmm")&amp;" at "&amp;TEXT(AD128,"hh:mm"),"on a weekday evening that suits your team")&amp;". It's "&amp;IF(AF128&lt;&gt;"","£"&amp;IF(AF128=INT(AF128),TEXT(AF128,"0"),TEXT(AF128,"0.00")),"[PRICE PER PLAYER]")&amp;" a player and we handle the pitch booking, sign-ups and payments, so all it takes is one person sharing a link with the team."&amp;CHAR(10)&amp;CHAR(10)&amp;"It works well as a team social or "&amp;IF(ISNUMBER(SEARCH(LEFT(F128,1),"AEIOU")),"an ","a ")&amp;F128&amp;"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LINK]")&amp;CHAR(10)&amp;CHAR(10)&amp;"Best,"&amp;CHAR(10)&amp;IF(AM128&lt;&gt;"",AM128,IF(Offer!$C$5&lt;&gt;"",Offer!$C$5,"[NAME]"))&amp;CHAR(10)&amp;"FC Urban"</f>
        <v/>
      </c>
      <c r="AK128" s="14">
        <f>"Hi "&amp;IF(R128&lt;&gt;"",R128,F128&amp;" team")&amp;","&amp;CHAR(10)&amp;CHAR(10)&amp;"Just bumping this up. The "&amp;AE128&amp;" pitch at "&amp;Z128&amp;" is still free "&amp;IF(ISNUMBER(AD128),TEXT(AD128,"ddd d mmm")&amp;", "&amp;TEXT(AD128,"hh:mm"),"weekday evenings")&amp;", "&amp;IF(OR(AA128=8,AA128=11,AA128=18),"an ","a ")&amp;AA128&amp;"-minute walk from your office, "&amp;IF(AF128&lt;&gt;"","£"&amp;IF(AF128=INT(AF128),TEXT(AF128,"0"),TEXT(AF128,"0.00")),"[PRICE PER PLAYER]")&amp;" a player. Happy to hold it for "&amp;F128&amp;"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LINK]")&amp;CHAR(10)&amp;CHAR(10)&amp;"Best,"&amp;CHAR(10)&amp;IF(AM128&lt;&gt;"",AM128,IF(Offer!$C$5&lt;&gt;"",Offer!$C$5,"[NAME]"))&amp;CHAR(10)&amp;"FC Urban"</f>
        <v/>
      </c>
      <c r="AL128" s="14">
        <f>IF(AH128="","No email yet",IF(ISNUMBER(SEARCH("[",AJ128)),"Fill placeholders",IF(ISNUMBER(AD128),"Ready to send","Ready · no fixed slot")))</f>
        <v/>
      </c>
      <c r="AO128" s="17" t="n"/>
      <c r="AP128" s="17" t="n"/>
    </row>
    <row r="129">
      <c r="A129" s="11" t="n">
        <v>127</v>
      </c>
      <c r="B129" s="11" t="n">
        <v>2</v>
      </c>
      <c r="C129" s="11" t="inlineStr">
        <is>
          <t>Fund administrator</t>
        </is>
      </c>
      <c r="D129" s="11" t="inlineStr">
        <is>
          <t>City of London</t>
        </is>
      </c>
      <c r="E129" s="11" t="inlineStr">
        <is>
          <t>FNZ Securities Limited</t>
        </is>
      </c>
      <c r="F129" s="11" t="inlineStr">
        <is>
          <t>FNZ</t>
        </is>
      </c>
      <c r="G129" s="12" t="inlineStr">
        <is>
          <t>https://www.fnz.com</t>
        </is>
      </c>
      <c r="H129" s="11" t="inlineStr">
        <is>
          <t>chris.taylor@fnz.com</t>
        </is>
      </c>
      <c r="I129" s="11" t="inlineStr">
        <is>
          <t>named person</t>
        </is>
      </c>
      <c r="J129" s="12" t="inlineStr">
        <is>
          <t>Open page</t>
        </is>
      </c>
      <c r="K129" s="11" t="inlineStr">
        <is>
          <t>09486463</t>
        </is>
      </c>
      <c r="L129" s="12" t="inlineStr">
        <is>
          <t>Open</t>
        </is>
      </c>
      <c r="M129" s="11" t="inlineStr">
        <is>
          <t>Full</t>
        </is>
      </c>
      <c r="N129" s="13" t="n">
        <v>42075</v>
      </c>
      <c r="O129" s="11" t="inlineStr">
        <is>
          <t>10Th Floor, 135 Bishopsgate, London</t>
        </is>
      </c>
      <c r="P129" s="11" t="inlineStr">
        <is>
          <t>EC2M 3TP</t>
        </is>
      </c>
      <c r="Q129" s="11" t="inlineStr">
        <is>
          <t>No</t>
        </is>
      </c>
      <c r="W129" s="11" t="inlineStr">
        <is>
          <t>Liverpool St - Attlee Centre</t>
        </is>
      </c>
      <c r="X129" s="11" t="n">
        <v>8</v>
      </c>
      <c r="Y129" s="11" t="inlineStr">
        <is>
          <t>Shoreditch Powerleague (10.7)</t>
        </is>
      </c>
      <c r="Z129" s="11" t="inlineStr">
        <is>
          <t>Shoreditch Powerleague</t>
        </is>
      </c>
      <c r="AA129" s="11" t="n">
        <v>11</v>
      </c>
      <c r="AB129" s="14">
        <f>IFERROR(INDEX(Venues!$E$2:$E$17,MATCH(Z129,Venues!$A$2:$A$17,0)),"Not checked")</f>
        <v/>
      </c>
      <c r="AC129" s="14">
        <f>IFERROR(INDEX(Venues!$F$2:$F$17,MATCH(Z129,Venues!$A$2:$A$17,0)),0)</f>
        <v/>
      </c>
      <c r="AD129" s="15">
        <f>IFERROR(INDEX(Venues!$M$2:$M$17,MATCH(Z129,Venues!$A$2:$A$17,0)),"")</f>
        <v/>
      </c>
      <c r="AE129" s="14">
        <f>IFERROR(INDEX(Venues!$N$2:$N$17,MATCH(Z129,Venues!$A$2:$A$17,0)),"5-a-side")</f>
        <v/>
      </c>
      <c r="AF129" s="16">
        <f>IF(Offer!$C$4="","",Offer!$C$4)</f>
        <v/>
      </c>
      <c r="AG129" s="14">
        <f>Z129&amp;" ("&amp;AA129&amp;" min walk) · "&amp;IF(ISNUMBER(AD129),TEXT(AD129,"ddd d mmm, hh:mm"),"slot to confirm with venue")&amp;" · "&amp;AE129&amp;" · "&amp;IF(AF129&lt;&gt;"","£"&amp;TEXT(AF129,"0.00")&amp;" pp","price TBC")</f>
        <v/>
      </c>
      <c r="AH129" s="14">
        <f>IF(U129&lt;&gt;"",U129,IF(H129&lt;&gt;"",H129,""))</f>
        <v/>
      </c>
      <c r="AI129" s="14">
        <f>"After-work football for "&amp;F129&amp;" · "&amp;Z129&amp;", "&amp;AA129&amp;" min from your office"</f>
        <v/>
      </c>
      <c r="AJ129" s="14">
        <f>"Hi "&amp;IF(R129&lt;&gt;"",R129,F129&amp;" team")&amp;","&amp;CHAR(10)&amp;CHAR(10)&amp;"I'm "&amp;IF(AM129&lt;&gt;"",AM129,IF(Offer!$C$5&lt;&gt;"",Offer!$C$5,"[NAME]"))&amp;" from FC Urban. We organise after-work football for teams in the City and Canary Wharf."&amp;CHAR(10)&amp;CHAR(10)&amp;"We have a "&amp;AE129&amp;" pitch at "&amp;Z129&amp;", "&amp;IF(OR(AA129=8,AA129=11,AA129=18),"an ","a ")&amp;AA129&amp;"-minute walk from your "&amp;P129&amp;" office, "&amp;IF(ISNUMBER(AD129),"on "&amp;TEXT(AD129,"dddd d mmmm")&amp;" at "&amp;TEXT(AD129,"hh:mm"),"on a weekday evening that suits your team")&amp;". It's "&amp;IF(AF129&lt;&gt;"","£"&amp;IF(AF129=INT(AF129),TEXT(AF129,"0"),TEXT(AF129,"0.00")),"[PRICE PER PLAYER]")&amp;" a player and we handle the pitch booking, sign-ups and payments, so all it takes is one person sharing a link with the team."&amp;CHAR(10)&amp;CHAR(10)&amp;"It works well as a team social or "&amp;IF(ISNUMBER(SEARCH(LEFT(F129,1),"AEIOU")),"an ","a ")&amp;F129&amp;"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LINK]")&amp;CHAR(10)&amp;CHAR(10)&amp;"Best,"&amp;CHAR(10)&amp;IF(AM129&lt;&gt;"",AM129,IF(Offer!$C$5&lt;&gt;"",Offer!$C$5,"[NAME]"))&amp;CHAR(10)&amp;"FC Urban"</f>
        <v/>
      </c>
      <c r="AK129" s="14">
        <f>"Hi "&amp;IF(R129&lt;&gt;"",R129,F129&amp;" team")&amp;","&amp;CHAR(10)&amp;CHAR(10)&amp;"Just bumping this up. The "&amp;AE129&amp;" pitch at "&amp;Z129&amp;" is still free "&amp;IF(ISNUMBER(AD129),TEXT(AD129,"ddd d mmm")&amp;", "&amp;TEXT(AD129,"hh:mm"),"weekday evenings")&amp;", "&amp;IF(OR(AA129=8,AA129=11,AA129=18),"an ","a ")&amp;AA129&amp;"-minute walk from your office, "&amp;IF(AF129&lt;&gt;"","£"&amp;IF(AF129=INT(AF129),TEXT(AF129,"0"),TEXT(AF129,"0.00")),"[PRICE PER PLAYER]")&amp;" a player. Happy to hold it for "&amp;F129&amp;"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LINK]")&amp;CHAR(10)&amp;CHAR(10)&amp;"Best,"&amp;CHAR(10)&amp;IF(AM129&lt;&gt;"",AM129,IF(Offer!$C$5&lt;&gt;"",Offer!$C$5,"[NAME]"))&amp;CHAR(10)&amp;"FC Urban"</f>
        <v/>
      </c>
      <c r="AL129" s="14">
        <f>IF(AH129="","No email yet",IF(ISNUMBER(SEARCH("[",AJ129)),"Fill placeholders",IF(ISNUMBER(AD129),"Ready to send","Ready · no fixed slot")))</f>
        <v/>
      </c>
      <c r="AO129" s="17" t="n"/>
      <c r="AP129" s="17" t="n"/>
    </row>
    <row r="130">
      <c r="A130" s="11" t="n">
        <v>128</v>
      </c>
      <c r="B130" s="11" t="n">
        <v>2</v>
      </c>
      <c r="C130" s="11" t="inlineStr">
        <is>
          <t>Fund administrator</t>
        </is>
      </c>
      <c r="D130" s="11" t="inlineStr">
        <is>
          <t>City of London</t>
        </is>
      </c>
      <c r="E130" s="11" t="inlineStr">
        <is>
          <t>Morningstar Wealth Administration Limited</t>
        </is>
      </c>
      <c r="F130" s="11" t="inlineStr">
        <is>
          <t>Morningstar Wealth</t>
        </is>
      </c>
      <c r="G130" s="12" t="inlineStr">
        <is>
          <t>https://www.morningstar.com</t>
        </is>
      </c>
      <c r="H130" s="11" t="inlineStr">
        <is>
          <t>reprints@morningstar.com</t>
        </is>
      </c>
      <c r="I130" s="11" t="inlineStr">
        <is>
          <t>named person</t>
        </is>
      </c>
      <c r="J130" s="12" t="inlineStr">
        <is>
          <t>Open page</t>
        </is>
      </c>
      <c r="K130" s="11" t="inlineStr">
        <is>
          <t>06016828</t>
        </is>
      </c>
      <c r="L130" s="12" t="inlineStr">
        <is>
          <t>Open</t>
        </is>
      </c>
      <c r="M130" s="11" t="inlineStr">
        <is>
          <t>Full</t>
        </is>
      </c>
      <c r="N130" s="13" t="n">
        <v>39055</v>
      </c>
      <c r="O130" s="11" t="inlineStr">
        <is>
          <t>1 Oliver'S Yard, 55-71 City Road, London</t>
        </is>
      </c>
      <c r="P130" s="11" t="inlineStr">
        <is>
          <t>EC1Y 1HQ</t>
        </is>
      </c>
      <c r="Q130" s="11" t="inlineStr">
        <is>
          <t>No</t>
        </is>
      </c>
      <c r="W130" s="11" t="inlineStr">
        <is>
          <t>Finsbury Leisure Centre (EC1V 3PU)</t>
        </is>
      </c>
      <c r="X130" s="11" t="n">
        <v>10</v>
      </c>
      <c r="Y130" s="11" t="inlineStr">
        <is>
          <t>Shoreditch Powerleague (13); Old St - Moreland Primary School (15)</t>
        </is>
      </c>
      <c r="Z130" s="11" t="inlineStr">
        <is>
          <t>Shoreditch Powerleague</t>
        </is>
      </c>
      <c r="AA130" s="11" t="n">
        <v>13</v>
      </c>
      <c r="AB130" s="14">
        <f>IFERROR(INDEX(Venues!$E$2:$E$17,MATCH(Z130,Venues!$A$2:$A$17,0)),"Not checked")</f>
        <v/>
      </c>
      <c r="AC130" s="14">
        <f>IFERROR(INDEX(Venues!$F$2:$F$17,MATCH(Z130,Venues!$A$2:$A$17,0)),0)</f>
        <v/>
      </c>
      <c r="AD130" s="15">
        <f>IFERROR(INDEX(Venues!$M$2:$M$17,MATCH(Z130,Venues!$A$2:$A$17,0)),"")</f>
        <v/>
      </c>
      <c r="AE130" s="14">
        <f>IFERROR(INDEX(Venues!$N$2:$N$17,MATCH(Z130,Venues!$A$2:$A$17,0)),"5-a-side")</f>
        <v/>
      </c>
      <c r="AF130" s="16">
        <f>IF(Offer!$C$4="","",Offer!$C$4)</f>
        <v/>
      </c>
      <c r="AG130" s="14">
        <f>Z130&amp;" ("&amp;AA130&amp;" min walk) · "&amp;IF(ISNUMBER(AD130),TEXT(AD130,"ddd d mmm, hh:mm"),"slot to confirm with venue")&amp;" · "&amp;AE130&amp;" · "&amp;IF(AF130&lt;&gt;"","£"&amp;TEXT(AF130,"0.00")&amp;" pp","price TBC")</f>
        <v/>
      </c>
      <c r="AH130" s="14">
        <f>IF(U130&lt;&gt;"",U130,IF(H130&lt;&gt;"",H130,""))</f>
        <v/>
      </c>
      <c r="AI130" s="14">
        <f>"After-work football for "&amp;F130&amp;" · "&amp;Z130&amp;", "&amp;AA130&amp;" min from your office"</f>
        <v/>
      </c>
      <c r="AJ130" s="14">
        <f>"Hi "&amp;IF(R130&lt;&gt;"",R130,F130&amp;" team")&amp;","&amp;CHAR(10)&amp;CHAR(10)&amp;"I'm "&amp;IF(AM130&lt;&gt;"",AM130,IF(Offer!$C$5&lt;&gt;"",Offer!$C$5,"[NAME]"))&amp;" from FC Urban. We organise after-work football for teams in the City and Canary Wharf."&amp;CHAR(10)&amp;CHAR(10)&amp;"We have a "&amp;AE130&amp;" pitch at "&amp;Z130&amp;", "&amp;IF(OR(AA130=8,AA130=11,AA130=18),"an ","a ")&amp;AA130&amp;"-minute walk from your "&amp;P130&amp;" office, "&amp;IF(ISNUMBER(AD130),"on "&amp;TEXT(AD130,"dddd d mmmm")&amp;" at "&amp;TEXT(AD130,"hh:mm"),"on a weekday evening that suits your team")&amp;". It's "&amp;IF(AF130&lt;&gt;"","£"&amp;IF(AF130=INT(AF130),TEXT(AF130,"0"),TEXT(AF130,"0.00")),"[PRICE PER PLAYER]")&amp;" a player and we handle the pitch booking, sign-ups and payments, so all it takes is one person sharing a link with the team."&amp;CHAR(10)&amp;CHAR(10)&amp;"It works well as a team social or "&amp;IF(ISNUMBER(SEARCH(LEFT(F130,1),"AEIOU")),"an ","a ")&amp;F130&amp;"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LINK]")&amp;CHAR(10)&amp;CHAR(10)&amp;"Best,"&amp;CHAR(10)&amp;IF(AM130&lt;&gt;"",AM130,IF(Offer!$C$5&lt;&gt;"",Offer!$C$5,"[NAME]"))&amp;CHAR(10)&amp;"FC Urban"</f>
        <v/>
      </c>
      <c r="AK130" s="14">
        <f>"Hi "&amp;IF(R130&lt;&gt;"",R130,F130&amp;" team")&amp;","&amp;CHAR(10)&amp;CHAR(10)&amp;"Just bumping this up. The "&amp;AE130&amp;" pitch at "&amp;Z130&amp;" is still free "&amp;IF(ISNUMBER(AD130),TEXT(AD130,"ddd d mmm")&amp;", "&amp;TEXT(AD130,"hh:mm"),"weekday evenings")&amp;", "&amp;IF(OR(AA130=8,AA130=11,AA130=18),"an ","a ")&amp;AA130&amp;"-minute walk from your office, "&amp;IF(AF130&lt;&gt;"","£"&amp;IF(AF130=INT(AF130),TEXT(AF130,"0"),TEXT(AF130,"0.00")),"[PRICE PER PLAYER]")&amp;" a player. Happy to hold it for "&amp;F130&amp;"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LINK]")&amp;CHAR(10)&amp;CHAR(10)&amp;"Best,"&amp;CHAR(10)&amp;IF(AM130&lt;&gt;"",AM130,IF(Offer!$C$5&lt;&gt;"",Offer!$C$5,"[NAME]"))&amp;CHAR(10)&amp;"FC Urban"</f>
        <v/>
      </c>
      <c r="AL130" s="14">
        <f>IF(AH130="","No email yet",IF(ISNUMBER(SEARCH("[",AJ130)),"Fill placeholders",IF(ISNUMBER(AD130),"Ready to send","Ready · no fixed slot")))</f>
        <v/>
      </c>
      <c r="AO130" s="17" t="n"/>
      <c r="AP130" s="17" t="n"/>
    </row>
    <row r="131">
      <c r="A131" s="11" t="n">
        <v>129</v>
      </c>
      <c r="B131" s="11" t="n">
        <v>2</v>
      </c>
      <c r="C131" s="11" t="inlineStr">
        <is>
          <t>Fund administrator</t>
        </is>
      </c>
      <c r="D131" s="11" t="inlineStr">
        <is>
          <t>City of London</t>
        </is>
      </c>
      <c r="E131" s="11" t="inlineStr">
        <is>
          <t>Asper Platform Services Limited</t>
        </is>
      </c>
      <c r="F131" s="11" t="inlineStr">
        <is>
          <t>Asper Platform</t>
        </is>
      </c>
      <c r="G131" s="11" t="n"/>
      <c r="H131" s="11" t="n"/>
      <c r="I131" s="11" t="inlineStr">
        <is>
          <t>Not found</t>
        </is>
      </c>
      <c r="J131" s="11" t="n"/>
      <c r="K131" s="11" t="inlineStr">
        <is>
          <t>15989908</t>
        </is>
      </c>
      <c r="L131" s="12" t="inlineStr">
        <is>
          <t>Open</t>
        </is>
      </c>
      <c r="M131" s="11" t="inlineStr">
        <is>
          <t>Full</t>
        </is>
      </c>
      <c r="N131" s="13" t="n">
        <v>45566</v>
      </c>
      <c r="O131" s="11" t="inlineStr">
        <is>
          <t>68 King William Street, 4Th Floor, London</t>
        </is>
      </c>
      <c r="P131" s="11" t="inlineStr">
        <is>
          <t>EC4N 7HR</t>
        </is>
      </c>
      <c r="Q131" s="11" t="inlineStr">
        <is>
          <t>No</t>
        </is>
      </c>
      <c r="W131" s="11" t="inlineStr">
        <is>
          <t>City of London School (EC4V 3AL)</t>
        </is>
      </c>
      <c r="X131" s="11" t="n">
        <v>14</v>
      </c>
      <c r="Y131" s="11" t="inlineStr">
        <is>
          <t>Marlborough Sports Garden (SE1 1SD) (15.6)</t>
        </is>
      </c>
      <c r="Z131" s="11" t="inlineStr">
        <is>
          <t>City of London School (EC4V 3AL)</t>
        </is>
      </c>
      <c r="AA131" s="11" t="n">
        <v>14</v>
      </c>
      <c r="AB131" s="14">
        <f>IFERROR(INDEX(Venues!$E$2:$E$17,MATCH(Z131,Venues!$A$2:$A$17,0)),"Not checked")</f>
        <v/>
      </c>
      <c r="AC131" s="14">
        <f>IFERROR(INDEX(Venues!$F$2:$F$17,MATCH(Z131,Venues!$A$2:$A$17,0)),0)</f>
        <v/>
      </c>
      <c r="AD131" s="15">
        <f>IFERROR(INDEX(Venues!$M$2:$M$17,MATCH(Z131,Venues!$A$2:$A$17,0)),"")</f>
        <v/>
      </c>
      <c r="AE131" s="14">
        <f>IFERROR(INDEX(Venues!$N$2:$N$17,MATCH(Z131,Venues!$A$2:$A$17,0)),"5-a-side")</f>
        <v/>
      </c>
      <c r="AF131" s="16">
        <f>IF(Offer!$C$4="","",Offer!$C$4)</f>
        <v/>
      </c>
      <c r="AG131" s="14">
        <f>Z131&amp;" ("&amp;AA131&amp;" min walk) · "&amp;IF(ISNUMBER(AD131),TEXT(AD131,"ddd d mmm, hh:mm"),"slot to confirm with venue")&amp;" · "&amp;AE131&amp;" · "&amp;IF(AF131&lt;&gt;"","£"&amp;TEXT(AF131,"0.00")&amp;" pp","price TBC")</f>
        <v/>
      </c>
      <c r="AH131" s="14">
        <f>IF(U131&lt;&gt;"",U131,IF(H131&lt;&gt;"",H131,""))</f>
        <v/>
      </c>
      <c r="AI131" s="14">
        <f>"After-work football for "&amp;F131&amp;" · "&amp;Z131&amp;", "&amp;AA131&amp;" min from your office"</f>
        <v/>
      </c>
      <c r="AJ131" s="14">
        <f>"Hi "&amp;IF(R131&lt;&gt;"",R131,F131&amp;" team")&amp;","&amp;CHAR(10)&amp;CHAR(10)&amp;"I'm "&amp;IF(AM131&lt;&gt;"",AM131,IF(Offer!$C$5&lt;&gt;"",Offer!$C$5,"[NAME]"))&amp;" from FC Urban. We organise after-work football for teams in the City and Canary Wharf."&amp;CHAR(10)&amp;CHAR(10)&amp;"We have a "&amp;AE131&amp;" pitch at "&amp;Z131&amp;", "&amp;IF(OR(AA131=8,AA131=11,AA131=18),"an ","a ")&amp;AA131&amp;"-minute walk from your "&amp;P131&amp;" office, "&amp;IF(ISNUMBER(AD131),"on "&amp;TEXT(AD131,"dddd d mmmm")&amp;" at "&amp;TEXT(AD131,"hh:mm"),"on a weekday evening that suits your team")&amp;". It's "&amp;IF(AF131&lt;&gt;"","£"&amp;IF(AF131=INT(AF131),TEXT(AF131,"0"),TEXT(AF131,"0.00")),"[PRICE PER PLAYER]")&amp;" a player and we handle the pitch booking, sign-ups and payments, so all it takes is one person sharing a link with the team."&amp;CHAR(10)&amp;CHAR(10)&amp;"It works well as a team social or "&amp;IF(ISNUMBER(SEARCH(LEFT(F131,1),"AEIOU")),"an ","a ")&amp;F131&amp;"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LINK]")&amp;CHAR(10)&amp;CHAR(10)&amp;"Best,"&amp;CHAR(10)&amp;IF(AM131&lt;&gt;"",AM131,IF(Offer!$C$5&lt;&gt;"",Offer!$C$5,"[NAME]"))&amp;CHAR(10)&amp;"FC Urban"</f>
        <v/>
      </c>
      <c r="AK131" s="14">
        <f>"Hi "&amp;IF(R131&lt;&gt;"",R131,F131&amp;" team")&amp;","&amp;CHAR(10)&amp;CHAR(10)&amp;"Just bumping this up. The "&amp;AE131&amp;" pitch at "&amp;Z131&amp;" is still free "&amp;IF(ISNUMBER(AD131),TEXT(AD131,"ddd d mmm")&amp;", "&amp;TEXT(AD131,"hh:mm"),"weekday evenings")&amp;", "&amp;IF(OR(AA131=8,AA131=11,AA131=18),"an ","a ")&amp;AA131&amp;"-minute walk from your office, "&amp;IF(AF131&lt;&gt;"","£"&amp;IF(AF131=INT(AF131),TEXT(AF131,"0"),TEXT(AF131,"0.00")),"[PRICE PER PLAYER]")&amp;" a player. Happy to hold it for "&amp;F131&amp;"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LINK]")&amp;CHAR(10)&amp;CHAR(10)&amp;"Best,"&amp;CHAR(10)&amp;IF(AM131&lt;&gt;"",AM131,IF(Offer!$C$5&lt;&gt;"",Offer!$C$5,"[NAME]"))&amp;CHAR(10)&amp;"FC Urban"</f>
        <v/>
      </c>
      <c r="AL131" s="14">
        <f>IF(AH131="","No email yet",IF(ISNUMBER(SEARCH("[",AJ131)),"Fill placeholders",IF(ISNUMBER(AD131),"Ready to send","Ready · no fixed slot")))</f>
        <v/>
      </c>
      <c r="AO131" s="17" t="n"/>
      <c r="AP131" s="17" t="n"/>
    </row>
    <row r="132">
      <c r="A132" s="11" t="n">
        <v>130</v>
      </c>
      <c r="B132" s="11" t="n">
        <v>2</v>
      </c>
      <c r="C132" s="11" t="inlineStr">
        <is>
          <t>Fund administrator</t>
        </is>
      </c>
      <c r="D132" s="11" t="inlineStr">
        <is>
          <t>City of London</t>
        </is>
      </c>
      <c r="E132" s="11" t="inlineStr">
        <is>
          <t>Carne International Financial Services (UK) Limited</t>
        </is>
      </c>
      <c r="F132" s="11" t="inlineStr">
        <is>
          <t>Carne Group</t>
        </is>
      </c>
      <c r="G132" s="12" t="inlineStr">
        <is>
          <t>https://www.carnegroup.com</t>
        </is>
      </c>
      <c r="H132" s="11" t="inlineStr">
        <is>
          <t>info@carnegroup.com</t>
        </is>
      </c>
      <c r="I132" s="11" t="inlineStr">
        <is>
          <t>general</t>
        </is>
      </c>
      <c r="J132" s="12" t="inlineStr">
        <is>
          <t>Open page</t>
        </is>
      </c>
      <c r="K132" s="11" t="inlineStr">
        <is>
          <t>11555138</t>
        </is>
      </c>
      <c r="L132" s="12" t="inlineStr">
        <is>
          <t>Open</t>
        </is>
      </c>
      <c r="M132" s="11" t="inlineStr">
        <is>
          <t>Full</t>
        </is>
      </c>
      <c r="N132" s="13" t="n">
        <v>43349</v>
      </c>
      <c r="O132" s="11" t="inlineStr">
        <is>
          <t>2Nd Floor, 29-30 Cornhill, London</t>
        </is>
      </c>
      <c r="P132" s="11" t="inlineStr">
        <is>
          <t>EC3V 3NF</t>
        </is>
      </c>
      <c r="Q132" s="11" t="inlineStr">
        <is>
          <t>No</t>
        </is>
      </c>
      <c r="W132" s="11" t="inlineStr">
        <is>
          <t>City of London School (EC4V 3AL)</t>
        </is>
      </c>
      <c r="X132" s="11" t="n">
        <v>15</v>
      </c>
      <c r="Y132" s="11" t="inlineStr">
        <is>
          <t>Liverpool St - Attlee Centre (17.6)</t>
        </is>
      </c>
      <c r="Z132" s="11" t="inlineStr">
        <is>
          <t>City of London School (EC4V 3AL)</t>
        </is>
      </c>
      <c r="AA132" s="11" t="n">
        <v>15</v>
      </c>
      <c r="AB132" s="14">
        <f>IFERROR(INDEX(Venues!$E$2:$E$17,MATCH(Z132,Venues!$A$2:$A$17,0)),"Not checked")</f>
        <v/>
      </c>
      <c r="AC132" s="14">
        <f>IFERROR(INDEX(Venues!$F$2:$F$17,MATCH(Z132,Venues!$A$2:$A$17,0)),0)</f>
        <v/>
      </c>
      <c r="AD132" s="15">
        <f>IFERROR(INDEX(Venues!$M$2:$M$17,MATCH(Z132,Venues!$A$2:$A$17,0)),"")</f>
        <v/>
      </c>
      <c r="AE132" s="14">
        <f>IFERROR(INDEX(Venues!$N$2:$N$17,MATCH(Z132,Venues!$A$2:$A$17,0)),"5-a-side")</f>
        <v/>
      </c>
      <c r="AF132" s="16">
        <f>IF(Offer!$C$4="","",Offer!$C$4)</f>
        <v/>
      </c>
      <c r="AG132" s="14">
        <f>Z132&amp;" ("&amp;AA132&amp;" min walk) · "&amp;IF(ISNUMBER(AD132),TEXT(AD132,"ddd d mmm, hh:mm"),"slot to confirm with venue")&amp;" · "&amp;AE132&amp;" · "&amp;IF(AF132&lt;&gt;"","£"&amp;TEXT(AF132,"0.00")&amp;" pp","price TBC")</f>
        <v/>
      </c>
      <c r="AH132" s="14">
        <f>IF(U132&lt;&gt;"",U132,IF(H132&lt;&gt;"",H132,""))</f>
        <v/>
      </c>
      <c r="AI132" s="14">
        <f>"After-work football for "&amp;F132&amp;" · "&amp;Z132&amp;", "&amp;AA132&amp;" min from your office"</f>
        <v/>
      </c>
      <c r="AJ132" s="14">
        <f>"Hi "&amp;IF(R132&lt;&gt;"",R132,F132&amp;" team")&amp;","&amp;CHAR(10)&amp;CHAR(10)&amp;"I'm "&amp;IF(AM132&lt;&gt;"",AM132,IF(Offer!$C$5&lt;&gt;"",Offer!$C$5,"[NAME]"))&amp;" from FC Urban. We organise after-work football for teams in the City and Canary Wharf."&amp;CHAR(10)&amp;CHAR(10)&amp;"We have a "&amp;AE132&amp;" pitch at "&amp;Z132&amp;", "&amp;IF(OR(AA132=8,AA132=11,AA132=18),"an ","a ")&amp;AA132&amp;"-minute walk from your "&amp;P132&amp;" office, "&amp;IF(ISNUMBER(AD132),"on "&amp;TEXT(AD132,"dddd d mmmm")&amp;" at "&amp;TEXT(AD132,"hh:mm"),"on a weekday evening that suits your team")&amp;". It's "&amp;IF(AF132&lt;&gt;"","£"&amp;IF(AF132=INT(AF132),TEXT(AF132,"0"),TEXT(AF132,"0.00")),"[PRICE PER PLAYER]")&amp;" a player and we handle the pitch booking, sign-ups and payments, so all it takes is one person sharing a link with the team."&amp;CHAR(10)&amp;CHAR(10)&amp;"It works well as a team social or "&amp;IF(ISNUMBER(SEARCH(LEFT(F132,1),"AEIOU")),"an ","a ")&amp;F132&amp;"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LINK]")&amp;CHAR(10)&amp;CHAR(10)&amp;"Best,"&amp;CHAR(10)&amp;IF(AM132&lt;&gt;"",AM132,IF(Offer!$C$5&lt;&gt;"",Offer!$C$5,"[NAME]"))&amp;CHAR(10)&amp;"FC Urban"</f>
        <v/>
      </c>
      <c r="AK132" s="14">
        <f>"Hi "&amp;IF(R132&lt;&gt;"",R132,F132&amp;" team")&amp;","&amp;CHAR(10)&amp;CHAR(10)&amp;"Just bumping this up. The "&amp;AE132&amp;" pitch at "&amp;Z132&amp;" is still free "&amp;IF(ISNUMBER(AD132),TEXT(AD132,"ddd d mmm")&amp;", "&amp;TEXT(AD132,"hh:mm"),"weekday evenings")&amp;", "&amp;IF(OR(AA132=8,AA132=11,AA132=18),"an ","a ")&amp;AA132&amp;"-minute walk from your office, "&amp;IF(AF132&lt;&gt;"","£"&amp;IF(AF132=INT(AF132),TEXT(AF132,"0"),TEXT(AF132,"0.00")),"[PRICE PER PLAYER]")&amp;" a player. Happy to hold it for "&amp;F132&amp;"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LINK]")&amp;CHAR(10)&amp;CHAR(10)&amp;"Best,"&amp;CHAR(10)&amp;IF(AM132&lt;&gt;"",AM132,IF(Offer!$C$5&lt;&gt;"",Offer!$C$5,"[NAME]"))&amp;CHAR(10)&amp;"FC Urban"</f>
        <v/>
      </c>
      <c r="AL132" s="14">
        <f>IF(AH132="","No email yet",IF(ISNUMBER(SEARCH("[",AJ132)),"Fill placeholders",IF(ISNUMBER(AD132),"Ready to send","Ready · no fixed slot")))</f>
        <v/>
      </c>
      <c r="AO132" s="17" t="n"/>
      <c r="AP132" s="17" t="n"/>
    </row>
    <row r="133">
      <c r="A133" s="11" t="n">
        <v>131</v>
      </c>
      <c r="B133" s="11" t="n">
        <v>2</v>
      </c>
      <c r="C133" s="11" t="inlineStr">
        <is>
          <t>Fund administrator</t>
        </is>
      </c>
      <c r="D133" s="11" t="inlineStr">
        <is>
          <t>City of London</t>
        </is>
      </c>
      <c r="E133" s="11" t="inlineStr">
        <is>
          <t>Apex Corporate and Business Services UK Limited</t>
        </is>
      </c>
      <c r="F133" s="11" t="inlineStr">
        <is>
          <t>Apex Group</t>
        </is>
      </c>
      <c r="G133" s="12" t="inlineStr">
        <is>
          <t>https://www.apex.co.uk</t>
        </is>
      </c>
      <c r="H133" s="11" t="inlineStr">
        <is>
          <t>mail@apex.co.uk</t>
        </is>
      </c>
      <c r="I133" s="11" t="inlineStr">
        <is>
          <t>general</t>
        </is>
      </c>
      <c r="J133" s="12" t="inlineStr">
        <is>
          <t>Open page</t>
        </is>
      </c>
      <c r="K133" s="11" t="inlineStr">
        <is>
          <t>03853848</t>
        </is>
      </c>
      <c r="L133" s="12" t="inlineStr">
        <is>
          <t>Open</t>
        </is>
      </c>
      <c r="M133" s="11" t="inlineStr">
        <is>
          <t>Full</t>
        </is>
      </c>
      <c r="N133" s="13" t="n">
        <v>36439</v>
      </c>
      <c r="O133" s="11" t="inlineStr">
        <is>
          <t>4Th Floor,, 140 Aldersgate Street, London</t>
        </is>
      </c>
      <c r="P133" s="11" t="inlineStr">
        <is>
          <t>EC1A 4HY</t>
        </is>
      </c>
      <c r="Q133" s="11" t="inlineStr">
        <is>
          <t>No</t>
        </is>
      </c>
      <c r="W133" s="11" t="inlineStr">
        <is>
          <t>Finsbury Leisure Centre (EC1V 3PU)</t>
        </is>
      </c>
      <c r="X133" s="11" t="n">
        <v>12</v>
      </c>
      <c r="Y133" s="11" t="inlineStr">
        <is>
          <t>City of London School (EC4V 3AL) (15.7); Old St - Moreland Primary School (16.7)</t>
        </is>
      </c>
      <c r="Z133" s="11" t="inlineStr">
        <is>
          <t>City of London School (EC4V 3AL)</t>
        </is>
      </c>
      <c r="AA133" s="11" t="n">
        <v>16</v>
      </c>
      <c r="AB133" s="14">
        <f>IFERROR(INDEX(Venues!$E$2:$E$17,MATCH(Z133,Venues!$A$2:$A$17,0)),"Not checked")</f>
        <v/>
      </c>
      <c r="AC133" s="14">
        <f>IFERROR(INDEX(Venues!$F$2:$F$17,MATCH(Z133,Venues!$A$2:$A$17,0)),0)</f>
        <v/>
      </c>
      <c r="AD133" s="15">
        <f>IFERROR(INDEX(Venues!$M$2:$M$17,MATCH(Z133,Venues!$A$2:$A$17,0)),"")</f>
        <v/>
      </c>
      <c r="AE133" s="14">
        <f>IFERROR(INDEX(Venues!$N$2:$N$17,MATCH(Z133,Venues!$A$2:$A$17,0)),"5-a-side")</f>
        <v/>
      </c>
      <c r="AF133" s="16">
        <f>IF(Offer!$C$4="","",Offer!$C$4)</f>
        <v/>
      </c>
      <c r="AG133" s="14">
        <f>Z133&amp;" ("&amp;AA133&amp;" min walk) · "&amp;IF(ISNUMBER(AD133),TEXT(AD133,"ddd d mmm, hh:mm"),"slot to confirm with venue")&amp;" · "&amp;AE133&amp;" · "&amp;IF(AF133&lt;&gt;"","£"&amp;TEXT(AF133,"0.00")&amp;" pp","price TBC")</f>
        <v/>
      </c>
      <c r="AH133" s="14">
        <f>IF(U133&lt;&gt;"",U133,IF(H133&lt;&gt;"",H133,""))</f>
        <v/>
      </c>
      <c r="AI133" s="14">
        <f>"After-work football for "&amp;F133&amp;" · "&amp;Z133&amp;", "&amp;AA133&amp;" min from your office"</f>
        <v/>
      </c>
      <c r="AJ133" s="14">
        <f>"Hi "&amp;IF(R133&lt;&gt;"",R133,F133&amp;" team")&amp;","&amp;CHAR(10)&amp;CHAR(10)&amp;"I'm "&amp;IF(AM133&lt;&gt;"",AM133,IF(Offer!$C$5&lt;&gt;"",Offer!$C$5,"[NAME]"))&amp;" from FC Urban. We organise after-work football for teams in the City and Canary Wharf."&amp;CHAR(10)&amp;CHAR(10)&amp;"We have a "&amp;AE133&amp;" pitch at "&amp;Z133&amp;", "&amp;IF(OR(AA133=8,AA133=11,AA133=18),"an ","a ")&amp;AA133&amp;"-minute walk from your "&amp;P133&amp;" office, "&amp;IF(ISNUMBER(AD133),"on "&amp;TEXT(AD133,"dddd d mmmm")&amp;" at "&amp;TEXT(AD133,"hh:mm"),"on a weekday evening that suits your team")&amp;". It's "&amp;IF(AF133&lt;&gt;"","£"&amp;IF(AF133=INT(AF133),TEXT(AF133,"0"),TEXT(AF133,"0.00")),"[PRICE PER PLAYER]")&amp;" a player and we handle the pitch booking, sign-ups and payments, so all it takes is one person sharing a link with the team."&amp;CHAR(10)&amp;CHAR(10)&amp;"It works well as a team social or "&amp;IF(ISNUMBER(SEARCH(LEFT(F133,1),"AEIOU")),"an ","a ")&amp;F133&amp;"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LINK]")&amp;CHAR(10)&amp;CHAR(10)&amp;"Best,"&amp;CHAR(10)&amp;IF(AM133&lt;&gt;"",AM133,IF(Offer!$C$5&lt;&gt;"",Offer!$C$5,"[NAME]"))&amp;CHAR(10)&amp;"FC Urban"</f>
        <v/>
      </c>
      <c r="AK133" s="14">
        <f>"Hi "&amp;IF(R133&lt;&gt;"",R133,F133&amp;" team")&amp;","&amp;CHAR(10)&amp;CHAR(10)&amp;"Just bumping this up. The "&amp;AE133&amp;" pitch at "&amp;Z133&amp;" is still free "&amp;IF(ISNUMBER(AD133),TEXT(AD133,"ddd d mmm")&amp;", "&amp;TEXT(AD133,"hh:mm"),"weekday evenings")&amp;", "&amp;IF(OR(AA133=8,AA133=11,AA133=18),"an ","a ")&amp;AA133&amp;"-minute walk from your office, "&amp;IF(AF133&lt;&gt;"","£"&amp;IF(AF133=INT(AF133),TEXT(AF133,"0"),TEXT(AF133,"0.00")),"[PRICE PER PLAYER]")&amp;" a player. Happy to hold it for "&amp;F133&amp;"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LINK]")&amp;CHAR(10)&amp;CHAR(10)&amp;"Best,"&amp;CHAR(10)&amp;IF(AM133&lt;&gt;"",AM133,IF(Offer!$C$5&lt;&gt;"",Offer!$C$5,"[NAME]"))&amp;CHAR(10)&amp;"FC Urban"</f>
        <v/>
      </c>
      <c r="AL133" s="14">
        <f>IF(AH133="","No email yet",IF(ISNUMBER(SEARCH("[",AJ133)),"Fill placeholders",IF(ISNUMBER(AD133),"Ready to send","Ready · no fixed slot")))</f>
        <v/>
      </c>
      <c r="AO133" s="17" t="n"/>
      <c r="AP133" s="17" t="n"/>
    </row>
    <row r="134">
      <c r="A134" s="11" t="n">
        <v>132</v>
      </c>
      <c r="B134" s="11" t="n">
        <v>2</v>
      </c>
      <c r="C134" s="11" t="inlineStr">
        <is>
          <t>Fund administrator</t>
        </is>
      </c>
      <c r="D134" s="11" t="inlineStr">
        <is>
          <t>City of London</t>
        </is>
      </c>
      <c r="E134" s="11" t="inlineStr">
        <is>
          <t>Alter Domus Fund Services (UK) Limited</t>
        </is>
      </c>
      <c r="F134" s="11" t="inlineStr">
        <is>
          <t>Alter Domus</t>
        </is>
      </c>
      <c r="G134" s="12" t="inlineStr">
        <is>
          <t>https://alterdomus.com</t>
        </is>
      </c>
      <c r="H134" s="11" t="n"/>
      <c r="I134" s="11" t="inlineStr">
        <is>
          <t>Not found</t>
        </is>
      </c>
      <c r="J134" s="11" t="n"/>
      <c r="K134" s="11" t="inlineStr">
        <is>
          <t>08962253</t>
        </is>
      </c>
      <c r="L134" s="12" t="inlineStr">
        <is>
          <t>Open</t>
        </is>
      </c>
      <c r="M134" s="11" t="inlineStr">
        <is>
          <t>Full</t>
        </is>
      </c>
      <c r="N134" s="13" t="n">
        <v>41725</v>
      </c>
      <c r="O134" s="11" t="inlineStr">
        <is>
          <t>10Th Floor, 30 St Mary Axe, London</t>
        </is>
      </c>
      <c r="P134" s="11" t="inlineStr">
        <is>
          <t>EC3A 8BF</t>
        </is>
      </c>
      <c r="Q134" s="11" t="inlineStr">
        <is>
          <t>No</t>
        </is>
      </c>
      <c r="W134" s="11" t="inlineStr">
        <is>
          <t>Liverpool St - Attlee Centre</t>
        </is>
      </c>
      <c r="X134" s="11" t="n">
        <v>10</v>
      </c>
      <c r="Y134" s="11" t="inlineStr">
        <is>
          <t>Shoreditch Powerleague (16.8)</t>
        </is>
      </c>
      <c r="Z134" s="11" t="inlineStr">
        <is>
          <t>Shoreditch Powerleague</t>
        </is>
      </c>
      <c r="AA134" s="11" t="n">
        <v>17</v>
      </c>
      <c r="AB134" s="14">
        <f>IFERROR(INDEX(Venues!$E$2:$E$17,MATCH(Z134,Venues!$A$2:$A$17,0)),"Not checked")</f>
        <v/>
      </c>
      <c r="AC134" s="14">
        <f>IFERROR(INDEX(Venues!$F$2:$F$17,MATCH(Z134,Venues!$A$2:$A$17,0)),0)</f>
        <v/>
      </c>
      <c r="AD134" s="15">
        <f>IFERROR(INDEX(Venues!$M$2:$M$17,MATCH(Z134,Venues!$A$2:$A$17,0)),"")</f>
        <v/>
      </c>
      <c r="AE134" s="14">
        <f>IFERROR(INDEX(Venues!$N$2:$N$17,MATCH(Z134,Venues!$A$2:$A$17,0)),"5-a-side")</f>
        <v/>
      </c>
      <c r="AF134" s="16">
        <f>IF(Offer!$C$4="","",Offer!$C$4)</f>
        <v/>
      </c>
      <c r="AG134" s="14">
        <f>Z134&amp;" ("&amp;AA134&amp;" min walk) · "&amp;IF(ISNUMBER(AD134),TEXT(AD134,"ddd d mmm, hh:mm"),"slot to confirm with venue")&amp;" · "&amp;AE134&amp;" · "&amp;IF(AF134&lt;&gt;"","£"&amp;TEXT(AF134,"0.00")&amp;" pp","price TBC")</f>
        <v/>
      </c>
      <c r="AH134" s="14">
        <f>IF(U134&lt;&gt;"",U134,IF(H134&lt;&gt;"",H134,""))</f>
        <v/>
      </c>
      <c r="AI134" s="14">
        <f>"After-work football for "&amp;F134&amp;" · "&amp;Z134&amp;", "&amp;AA134&amp;" min from your office"</f>
        <v/>
      </c>
      <c r="AJ134" s="14">
        <f>"Hi "&amp;IF(R134&lt;&gt;"",R134,F134&amp;" team")&amp;","&amp;CHAR(10)&amp;CHAR(10)&amp;"I'm "&amp;IF(AM134&lt;&gt;"",AM134,IF(Offer!$C$5&lt;&gt;"",Offer!$C$5,"[NAME]"))&amp;" from FC Urban. We organise after-work football for teams in the City and Canary Wharf."&amp;CHAR(10)&amp;CHAR(10)&amp;"We have a "&amp;AE134&amp;" pitch at "&amp;Z134&amp;", "&amp;IF(OR(AA134=8,AA134=11,AA134=18),"an ","a ")&amp;AA134&amp;"-minute walk from your "&amp;P134&amp;" office, "&amp;IF(ISNUMBER(AD134),"on "&amp;TEXT(AD134,"dddd d mmmm")&amp;" at "&amp;TEXT(AD134,"hh:mm"),"on a weekday evening that suits your team")&amp;". It's "&amp;IF(AF134&lt;&gt;"","£"&amp;IF(AF134=INT(AF134),TEXT(AF134,"0"),TEXT(AF134,"0.00")),"[PRICE PER PLAYER]")&amp;" a player and we handle the pitch booking, sign-ups and payments, so all it takes is one person sharing a link with the team."&amp;CHAR(10)&amp;CHAR(10)&amp;"It works well as a team social or "&amp;IF(ISNUMBER(SEARCH(LEFT(F134,1),"AEIOU")),"an ","a ")&amp;F134&amp;"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LINK]")&amp;CHAR(10)&amp;CHAR(10)&amp;"Best,"&amp;CHAR(10)&amp;IF(AM134&lt;&gt;"",AM134,IF(Offer!$C$5&lt;&gt;"",Offer!$C$5,"[NAME]"))&amp;CHAR(10)&amp;"FC Urban"</f>
        <v/>
      </c>
      <c r="AK134" s="14">
        <f>"Hi "&amp;IF(R134&lt;&gt;"",R134,F134&amp;" team")&amp;","&amp;CHAR(10)&amp;CHAR(10)&amp;"Just bumping this up. The "&amp;AE134&amp;" pitch at "&amp;Z134&amp;" is still free "&amp;IF(ISNUMBER(AD134),TEXT(AD134,"ddd d mmm")&amp;", "&amp;TEXT(AD134,"hh:mm"),"weekday evenings")&amp;", "&amp;IF(OR(AA134=8,AA134=11,AA134=18),"an ","a ")&amp;AA134&amp;"-minute walk from your office, "&amp;IF(AF134&lt;&gt;"","£"&amp;IF(AF134=INT(AF134),TEXT(AF134,"0"),TEXT(AF134,"0.00")),"[PRICE PER PLAYER]")&amp;" a player. Happy to hold it for "&amp;F134&amp;"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LINK]")&amp;CHAR(10)&amp;CHAR(10)&amp;"Best,"&amp;CHAR(10)&amp;IF(AM134&lt;&gt;"",AM134,IF(Offer!$C$5&lt;&gt;"",Offer!$C$5,"[NAME]"))&amp;CHAR(10)&amp;"FC Urban"</f>
        <v/>
      </c>
      <c r="AL134" s="14">
        <f>IF(AH134="","No email yet",IF(ISNUMBER(SEARCH("[",AJ134)),"Fill placeholders",IF(ISNUMBER(AD134),"Ready to send","Ready · no fixed slot")))</f>
        <v/>
      </c>
      <c r="AO134" s="17" t="n"/>
      <c r="AP134" s="17" t="n"/>
    </row>
    <row r="135">
      <c r="A135" s="11" t="n">
        <v>133</v>
      </c>
      <c r="B135" s="11" t="n">
        <v>2</v>
      </c>
      <c r="C135" s="11" t="inlineStr">
        <is>
          <t>Fund / asset manager</t>
        </is>
      </c>
      <c r="D135" s="11" t="inlineStr">
        <is>
          <t>City of London</t>
        </is>
      </c>
      <c r="E135" s="11" t="inlineStr">
        <is>
          <t>Hearthstone Investments Limited</t>
        </is>
      </c>
      <c r="F135" s="11" t="inlineStr">
        <is>
          <t>Hearthstone Investments</t>
        </is>
      </c>
      <c r="G135" s="12" t="inlineStr">
        <is>
          <t>https://www.hearthstone.com</t>
        </is>
      </c>
      <c r="H135" s="11" t="inlineStr">
        <is>
          <t>hearthstone@hearthstone.com</t>
        </is>
      </c>
      <c r="I135" s="11" t="inlineStr">
        <is>
          <t>named person</t>
        </is>
      </c>
      <c r="J135" s="12" t="inlineStr">
        <is>
          <t>Open page</t>
        </is>
      </c>
      <c r="K135" s="11" t="inlineStr">
        <is>
          <t>06379066</t>
        </is>
      </c>
      <c r="L135" s="12" t="inlineStr">
        <is>
          <t>Open</t>
        </is>
      </c>
      <c r="M135" s="11" t="inlineStr">
        <is>
          <t>Group</t>
        </is>
      </c>
      <c r="N135" s="13" t="n">
        <v>39349</v>
      </c>
      <c r="O135" s="11" t="inlineStr">
        <is>
          <t>Suite 2.06, Bridge House, 181 Queen Victoria Street, London</t>
        </is>
      </c>
      <c r="P135" s="11" t="inlineStr">
        <is>
          <t>EC4V 4EG</t>
        </is>
      </c>
      <c r="Q135" s="11" t="inlineStr">
        <is>
          <t>Yes</t>
        </is>
      </c>
      <c r="W135" s="11" t="inlineStr">
        <is>
          <t>City of London School (EC4V 3AL)</t>
        </is>
      </c>
      <c r="X135" s="11" t="n">
        <v>5</v>
      </c>
      <c r="Y135" s="11" t="inlineStr">
        <is>
          <t>Marlborough Sports Garden (SE1 1SD) (18.5); Borough Academy (18.6)</t>
        </is>
      </c>
      <c r="Z135" s="11" t="inlineStr">
        <is>
          <t>City of London School (EC4V 3AL)</t>
        </is>
      </c>
      <c r="AA135" s="11" t="n">
        <v>5</v>
      </c>
      <c r="AB135" s="14">
        <f>IFERROR(INDEX(Venues!$E$2:$E$17,MATCH(Z135,Venues!$A$2:$A$17,0)),"Not checked")</f>
        <v/>
      </c>
      <c r="AC135" s="14">
        <f>IFERROR(INDEX(Venues!$F$2:$F$17,MATCH(Z135,Venues!$A$2:$A$17,0)),0)</f>
        <v/>
      </c>
      <c r="AD135" s="15">
        <f>IFERROR(INDEX(Venues!$M$2:$M$17,MATCH(Z135,Venues!$A$2:$A$17,0)),"")</f>
        <v/>
      </c>
      <c r="AE135" s="14">
        <f>IFERROR(INDEX(Venues!$N$2:$N$17,MATCH(Z135,Venues!$A$2:$A$17,0)),"5-a-side")</f>
        <v/>
      </c>
      <c r="AF135" s="16">
        <f>IF(Offer!$C$4="","",Offer!$C$4)</f>
        <v/>
      </c>
      <c r="AG135" s="14">
        <f>Z135&amp;" ("&amp;AA135&amp;" min walk) · "&amp;IF(ISNUMBER(AD135),TEXT(AD135,"ddd d mmm, hh:mm"),"slot to confirm with venue")&amp;" · "&amp;AE135&amp;" · "&amp;IF(AF135&lt;&gt;"","£"&amp;TEXT(AF135,"0.00")&amp;" pp","price TBC")</f>
        <v/>
      </c>
      <c r="AH135" s="14">
        <f>IF(U135&lt;&gt;"",U135,IF(H135&lt;&gt;"",H135,""))</f>
        <v/>
      </c>
      <c r="AI135" s="14">
        <f>"After-work football for "&amp;F135&amp;" · "&amp;Z135&amp;", "&amp;AA135&amp;" min from your office"</f>
        <v/>
      </c>
      <c r="AJ135" s="14">
        <f>"Hi "&amp;IF(R135&lt;&gt;"",R135,F135&amp;" team")&amp;","&amp;CHAR(10)&amp;CHAR(10)&amp;"I'm "&amp;IF(AM135&lt;&gt;"",AM135,IF(Offer!$C$5&lt;&gt;"",Offer!$C$5,"[NAME]"))&amp;" from FC Urban. We organise after-work football for teams in the City and Canary Wharf."&amp;CHAR(10)&amp;CHAR(10)&amp;"We have a "&amp;AE135&amp;" pitch at "&amp;Z135&amp;", "&amp;IF(OR(AA135=8,AA135=11,AA135=18),"an ","a ")&amp;AA135&amp;"-minute walk from your "&amp;P135&amp;" office, "&amp;IF(ISNUMBER(AD135),"on "&amp;TEXT(AD135,"dddd d mmmm")&amp;" at "&amp;TEXT(AD135,"hh:mm"),"on a weekday evening that suits your team")&amp;". It's "&amp;IF(AF135&lt;&gt;"","£"&amp;IF(AF135=INT(AF135),TEXT(AF135,"0"),TEXT(AF135,"0.00")),"[PRICE PER PLAYER]")&amp;" a player and we handle the pitch booking, sign-ups and payments, so all it takes is one person sharing a link with the team."&amp;CHAR(10)&amp;CHAR(10)&amp;"It works well as a team social or "&amp;IF(ISNUMBER(SEARCH(LEFT(F135,1),"AEIOU")),"an ","a ")&amp;F135&amp;"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LINK]")&amp;CHAR(10)&amp;CHAR(10)&amp;"Best,"&amp;CHAR(10)&amp;IF(AM135&lt;&gt;"",AM135,IF(Offer!$C$5&lt;&gt;"",Offer!$C$5,"[NAME]"))&amp;CHAR(10)&amp;"FC Urban"</f>
        <v/>
      </c>
      <c r="AK135" s="14">
        <f>"Hi "&amp;IF(R135&lt;&gt;"",R135,F135&amp;" team")&amp;","&amp;CHAR(10)&amp;CHAR(10)&amp;"Just bumping this up. The "&amp;AE135&amp;" pitch at "&amp;Z135&amp;" is still free "&amp;IF(ISNUMBER(AD135),TEXT(AD135,"ddd d mmm")&amp;", "&amp;TEXT(AD135,"hh:mm"),"weekday evenings")&amp;", "&amp;IF(OR(AA135=8,AA135=11,AA135=18),"an ","a ")&amp;AA135&amp;"-minute walk from your office, "&amp;IF(AF135&lt;&gt;"","£"&amp;IF(AF135=INT(AF135),TEXT(AF135,"0"),TEXT(AF135,"0.00")),"[PRICE PER PLAYER]")&amp;" a player. Happy to hold it for "&amp;F135&amp;"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LINK]")&amp;CHAR(10)&amp;CHAR(10)&amp;"Best,"&amp;CHAR(10)&amp;IF(AM135&lt;&gt;"",AM135,IF(Offer!$C$5&lt;&gt;"",Offer!$C$5,"[NAME]"))&amp;CHAR(10)&amp;"FC Urban"</f>
        <v/>
      </c>
      <c r="AL135" s="14">
        <f>IF(AH135="","No email yet",IF(ISNUMBER(SEARCH("[",AJ135)),"Fill placeholders",IF(ISNUMBER(AD135),"Ready to send","Ready · no fixed slot")))</f>
        <v/>
      </c>
      <c r="AO135" s="17" t="n"/>
      <c r="AP135" s="17" t="n"/>
    </row>
    <row r="136">
      <c r="A136" s="11" t="n">
        <v>134</v>
      </c>
      <c r="B136" s="11" t="n">
        <v>2</v>
      </c>
      <c r="C136" s="11" t="inlineStr">
        <is>
          <t>Fund / asset manager</t>
        </is>
      </c>
      <c r="D136" s="11" t="inlineStr">
        <is>
          <t>City of London</t>
        </is>
      </c>
      <c r="E136" s="11" t="inlineStr">
        <is>
          <t>Resonance Asset Management Limited</t>
        </is>
      </c>
      <c r="F136" s="11" t="inlineStr">
        <is>
          <t>Resonance Asset Management</t>
        </is>
      </c>
      <c r="G136" s="12" t="inlineStr">
        <is>
          <t>https://nmr.oxinst.com</t>
        </is>
      </c>
      <c r="H136" s="11" t="inlineStr">
        <is>
          <t>rivacycn@oxinst.com</t>
        </is>
      </c>
      <c r="I136" s="11" t="inlineStr">
        <is>
          <t>named person</t>
        </is>
      </c>
      <c r="J136" s="12" t="inlineStr">
        <is>
          <t>Open page</t>
        </is>
      </c>
      <c r="K136" s="11" t="inlineStr">
        <is>
          <t>09028327</t>
        </is>
      </c>
      <c r="L136" s="12" t="inlineStr">
        <is>
          <t>Open</t>
        </is>
      </c>
      <c r="M136" s="11" t="inlineStr">
        <is>
          <t>Group</t>
        </is>
      </c>
      <c r="N136" s="13" t="n">
        <v>41766</v>
      </c>
      <c r="O136" s="11" t="inlineStr">
        <is>
          <t>Beaumont Bridge House, 181 Queen Victoria Street, London</t>
        </is>
      </c>
      <c r="P136" s="11" t="inlineStr">
        <is>
          <t>EC4V 4EG</t>
        </is>
      </c>
      <c r="Q136" s="11" t="inlineStr">
        <is>
          <t>Yes</t>
        </is>
      </c>
      <c r="W136" s="11" t="inlineStr">
        <is>
          <t>City of London School (EC4V 3AL)</t>
        </is>
      </c>
      <c r="X136" s="11" t="n">
        <v>5</v>
      </c>
      <c r="Y136" s="11" t="inlineStr">
        <is>
          <t>Marlborough Sports Garden (SE1 1SD) (18.5); Borough Academy (18.6)</t>
        </is>
      </c>
      <c r="Z136" s="11" t="inlineStr">
        <is>
          <t>City of London School (EC4V 3AL)</t>
        </is>
      </c>
      <c r="AA136" s="11" t="n">
        <v>5</v>
      </c>
      <c r="AB136" s="14">
        <f>IFERROR(INDEX(Venues!$E$2:$E$17,MATCH(Z136,Venues!$A$2:$A$17,0)),"Not checked")</f>
        <v/>
      </c>
      <c r="AC136" s="14">
        <f>IFERROR(INDEX(Venues!$F$2:$F$17,MATCH(Z136,Venues!$A$2:$A$17,0)),0)</f>
        <v/>
      </c>
      <c r="AD136" s="15">
        <f>IFERROR(INDEX(Venues!$M$2:$M$17,MATCH(Z136,Venues!$A$2:$A$17,0)),"")</f>
        <v/>
      </c>
      <c r="AE136" s="14">
        <f>IFERROR(INDEX(Venues!$N$2:$N$17,MATCH(Z136,Venues!$A$2:$A$17,0)),"5-a-side")</f>
        <v/>
      </c>
      <c r="AF136" s="16">
        <f>IF(Offer!$C$4="","",Offer!$C$4)</f>
        <v/>
      </c>
      <c r="AG136" s="14">
        <f>Z136&amp;" ("&amp;AA136&amp;" min walk) · "&amp;IF(ISNUMBER(AD136),TEXT(AD136,"ddd d mmm, hh:mm"),"slot to confirm with venue")&amp;" · "&amp;AE136&amp;" · "&amp;IF(AF136&lt;&gt;"","£"&amp;TEXT(AF136,"0.00")&amp;" pp","price TBC")</f>
        <v/>
      </c>
      <c r="AH136" s="14">
        <f>IF(U136&lt;&gt;"",U136,IF(H136&lt;&gt;"",H136,""))</f>
        <v/>
      </c>
      <c r="AI136" s="14">
        <f>"After-work football for "&amp;F136&amp;" · "&amp;Z136&amp;", "&amp;AA136&amp;" min from your office"</f>
        <v/>
      </c>
      <c r="AJ136" s="14">
        <f>"Hi "&amp;IF(R136&lt;&gt;"",R136,F136&amp;" team")&amp;","&amp;CHAR(10)&amp;CHAR(10)&amp;"I'm "&amp;IF(AM136&lt;&gt;"",AM136,IF(Offer!$C$5&lt;&gt;"",Offer!$C$5,"[NAME]"))&amp;" from FC Urban. We organise after-work football for teams in the City and Canary Wharf."&amp;CHAR(10)&amp;CHAR(10)&amp;"We have a "&amp;AE136&amp;" pitch at "&amp;Z136&amp;", "&amp;IF(OR(AA136=8,AA136=11,AA136=18),"an ","a ")&amp;AA136&amp;"-minute walk from your "&amp;P136&amp;" office, "&amp;IF(ISNUMBER(AD136),"on "&amp;TEXT(AD136,"dddd d mmmm")&amp;" at "&amp;TEXT(AD136,"hh:mm"),"on a weekday evening that suits your team")&amp;". It's "&amp;IF(AF136&lt;&gt;"","£"&amp;IF(AF136=INT(AF136),TEXT(AF136,"0"),TEXT(AF136,"0.00")),"[PRICE PER PLAYER]")&amp;" a player and we handle the pitch booking, sign-ups and payments, so all it takes is one person sharing a link with the team."&amp;CHAR(10)&amp;CHAR(10)&amp;"It works well as a team social or "&amp;IF(ISNUMBER(SEARCH(LEFT(F136,1),"AEIOU")),"an ","a ")&amp;F136&amp;"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LINK]")&amp;CHAR(10)&amp;CHAR(10)&amp;"Best,"&amp;CHAR(10)&amp;IF(AM136&lt;&gt;"",AM136,IF(Offer!$C$5&lt;&gt;"",Offer!$C$5,"[NAME]"))&amp;CHAR(10)&amp;"FC Urban"</f>
        <v/>
      </c>
      <c r="AK136" s="14">
        <f>"Hi "&amp;IF(R136&lt;&gt;"",R136,F136&amp;" team")&amp;","&amp;CHAR(10)&amp;CHAR(10)&amp;"Just bumping this up. The "&amp;AE136&amp;" pitch at "&amp;Z136&amp;" is still free "&amp;IF(ISNUMBER(AD136),TEXT(AD136,"ddd d mmm")&amp;", "&amp;TEXT(AD136,"hh:mm"),"weekday evenings")&amp;", "&amp;IF(OR(AA136=8,AA136=11,AA136=18),"an ","a ")&amp;AA136&amp;"-minute walk from your office, "&amp;IF(AF136&lt;&gt;"","£"&amp;IF(AF136=INT(AF136),TEXT(AF136,"0"),TEXT(AF136,"0.00")),"[PRICE PER PLAYER]")&amp;" a player. Happy to hold it for "&amp;F136&amp;"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LINK]")&amp;CHAR(10)&amp;CHAR(10)&amp;"Best,"&amp;CHAR(10)&amp;IF(AM136&lt;&gt;"",AM136,IF(Offer!$C$5&lt;&gt;"",Offer!$C$5,"[NAME]"))&amp;CHAR(10)&amp;"FC Urban"</f>
        <v/>
      </c>
      <c r="AL136" s="14">
        <f>IF(AH136="","No email yet",IF(ISNUMBER(SEARCH("[",AJ136)),"Fill placeholders",IF(ISNUMBER(AD136),"Ready to send","Ready · no fixed slot")))</f>
        <v/>
      </c>
      <c r="AO136" s="17" t="n"/>
      <c r="AP136" s="17" t="n"/>
    </row>
    <row r="137">
      <c r="A137" s="11" t="n">
        <v>135</v>
      </c>
      <c r="B137" s="11" t="n">
        <v>2</v>
      </c>
      <c r="C137" s="11" t="inlineStr">
        <is>
          <t>Fund / asset manager</t>
        </is>
      </c>
      <c r="D137" s="11" t="inlineStr">
        <is>
          <t>City of London</t>
        </is>
      </c>
      <c r="E137" s="11" t="inlineStr">
        <is>
          <t>Stafford Capital Partners Limited</t>
        </is>
      </c>
      <c r="F137" s="11" t="inlineStr">
        <is>
          <t>Stafford Capital Partners</t>
        </is>
      </c>
      <c r="G137" s="12" t="inlineStr">
        <is>
          <t>https://www.stafford.co.uk</t>
        </is>
      </c>
      <c r="H137" s="11" t="inlineStr">
        <is>
          <t>support@stafford.co.uk</t>
        </is>
      </c>
      <c r="I137" s="11" t="inlineStr">
        <is>
          <t>role (other)</t>
        </is>
      </c>
      <c r="J137" s="12" t="inlineStr">
        <is>
          <t>Open page</t>
        </is>
      </c>
      <c r="K137" s="11" t="inlineStr">
        <is>
          <t>04752750</t>
        </is>
      </c>
      <c r="L137" s="12" t="inlineStr">
        <is>
          <t>Open</t>
        </is>
      </c>
      <c r="M137" s="11" t="inlineStr">
        <is>
          <t>Group</t>
        </is>
      </c>
      <c r="N137" s="13" t="n">
        <v>37743</v>
      </c>
      <c r="O137" s="11" t="inlineStr">
        <is>
          <t>Level 6 Duo, 280 Bishopsgate, London</t>
        </is>
      </c>
      <c r="P137" s="11" t="inlineStr">
        <is>
          <t>EC2M 4RB</t>
        </is>
      </c>
      <c r="Q137" s="11" t="inlineStr">
        <is>
          <t>No</t>
        </is>
      </c>
      <c r="W137" s="11" t="inlineStr">
        <is>
          <t>Shoreditch Powerleague</t>
        </is>
      </c>
      <c r="X137" s="11" t="n">
        <v>7</v>
      </c>
      <c r="Y137" s="11" t="inlineStr">
        <is>
          <t>Liverpool St - Attlee Centre (7.1)</t>
        </is>
      </c>
      <c r="Z137" s="11" t="inlineStr">
        <is>
          <t>Shoreditch Powerleague</t>
        </is>
      </c>
      <c r="AA137" s="11" t="n">
        <v>7</v>
      </c>
      <c r="AB137" s="14">
        <f>IFERROR(INDEX(Venues!$E$2:$E$17,MATCH(Z137,Venues!$A$2:$A$17,0)),"Not checked")</f>
        <v/>
      </c>
      <c r="AC137" s="14">
        <f>IFERROR(INDEX(Venues!$F$2:$F$17,MATCH(Z137,Venues!$A$2:$A$17,0)),0)</f>
        <v/>
      </c>
      <c r="AD137" s="15">
        <f>IFERROR(INDEX(Venues!$M$2:$M$17,MATCH(Z137,Venues!$A$2:$A$17,0)),"")</f>
        <v/>
      </c>
      <c r="AE137" s="14">
        <f>IFERROR(INDEX(Venues!$N$2:$N$17,MATCH(Z137,Venues!$A$2:$A$17,0)),"5-a-side")</f>
        <v/>
      </c>
      <c r="AF137" s="16">
        <f>IF(Offer!$C$4="","",Offer!$C$4)</f>
        <v/>
      </c>
      <c r="AG137" s="14">
        <f>Z137&amp;" ("&amp;AA137&amp;" min walk) · "&amp;IF(ISNUMBER(AD137),TEXT(AD137,"ddd d mmm, hh:mm"),"slot to confirm with venue")&amp;" · "&amp;AE137&amp;" · "&amp;IF(AF137&lt;&gt;"","£"&amp;TEXT(AF137,"0.00")&amp;" pp","price TBC")</f>
        <v/>
      </c>
      <c r="AH137" s="14">
        <f>IF(U137&lt;&gt;"",U137,IF(H137&lt;&gt;"",H137,""))</f>
        <v/>
      </c>
      <c r="AI137" s="14">
        <f>"After-work football for "&amp;F137&amp;" · "&amp;Z137&amp;", "&amp;AA137&amp;" min from your office"</f>
        <v/>
      </c>
      <c r="AJ137" s="14">
        <f>"Hi "&amp;IF(R137&lt;&gt;"",R137,F137&amp;" team")&amp;","&amp;CHAR(10)&amp;CHAR(10)&amp;"I'm "&amp;IF(AM137&lt;&gt;"",AM137,IF(Offer!$C$5&lt;&gt;"",Offer!$C$5,"[NAME]"))&amp;" from FC Urban. We organise after-work football for teams in the City and Canary Wharf."&amp;CHAR(10)&amp;CHAR(10)&amp;"We have a "&amp;AE137&amp;" pitch at "&amp;Z137&amp;", "&amp;IF(OR(AA137=8,AA137=11,AA137=18),"an ","a ")&amp;AA137&amp;"-minute walk from your "&amp;P137&amp;" office, "&amp;IF(ISNUMBER(AD137),"on "&amp;TEXT(AD137,"dddd d mmmm")&amp;" at "&amp;TEXT(AD137,"hh:mm"),"on a weekday evening that suits your team")&amp;". It's "&amp;IF(AF137&lt;&gt;"","£"&amp;IF(AF137=INT(AF137),TEXT(AF137,"0"),TEXT(AF137,"0.00")),"[PRICE PER PLAYER]")&amp;" a player and we handle the pitch booking, sign-ups and payments, so all it takes is one person sharing a link with the team."&amp;CHAR(10)&amp;CHAR(10)&amp;"It works well as a team social or "&amp;IF(ISNUMBER(SEARCH(LEFT(F137,1),"AEIOU")),"an ","a ")&amp;F137&amp;"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LINK]")&amp;CHAR(10)&amp;CHAR(10)&amp;"Best,"&amp;CHAR(10)&amp;IF(AM137&lt;&gt;"",AM137,IF(Offer!$C$5&lt;&gt;"",Offer!$C$5,"[NAME]"))&amp;CHAR(10)&amp;"FC Urban"</f>
        <v/>
      </c>
      <c r="AK137" s="14">
        <f>"Hi "&amp;IF(R137&lt;&gt;"",R137,F137&amp;" team")&amp;","&amp;CHAR(10)&amp;CHAR(10)&amp;"Just bumping this up. The "&amp;AE137&amp;" pitch at "&amp;Z137&amp;" is still free "&amp;IF(ISNUMBER(AD137),TEXT(AD137,"ddd d mmm")&amp;", "&amp;TEXT(AD137,"hh:mm"),"weekday evenings")&amp;", "&amp;IF(OR(AA137=8,AA137=11,AA137=18),"an ","a ")&amp;AA137&amp;"-minute walk from your office, "&amp;IF(AF137&lt;&gt;"","£"&amp;IF(AF137=INT(AF137),TEXT(AF137,"0"),TEXT(AF137,"0.00")),"[PRICE PER PLAYER]")&amp;" a player. Happy to hold it for "&amp;F137&amp;"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LINK]")&amp;CHAR(10)&amp;CHAR(10)&amp;"Best,"&amp;CHAR(10)&amp;IF(AM137&lt;&gt;"",AM137,IF(Offer!$C$5&lt;&gt;"",Offer!$C$5,"[NAME]"))&amp;CHAR(10)&amp;"FC Urban"</f>
        <v/>
      </c>
      <c r="AL137" s="14">
        <f>IF(AH137="","No email yet",IF(ISNUMBER(SEARCH("[",AJ137)),"Fill placeholders",IF(ISNUMBER(AD137),"Ready to send","Ready · no fixed slot")))</f>
        <v/>
      </c>
      <c r="AO137" s="17" t="n"/>
      <c r="AP137" s="17" t="n"/>
    </row>
    <row r="138">
      <c r="A138" s="11" t="n">
        <v>136</v>
      </c>
      <c r="B138" s="11" t="n">
        <v>2</v>
      </c>
      <c r="C138" s="11" t="inlineStr">
        <is>
          <t>Fund / asset manager</t>
        </is>
      </c>
      <c r="D138" s="11" t="inlineStr">
        <is>
          <t>City of London</t>
        </is>
      </c>
      <c r="E138" s="11" t="inlineStr">
        <is>
          <t>Tritax Management LLP</t>
        </is>
      </c>
      <c r="F138" s="11" t="inlineStr">
        <is>
          <t>Tritax Management</t>
        </is>
      </c>
      <c r="G138" s="12" t="inlineStr">
        <is>
          <t>https://tritax.co.uk</t>
        </is>
      </c>
      <c r="H138" s="11" t="inlineStr">
        <is>
          <t>enquiries@tritax.co.uk</t>
        </is>
      </c>
      <c r="I138" s="11" t="inlineStr">
        <is>
          <t>general</t>
        </is>
      </c>
      <c r="J138" s="12" t="inlineStr">
        <is>
          <t>Open page</t>
        </is>
      </c>
      <c r="K138" s="11" t="inlineStr">
        <is>
          <t>OC326500</t>
        </is>
      </c>
      <c r="L138" s="12" t="inlineStr">
        <is>
          <t>Open</t>
        </is>
      </c>
      <c r="M138" s="11" t="inlineStr">
        <is>
          <t>Group</t>
        </is>
      </c>
      <c r="N138" s="13" t="n">
        <v>39143</v>
      </c>
      <c r="O138" s="11" t="inlineStr">
        <is>
          <t>280 Bishopsgate, London</t>
        </is>
      </c>
      <c r="P138" s="11" t="inlineStr">
        <is>
          <t>EC2M 4AG</t>
        </is>
      </c>
      <c r="Q138" s="11" t="inlineStr">
        <is>
          <t>No</t>
        </is>
      </c>
      <c r="W138" s="11" t="inlineStr">
        <is>
          <t>Shoreditch Powerleague</t>
        </is>
      </c>
      <c r="X138" s="11" t="n">
        <v>7</v>
      </c>
      <c r="Y138" s="11" t="inlineStr">
        <is>
          <t>Liverpool St - Attlee Centre (7.1)</t>
        </is>
      </c>
      <c r="Z138" s="11" t="inlineStr">
        <is>
          <t>Shoreditch Powerleague</t>
        </is>
      </c>
      <c r="AA138" s="11" t="n">
        <v>7</v>
      </c>
      <c r="AB138" s="14">
        <f>IFERROR(INDEX(Venues!$E$2:$E$17,MATCH(Z138,Venues!$A$2:$A$17,0)),"Not checked")</f>
        <v/>
      </c>
      <c r="AC138" s="14">
        <f>IFERROR(INDEX(Venues!$F$2:$F$17,MATCH(Z138,Venues!$A$2:$A$17,0)),0)</f>
        <v/>
      </c>
      <c r="AD138" s="15">
        <f>IFERROR(INDEX(Venues!$M$2:$M$17,MATCH(Z138,Venues!$A$2:$A$17,0)),"")</f>
        <v/>
      </c>
      <c r="AE138" s="14">
        <f>IFERROR(INDEX(Venues!$N$2:$N$17,MATCH(Z138,Venues!$A$2:$A$17,0)),"5-a-side")</f>
        <v/>
      </c>
      <c r="AF138" s="16">
        <f>IF(Offer!$C$4="","",Offer!$C$4)</f>
        <v/>
      </c>
      <c r="AG138" s="14">
        <f>Z138&amp;" ("&amp;AA138&amp;" min walk) · "&amp;IF(ISNUMBER(AD138),TEXT(AD138,"ddd d mmm, hh:mm"),"slot to confirm with venue")&amp;" · "&amp;AE138&amp;" · "&amp;IF(AF138&lt;&gt;"","£"&amp;TEXT(AF138,"0.00")&amp;" pp","price TBC")</f>
        <v/>
      </c>
      <c r="AH138" s="14">
        <f>IF(U138&lt;&gt;"",U138,IF(H138&lt;&gt;"",H138,""))</f>
        <v/>
      </c>
      <c r="AI138" s="14">
        <f>"After-work football for "&amp;F138&amp;" · "&amp;Z138&amp;", "&amp;AA138&amp;" min from your office"</f>
        <v/>
      </c>
      <c r="AJ138" s="14">
        <f>"Hi "&amp;IF(R138&lt;&gt;"",R138,F138&amp;" team")&amp;","&amp;CHAR(10)&amp;CHAR(10)&amp;"I'm "&amp;IF(AM138&lt;&gt;"",AM138,IF(Offer!$C$5&lt;&gt;"",Offer!$C$5,"[NAME]"))&amp;" from FC Urban. We organise after-work football for teams in the City and Canary Wharf."&amp;CHAR(10)&amp;CHAR(10)&amp;"We have a "&amp;AE138&amp;" pitch at "&amp;Z138&amp;", "&amp;IF(OR(AA138=8,AA138=11,AA138=18),"an ","a ")&amp;AA138&amp;"-minute walk from your "&amp;P138&amp;" office, "&amp;IF(ISNUMBER(AD138),"on "&amp;TEXT(AD138,"dddd d mmmm")&amp;" at "&amp;TEXT(AD138,"hh:mm"),"on a weekday evening that suits your team")&amp;". It's "&amp;IF(AF138&lt;&gt;"","£"&amp;IF(AF138=INT(AF138),TEXT(AF138,"0"),TEXT(AF138,"0.00")),"[PRICE PER PLAYER]")&amp;" a player and we handle the pitch booking, sign-ups and payments, so all it takes is one person sharing a link with the team."&amp;CHAR(10)&amp;CHAR(10)&amp;"It works well as a team social or "&amp;IF(ISNUMBER(SEARCH(LEFT(F138,1),"AEIOU")),"an ","a ")&amp;F138&amp;"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LINK]")&amp;CHAR(10)&amp;CHAR(10)&amp;"Best,"&amp;CHAR(10)&amp;IF(AM138&lt;&gt;"",AM138,IF(Offer!$C$5&lt;&gt;"",Offer!$C$5,"[NAME]"))&amp;CHAR(10)&amp;"FC Urban"</f>
        <v/>
      </c>
      <c r="AK138" s="14">
        <f>"Hi "&amp;IF(R138&lt;&gt;"",R138,F138&amp;" team")&amp;","&amp;CHAR(10)&amp;CHAR(10)&amp;"Just bumping this up. The "&amp;AE138&amp;" pitch at "&amp;Z138&amp;" is still free "&amp;IF(ISNUMBER(AD138),TEXT(AD138,"ddd d mmm")&amp;", "&amp;TEXT(AD138,"hh:mm"),"weekday evenings")&amp;", "&amp;IF(OR(AA138=8,AA138=11,AA138=18),"an ","a ")&amp;AA138&amp;"-minute walk from your office, "&amp;IF(AF138&lt;&gt;"","£"&amp;IF(AF138=INT(AF138),TEXT(AF138,"0"),TEXT(AF138,"0.00")),"[PRICE PER PLAYER]")&amp;" a player. Happy to hold it for "&amp;F138&amp;"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LINK]")&amp;CHAR(10)&amp;CHAR(10)&amp;"Best,"&amp;CHAR(10)&amp;IF(AM138&lt;&gt;"",AM138,IF(Offer!$C$5&lt;&gt;"",Offer!$C$5,"[NAME]"))&amp;CHAR(10)&amp;"FC Urban"</f>
        <v/>
      </c>
      <c r="AL138" s="14">
        <f>IF(AH138="","No email yet",IF(ISNUMBER(SEARCH("[",AJ138)),"Fill placeholders",IF(ISNUMBER(AD138),"Ready to send","Ready · no fixed slot")))</f>
        <v/>
      </c>
      <c r="AO138" s="17" t="n"/>
      <c r="AP138" s="17" t="n"/>
    </row>
    <row r="139">
      <c r="A139" s="11" t="n">
        <v>137</v>
      </c>
      <c r="B139" s="11" t="n">
        <v>2</v>
      </c>
      <c r="C139" s="11" t="inlineStr">
        <is>
          <t>Fund / asset manager</t>
        </is>
      </c>
      <c r="D139" s="11" t="inlineStr">
        <is>
          <t>City of London</t>
        </is>
      </c>
      <c r="E139" s="11" t="inlineStr">
        <is>
          <t>Capital Dynamics Limited</t>
        </is>
      </c>
      <c r="F139" s="11" t="inlineStr">
        <is>
          <t>Capital Dynamics</t>
        </is>
      </c>
      <c r="G139" s="12" t="inlineStr">
        <is>
          <t>https://www.microsoft.com</t>
        </is>
      </c>
      <c r="H139" s="11" t="inlineStr">
        <is>
          <t>askect@microsoft.com</t>
        </is>
      </c>
      <c r="I139" s="11" t="inlineStr">
        <is>
          <t>named person</t>
        </is>
      </c>
      <c r="J139" s="12" t="inlineStr">
        <is>
          <t>Open page</t>
        </is>
      </c>
      <c r="K139" s="11" t="inlineStr">
        <is>
          <t>02215798</t>
        </is>
      </c>
      <c r="L139" s="12" t="inlineStr">
        <is>
          <t>Open</t>
        </is>
      </c>
      <c r="M139" s="11" t="inlineStr">
        <is>
          <t>Group</t>
        </is>
      </c>
      <c r="N139" s="13" t="n">
        <v>32174</v>
      </c>
      <c r="O139" s="11" t="inlineStr">
        <is>
          <t>16 St. Martin'S Le Grand, London</t>
        </is>
      </c>
      <c r="P139" s="11" t="inlineStr">
        <is>
          <t>EC1A 4EN</t>
        </is>
      </c>
      <c r="Q139" s="11" t="inlineStr">
        <is>
          <t>Yes</t>
        </is>
      </c>
      <c r="W139" s="11" t="inlineStr">
        <is>
          <t>City of London School (EC4V 3AL)</t>
        </is>
      </c>
      <c r="X139" s="11" t="n">
        <v>8</v>
      </c>
      <c r="Y139" s="11" t="n"/>
      <c r="Z139" s="11" t="inlineStr">
        <is>
          <t>City of London School (EC4V 3AL)</t>
        </is>
      </c>
      <c r="AA139" s="11" t="n">
        <v>8</v>
      </c>
      <c r="AB139" s="14">
        <f>IFERROR(INDEX(Venues!$E$2:$E$17,MATCH(Z139,Venues!$A$2:$A$17,0)),"Not checked")</f>
        <v/>
      </c>
      <c r="AC139" s="14">
        <f>IFERROR(INDEX(Venues!$F$2:$F$17,MATCH(Z139,Venues!$A$2:$A$17,0)),0)</f>
        <v/>
      </c>
      <c r="AD139" s="15">
        <f>IFERROR(INDEX(Venues!$M$2:$M$17,MATCH(Z139,Venues!$A$2:$A$17,0)),"")</f>
        <v/>
      </c>
      <c r="AE139" s="14">
        <f>IFERROR(INDEX(Venues!$N$2:$N$17,MATCH(Z139,Venues!$A$2:$A$17,0)),"5-a-side")</f>
        <v/>
      </c>
      <c r="AF139" s="16">
        <f>IF(Offer!$C$4="","",Offer!$C$4)</f>
        <v/>
      </c>
      <c r="AG139" s="14">
        <f>Z139&amp;" ("&amp;AA139&amp;" min walk) · "&amp;IF(ISNUMBER(AD139),TEXT(AD139,"ddd d mmm, hh:mm"),"slot to confirm with venue")&amp;" · "&amp;AE139&amp;" · "&amp;IF(AF139&lt;&gt;"","£"&amp;TEXT(AF139,"0.00")&amp;" pp","price TBC")</f>
        <v/>
      </c>
      <c r="AH139" s="14">
        <f>IF(U139&lt;&gt;"",U139,IF(H139&lt;&gt;"",H139,""))</f>
        <v/>
      </c>
      <c r="AI139" s="14">
        <f>"After-work football for "&amp;F139&amp;" · "&amp;Z139&amp;", "&amp;AA139&amp;" min from your office"</f>
        <v/>
      </c>
      <c r="AJ139" s="14">
        <f>"Hi "&amp;IF(R139&lt;&gt;"",R139,F139&amp;" team")&amp;","&amp;CHAR(10)&amp;CHAR(10)&amp;"I'm "&amp;IF(AM139&lt;&gt;"",AM139,IF(Offer!$C$5&lt;&gt;"",Offer!$C$5,"[NAME]"))&amp;" from FC Urban. We organise after-work football for teams in the City and Canary Wharf."&amp;CHAR(10)&amp;CHAR(10)&amp;"We have a "&amp;AE139&amp;" pitch at "&amp;Z139&amp;", "&amp;IF(OR(AA139=8,AA139=11,AA139=18),"an ","a ")&amp;AA139&amp;"-minute walk from your "&amp;P139&amp;" office, "&amp;IF(ISNUMBER(AD139),"on "&amp;TEXT(AD139,"dddd d mmmm")&amp;" at "&amp;TEXT(AD139,"hh:mm"),"on a weekday evening that suits your team")&amp;". It's "&amp;IF(AF139&lt;&gt;"","£"&amp;IF(AF139=INT(AF139),TEXT(AF139,"0"),TEXT(AF139,"0.00")),"[PRICE PER PLAYER]")&amp;" a player and we handle the pitch booking, sign-ups and payments, so all it takes is one person sharing a link with the team."&amp;CHAR(10)&amp;CHAR(10)&amp;"It works well as a team social or "&amp;IF(ISNUMBER(SEARCH(LEFT(F139,1),"AEIOU")),"an ","a ")&amp;F139&amp;"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LINK]")&amp;CHAR(10)&amp;CHAR(10)&amp;"Best,"&amp;CHAR(10)&amp;IF(AM139&lt;&gt;"",AM139,IF(Offer!$C$5&lt;&gt;"",Offer!$C$5,"[NAME]"))&amp;CHAR(10)&amp;"FC Urban"</f>
        <v/>
      </c>
      <c r="AK139" s="14">
        <f>"Hi "&amp;IF(R139&lt;&gt;"",R139,F139&amp;" team")&amp;","&amp;CHAR(10)&amp;CHAR(10)&amp;"Just bumping this up. The "&amp;AE139&amp;" pitch at "&amp;Z139&amp;" is still free "&amp;IF(ISNUMBER(AD139),TEXT(AD139,"ddd d mmm")&amp;", "&amp;TEXT(AD139,"hh:mm"),"weekday evenings")&amp;", "&amp;IF(OR(AA139=8,AA139=11,AA139=18),"an ","a ")&amp;AA139&amp;"-minute walk from your office, "&amp;IF(AF139&lt;&gt;"","£"&amp;IF(AF139=INT(AF139),TEXT(AF139,"0"),TEXT(AF139,"0.00")),"[PRICE PER PLAYER]")&amp;" a player. Happy to hold it for "&amp;F139&amp;"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LINK]")&amp;CHAR(10)&amp;CHAR(10)&amp;"Best,"&amp;CHAR(10)&amp;IF(AM139&lt;&gt;"",AM139,IF(Offer!$C$5&lt;&gt;"",Offer!$C$5,"[NAME]"))&amp;CHAR(10)&amp;"FC Urban"</f>
        <v/>
      </c>
      <c r="AL139" s="14">
        <f>IF(AH139="","No email yet",IF(ISNUMBER(SEARCH("[",AJ139)),"Fill placeholders",IF(ISNUMBER(AD139),"Ready to send","Ready · no fixed slot")))</f>
        <v/>
      </c>
      <c r="AO139" s="17" t="n"/>
      <c r="AP139" s="17" t="n"/>
    </row>
    <row r="140">
      <c r="A140" s="11" t="n">
        <v>138</v>
      </c>
      <c r="B140" s="11" t="n">
        <v>2</v>
      </c>
      <c r="C140" s="11" t="inlineStr">
        <is>
          <t>Fund / asset manager</t>
        </is>
      </c>
      <c r="D140" s="11" t="inlineStr">
        <is>
          <t>City of London</t>
        </is>
      </c>
      <c r="E140" s="11" t="inlineStr">
        <is>
          <t>Crowdcube Limited</t>
        </is>
      </c>
      <c r="F140" s="11" t="inlineStr">
        <is>
          <t>Crowdcube</t>
        </is>
      </c>
      <c r="G140" s="12" t="inlineStr">
        <is>
          <t>https://www.crowdcube.com</t>
        </is>
      </c>
      <c r="H140" s="11" t="inlineStr">
        <is>
          <t>info@crowdcube.com</t>
        </is>
      </c>
      <c r="I140" s="11" t="inlineStr">
        <is>
          <t>general</t>
        </is>
      </c>
      <c r="J140" s="12" t="inlineStr">
        <is>
          <t>Open page</t>
        </is>
      </c>
      <c r="K140" s="11" t="inlineStr">
        <is>
          <t>07014587</t>
        </is>
      </c>
      <c r="L140" s="12" t="inlineStr">
        <is>
          <t>Open</t>
        </is>
      </c>
      <c r="M140" s="11" t="inlineStr">
        <is>
          <t>Group</t>
        </is>
      </c>
      <c r="N140" s="13" t="n">
        <v>40066</v>
      </c>
      <c r="O140" s="11" t="inlineStr">
        <is>
          <t>Zetland House, Clifton Street, London</t>
        </is>
      </c>
      <c r="P140" s="11" t="inlineStr">
        <is>
          <t>EC2A 4LD</t>
        </is>
      </c>
      <c r="Q140" s="11" t="inlineStr">
        <is>
          <t>Yes</t>
        </is>
      </c>
      <c r="W140" s="11" t="inlineStr">
        <is>
          <t>Shoreditch Powerleague</t>
        </is>
      </c>
      <c r="X140" s="11" t="n">
        <v>9</v>
      </c>
      <c r="Y140" s="11" t="inlineStr">
        <is>
          <t>Finsbury Leisure Centre (EC1V 3PU) (13.9); Liverpool St - Attlee Centre (15.7)</t>
        </is>
      </c>
      <c r="Z140" s="11" t="inlineStr">
        <is>
          <t>Shoreditch Powerleague</t>
        </is>
      </c>
      <c r="AA140" s="11" t="n">
        <v>9</v>
      </c>
      <c r="AB140" s="14">
        <f>IFERROR(INDEX(Venues!$E$2:$E$17,MATCH(Z140,Venues!$A$2:$A$17,0)),"Not checked")</f>
        <v/>
      </c>
      <c r="AC140" s="14">
        <f>IFERROR(INDEX(Venues!$F$2:$F$17,MATCH(Z140,Venues!$A$2:$A$17,0)),0)</f>
        <v/>
      </c>
      <c r="AD140" s="15">
        <f>IFERROR(INDEX(Venues!$M$2:$M$17,MATCH(Z140,Venues!$A$2:$A$17,0)),"")</f>
        <v/>
      </c>
      <c r="AE140" s="14">
        <f>IFERROR(INDEX(Venues!$N$2:$N$17,MATCH(Z140,Venues!$A$2:$A$17,0)),"5-a-side")</f>
        <v/>
      </c>
      <c r="AF140" s="16">
        <f>IF(Offer!$C$4="","",Offer!$C$4)</f>
        <v/>
      </c>
      <c r="AG140" s="14">
        <f>Z140&amp;" ("&amp;AA140&amp;" min walk) · "&amp;IF(ISNUMBER(AD140),TEXT(AD140,"ddd d mmm, hh:mm"),"slot to confirm with venue")&amp;" · "&amp;AE140&amp;" · "&amp;IF(AF140&lt;&gt;"","£"&amp;TEXT(AF140,"0.00")&amp;" pp","price TBC")</f>
        <v/>
      </c>
      <c r="AH140" s="14">
        <f>IF(U140&lt;&gt;"",U140,IF(H140&lt;&gt;"",H140,""))</f>
        <v/>
      </c>
      <c r="AI140" s="14">
        <f>"After-work football for "&amp;F140&amp;" · "&amp;Z140&amp;", "&amp;AA140&amp;" min from your office"</f>
        <v/>
      </c>
      <c r="AJ140" s="14">
        <f>"Hi "&amp;IF(R140&lt;&gt;"",R140,F140&amp;" team")&amp;","&amp;CHAR(10)&amp;CHAR(10)&amp;"I'm "&amp;IF(AM140&lt;&gt;"",AM140,IF(Offer!$C$5&lt;&gt;"",Offer!$C$5,"[NAME]"))&amp;" from FC Urban. We organise after-work football for teams in the City and Canary Wharf."&amp;CHAR(10)&amp;CHAR(10)&amp;"We have a "&amp;AE140&amp;" pitch at "&amp;Z140&amp;", "&amp;IF(OR(AA140=8,AA140=11,AA140=18),"an ","a ")&amp;AA140&amp;"-minute walk from your "&amp;P140&amp;" office, "&amp;IF(ISNUMBER(AD140),"on "&amp;TEXT(AD140,"dddd d mmmm")&amp;" at "&amp;TEXT(AD140,"hh:mm"),"on a weekday evening that suits your team")&amp;". It's "&amp;IF(AF140&lt;&gt;"","£"&amp;IF(AF140=INT(AF140),TEXT(AF140,"0"),TEXT(AF140,"0.00")),"[PRICE PER PLAYER]")&amp;" a player and we handle the pitch booking, sign-ups and payments, so all it takes is one person sharing a link with the team."&amp;CHAR(10)&amp;CHAR(10)&amp;"It works well as a team social or "&amp;IF(ISNUMBER(SEARCH(LEFT(F140,1),"AEIOU")),"an ","a ")&amp;F140&amp;"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LINK]")&amp;CHAR(10)&amp;CHAR(10)&amp;"Best,"&amp;CHAR(10)&amp;IF(AM140&lt;&gt;"",AM140,IF(Offer!$C$5&lt;&gt;"",Offer!$C$5,"[NAME]"))&amp;CHAR(10)&amp;"FC Urban"</f>
        <v/>
      </c>
      <c r="AK140" s="14">
        <f>"Hi "&amp;IF(R140&lt;&gt;"",R140,F140&amp;" team")&amp;","&amp;CHAR(10)&amp;CHAR(10)&amp;"Just bumping this up. The "&amp;AE140&amp;" pitch at "&amp;Z140&amp;" is still free "&amp;IF(ISNUMBER(AD140),TEXT(AD140,"ddd d mmm")&amp;", "&amp;TEXT(AD140,"hh:mm"),"weekday evenings")&amp;", "&amp;IF(OR(AA140=8,AA140=11,AA140=18),"an ","a ")&amp;AA140&amp;"-minute walk from your office, "&amp;IF(AF140&lt;&gt;"","£"&amp;IF(AF140=INT(AF140),TEXT(AF140,"0"),TEXT(AF140,"0.00")),"[PRICE PER PLAYER]")&amp;" a player. Happy to hold it for "&amp;F140&amp;"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LINK]")&amp;CHAR(10)&amp;CHAR(10)&amp;"Best,"&amp;CHAR(10)&amp;IF(AM140&lt;&gt;"",AM140,IF(Offer!$C$5&lt;&gt;"",Offer!$C$5,"[NAME]"))&amp;CHAR(10)&amp;"FC Urban"</f>
        <v/>
      </c>
      <c r="AL140" s="14">
        <f>IF(AH140="","No email yet",IF(ISNUMBER(SEARCH("[",AJ140)),"Fill placeholders",IF(ISNUMBER(AD140),"Ready to send","Ready · no fixed slot")))</f>
        <v/>
      </c>
      <c r="AO140" s="17" t="n"/>
      <c r="AP140" s="17" t="n"/>
    </row>
    <row r="141">
      <c r="A141" s="11" t="n">
        <v>139</v>
      </c>
      <c r="B141" s="11" t="n">
        <v>2</v>
      </c>
      <c r="C141" s="11" t="inlineStr">
        <is>
          <t>Insurance / broker</t>
        </is>
      </c>
      <c r="D141" s="11" t="inlineStr">
        <is>
          <t>City of London</t>
        </is>
      </c>
      <c r="E141" s="11" t="inlineStr">
        <is>
          <t>Steamship Mutual Underwriting Association Limited</t>
        </is>
      </c>
      <c r="F141" s="11" t="inlineStr">
        <is>
          <t>Steamship Mutual Underwriting Association</t>
        </is>
      </c>
      <c r="G141" s="12" t="inlineStr">
        <is>
          <t>https://www.steamshipmutual.com</t>
        </is>
      </c>
      <c r="H141" s="11" t="n"/>
      <c r="I141" s="11" t="inlineStr">
        <is>
          <t>Not found</t>
        </is>
      </c>
      <c r="J141" s="11" t="n"/>
      <c r="K141" s="11" t="inlineStr">
        <is>
          <t>00105461</t>
        </is>
      </c>
      <c r="L141" s="12" t="inlineStr">
        <is>
          <t>Open</t>
        </is>
      </c>
      <c r="M141" s="11" t="inlineStr">
        <is>
          <t>Group</t>
        </is>
      </c>
      <c r="N141" s="13" t="n">
        <v>3577</v>
      </c>
      <c r="O141" s="11" t="inlineStr">
        <is>
          <t>155 Bishopsgate, Floor 6, London</t>
        </is>
      </c>
      <c r="P141" s="11" t="inlineStr">
        <is>
          <t>EC2M 3TQ</t>
        </is>
      </c>
      <c r="Q141" s="11" t="inlineStr">
        <is>
          <t>No</t>
        </is>
      </c>
      <c r="W141" s="11" t="inlineStr">
        <is>
          <t>Liverpool St - Attlee Centre</t>
        </is>
      </c>
      <c r="X141" s="11" t="n">
        <v>8</v>
      </c>
      <c r="Y141" s="11" t="inlineStr">
        <is>
          <t>Shoreditch Powerleague (9.5)</t>
        </is>
      </c>
      <c r="Z141" s="11" t="inlineStr">
        <is>
          <t>Shoreditch Powerleague</t>
        </is>
      </c>
      <c r="AA141" s="11" t="n">
        <v>10</v>
      </c>
      <c r="AB141" s="14">
        <f>IFERROR(INDEX(Venues!$E$2:$E$17,MATCH(Z141,Venues!$A$2:$A$17,0)),"Not checked")</f>
        <v/>
      </c>
      <c r="AC141" s="14">
        <f>IFERROR(INDEX(Venues!$F$2:$F$17,MATCH(Z141,Venues!$A$2:$A$17,0)),0)</f>
        <v/>
      </c>
      <c r="AD141" s="15">
        <f>IFERROR(INDEX(Venues!$M$2:$M$17,MATCH(Z141,Venues!$A$2:$A$17,0)),"")</f>
        <v/>
      </c>
      <c r="AE141" s="14">
        <f>IFERROR(INDEX(Venues!$N$2:$N$17,MATCH(Z141,Venues!$A$2:$A$17,0)),"5-a-side")</f>
        <v/>
      </c>
      <c r="AF141" s="16">
        <f>IF(Offer!$C$4="","",Offer!$C$4)</f>
        <v/>
      </c>
      <c r="AG141" s="14">
        <f>Z141&amp;" ("&amp;AA141&amp;" min walk) · "&amp;IF(ISNUMBER(AD141),TEXT(AD141,"ddd d mmm, hh:mm"),"slot to confirm with venue")&amp;" · "&amp;AE141&amp;" · "&amp;IF(AF141&lt;&gt;"","£"&amp;TEXT(AF141,"0.00")&amp;" pp","price TBC")</f>
        <v/>
      </c>
      <c r="AH141" s="14">
        <f>IF(U141&lt;&gt;"",U141,IF(H141&lt;&gt;"",H141,""))</f>
        <v/>
      </c>
      <c r="AI141" s="14">
        <f>"After-work football for "&amp;F141&amp;" · "&amp;Z141&amp;", "&amp;AA141&amp;" min from your office"</f>
        <v/>
      </c>
      <c r="AJ141" s="14">
        <f>"Hi "&amp;IF(R141&lt;&gt;"",R141,F141&amp;" team")&amp;","&amp;CHAR(10)&amp;CHAR(10)&amp;"I'm "&amp;IF(AM141&lt;&gt;"",AM141,IF(Offer!$C$5&lt;&gt;"",Offer!$C$5,"[NAME]"))&amp;" from FC Urban. We organise after-work football for teams in the City and Canary Wharf."&amp;CHAR(10)&amp;CHAR(10)&amp;"We have a "&amp;AE141&amp;" pitch at "&amp;Z141&amp;", "&amp;IF(OR(AA141=8,AA141=11,AA141=18),"an ","a ")&amp;AA141&amp;"-minute walk from your "&amp;P141&amp;" office, "&amp;IF(ISNUMBER(AD141),"on "&amp;TEXT(AD141,"dddd d mmmm")&amp;" at "&amp;TEXT(AD141,"hh:mm"),"on a weekday evening that suits your team")&amp;". It's "&amp;IF(AF141&lt;&gt;"","£"&amp;IF(AF141=INT(AF141),TEXT(AF141,"0"),TEXT(AF141,"0.00")),"[PRICE PER PLAYER]")&amp;" a player and we handle the pitch booking, sign-ups and payments, so all it takes is one person sharing a link with the team."&amp;CHAR(10)&amp;CHAR(10)&amp;"It works well as a team social or "&amp;IF(ISNUMBER(SEARCH(LEFT(F141,1),"AEIOU")),"an ","a ")&amp;F141&amp;"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LINK]")&amp;CHAR(10)&amp;CHAR(10)&amp;"Best,"&amp;CHAR(10)&amp;IF(AM141&lt;&gt;"",AM141,IF(Offer!$C$5&lt;&gt;"",Offer!$C$5,"[NAME]"))&amp;CHAR(10)&amp;"FC Urban"</f>
        <v/>
      </c>
      <c r="AK141" s="14">
        <f>"Hi "&amp;IF(R141&lt;&gt;"",R141,F141&amp;" team")&amp;","&amp;CHAR(10)&amp;CHAR(10)&amp;"Just bumping this up. The "&amp;AE141&amp;" pitch at "&amp;Z141&amp;" is still free "&amp;IF(ISNUMBER(AD141),TEXT(AD141,"ddd d mmm")&amp;", "&amp;TEXT(AD141,"hh:mm"),"weekday evenings")&amp;", "&amp;IF(OR(AA141=8,AA141=11,AA141=18),"an ","a ")&amp;AA141&amp;"-minute walk from your office, "&amp;IF(AF141&lt;&gt;"","£"&amp;IF(AF141=INT(AF141),TEXT(AF141,"0"),TEXT(AF141,"0.00")),"[PRICE PER PLAYER]")&amp;" a player. Happy to hold it for "&amp;F141&amp;"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LINK]")&amp;CHAR(10)&amp;CHAR(10)&amp;"Best,"&amp;CHAR(10)&amp;IF(AM141&lt;&gt;"",AM141,IF(Offer!$C$5&lt;&gt;"",Offer!$C$5,"[NAME]"))&amp;CHAR(10)&amp;"FC Urban"</f>
        <v/>
      </c>
      <c r="AL141" s="14">
        <f>IF(AH141="","No email yet",IF(ISNUMBER(SEARCH("[",AJ141)),"Fill placeholders",IF(ISNUMBER(AD141),"Ready to send","Ready · no fixed slot")))</f>
        <v/>
      </c>
      <c r="AO141" s="17" t="n"/>
      <c r="AP141" s="17" t="n"/>
    </row>
    <row r="142">
      <c r="A142" s="11" t="n">
        <v>140</v>
      </c>
      <c r="B142" s="11" t="n">
        <v>2</v>
      </c>
      <c r="C142" s="11" t="inlineStr">
        <is>
          <t>Fund / asset manager</t>
        </is>
      </c>
      <c r="D142" s="11" t="inlineStr">
        <is>
          <t>City of London</t>
        </is>
      </c>
      <c r="E142" s="11" t="inlineStr">
        <is>
          <t>Momenta Finance Limited</t>
        </is>
      </c>
      <c r="F142" s="11" t="inlineStr">
        <is>
          <t>Momenta Finance</t>
        </is>
      </c>
      <c r="G142" s="12" t="inlineStr">
        <is>
          <t>https://momentafinance.co.uk</t>
        </is>
      </c>
      <c r="H142" s="11" t="inlineStr">
        <is>
          <t>contact@momentafinance.co.uk</t>
        </is>
      </c>
      <c r="I142" s="11" t="inlineStr">
        <is>
          <t>general</t>
        </is>
      </c>
      <c r="J142" s="12" t="inlineStr">
        <is>
          <t>Open page</t>
        </is>
      </c>
      <c r="K142" s="11" t="inlineStr">
        <is>
          <t>14423247</t>
        </is>
      </c>
      <c r="L142" s="12" t="inlineStr">
        <is>
          <t>Open</t>
        </is>
      </c>
      <c r="M142" s="11" t="inlineStr">
        <is>
          <t>Group</t>
        </is>
      </c>
      <c r="N142" s="13" t="n">
        <v>44851</v>
      </c>
      <c r="O142" s="11" t="inlineStr">
        <is>
          <t>3Rd Floor, 86 - 90 Paul Street, London</t>
        </is>
      </c>
      <c r="P142" s="11" t="inlineStr">
        <is>
          <t>EC2A 4NE</t>
        </is>
      </c>
      <c r="Q142" s="11" t="inlineStr">
        <is>
          <t>No</t>
        </is>
      </c>
      <c r="W142" s="11" t="inlineStr">
        <is>
          <t>Shoreditch Powerleague</t>
        </is>
      </c>
      <c r="X142" s="11" t="n">
        <v>10</v>
      </c>
      <c r="Y142" s="11" t="inlineStr">
        <is>
          <t>Finsbury Leisure Centre (EC1V 3PU) (13); Shoreditch Rooftop (15.7)</t>
        </is>
      </c>
      <c r="Z142" s="11" t="inlineStr">
        <is>
          <t>Shoreditch Powerleague</t>
        </is>
      </c>
      <c r="AA142" s="11" t="n">
        <v>10</v>
      </c>
      <c r="AB142" s="14">
        <f>IFERROR(INDEX(Venues!$E$2:$E$17,MATCH(Z142,Venues!$A$2:$A$17,0)),"Not checked")</f>
        <v/>
      </c>
      <c r="AC142" s="14">
        <f>IFERROR(INDEX(Venues!$F$2:$F$17,MATCH(Z142,Venues!$A$2:$A$17,0)),0)</f>
        <v/>
      </c>
      <c r="AD142" s="15">
        <f>IFERROR(INDEX(Venues!$M$2:$M$17,MATCH(Z142,Venues!$A$2:$A$17,0)),"")</f>
        <v/>
      </c>
      <c r="AE142" s="14">
        <f>IFERROR(INDEX(Venues!$N$2:$N$17,MATCH(Z142,Venues!$A$2:$A$17,0)),"5-a-side")</f>
        <v/>
      </c>
      <c r="AF142" s="16">
        <f>IF(Offer!$C$4="","",Offer!$C$4)</f>
        <v/>
      </c>
      <c r="AG142" s="14">
        <f>Z142&amp;" ("&amp;AA142&amp;" min walk) · "&amp;IF(ISNUMBER(AD142),TEXT(AD142,"ddd d mmm, hh:mm"),"slot to confirm with venue")&amp;" · "&amp;AE142&amp;" · "&amp;IF(AF142&lt;&gt;"","£"&amp;TEXT(AF142,"0.00")&amp;" pp","price TBC")</f>
        <v/>
      </c>
      <c r="AH142" s="14">
        <f>IF(U142&lt;&gt;"",U142,IF(H142&lt;&gt;"",H142,""))</f>
        <v/>
      </c>
      <c r="AI142" s="14">
        <f>"After-work football for "&amp;F142&amp;" · "&amp;Z142&amp;", "&amp;AA142&amp;" min from your office"</f>
        <v/>
      </c>
      <c r="AJ142" s="14">
        <f>"Hi "&amp;IF(R142&lt;&gt;"",R142,F142&amp;" team")&amp;","&amp;CHAR(10)&amp;CHAR(10)&amp;"I'm "&amp;IF(AM142&lt;&gt;"",AM142,IF(Offer!$C$5&lt;&gt;"",Offer!$C$5,"[NAME]"))&amp;" from FC Urban. We organise after-work football for teams in the City and Canary Wharf."&amp;CHAR(10)&amp;CHAR(10)&amp;"We have a "&amp;AE142&amp;" pitch at "&amp;Z142&amp;", "&amp;IF(OR(AA142=8,AA142=11,AA142=18),"an ","a ")&amp;AA142&amp;"-minute walk from your "&amp;P142&amp;" office, "&amp;IF(ISNUMBER(AD142),"on "&amp;TEXT(AD142,"dddd d mmmm")&amp;" at "&amp;TEXT(AD142,"hh:mm"),"on a weekday evening that suits your team")&amp;". It's "&amp;IF(AF142&lt;&gt;"","£"&amp;IF(AF142=INT(AF142),TEXT(AF142,"0"),TEXT(AF142,"0.00")),"[PRICE PER PLAYER]")&amp;" a player and we handle the pitch booking, sign-ups and payments, so all it takes is one person sharing a link with the team."&amp;CHAR(10)&amp;CHAR(10)&amp;"It works well as a team social or "&amp;IF(ISNUMBER(SEARCH(LEFT(F142,1),"AEIOU")),"an ","a ")&amp;F142&amp;"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LINK]")&amp;CHAR(10)&amp;CHAR(10)&amp;"Best,"&amp;CHAR(10)&amp;IF(AM142&lt;&gt;"",AM142,IF(Offer!$C$5&lt;&gt;"",Offer!$C$5,"[NAME]"))&amp;CHAR(10)&amp;"FC Urban"</f>
        <v/>
      </c>
      <c r="AK142" s="14">
        <f>"Hi "&amp;IF(R142&lt;&gt;"",R142,F142&amp;" team")&amp;","&amp;CHAR(10)&amp;CHAR(10)&amp;"Just bumping this up. The "&amp;AE142&amp;" pitch at "&amp;Z142&amp;" is still free "&amp;IF(ISNUMBER(AD142),TEXT(AD142,"ddd d mmm")&amp;", "&amp;TEXT(AD142,"hh:mm"),"weekday evenings")&amp;", "&amp;IF(OR(AA142=8,AA142=11,AA142=18),"an ","a ")&amp;AA142&amp;"-minute walk from your office, "&amp;IF(AF142&lt;&gt;"","£"&amp;IF(AF142=INT(AF142),TEXT(AF142,"0"),TEXT(AF142,"0.00")),"[PRICE PER PLAYER]")&amp;" a player. Happy to hold it for "&amp;F142&amp;"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LINK]")&amp;CHAR(10)&amp;CHAR(10)&amp;"Best,"&amp;CHAR(10)&amp;IF(AM142&lt;&gt;"",AM142,IF(Offer!$C$5&lt;&gt;"",Offer!$C$5,"[NAME]"))&amp;CHAR(10)&amp;"FC Urban"</f>
        <v/>
      </c>
      <c r="AL142" s="14">
        <f>IF(AH142="","No email yet",IF(ISNUMBER(SEARCH("[",AJ142)),"Fill placeholders",IF(ISNUMBER(AD142),"Ready to send","Ready · no fixed slot")))</f>
        <v/>
      </c>
      <c r="AO142" s="17" t="n"/>
      <c r="AP142" s="17" t="n"/>
    </row>
    <row r="143">
      <c r="A143" s="11" t="n">
        <v>141</v>
      </c>
      <c r="B143" s="11" t="n">
        <v>2</v>
      </c>
      <c r="C143" s="11" t="inlineStr">
        <is>
          <t>Fund / asset manager</t>
        </is>
      </c>
      <c r="D143" s="11" t="inlineStr">
        <is>
          <t>City of London</t>
        </is>
      </c>
      <c r="E143" s="11" t="inlineStr">
        <is>
          <t>Ap Ventures LLP</t>
        </is>
      </c>
      <c r="F143" s="11" t="inlineStr">
        <is>
          <t>Ap Ventures</t>
        </is>
      </c>
      <c r="G143" s="12" t="inlineStr">
        <is>
          <t>https://apventures.com</t>
        </is>
      </c>
      <c r="H143" s="11" t="inlineStr">
        <is>
          <t>info@apventures.com</t>
        </is>
      </c>
      <c r="I143" s="11" t="inlineStr">
        <is>
          <t>general</t>
        </is>
      </c>
      <c r="J143" s="12" t="inlineStr">
        <is>
          <t>Open page</t>
        </is>
      </c>
      <c r="K143" s="11" t="inlineStr">
        <is>
          <t>OC414076</t>
        </is>
      </c>
      <c r="L143" s="12" t="inlineStr">
        <is>
          <t>Open</t>
        </is>
      </c>
      <c r="M143" s="11" t="inlineStr">
        <is>
          <t>Group</t>
        </is>
      </c>
      <c r="N143" s="13" t="n">
        <v>42649</v>
      </c>
      <c r="O143" s="11" t="inlineStr">
        <is>
          <t>45 Gresham Street, London</t>
        </is>
      </c>
      <c r="P143" s="11" t="inlineStr">
        <is>
          <t>EC2V 7BG</t>
        </is>
      </c>
      <c r="Q143" s="11" t="inlineStr">
        <is>
          <t>No</t>
        </is>
      </c>
      <c r="W143" s="11" t="inlineStr">
        <is>
          <t>City of London School (EC4V 3AL)</t>
        </is>
      </c>
      <c r="X143" s="11" t="n">
        <v>10</v>
      </c>
      <c r="Y143" s="11" t="inlineStr">
        <is>
          <t>Finsbury Leisure Centre (EC1V 3PU) (18.4)</t>
        </is>
      </c>
      <c r="Z143" s="11" t="inlineStr">
        <is>
          <t>City of London School (EC4V 3AL)</t>
        </is>
      </c>
      <c r="AA143" s="11" t="n">
        <v>10</v>
      </c>
      <c r="AB143" s="14">
        <f>IFERROR(INDEX(Venues!$E$2:$E$17,MATCH(Z143,Venues!$A$2:$A$17,0)),"Not checked")</f>
        <v/>
      </c>
      <c r="AC143" s="14">
        <f>IFERROR(INDEX(Venues!$F$2:$F$17,MATCH(Z143,Venues!$A$2:$A$17,0)),0)</f>
        <v/>
      </c>
      <c r="AD143" s="15">
        <f>IFERROR(INDEX(Venues!$M$2:$M$17,MATCH(Z143,Venues!$A$2:$A$17,0)),"")</f>
        <v/>
      </c>
      <c r="AE143" s="14">
        <f>IFERROR(INDEX(Venues!$N$2:$N$17,MATCH(Z143,Venues!$A$2:$A$17,0)),"5-a-side")</f>
        <v/>
      </c>
      <c r="AF143" s="16">
        <f>IF(Offer!$C$4="","",Offer!$C$4)</f>
        <v/>
      </c>
      <c r="AG143" s="14">
        <f>Z143&amp;" ("&amp;AA143&amp;" min walk) · "&amp;IF(ISNUMBER(AD143),TEXT(AD143,"ddd d mmm, hh:mm"),"slot to confirm with venue")&amp;" · "&amp;AE143&amp;" · "&amp;IF(AF143&lt;&gt;"","£"&amp;TEXT(AF143,"0.00")&amp;" pp","price TBC")</f>
        <v/>
      </c>
      <c r="AH143" s="14">
        <f>IF(U143&lt;&gt;"",U143,IF(H143&lt;&gt;"",H143,""))</f>
        <v/>
      </c>
      <c r="AI143" s="14">
        <f>"After-work football for "&amp;F143&amp;" · "&amp;Z143&amp;", "&amp;AA143&amp;" min from your office"</f>
        <v/>
      </c>
      <c r="AJ143" s="14">
        <f>"Hi "&amp;IF(R143&lt;&gt;"",R143,F143&amp;" team")&amp;","&amp;CHAR(10)&amp;CHAR(10)&amp;"I'm "&amp;IF(AM143&lt;&gt;"",AM143,IF(Offer!$C$5&lt;&gt;"",Offer!$C$5,"[NAME]"))&amp;" from FC Urban. We organise after-work football for teams in the City and Canary Wharf."&amp;CHAR(10)&amp;CHAR(10)&amp;"We have a "&amp;AE143&amp;" pitch at "&amp;Z143&amp;", "&amp;IF(OR(AA143=8,AA143=11,AA143=18),"an ","a ")&amp;AA143&amp;"-minute walk from your "&amp;P143&amp;" office, "&amp;IF(ISNUMBER(AD143),"on "&amp;TEXT(AD143,"dddd d mmmm")&amp;" at "&amp;TEXT(AD143,"hh:mm"),"on a weekday evening that suits your team")&amp;". It's "&amp;IF(AF143&lt;&gt;"","£"&amp;IF(AF143=INT(AF143),TEXT(AF143,"0"),TEXT(AF143,"0.00")),"[PRICE PER PLAYER]")&amp;" a player and we handle the pitch booking, sign-ups and payments, so all it takes is one person sharing a link with the team."&amp;CHAR(10)&amp;CHAR(10)&amp;"It works well as a team social or "&amp;IF(ISNUMBER(SEARCH(LEFT(F143,1),"AEIOU")),"an ","a ")&amp;F143&amp;"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LINK]")&amp;CHAR(10)&amp;CHAR(10)&amp;"Best,"&amp;CHAR(10)&amp;IF(AM143&lt;&gt;"",AM143,IF(Offer!$C$5&lt;&gt;"",Offer!$C$5,"[NAME]"))&amp;CHAR(10)&amp;"FC Urban"</f>
        <v/>
      </c>
      <c r="AK143" s="14">
        <f>"Hi "&amp;IF(R143&lt;&gt;"",R143,F143&amp;" team")&amp;","&amp;CHAR(10)&amp;CHAR(10)&amp;"Just bumping this up. The "&amp;AE143&amp;" pitch at "&amp;Z143&amp;" is still free "&amp;IF(ISNUMBER(AD143),TEXT(AD143,"ddd d mmm")&amp;", "&amp;TEXT(AD143,"hh:mm"),"weekday evenings")&amp;", "&amp;IF(OR(AA143=8,AA143=11,AA143=18),"an ","a ")&amp;AA143&amp;"-minute walk from your office, "&amp;IF(AF143&lt;&gt;"","£"&amp;IF(AF143=INT(AF143),TEXT(AF143,"0"),TEXT(AF143,"0.00")),"[PRICE PER PLAYER]")&amp;" a player. Happy to hold it for "&amp;F143&amp;"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LINK]")&amp;CHAR(10)&amp;CHAR(10)&amp;"Best,"&amp;CHAR(10)&amp;IF(AM143&lt;&gt;"",AM143,IF(Offer!$C$5&lt;&gt;"",Offer!$C$5,"[NAME]"))&amp;CHAR(10)&amp;"FC Urban"</f>
        <v/>
      </c>
      <c r="AL143" s="14">
        <f>IF(AH143="","No email yet",IF(ISNUMBER(SEARCH("[",AJ143)),"Fill placeholders",IF(ISNUMBER(AD143),"Ready to send","Ready · no fixed slot")))</f>
        <v/>
      </c>
      <c r="AO143" s="17" t="n"/>
      <c r="AP143" s="17" t="n"/>
    </row>
    <row r="144">
      <c r="A144" s="11" t="n">
        <v>142</v>
      </c>
      <c r="B144" s="11" t="n">
        <v>2</v>
      </c>
      <c r="C144" s="11" t="inlineStr">
        <is>
          <t>Fund / asset manager</t>
        </is>
      </c>
      <c r="D144" s="11" t="inlineStr">
        <is>
          <t>City of London</t>
        </is>
      </c>
      <c r="E144" s="11" t="inlineStr">
        <is>
          <t>Vanguard Asset Services, Ltd.</t>
        </is>
      </c>
      <c r="F144" s="11" t="inlineStr">
        <is>
          <t>Vanguard Asset</t>
        </is>
      </c>
      <c r="G144" s="12" t="inlineStr">
        <is>
          <t>https://investor.vanguard.com</t>
        </is>
      </c>
      <c r="H144" s="11" t="inlineStr">
        <is>
          <t>usoffshore@vanguard.com</t>
        </is>
      </c>
      <c r="I144" s="11" t="inlineStr">
        <is>
          <t>named person</t>
        </is>
      </c>
      <c r="J144" s="12" t="inlineStr">
        <is>
          <t>Open page</t>
        </is>
      </c>
      <c r="K144" s="11" t="inlineStr">
        <is>
          <t>07242969</t>
        </is>
      </c>
      <c r="L144" s="12" t="inlineStr">
        <is>
          <t>Open</t>
        </is>
      </c>
      <c r="M144" s="11" t="inlineStr">
        <is>
          <t>Group</t>
        </is>
      </c>
      <c r="N144" s="13" t="n">
        <v>40302</v>
      </c>
      <c r="O144" s="11" t="inlineStr">
        <is>
          <t>4Th Floor The Walbrook Building, 25 Walbrook, London</t>
        </is>
      </c>
      <c r="P144" s="11" t="inlineStr">
        <is>
          <t>EC4N 8AF</t>
        </is>
      </c>
      <c r="Q144" s="11" t="inlineStr">
        <is>
          <t>Yes</t>
        </is>
      </c>
      <c r="W144" s="11" t="inlineStr">
        <is>
          <t>City of London School (EC4V 3AL)</t>
        </is>
      </c>
      <c r="X144" s="11" t="n">
        <v>10</v>
      </c>
      <c r="Y144" s="11" t="inlineStr">
        <is>
          <t>Marlborough Sports Garden (SE1 1SD) (15.7)</t>
        </is>
      </c>
      <c r="Z144" s="11" t="inlineStr">
        <is>
          <t>City of London School (EC4V 3AL)</t>
        </is>
      </c>
      <c r="AA144" s="11" t="n">
        <v>10</v>
      </c>
      <c r="AB144" s="14">
        <f>IFERROR(INDEX(Venues!$E$2:$E$17,MATCH(Z144,Venues!$A$2:$A$17,0)),"Not checked")</f>
        <v/>
      </c>
      <c r="AC144" s="14">
        <f>IFERROR(INDEX(Venues!$F$2:$F$17,MATCH(Z144,Venues!$A$2:$A$17,0)),0)</f>
        <v/>
      </c>
      <c r="AD144" s="15">
        <f>IFERROR(INDEX(Venues!$M$2:$M$17,MATCH(Z144,Venues!$A$2:$A$17,0)),"")</f>
        <v/>
      </c>
      <c r="AE144" s="14">
        <f>IFERROR(INDEX(Venues!$N$2:$N$17,MATCH(Z144,Venues!$A$2:$A$17,0)),"5-a-side")</f>
        <v/>
      </c>
      <c r="AF144" s="16">
        <f>IF(Offer!$C$4="","",Offer!$C$4)</f>
        <v/>
      </c>
      <c r="AG144" s="14">
        <f>Z144&amp;" ("&amp;AA144&amp;" min walk) · "&amp;IF(ISNUMBER(AD144),TEXT(AD144,"ddd d mmm, hh:mm"),"slot to confirm with venue")&amp;" · "&amp;AE144&amp;" · "&amp;IF(AF144&lt;&gt;"","£"&amp;TEXT(AF144,"0.00")&amp;" pp","price TBC")</f>
        <v/>
      </c>
      <c r="AH144" s="14">
        <f>IF(U144&lt;&gt;"",U144,IF(H144&lt;&gt;"",H144,""))</f>
        <v/>
      </c>
      <c r="AI144" s="14">
        <f>"After-work football for "&amp;F144&amp;" · "&amp;Z144&amp;", "&amp;AA144&amp;" min from your office"</f>
        <v/>
      </c>
      <c r="AJ144" s="14">
        <f>"Hi "&amp;IF(R144&lt;&gt;"",R144,F144&amp;" team")&amp;","&amp;CHAR(10)&amp;CHAR(10)&amp;"I'm "&amp;IF(AM144&lt;&gt;"",AM144,IF(Offer!$C$5&lt;&gt;"",Offer!$C$5,"[NAME]"))&amp;" from FC Urban. We organise after-work football for teams in the City and Canary Wharf."&amp;CHAR(10)&amp;CHAR(10)&amp;"We have a "&amp;AE144&amp;" pitch at "&amp;Z144&amp;", "&amp;IF(OR(AA144=8,AA144=11,AA144=18),"an ","a ")&amp;AA144&amp;"-minute walk from your "&amp;P144&amp;" office, "&amp;IF(ISNUMBER(AD144),"on "&amp;TEXT(AD144,"dddd d mmmm")&amp;" at "&amp;TEXT(AD144,"hh:mm"),"on a weekday evening that suits your team")&amp;". It's "&amp;IF(AF144&lt;&gt;"","£"&amp;IF(AF144=INT(AF144),TEXT(AF144,"0"),TEXT(AF144,"0.00")),"[PRICE PER PLAYER]")&amp;" a player and we handle the pitch booking, sign-ups and payments, so all it takes is one person sharing a link with the team."&amp;CHAR(10)&amp;CHAR(10)&amp;"It works well as a team social or "&amp;IF(ISNUMBER(SEARCH(LEFT(F144,1),"AEIOU")),"an ","a ")&amp;F144&amp;"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LINK]")&amp;CHAR(10)&amp;CHAR(10)&amp;"Best,"&amp;CHAR(10)&amp;IF(AM144&lt;&gt;"",AM144,IF(Offer!$C$5&lt;&gt;"",Offer!$C$5,"[NAME]"))&amp;CHAR(10)&amp;"FC Urban"</f>
        <v/>
      </c>
      <c r="AK144" s="14">
        <f>"Hi "&amp;IF(R144&lt;&gt;"",R144,F144&amp;" team")&amp;","&amp;CHAR(10)&amp;CHAR(10)&amp;"Just bumping this up. The "&amp;AE144&amp;" pitch at "&amp;Z144&amp;" is still free "&amp;IF(ISNUMBER(AD144),TEXT(AD144,"ddd d mmm")&amp;", "&amp;TEXT(AD144,"hh:mm"),"weekday evenings")&amp;", "&amp;IF(OR(AA144=8,AA144=11,AA144=18),"an ","a ")&amp;AA144&amp;"-minute walk from your office, "&amp;IF(AF144&lt;&gt;"","£"&amp;IF(AF144=INT(AF144),TEXT(AF144,"0"),TEXT(AF144,"0.00")),"[PRICE PER PLAYER]")&amp;" a player. Happy to hold it for "&amp;F144&amp;"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LINK]")&amp;CHAR(10)&amp;CHAR(10)&amp;"Best,"&amp;CHAR(10)&amp;IF(AM144&lt;&gt;"",AM144,IF(Offer!$C$5&lt;&gt;"",Offer!$C$5,"[NAME]"))&amp;CHAR(10)&amp;"FC Urban"</f>
        <v/>
      </c>
      <c r="AL144" s="14">
        <f>IF(AH144="","No email yet",IF(ISNUMBER(SEARCH("[",AJ144)),"Fill placeholders",IF(ISNUMBER(AD144),"Ready to send","Ready · no fixed slot")))</f>
        <v/>
      </c>
      <c r="AO144" s="17" t="n"/>
      <c r="AP144" s="17" t="n"/>
    </row>
    <row r="145">
      <c r="A145" s="11" t="n">
        <v>143</v>
      </c>
      <c r="B145" s="11" t="n">
        <v>2</v>
      </c>
      <c r="C145" s="11" t="inlineStr">
        <is>
          <t>Insurance / broker</t>
        </is>
      </c>
      <c r="D145" s="11" t="inlineStr">
        <is>
          <t>City of London</t>
        </is>
      </c>
      <c r="E145" s="11" t="inlineStr">
        <is>
          <t>Scottish Widows Limited</t>
        </is>
      </c>
      <c r="F145" s="11" t="inlineStr">
        <is>
          <t>Scottish Widows</t>
        </is>
      </c>
      <c r="G145" s="12" t="inlineStr">
        <is>
          <t>https://www.scottishwidows.co.uk</t>
        </is>
      </c>
      <c r="H145" s="11" t="n"/>
      <c r="I145" s="11" t="inlineStr">
        <is>
          <t>Not found</t>
        </is>
      </c>
      <c r="J145" s="11" t="n"/>
      <c r="K145" s="11" t="inlineStr">
        <is>
          <t>03196171</t>
        </is>
      </c>
      <c r="L145" s="12" t="inlineStr">
        <is>
          <t>Open</t>
        </is>
      </c>
      <c r="M145" s="11" t="inlineStr">
        <is>
          <t>Group</t>
        </is>
      </c>
      <c r="N145" s="13" t="n">
        <v>35187</v>
      </c>
      <c r="O145" s="11" t="inlineStr">
        <is>
          <t>25 Gresham Street, London</t>
        </is>
      </c>
      <c r="P145" s="11" t="inlineStr">
        <is>
          <t>EC2V 7HN</t>
        </is>
      </c>
      <c r="Q145" s="11" t="inlineStr">
        <is>
          <t>No</t>
        </is>
      </c>
      <c r="W145" s="11" t="inlineStr">
        <is>
          <t>City of London School (EC4V 3AL)</t>
        </is>
      </c>
      <c r="X145" s="11" t="n">
        <v>10</v>
      </c>
      <c r="Y145" s="11" t="inlineStr">
        <is>
          <t>Finsbury Leisure Centre (EC1V 3PU) (17.8)</t>
        </is>
      </c>
      <c r="Z145" s="11" t="inlineStr">
        <is>
          <t>City of London School (EC4V 3AL)</t>
        </is>
      </c>
      <c r="AA145" s="11" t="n">
        <v>10</v>
      </c>
      <c r="AB145" s="14">
        <f>IFERROR(INDEX(Venues!$E$2:$E$17,MATCH(Z145,Venues!$A$2:$A$17,0)),"Not checked")</f>
        <v/>
      </c>
      <c r="AC145" s="14">
        <f>IFERROR(INDEX(Venues!$F$2:$F$17,MATCH(Z145,Venues!$A$2:$A$17,0)),0)</f>
        <v/>
      </c>
      <c r="AD145" s="15">
        <f>IFERROR(INDEX(Venues!$M$2:$M$17,MATCH(Z145,Venues!$A$2:$A$17,0)),"")</f>
        <v/>
      </c>
      <c r="AE145" s="14">
        <f>IFERROR(INDEX(Venues!$N$2:$N$17,MATCH(Z145,Venues!$A$2:$A$17,0)),"5-a-side")</f>
        <v/>
      </c>
      <c r="AF145" s="16">
        <f>IF(Offer!$C$4="","",Offer!$C$4)</f>
        <v/>
      </c>
      <c r="AG145" s="14">
        <f>Z145&amp;" ("&amp;AA145&amp;" min walk) · "&amp;IF(ISNUMBER(AD145),TEXT(AD145,"ddd d mmm, hh:mm"),"slot to confirm with venue")&amp;" · "&amp;AE145&amp;" · "&amp;IF(AF145&lt;&gt;"","£"&amp;TEXT(AF145,"0.00")&amp;" pp","price TBC")</f>
        <v/>
      </c>
      <c r="AH145" s="14">
        <f>IF(U145&lt;&gt;"",U145,IF(H145&lt;&gt;"",H145,""))</f>
        <v/>
      </c>
      <c r="AI145" s="14">
        <f>"After-work football for "&amp;F145&amp;" · "&amp;Z145&amp;", "&amp;AA145&amp;" min from your office"</f>
        <v/>
      </c>
      <c r="AJ145" s="14">
        <f>"Hi "&amp;IF(R145&lt;&gt;"",R145,F145&amp;" team")&amp;","&amp;CHAR(10)&amp;CHAR(10)&amp;"I'm "&amp;IF(AM145&lt;&gt;"",AM145,IF(Offer!$C$5&lt;&gt;"",Offer!$C$5,"[NAME]"))&amp;" from FC Urban. We organise after-work football for teams in the City and Canary Wharf."&amp;CHAR(10)&amp;CHAR(10)&amp;"We have a "&amp;AE145&amp;" pitch at "&amp;Z145&amp;", "&amp;IF(OR(AA145=8,AA145=11,AA145=18),"an ","a ")&amp;AA145&amp;"-minute walk from your "&amp;P145&amp;" office, "&amp;IF(ISNUMBER(AD145),"on "&amp;TEXT(AD145,"dddd d mmmm")&amp;" at "&amp;TEXT(AD145,"hh:mm"),"on a weekday evening that suits your team")&amp;". It's "&amp;IF(AF145&lt;&gt;"","£"&amp;IF(AF145=INT(AF145),TEXT(AF145,"0"),TEXT(AF145,"0.00")),"[PRICE PER PLAYER]")&amp;" a player and we handle the pitch booking, sign-ups and payments, so all it takes is one person sharing a link with the team."&amp;CHAR(10)&amp;CHAR(10)&amp;"It works well as a team social or "&amp;IF(ISNUMBER(SEARCH(LEFT(F145,1),"AEIOU")),"an ","a ")&amp;F145&amp;"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LINK]")&amp;CHAR(10)&amp;CHAR(10)&amp;"Best,"&amp;CHAR(10)&amp;IF(AM145&lt;&gt;"",AM145,IF(Offer!$C$5&lt;&gt;"",Offer!$C$5,"[NAME]"))&amp;CHAR(10)&amp;"FC Urban"</f>
        <v/>
      </c>
      <c r="AK145" s="14">
        <f>"Hi "&amp;IF(R145&lt;&gt;"",R145,F145&amp;" team")&amp;","&amp;CHAR(10)&amp;CHAR(10)&amp;"Just bumping this up. The "&amp;AE145&amp;" pitch at "&amp;Z145&amp;" is still free "&amp;IF(ISNUMBER(AD145),TEXT(AD145,"ddd d mmm")&amp;", "&amp;TEXT(AD145,"hh:mm"),"weekday evenings")&amp;", "&amp;IF(OR(AA145=8,AA145=11,AA145=18),"an ","a ")&amp;AA145&amp;"-minute walk from your office, "&amp;IF(AF145&lt;&gt;"","£"&amp;IF(AF145=INT(AF145),TEXT(AF145,"0"),TEXT(AF145,"0.00")),"[PRICE PER PLAYER]")&amp;" a player. Happy to hold it for "&amp;F145&amp;"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LINK]")&amp;CHAR(10)&amp;CHAR(10)&amp;"Best,"&amp;CHAR(10)&amp;IF(AM145&lt;&gt;"",AM145,IF(Offer!$C$5&lt;&gt;"",Offer!$C$5,"[NAME]"))&amp;CHAR(10)&amp;"FC Urban"</f>
        <v/>
      </c>
      <c r="AL145" s="14">
        <f>IF(AH145="","No email yet",IF(ISNUMBER(SEARCH("[",AJ145)),"Fill placeholders",IF(ISNUMBER(AD145),"Ready to send","Ready · no fixed slot")))</f>
        <v/>
      </c>
      <c r="AO145" s="17" t="n"/>
      <c r="AP145" s="17" t="n"/>
    </row>
    <row r="146">
      <c r="A146" s="11" t="n">
        <v>144</v>
      </c>
      <c r="B146" s="11" t="n">
        <v>2</v>
      </c>
      <c r="C146" s="11" t="inlineStr">
        <is>
          <t>Fund / asset manager</t>
        </is>
      </c>
      <c r="D146" s="11" t="inlineStr">
        <is>
          <t>City of London</t>
        </is>
      </c>
      <c r="E146" s="11" t="inlineStr">
        <is>
          <t>Pi Capital (Holdings) Ltd</t>
        </is>
      </c>
      <c r="F146" s="11" t="inlineStr">
        <is>
          <t>Pi Capital</t>
        </is>
      </c>
      <c r="G146" s="12" t="inlineStr">
        <is>
          <t>https://www.picapital.com</t>
        </is>
      </c>
      <c r="H146" s="11" t="inlineStr">
        <is>
          <t>info@picapital.com</t>
        </is>
      </c>
      <c r="I146" s="11" t="inlineStr">
        <is>
          <t>general</t>
        </is>
      </c>
      <c r="J146" s="12" t="inlineStr">
        <is>
          <t>Open page</t>
        </is>
      </c>
      <c r="K146" s="11" t="inlineStr">
        <is>
          <t>01387182</t>
        </is>
      </c>
      <c r="L146" s="12" t="inlineStr">
        <is>
          <t>Open</t>
        </is>
      </c>
      <c r="M146" s="11" t="inlineStr">
        <is>
          <t>Group</t>
        </is>
      </c>
      <c r="N146" s="13" t="n">
        <v>28738</v>
      </c>
      <c r="O146" s="11" t="inlineStr">
        <is>
          <t>5 New Street Square, London</t>
        </is>
      </c>
      <c r="P146" s="11" t="inlineStr">
        <is>
          <t>EC4A 3TW</t>
        </is>
      </c>
      <c r="Q146" s="11" t="inlineStr">
        <is>
          <t>No</t>
        </is>
      </c>
      <c r="W146" s="11" t="inlineStr">
        <is>
          <t>City of London School (EC4V 3AL)</t>
        </is>
      </c>
      <c r="X146" s="11" t="n">
        <v>13</v>
      </c>
      <c r="Y146" s="11" t="n"/>
      <c r="Z146" s="11" t="inlineStr">
        <is>
          <t>City of London School (EC4V 3AL)</t>
        </is>
      </c>
      <c r="AA146" s="11" t="n">
        <v>13</v>
      </c>
      <c r="AB146" s="14">
        <f>IFERROR(INDEX(Venues!$E$2:$E$17,MATCH(Z146,Venues!$A$2:$A$17,0)),"Not checked")</f>
        <v/>
      </c>
      <c r="AC146" s="14">
        <f>IFERROR(INDEX(Venues!$F$2:$F$17,MATCH(Z146,Venues!$A$2:$A$17,0)),0)</f>
        <v/>
      </c>
      <c r="AD146" s="15">
        <f>IFERROR(INDEX(Venues!$M$2:$M$17,MATCH(Z146,Venues!$A$2:$A$17,0)),"")</f>
        <v/>
      </c>
      <c r="AE146" s="14">
        <f>IFERROR(INDEX(Venues!$N$2:$N$17,MATCH(Z146,Venues!$A$2:$A$17,0)),"5-a-side")</f>
        <v/>
      </c>
      <c r="AF146" s="16">
        <f>IF(Offer!$C$4="","",Offer!$C$4)</f>
        <v/>
      </c>
      <c r="AG146" s="14">
        <f>Z146&amp;" ("&amp;AA146&amp;" min walk) · "&amp;IF(ISNUMBER(AD146),TEXT(AD146,"ddd d mmm, hh:mm"),"slot to confirm with venue")&amp;" · "&amp;AE146&amp;" · "&amp;IF(AF146&lt;&gt;"","£"&amp;TEXT(AF146,"0.00")&amp;" pp","price TBC")</f>
        <v/>
      </c>
      <c r="AH146" s="14">
        <f>IF(U146&lt;&gt;"",U146,IF(H146&lt;&gt;"",H146,""))</f>
        <v/>
      </c>
      <c r="AI146" s="14">
        <f>"After-work football for "&amp;F146&amp;" · "&amp;Z146&amp;", "&amp;AA146&amp;" min from your office"</f>
        <v/>
      </c>
      <c r="AJ146" s="14">
        <f>"Hi "&amp;IF(R146&lt;&gt;"",R146,F146&amp;" team")&amp;","&amp;CHAR(10)&amp;CHAR(10)&amp;"I'm "&amp;IF(AM146&lt;&gt;"",AM146,IF(Offer!$C$5&lt;&gt;"",Offer!$C$5,"[NAME]"))&amp;" from FC Urban. We organise after-work football for teams in the City and Canary Wharf."&amp;CHAR(10)&amp;CHAR(10)&amp;"We have a "&amp;AE146&amp;" pitch at "&amp;Z146&amp;", "&amp;IF(OR(AA146=8,AA146=11,AA146=18),"an ","a ")&amp;AA146&amp;"-minute walk from your "&amp;P146&amp;" office, "&amp;IF(ISNUMBER(AD146),"on "&amp;TEXT(AD146,"dddd d mmmm")&amp;" at "&amp;TEXT(AD146,"hh:mm"),"on a weekday evening that suits your team")&amp;". It's "&amp;IF(AF146&lt;&gt;"","£"&amp;IF(AF146=INT(AF146),TEXT(AF146,"0"),TEXT(AF146,"0.00")),"[PRICE PER PLAYER]")&amp;" a player and we handle the pitch booking, sign-ups and payments, so all it takes is one person sharing a link with the team."&amp;CHAR(10)&amp;CHAR(10)&amp;"It works well as a team social or "&amp;IF(ISNUMBER(SEARCH(LEFT(F146,1),"AEIOU")),"an ","a ")&amp;F146&amp;"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LINK]")&amp;CHAR(10)&amp;CHAR(10)&amp;"Best,"&amp;CHAR(10)&amp;IF(AM146&lt;&gt;"",AM146,IF(Offer!$C$5&lt;&gt;"",Offer!$C$5,"[NAME]"))&amp;CHAR(10)&amp;"FC Urban"</f>
        <v/>
      </c>
      <c r="AK146" s="14">
        <f>"Hi "&amp;IF(R146&lt;&gt;"",R146,F146&amp;" team")&amp;","&amp;CHAR(10)&amp;CHAR(10)&amp;"Just bumping this up. The "&amp;AE146&amp;" pitch at "&amp;Z146&amp;" is still free "&amp;IF(ISNUMBER(AD146),TEXT(AD146,"ddd d mmm")&amp;", "&amp;TEXT(AD146,"hh:mm"),"weekday evenings")&amp;", "&amp;IF(OR(AA146=8,AA146=11,AA146=18),"an ","a ")&amp;AA146&amp;"-minute walk from your office, "&amp;IF(AF146&lt;&gt;"","£"&amp;IF(AF146=INT(AF146),TEXT(AF146,"0"),TEXT(AF146,"0.00")),"[PRICE PER PLAYER]")&amp;" a player. Happy to hold it for "&amp;F146&amp;"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LINK]")&amp;CHAR(10)&amp;CHAR(10)&amp;"Best,"&amp;CHAR(10)&amp;IF(AM146&lt;&gt;"",AM146,IF(Offer!$C$5&lt;&gt;"",Offer!$C$5,"[NAME]"))&amp;CHAR(10)&amp;"FC Urban"</f>
        <v/>
      </c>
      <c r="AL146" s="14">
        <f>IF(AH146="","No email yet",IF(ISNUMBER(SEARCH("[",AJ146)),"Fill placeholders",IF(ISNUMBER(AD146),"Ready to send","Ready · no fixed slot")))</f>
        <v/>
      </c>
      <c r="AO146" s="17" t="n"/>
      <c r="AP146" s="17" t="n"/>
    </row>
    <row r="147">
      <c r="A147" s="11" t="n">
        <v>145</v>
      </c>
      <c r="B147" s="11" t="n">
        <v>2</v>
      </c>
      <c r="C147" s="11" t="inlineStr">
        <is>
          <t>Fund / asset manager</t>
        </is>
      </c>
      <c r="D147" s="11" t="inlineStr">
        <is>
          <t>City of London</t>
        </is>
      </c>
      <c r="E147" s="11" t="inlineStr">
        <is>
          <t>Cryder Capital Partners LLP</t>
        </is>
      </c>
      <c r="F147" s="11" t="inlineStr">
        <is>
          <t>Cryder Capital Partners</t>
        </is>
      </c>
      <c r="G147" s="12" t="inlineStr">
        <is>
          <t>https://crydercapital.com</t>
        </is>
      </c>
      <c r="H147" s="11" t="inlineStr">
        <is>
          <t>ir@crydercapital.com</t>
        </is>
      </c>
      <c r="I147" s="11" t="inlineStr">
        <is>
          <t>general</t>
        </is>
      </c>
      <c r="J147" s="12" t="inlineStr">
        <is>
          <t>Open page</t>
        </is>
      </c>
      <c r="K147" s="11" t="inlineStr">
        <is>
          <t>OC360410</t>
        </is>
      </c>
      <c r="L147" s="12" t="inlineStr">
        <is>
          <t>Open</t>
        </is>
      </c>
      <c r="M147" s="11" t="inlineStr">
        <is>
          <t>Group</t>
        </is>
      </c>
      <c r="N147" s="13" t="n">
        <v>40532</v>
      </c>
      <c r="O147" s="11" t="inlineStr">
        <is>
          <t>Eighth Floor, 6 New Street Square, London</t>
        </is>
      </c>
      <c r="P147" s="11" t="inlineStr">
        <is>
          <t>EC4A 3AQ</t>
        </is>
      </c>
      <c r="Q147" s="11" t="inlineStr">
        <is>
          <t>No</t>
        </is>
      </c>
      <c r="W147" s="11" t="inlineStr">
        <is>
          <t>City of London School (EC4V 3AL)</t>
        </is>
      </c>
      <c r="X147" s="11" t="n">
        <v>14</v>
      </c>
      <c r="Y147" s="11" t="n"/>
      <c r="Z147" s="11" t="inlineStr">
        <is>
          <t>City of London School (EC4V 3AL)</t>
        </is>
      </c>
      <c r="AA147" s="11" t="n">
        <v>14</v>
      </c>
      <c r="AB147" s="14">
        <f>IFERROR(INDEX(Venues!$E$2:$E$17,MATCH(Z147,Venues!$A$2:$A$17,0)),"Not checked")</f>
        <v/>
      </c>
      <c r="AC147" s="14">
        <f>IFERROR(INDEX(Venues!$F$2:$F$17,MATCH(Z147,Venues!$A$2:$A$17,0)),0)</f>
        <v/>
      </c>
      <c r="AD147" s="15">
        <f>IFERROR(INDEX(Venues!$M$2:$M$17,MATCH(Z147,Venues!$A$2:$A$17,0)),"")</f>
        <v/>
      </c>
      <c r="AE147" s="14">
        <f>IFERROR(INDEX(Venues!$N$2:$N$17,MATCH(Z147,Venues!$A$2:$A$17,0)),"5-a-side")</f>
        <v/>
      </c>
      <c r="AF147" s="16">
        <f>IF(Offer!$C$4="","",Offer!$C$4)</f>
        <v/>
      </c>
      <c r="AG147" s="14">
        <f>Z147&amp;" ("&amp;AA147&amp;" min walk) · "&amp;IF(ISNUMBER(AD147),TEXT(AD147,"ddd d mmm, hh:mm"),"slot to confirm with venue")&amp;" · "&amp;AE147&amp;" · "&amp;IF(AF147&lt;&gt;"","£"&amp;TEXT(AF147,"0.00")&amp;" pp","price TBC")</f>
        <v/>
      </c>
      <c r="AH147" s="14">
        <f>IF(U147&lt;&gt;"",U147,IF(H147&lt;&gt;"",H147,""))</f>
        <v/>
      </c>
      <c r="AI147" s="14">
        <f>"After-work football for "&amp;F147&amp;" · "&amp;Z147&amp;", "&amp;AA147&amp;" min from your office"</f>
        <v/>
      </c>
      <c r="AJ147" s="14">
        <f>"Hi "&amp;IF(R147&lt;&gt;"",R147,F147&amp;" team")&amp;","&amp;CHAR(10)&amp;CHAR(10)&amp;"I'm "&amp;IF(AM147&lt;&gt;"",AM147,IF(Offer!$C$5&lt;&gt;"",Offer!$C$5,"[NAME]"))&amp;" from FC Urban. We organise after-work football for teams in the City and Canary Wharf."&amp;CHAR(10)&amp;CHAR(10)&amp;"We have a "&amp;AE147&amp;" pitch at "&amp;Z147&amp;", "&amp;IF(OR(AA147=8,AA147=11,AA147=18),"an ","a ")&amp;AA147&amp;"-minute walk from your "&amp;P147&amp;" office, "&amp;IF(ISNUMBER(AD147),"on "&amp;TEXT(AD147,"dddd d mmmm")&amp;" at "&amp;TEXT(AD147,"hh:mm"),"on a weekday evening that suits your team")&amp;". It's "&amp;IF(AF147&lt;&gt;"","£"&amp;IF(AF147=INT(AF147),TEXT(AF147,"0"),TEXT(AF147,"0.00")),"[PRICE PER PLAYER]")&amp;" a player and we handle the pitch booking, sign-ups and payments, so all it takes is one person sharing a link with the team."&amp;CHAR(10)&amp;CHAR(10)&amp;"It works well as a team social or "&amp;IF(ISNUMBER(SEARCH(LEFT(F147,1),"AEIOU")),"an ","a ")&amp;F147&amp;"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LINK]")&amp;CHAR(10)&amp;CHAR(10)&amp;"Best,"&amp;CHAR(10)&amp;IF(AM147&lt;&gt;"",AM147,IF(Offer!$C$5&lt;&gt;"",Offer!$C$5,"[NAME]"))&amp;CHAR(10)&amp;"FC Urban"</f>
        <v/>
      </c>
      <c r="AK147" s="14">
        <f>"Hi "&amp;IF(R147&lt;&gt;"",R147,F147&amp;" team")&amp;","&amp;CHAR(10)&amp;CHAR(10)&amp;"Just bumping this up. The "&amp;AE147&amp;" pitch at "&amp;Z147&amp;" is still free "&amp;IF(ISNUMBER(AD147),TEXT(AD147,"ddd d mmm")&amp;", "&amp;TEXT(AD147,"hh:mm"),"weekday evenings")&amp;", "&amp;IF(OR(AA147=8,AA147=11,AA147=18),"an ","a ")&amp;AA147&amp;"-minute walk from your office, "&amp;IF(AF147&lt;&gt;"","£"&amp;IF(AF147=INT(AF147),TEXT(AF147,"0"),TEXT(AF147,"0.00")),"[PRICE PER PLAYER]")&amp;" a player. Happy to hold it for "&amp;F147&amp;"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LINK]")&amp;CHAR(10)&amp;CHAR(10)&amp;"Best,"&amp;CHAR(10)&amp;IF(AM147&lt;&gt;"",AM147,IF(Offer!$C$5&lt;&gt;"",Offer!$C$5,"[NAME]"))&amp;CHAR(10)&amp;"FC Urban"</f>
        <v/>
      </c>
      <c r="AL147" s="14">
        <f>IF(AH147="","No email yet",IF(ISNUMBER(SEARCH("[",AJ147)),"Fill placeholders",IF(ISNUMBER(AD147),"Ready to send","Ready · no fixed slot")))</f>
        <v/>
      </c>
      <c r="AO147" s="17" t="n"/>
      <c r="AP147" s="17" t="n"/>
    </row>
    <row r="148">
      <c r="A148" s="11" t="n">
        <v>146</v>
      </c>
      <c r="B148" s="11" t="n">
        <v>2</v>
      </c>
      <c r="C148" s="11" t="inlineStr">
        <is>
          <t>Fund / asset manager</t>
        </is>
      </c>
      <c r="D148" s="11" t="inlineStr">
        <is>
          <t>City of London</t>
        </is>
      </c>
      <c r="E148" s="11" t="inlineStr">
        <is>
          <t>Prytania Asset Management Limited</t>
        </is>
      </c>
      <c r="F148" s="11" t="inlineStr">
        <is>
          <t>Prytania Asset Management</t>
        </is>
      </c>
      <c r="G148" s="12" t="inlineStr">
        <is>
          <t>https://www.prytania.com</t>
        </is>
      </c>
      <c r="H148" s="11" t="inlineStr">
        <is>
          <t>info@prytania.com</t>
        </is>
      </c>
      <c r="I148" s="11" t="inlineStr">
        <is>
          <t>general</t>
        </is>
      </c>
      <c r="J148" s="12" t="inlineStr">
        <is>
          <t>Open page</t>
        </is>
      </c>
      <c r="K148" s="11" t="inlineStr">
        <is>
          <t>10500586</t>
        </is>
      </c>
      <c r="L148" s="12" t="inlineStr">
        <is>
          <t>Open</t>
        </is>
      </c>
      <c r="M148" s="11" t="inlineStr">
        <is>
          <t>Group</t>
        </is>
      </c>
      <c r="N148" s="13" t="n">
        <v>42702</v>
      </c>
      <c r="O148" s="11" t="inlineStr">
        <is>
          <t>C/O Prytania Investment Advisors Llp, 18 King William Street, London</t>
        </is>
      </c>
      <c r="P148" s="11" t="inlineStr">
        <is>
          <t>EC4N 7BP</t>
        </is>
      </c>
      <c r="Q148" s="11" t="inlineStr">
        <is>
          <t>Yes</t>
        </is>
      </c>
      <c r="W148" s="11" t="inlineStr">
        <is>
          <t>City of London School (EC4V 3AL)</t>
        </is>
      </c>
      <c r="X148" s="11" t="n">
        <v>14</v>
      </c>
      <c r="Y148" s="11" t="inlineStr">
        <is>
          <t>Marlborough Sports Garden (SE1 1SD) (15.4)</t>
        </is>
      </c>
      <c r="Z148" s="11" t="inlineStr">
        <is>
          <t>City of London School (EC4V 3AL)</t>
        </is>
      </c>
      <c r="AA148" s="11" t="n">
        <v>14</v>
      </c>
      <c r="AB148" s="14">
        <f>IFERROR(INDEX(Venues!$E$2:$E$17,MATCH(Z148,Venues!$A$2:$A$17,0)),"Not checked")</f>
        <v/>
      </c>
      <c r="AC148" s="14">
        <f>IFERROR(INDEX(Venues!$F$2:$F$17,MATCH(Z148,Venues!$A$2:$A$17,0)),0)</f>
        <v/>
      </c>
      <c r="AD148" s="15">
        <f>IFERROR(INDEX(Venues!$M$2:$M$17,MATCH(Z148,Venues!$A$2:$A$17,0)),"")</f>
        <v/>
      </c>
      <c r="AE148" s="14">
        <f>IFERROR(INDEX(Venues!$N$2:$N$17,MATCH(Z148,Venues!$A$2:$A$17,0)),"5-a-side")</f>
        <v/>
      </c>
      <c r="AF148" s="16">
        <f>IF(Offer!$C$4="","",Offer!$C$4)</f>
        <v/>
      </c>
      <c r="AG148" s="14">
        <f>Z148&amp;" ("&amp;AA148&amp;" min walk) · "&amp;IF(ISNUMBER(AD148),TEXT(AD148,"ddd d mmm, hh:mm"),"slot to confirm with venue")&amp;" · "&amp;AE148&amp;" · "&amp;IF(AF148&lt;&gt;"","£"&amp;TEXT(AF148,"0.00")&amp;" pp","price TBC")</f>
        <v/>
      </c>
      <c r="AH148" s="14">
        <f>IF(U148&lt;&gt;"",U148,IF(H148&lt;&gt;"",H148,""))</f>
        <v/>
      </c>
      <c r="AI148" s="14">
        <f>"After-work football for "&amp;F148&amp;" · "&amp;Z148&amp;", "&amp;AA148&amp;" min from your office"</f>
        <v/>
      </c>
      <c r="AJ148" s="14">
        <f>"Hi "&amp;IF(R148&lt;&gt;"",R148,F148&amp;" team")&amp;","&amp;CHAR(10)&amp;CHAR(10)&amp;"I'm "&amp;IF(AM148&lt;&gt;"",AM148,IF(Offer!$C$5&lt;&gt;"",Offer!$C$5,"[NAME]"))&amp;" from FC Urban. We organise after-work football for teams in the City and Canary Wharf."&amp;CHAR(10)&amp;CHAR(10)&amp;"We have a "&amp;AE148&amp;" pitch at "&amp;Z148&amp;", "&amp;IF(OR(AA148=8,AA148=11,AA148=18),"an ","a ")&amp;AA148&amp;"-minute walk from your "&amp;P148&amp;" office, "&amp;IF(ISNUMBER(AD148),"on "&amp;TEXT(AD148,"dddd d mmmm")&amp;" at "&amp;TEXT(AD148,"hh:mm"),"on a weekday evening that suits your team")&amp;". It's "&amp;IF(AF148&lt;&gt;"","£"&amp;IF(AF148=INT(AF148),TEXT(AF148,"0"),TEXT(AF148,"0.00")),"[PRICE PER PLAYER]")&amp;" a player and we handle the pitch booking, sign-ups and payments, so all it takes is one person sharing a link with the team."&amp;CHAR(10)&amp;CHAR(10)&amp;"It works well as a team social or "&amp;IF(ISNUMBER(SEARCH(LEFT(F148,1),"AEIOU")),"an ","a ")&amp;F148&amp;"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LINK]")&amp;CHAR(10)&amp;CHAR(10)&amp;"Best,"&amp;CHAR(10)&amp;IF(AM148&lt;&gt;"",AM148,IF(Offer!$C$5&lt;&gt;"",Offer!$C$5,"[NAME]"))&amp;CHAR(10)&amp;"FC Urban"</f>
        <v/>
      </c>
      <c r="AK148" s="14">
        <f>"Hi "&amp;IF(R148&lt;&gt;"",R148,F148&amp;" team")&amp;","&amp;CHAR(10)&amp;CHAR(10)&amp;"Just bumping this up. The "&amp;AE148&amp;" pitch at "&amp;Z148&amp;" is still free "&amp;IF(ISNUMBER(AD148),TEXT(AD148,"ddd d mmm")&amp;", "&amp;TEXT(AD148,"hh:mm"),"weekday evenings")&amp;", "&amp;IF(OR(AA148=8,AA148=11,AA148=18),"an ","a ")&amp;AA148&amp;"-minute walk from your office, "&amp;IF(AF148&lt;&gt;"","£"&amp;IF(AF148=INT(AF148),TEXT(AF148,"0"),TEXT(AF148,"0.00")),"[PRICE PER PLAYER]")&amp;" a player. Happy to hold it for "&amp;F148&amp;"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LINK]")&amp;CHAR(10)&amp;CHAR(10)&amp;"Best,"&amp;CHAR(10)&amp;IF(AM148&lt;&gt;"",AM148,IF(Offer!$C$5&lt;&gt;"",Offer!$C$5,"[NAME]"))&amp;CHAR(10)&amp;"FC Urban"</f>
        <v/>
      </c>
      <c r="AL148" s="14">
        <f>IF(AH148="","No email yet",IF(ISNUMBER(SEARCH("[",AJ148)),"Fill placeholders",IF(ISNUMBER(AD148),"Ready to send","Ready · no fixed slot")))</f>
        <v/>
      </c>
      <c r="AO148" s="17" t="n"/>
      <c r="AP148" s="17" t="n"/>
    </row>
    <row r="149">
      <c r="A149" s="11" t="n">
        <v>147</v>
      </c>
      <c r="B149" s="11" t="n">
        <v>2</v>
      </c>
      <c r="C149" s="11" t="inlineStr">
        <is>
          <t>Insurance / broker</t>
        </is>
      </c>
      <c r="D149" s="11" t="inlineStr">
        <is>
          <t>City of London</t>
        </is>
      </c>
      <c r="E149" s="11" t="inlineStr">
        <is>
          <t>Tindall Riley &amp; Co Limited</t>
        </is>
      </c>
      <c r="F149" s="11" t="inlineStr">
        <is>
          <t>Tindall Riley &amp; Co</t>
        </is>
      </c>
      <c r="G149" s="12" t="inlineStr">
        <is>
          <t>https://tindallriley.co.uk</t>
        </is>
      </c>
      <c r="H149" s="11" t="inlineStr">
        <is>
          <t>triley@tindallriley.com</t>
        </is>
      </c>
      <c r="I149" s="11" t="inlineStr">
        <is>
          <t>named person</t>
        </is>
      </c>
      <c r="J149" s="12" t="inlineStr">
        <is>
          <t>Open page</t>
        </is>
      </c>
      <c r="K149" s="11" t="inlineStr">
        <is>
          <t>08451968</t>
        </is>
      </c>
      <c r="L149" s="12" t="inlineStr">
        <is>
          <t>Open</t>
        </is>
      </c>
      <c r="M149" s="11" t="inlineStr">
        <is>
          <t>Group</t>
        </is>
      </c>
      <c r="N149" s="13" t="n">
        <v>41352</v>
      </c>
      <c r="O149" s="11" t="inlineStr">
        <is>
          <t>33 King William Street, London</t>
        </is>
      </c>
      <c r="P149" s="11" t="inlineStr">
        <is>
          <t>EC4R 9AT</t>
        </is>
      </c>
      <c r="Q149" s="11" t="inlineStr">
        <is>
          <t>No</t>
        </is>
      </c>
      <c r="W149" s="11" t="inlineStr">
        <is>
          <t>City of London School (EC4V 3AL)</t>
        </is>
      </c>
      <c r="X149" s="11" t="n">
        <v>14</v>
      </c>
      <c r="Y149" s="11" t="inlineStr">
        <is>
          <t>Marlborough Sports Garden (SE1 1SD) (14.5)</t>
        </is>
      </c>
      <c r="Z149" s="11" t="inlineStr">
        <is>
          <t>City of London School (EC4V 3AL)</t>
        </is>
      </c>
      <c r="AA149" s="11" t="n">
        <v>14</v>
      </c>
      <c r="AB149" s="14">
        <f>IFERROR(INDEX(Venues!$E$2:$E$17,MATCH(Z149,Venues!$A$2:$A$17,0)),"Not checked")</f>
        <v/>
      </c>
      <c r="AC149" s="14">
        <f>IFERROR(INDEX(Venues!$F$2:$F$17,MATCH(Z149,Venues!$A$2:$A$17,0)),0)</f>
        <v/>
      </c>
      <c r="AD149" s="15">
        <f>IFERROR(INDEX(Venues!$M$2:$M$17,MATCH(Z149,Venues!$A$2:$A$17,0)),"")</f>
        <v/>
      </c>
      <c r="AE149" s="14">
        <f>IFERROR(INDEX(Venues!$N$2:$N$17,MATCH(Z149,Venues!$A$2:$A$17,0)),"5-a-side")</f>
        <v/>
      </c>
      <c r="AF149" s="16">
        <f>IF(Offer!$C$4="","",Offer!$C$4)</f>
        <v/>
      </c>
      <c r="AG149" s="14">
        <f>Z149&amp;" ("&amp;AA149&amp;" min walk) · "&amp;IF(ISNUMBER(AD149),TEXT(AD149,"ddd d mmm, hh:mm"),"slot to confirm with venue")&amp;" · "&amp;AE149&amp;" · "&amp;IF(AF149&lt;&gt;"","£"&amp;TEXT(AF149,"0.00")&amp;" pp","price TBC")</f>
        <v/>
      </c>
      <c r="AH149" s="14">
        <f>IF(U149&lt;&gt;"",U149,IF(H149&lt;&gt;"",H149,""))</f>
        <v/>
      </c>
      <c r="AI149" s="14">
        <f>"After-work football for "&amp;F149&amp;" · "&amp;Z149&amp;", "&amp;AA149&amp;" min from your office"</f>
        <v/>
      </c>
      <c r="AJ149" s="14">
        <f>"Hi "&amp;IF(R149&lt;&gt;"",R149,F149&amp;" team")&amp;","&amp;CHAR(10)&amp;CHAR(10)&amp;"I'm "&amp;IF(AM149&lt;&gt;"",AM149,IF(Offer!$C$5&lt;&gt;"",Offer!$C$5,"[NAME]"))&amp;" from FC Urban. We organise after-work football for teams in the City and Canary Wharf."&amp;CHAR(10)&amp;CHAR(10)&amp;"We have a "&amp;AE149&amp;" pitch at "&amp;Z149&amp;", "&amp;IF(OR(AA149=8,AA149=11,AA149=18),"an ","a ")&amp;AA149&amp;"-minute walk from your "&amp;P149&amp;" office, "&amp;IF(ISNUMBER(AD149),"on "&amp;TEXT(AD149,"dddd d mmmm")&amp;" at "&amp;TEXT(AD149,"hh:mm"),"on a weekday evening that suits your team")&amp;". It's "&amp;IF(AF149&lt;&gt;"","£"&amp;IF(AF149=INT(AF149),TEXT(AF149,"0"),TEXT(AF149,"0.00")),"[PRICE PER PLAYER]")&amp;" a player and we handle the pitch booking, sign-ups and payments, so all it takes is one person sharing a link with the team."&amp;CHAR(10)&amp;CHAR(10)&amp;"It works well as a team social or "&amp;IF(ISNUMBER(SEARCH(LEFT(F149,1),"AEIOU")),"an ","a ")&amp;F149&amp;"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LINK]")&amp;CHAR(10)&amp;CHAR(10)&amp;"Best,"&amp;CHAR(10)&amp;IF(AM149&lt;&gt;"",AM149,IF(Offer!$C$5&lt;&gt;"",Offer!$C$5,"[NAME]"))&amp;CHAR(10)&amp;"FC Urban"</f>
        <v/>
      </c>
      <c r="AK149" s="14">
        <f>"Hi "&amp;IF(R149&lt;&gt;"",R149,F149&amp;" team")&amp;","&amp;CHAR(10)&amp;CHAR(10)&amp;"Just bumping this up. The "&amp;AE149&amp;" pitch at "&amp;Z149&amp;" is still free "&amp;IF(ISNUMBER(AD149),TEXT(AD149,"ddd d mmm")&amp;", "&amp;TEXT(AD149,"hh:mm"),"weekday evenings")&amp;", "&amp;IF(OR(AA149=8,AA149=11,AA149=18),"an ","a ")&amp;AA149&amp;"-minute walk from your office, "&amp;IF(AF149&lt;&gt;"","£"&amp;IF(AF149=INT(AF149),TEXT(AF149,"0"),TEXT(AF149,"0.00")),"[PRICE PER PLAYER]")&amp;" a player. Happy to hold it for "&amp;F149&amp;"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LINK]")&amp;CHAR(10)&amp;CHAR(10)&amp;"Best,"&amp;CHAR(10)&amp;IF(AM149&lt;&gt;"",AM149,IF(Offer!$C$5&lt;&gt;"",Offer!$C$5,"[NAME]"))&amp;CHAR(10)&amp;"FC Urban"</f>
        <v/>
      </c>
      <c r="AL149" s="14">
        <f>IF(AH149="","No email yet",IF(ISNUMBER(SEARCH("[",AJ149)),"Fill placeholders",IF(ISNUMBER(AD149),"Ready to send","Ready · no fixed slot")))</f>
        <v/>
      </c>
      <c r="AO149" s="17" t="n"/>
      <c r="AP149" s="17" t="n"/>
    </row>
    <row r="150">
      <c r="A150" s="11" t="n">
        <v>148</v>
      </c>
      <c r="B150" s="11" t="n">
        <v>2</v>
      </c>
      <c r="C150" s="11" t="inlineStr">
        <is>
          <t>Insurance / broker</t>
        </is>
      </c>
      <c r="D150" s="11" t="inlineStr">
        <is>
          <t>City of London</t>
        </is>
      </c>
      <c r="E150" s="11" t="inlineStr">
        <is>
          <t>Map Equity Limited</t>
        </is>
      </c>
      <c r="F150" s="11" t="inlineStr">
        <is>
          <t>Map Equity</t>
        </is>
      </c>
      <c r="G150" s="11" t="n"/>
      <c r="H150" s="11" t="n"/>
      <c r="I150" s="11" t="inlineStr">
        <is>
          <t>Not found</t>
        </is>
      </c>
      <c r="J150" s="11" t="n"/>
      <c r="K150" s="11" t="inlineStr">
        <is>
          <t>03985522</t>
        </is>
      </c>
      <c r="L150" s="12" t="inlineStr">
        <is>
          <t>Open</t>
        </is>
      </c>
      <c r="M150" s="11" t="inlineStr">
        <is>
          <t>Group</t>
        </is>
      </c>
      <c r="N150" s="13" t="n">
        <v>36650</v>
      </c>
      <c r="O150" s="11" t="inlineStr">
        <is>
          <t>Salesforce Tower, 110 Bishopsgate, London</t>
        </is>
      </c>
      <c r="P150" s="11" t="inlineStr">
        <is>
          <t>EC2N 4AY</t>
        </is>
      </c>
      <c r="Q150" s="11" t="inlineStr">
        <is>
          <t>No</t>
        </is>
      </c>
      <c r="W150" s="11" t="inlineStr">
        <is>
          <t>Liverpool St - Attlee Centre</t>
        </is>
      </c>
      <c r="X150" s="11" t="n">
        <v>10</v>
      </c>
      <c r="Y150" s="11" t="inlineStr">
        <is>
          <t>Shoreditch Powerleague (13.9)</t>
        </is>
      </c>
      <c r="Z150" s="11" t="inlineStr">
        <is>
          <t>Shoreditch Powerleague</t>
        </is>
      </c>
      <c r="AA150" s="11" t="n">
        <v>14</v>
      </c>
      <c r="AB150" s="14">
        <f>IFERROR(INDEX(Venues!$E$2:$E$17,MATCH(Z150,Venues!$A$2:$A$17,0)),"Not checked")</f>
        <v/>
      </c>
      <c r="AC150" s="14">
        <f>IFERROR(INDEX(Venues!$F$2:$F$17,MATCH(Z150,Venues!$A$2:$A$17,0)),0)</f>
        <v/>
      </c>
      <c r="AD150" s="15">
        <f>IFERROR(INDEX(Venues!$M$2:$M$17,MATCH(Z150,Venues!$A$2:$A$17,0)),"")</f>
        <v/>
      </c>
      <c r="AE150" s="14">
        <f>IFERROR(INDEX(Venues!$N$2:$N$17,MATCH(Z150,Venues!$A$2:$A$17,0)),"5-a-side")</f>
        <v/>
      </c>
      <c r="AF150" s="16">
        <f>IF(Offer!$C$4="","",Offer!$C$4)</f>
        <v/>
      </c>
      <c r="AG150" s="14">
        <f>Z150&amp;" ("&amp;AA150&amp;" min walk) · "&amp;IF(ISNUMBER(AD150),TEXT(AD150,"ddd d mmm, hh:mm"),"slot to confirm with venue")&amp;" · "&amp;AE150&amp;" · "&amp;IF(AF150&lt;&gt;"","£"&amp;TEXT(AF150,"0.00")&amp;" pp","price TBC")</f>
        <v/>
      </c>
      <c r="AH150" s="14">
        <f>IF(U150&lt;&gt;"",U150,IF(H150&lt;&gt;"",H150,""))</f>
        <v/>
      </c>
      <c r="AI150" s="14">
        <f>"After-work football for "&amp;F150&amp;" · "&amp;Z150&amp;", "&amp;AA150&amp;" min from your office"</f>
        <v/>
      </c>
      <c r="AJ150" s="14">
        <f>"Hi "&amp;IF(R150&lt;&gt;"",R150,F150&amp;" team")&amp;","&amp;CHAR(10)&amp;CHAR(10)&amp;"I'm "&amp;IF(AM150&lt;&gt;"",AM150,IF(Offer!$C$5&lt;&gt;"",Offer!$C$5,"[NAME]"))&amp;" from FC Urban. We organise after-work football for teams in the City and Canary Wharf."&amp;CHAR(10)&amp;CHAR(10)&amp;"We have a "&amp;AE150&amp;" pitch at "&amp;Z150&amp;", "&amp;IF(OR(AA150=8,AA150=11,AA150=18),"an ","a ")&amp;AA150&amp;"-minute walk from your "&amp;P150&amp;" office, "&amp;IF(ISNUMBER(AD150),"on "&amp;TEXT(AD150,"dddd d mmmm")&amp;" at "&amp;TEXT(AD150,"hh:mm"),"on a weekday evening that suits your team")&amp;". It's "&amp;IF(AF150&lt;&gt;"","£"&amp;IF(AF150=INT(AF150),TEXT(AF150,"0"),TEXT(AF150,"0.00")),"[PRICE PER PLAYER]")&amp;" a player and we handle the pitch booking, sign-ups and payments, so all it takes is one person sharing a link with the team."&amp;CHAR(10)&amp;CHAR(10)&amp;"It works well as a team social or "&amp;IF(ISNUMBER(SEARCH(LEFT(F150,1),"AEIOU")),"an ","a ")&amp;F150&amp;"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LINK]")&amp;CHAR(10)&amp;CHAR(10)&amp;"Best,"&amp;CHAR(10)&amp;IF(AM150&lt;&gt;"",AM150,IF(Offer!$C$5&lt;&gt;"",Offer!$C$5,"[NAME]"))&amp;CHAR(10)&amp;"FC Urban"</f>
        <v/>
      </c>
      <c r="AK150" s="14">
        <f>"Hi "&amp;IF(R150&lt;&gt;"",R150,F150&amp;" team")&amp;","&amp;CHAR(10)&amp;CHAR(10)&amp;"Just bumping this up. The "&amp;AE150&amp;" pitch at "&amp;Z150&amp;" is still free "&amp;IF(ISNUMBER(AD150),TEXT(AD150,"ddd d mmm")&amp;", "&amp;TEXT(AD150,"hh:mm"),"weekday evenings")&amp;", "&amp;IF(OR(AA150=8,AA150=11,AA150=18),"an ","a ")&amp;AA150&amp;"-minute walk from your office, "&amp;IF(AF150&lt;&gt;"","£"&amp;IF(AF150=INT(AF150),TEXT(AF150,"0"),TEXT(AF150,"0.00")),"[PRICE PER PLAYER]")&amp;" a player. Happy to hold it for "&amp;F150&amp;"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LINK]")&amp;CHAR(10)&amp;CHAR(10)&amp;"Best,"&amp;CHAR(10)&amp;IF(AM150&lt;&gt;"",AM150,IF(Offer!$C$5&lt;&gt;"",Offer!$C$5,"[NAME]"))&amp;CHAR(10)&amp;"FC Urban"</f>
        <v/>
      </c>
      <c r="AL150" s="14">
        <f>IF(AH150="","No email yet",IF(ISNUMBER(SEARCH("[",AJ150)),"Fill placeholders",IF(ISNUMBER(AD150),"Ready to send","Ready · no fixed slot")))</f>
        <v/>
      </c>
      <c r="AO150" s="17" t="n"/>
      <c r="AP150" s="17" t="n"/>
    </row>
    <row r="151">
      <c r="A151" s="11" t="n">
        <v>149</v>
      </c>
      <c r="B151" s="11" t="n">
        <v>2</v>
      </c>
      <c r="C151" s="11" t="inlineStr">
        <is>
          <t>Fund / asset manager</t>
        </is>
      </c>
      <c r="D151" s="11" t="inlineStr">
        <is>
          <t>City of London</t>
        </is>
      </c>
      <c r="E151" s="11" t="inlineStr">
        <is>
          <t>Aberforth Partners LLP</t>
        </is>
      </c>
      <c r="F151" s="11" t="inlineStr">
        <is>
          <t>Aberforth Partners</t>
        </is>
      </c>
      <c r="G151" s="12" t="inlineStr">
        <is>
          <t>https://www.aberforth.co.uk</t>
        </is>
      </c>
      <c r="H151" s="11" t="inlineStr">
        <is>
          <t>info@aberforth.co.uk</t>
        </is>
      </c>
      <c r="I151" s="11" t="inlineStr">
        <is>
          <t>general</t>
        </is>
      </c>
      <c r="J151" s="12" t="inlineStr">
        <is>
          <t>Open page</t>
        </is>
      </c>
      <c r="K151" s="11" t="inlineStr">
        <is>
          <t>OC313353</t>
        </is>
      </c>
      <c r="L151" s="12" t="inlineStr">
        <is>
          <t>Open</t>
        </is>
      </c>
      <c r="M151" s="11" t="inlineStr">
        <is>
          <t>Group</t>
        </is>
      </c>
      <c r="N151" s="13" t="n">
        <v>38493</v>
      </c>
      <c r="O151" s="11" t="inlineStr">
        <is>
          <t>Level 4, Dashwood House, 69 Old Broad Street, London</t>
        </is>
      </c>
      <c r="P151" s="11" t="inlineStr">
        <is>
          <t>EC2M 1QS</t>
        </is>
      </c>
      <c r="Q151" s="11" t="inlineStr">
        <is>
          <t>No</t>
        </is>
      </c>
      <c r="W151" s="11" t="inlineStr">
        <is>
          <t>Liverpool St - Attlee Centre</t>
        </is>
      </c>
      <c r="X151" s="11" t="n">
        <v>11</v>
      </c>
      <c r="Y151" s="11" t="inlineStr">
        <is>
          <t>Shoreditch Powerleague (14)</t>
        </is>
      </c>
      <c r="Z151" s="11" t="inlineStr">
        <is>
          <t>Shoreditch Powerleague</t>
        </is>
      </c>
      <c r="AA151" s="11" t="n">
        <v>14</v>
      </c>
      <c r="AB151" s="14">
        <f>IFERROR(INDEX(Venues!$E$2:$E$17,MATCH(Z151,Venues!$A$2:$A$17,0)),"Not checked")</f>
        <v/>
      </c>
      <c r="AC151" s="14">
        <f>IFERROR(INDEX(Venues!$F$2:$F$17,MATCH(Z151,Venues!$A$2:$A$17,0)),0)</f>
        <v/>
      </c>
      <c r="AD151" s="15">
        <f>IFERROR(INDEX(Venues!$M$2:$M$17,MATCH(Z151,Venues!$A$2:$A$17,0)),"")</f>
        <v/>
      </c>
      <c r="AE151" s="14">
        <f>IFERROR(INDEX(Venues!$N$2:$N$17,MATCH(Z151,Venues!$A$2:$A$17,0)),"5-a-side")</f>
        <v/>
      </c>
      <c r="AF151" s="16">
        <f>IF(Offer!$C$4="","",Offer!$C$4)</f>
        <v/>
      </c>
      <c r="AG151" s="14">
        <f>Z151&amp;" ("&amp;AA151&amp;" min walk) · "&amp;IF(ISNUMBER(AD151),TEXT(AD151,"ddd d mmm, hh:mm"),"slot to confirm with venue")&amp;" · "&amp;AE151&amp;" · "&amp;IF(AF151&lt;&gt;"","£"&amp;TEXT(AF151,"0.00")&amp;" pp","price TBC")</f>
        <v/>
      </c>
      <c r="AH151" s="14">
        <f>IF(U151&lt;&gt;"",U151,IF(H151&lt;&gt;"",H151,""))</f>
        <v/>
      </c>
      <c r="AI151" s="14">
        <f>"After-work football for "&amp;F151&amp;" · "&amp;Z151&amp;", "&amp;AA151&amp;" min from your office"</f>
        <v/>
      </c>
      <c r="AJ151" s="14">
        <f>"Hi "&amp;IF(R151&lt;&gt;"",R151,F151&amp;" team")&amp;","&amp;CHAR(10)&amp;CHAR(10)&amp;"I'm "&amp;IF(AM151&lt;&gt;"",AM151,IF(Offer!$C$5&lt;&gt;"",Offer!$C$5,"[NAME]"))&amp;" from FC Urban. We organise after-work football for teams in the City and Canary Wharf."&amp;CHAR(10)&amp;CHAR(10)&amp;"We have a "&amp;AE151&amp;" pitch at "&amp;Z151&amp;", "&amp;IF(OR(AA151=8,AA151=11,AA151=18),"an ","a ")&amp;AA151&amp;"-minute walk from your "&amp;P151&amp;" office, "&amp;IF(ISNUMBER(AD151),"on "&amp;TEXT(AD151,"dddd d mmmm")&amp;" at "&amp;TEXT(AD151,"hh:mm"),"on a weekday evening that suits your team")&amp;". It's "&amp;IF(AF151&lt;&gt;"","£"&amp;IF(AF151=INT(AF151),TEXT(AF151,"0"),TEXT(AF151,"0.00")),"[PRICE PER PLAYER]")&amp;" a player and we handle the pitch booking, sign-ups and payments, so all it takes is one person sharing a link with the team."&amp;CHAR(10)&amp;CHAR(10)&amp;"It works well as a team social or "&amp;IF(ISNUMBER(SEARCH(LEFT(F151,1),"AEIOU")),"an ","a ")&amp;F151&amp;"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LINK]")&amp;CHAR(10)&amp;CHAR(10)&amp;"Best,"&amp;CHAR(10)&amp;IF(AM151&lt;&gt;"",AM151,IF(Offer!$C$5&lt;&gt;"",Offer!$C$5,"[NAME]"))&amp;CHAR(10)&amp;"FC Urban"</f>
        <v/>
      </c>
      <c r="AK151" s="14">
        <f>"Hi "&amp;IF(R151&lt;&gt;"",R151,F151&amp;" team")&amp;","&amp;CHAR(10)&amp;CHAR(10)&amp;"Just bumping this up. The "&amp;AE151&amp;" pitch at "&amp;Z151&amp;" is still free "&amp;IF(ISNUMBER(AD151),TEXT(AD151,"ddd d mmm")&amp;", "&amp;TEXT(AD151,"hh:mm"),"weekday evenings")&amp;", "&amp;IF(OR(AA151=8,AA151=11,AA151=18),"an ","a ")&amp;AA151&amp;"-minute walk from your office, "&amp;IF(AF151&lt;&gt;"","£"&amp;IF(AF151=INT(AF151),TEXT(AF151,"0"),TEXT(AF151,"0.00")),"[PRICE PER PLAYER]")&amp;" a player. Happy to hold it for "&amp;F151&amp;"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LINK]")&amp;CHAR(10)&amp;CHAR(10)&amp;"Best,"&amp;CHAR(10)&amp;IF(AM151&lt;&gt;"",AM151,IF(Offer!$C$5&lt;&gt;"",Offer!$C$5,"[NAME]"))&amp;CHAR(10)&amp;"FC Urban"</f>
        <v/>
      </c>
      <c r="AL151" s="14">
        <f>IF(AH151="","No email yet",IF(ISNUMBER(SEARCH("[",AJ151)),"Fill placeholders",IF(ISNUMBER(AD151),"Ready to send","Ready · no fixed slot")))</f>
        <v/>
      </c>
      <c r="AO151" s="17" t="n"/>
      <c r="AP151" s="17" t="n"/>
    </row>
    <row r="152">
      <c r="A152" s="11" t="n">
        <v>150</v>
      </c>
      <c r="B152" s="11" t="n">
        <v>2</v>
      </c>
      <c r="C152" s="11" t="inlineStr">
        <is>
          <t>Insurance / broker</t>
        </is>
      </c>
      <c r="D152" s="11" t="inlineStr">
        <is>
          <t>City of London</t>
        </is>
      </c>
      <c r="E152" s="11" t="inlineStr">
        <is>
          <t>Dale Partners Limited</t>
        </is>
      </c>
      <c r="F152" s="11" t="inlineStr">
        <is>
          <t>Dale Partners</t>
        </is>
      </c>
      <c r="G152" s="12" t="inlineStr">
        <is>
          <t>https://dale.com</t>
        </is>
      </c>
      <c r="H152" s="11" t="inlineStr">
        <is>
          <t>contact.ae@dale.com</t>
        </is>
      </c>
      <c r="I152" s="11" t="inlineStr">
        <is>
          <t>general</t>
        </is>
      </c>
      <c r="J152" s="12" t="inlineStr">
        <is>
          <t>Open page</t>
        </is>
      </c>
      <c r="K152" s="11" t="inlineStr">
        <is>
          <t>08698094</t>
        </is>
      </c>
      <c r="L152" s="12" t="inlineStr">
        <is>
          <t>Open</t>
        </is>
      </c>
      <c r="M152" s="11" t="inlineStr">
        <is>
          <t>Group</t>
        </is>
      </c>
      <c r="N152" s="13" t="n">
        <v>41536</v>
      </c>
      <c r="O152" s="11" t="inlineStr">
        <is>
          <t>70 St Mary Axe, London</t>
        </is>
      </c>
      <c r="P152" s="11" t="inlineStr">
        <is>
          <t>EC3A 8BE</t>
        </is>
      </c>
      <c r="Q152" s="11" t="inlineStr">
        <is>
          <t>No</t>
        </is>
      </c>
      <c r="W152" s="11" t="inlineStr">
        <is>
          <t>Liverpool St - Attlee Centre</t>
        </is>
      </c>
      <c r="X152" s="11" t="n">
        <v>9</v>
      </c>
      <c r="Y152" s="11" t="inlineStr">
        <is>
          <t>Shoreditch Powerleague (14.7)</t>
        </is>
      </c>
      <c r="Z152" s="11" t="inlineStr">
        <is>
          <t>Shoreditch Powerleague</t>
        </is>
      </c>
      <c r="AA152" s="11" t="n">
        <v>15</v>
      </c>
      <c r="AB152" s="14">
        <f>IFERROR(INDEX(Venues!$E$2:$E$17,MATCH(Z152,Venues!$A$2:$A$17,0)),"Not checked")</f>
        <v/>
      </c>
      <c r="AC152" s="14">
        <f>IFERROR(INDEX(Venues!$F$2:$F$17,MATCH(Z152,Venues!$A$2:$A$17,0)),0)</f>
        <v/>
      </c>
      <c r="AD152" s="15">
        <f>IFERROR(INDEX(Venues!$M$2:$M$17,MATCH(Z152,Venues!$A$2:$A$17,0)),"")</f>
        <v/>
      </c>
      <c r="AE152" s="14">
        <f>IFERROR(INDEX(Venues!$N$2:$N$17,MATCH(Z152,Venues!$A$2:$A$17,0)),"5-a-side")</f>
        <v/>
      </c>
      <c r="AF152" s="16">
        <f>IF(Offer!$C$4="","",Offer!$C$4)</f>
        <v/>
      </c>
      <c r="AG152" s="14">
        <f>Z152&amp;" ("&amp;AA152&amp;" min walk) · "&amp;IF(ISNUMBER(AD152),TEXT(AD152,"ddd d mmm, hh:mm"),"slot to confirm with venue")&amp;" · "&amp;AE152&amp;" · "&amp;IF(AF152&lt;&gt;"","£"&amp;TEXT(AF152,"0.00")&amp;" pp","price TBC")</f>
        <v/>
      </c>
      <c r="AH152" s="14">
        <f>IF(U152&lt;&gt;"",U152,IF(H152&lt;&gt;"",H152,""))</f>
        <v/>
      </c>
      <c r="AI152" s="14">
        <f>"After-work football for "&amp;F152&amp;" · "&amp;Z152&amp;", "&amp;AA152&amp;" min from your office"</f>
        <v/>
      </c>
      <c r="AJ152" s="14">
        <f>"Hi "&amp;IF(R152&lt;&gt;"",R152,F152&amp;" team")&amp;","&amp;CHAR(10)&amp;CHAR(10)&amp;"I'm "&amp;IF(AM152&lt;&gt;"",AM152,IF(Offer!$C$5&lt;&gt;"",Offer!$C$5,"[NAME]"))&amp;" from FC Urban. We organise after-work football for teams in the City and Canary Wharf."&amp;CHAR(10)&amp;CHAR(10)&amp;"We have a "&amp;AE152&amp;" pitch at "&amp;Z152&amp;", "&amp;IF(OR(AA152=8,AA152=11,AA152=18),"an ","a ")&amp;AA152&amp;"-minute walk from your "&amp;P152&amp;" office, "&amp;IF(ISNUMBER(AD152),"on "&amp;TEXT(AD152,"dddd d mmmm")&amp;" at "&amp;TEXT(AD152,"hh:mm"),"on a weekday evening that suits your team")&amp;". It's "&amp;IF(AF152&lt;&gt;"","£"&amp;IF(AF152=INT(AF152),TEXT(AF152,"0"),TEXT(AF152,"0.00")),"[PRICE PER PLAYER]")&amp;" a player and we handle the pitch booking, sign-ups and payments, so all it takes is one person sharing a link with the team."&amp;CHAR(10)&amp;CHAR(10)&amp;"It works well as a team social or "&amp;IF(ISNUMBER(SEARCH(LEFT(F152,1),"AEIOU")),"an ","a ")&amp;F152&amp;"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LINK]")&amp;CHAR(10)&amp;CHAR(10)&amp;"Best,"&amp;CHAR(10)&amp;IF(AM152&lt;&gt;"",AM152,IF(Offer!$C$5&lt;&gt;"",Offer!$C$5,"[NAME]"))&amp;CHAR(10)&amp;"FC Urban"</f>
        <v/>
      </c>
      <c r="AK152" s="14">
        <f>"Hi "&amp;IF(R152&lt;&gt;"",R152,F152&amp;" team")&amp;","&amp;CHAR(10)&amp;CHAR(10)&amp;"Just bumping this up. The "&amp;AE152&amp;" pitch at "&amp;Z152&amp;" is still free "&amp;IF(ISNUMBER(AD152),TEXT(AD152,"ddd d mmm")&amp;", "&amp;TEXT(AD152,"hh:mm"),"weekday evenings")&amp;", "&amp;IF(OR(AA152=8,AA152=11,AA152=18),"an ","a ")&amp;AA152&amp;"-minute walk from your office, "&amp;IF(AF152&lt;&gt;"","£"&amp;IF(AF152=INT(AF152),TEXT(AF152,"0"),TEXT(AF152,"0.00")),"[PRICE PER PLAYER]")&amp;" a player. Happy to hold it for "&amp;F152&amp;"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LINK]")&amp;CHAR(10)&amp;CHAR(10)&amp;"Best,"&amp;CHAR(10)&amp;IF(AM152&lt;&gt;"",AM152,IF(Offer!$C$5&lt;&gt;"",Offer!$C$5,"[NAME]"))&amp;CHAR(10)&amp;"FC Urban"</f>
        <v/>
      </c>
      <c r="AL152" s="14">
        <f>IF(AH152="","No email yet",IF(ISNUMBER(SEARCH("[",AJ152)),"Fill placeholders",IF(ISNUMBER(AD152),"Ready to send","Ready · no fixed slot")))</f>
        <v/>
      </c>
      <c r="AO152" s="17" t="n"/>
      <c r="AP152" s="17" t="n"/>
    </row>
    <row r="153">
      <c r="A153" s="11" t="n">
        <v>151</v>
      </c>
      <c r="B153" s="11" t="n">
        <v>2</v>
      </c>
      <c r="C153" s="11" t="inlineStr">
        <is>
          <t>Fund / asset manager</t>
        </is>
      </c>
      <c r="D153" s="11" t="inlineStr">
        <is>
          <t>City of London</t>
        </is>
      </c>
      <c r="E153" s="11" t="inlineStr">
        <is>
          <t>MMC Ventures Partners LLP</t>
        </is>
      </c>
      <c r="F153" s="11" t="inlineStr">
        <is>
          <t>MMC Ventures Partners</t>
        </is>
      </c>
      <c r="G153" s="11" t="n"/>
      <c r="H153" s="11" t="inlineStr">
        <is>
          <t>info@mmcventures.com</t>
        </is>
      </c>
      <c r="I153" s="11" t="inlineStr">
        <is>
          <t>general</t>
        </is>
      </c>
      <c r="J153" s="12" t="inlineStr">
        <is>
          <t>Open page</t>
        </is>
      </c>
      <c r="K153" s="11" t="inlineStr">
        <is>
          <t>OC450941</t>
        </is>
      </c>
      <c r="L153" s="12" t="inlineStr">
        <is>
          <t>Open</t>
        </is>
      </c>
      <c r="M153" s="11" t="inlineStr">
        <is>
          <t>Group</t>
        </is>
      </c>
      <c r="N153" s="13" t="n">
        <v>45331</v>
      </c>
      <c r="O153" s="11" t="inlineStr">
        <is>
          <t>3Rd Floor, 24 High Holborn, London</t>
        </is>
      </c>
      <c r="P153" s="11" t="inlineStr">
        <is>
          <t>WC1V 6AZ</t>
        </is>
      </c>
      <c r="Q153" s="11" t="inlineStr">
        <is>
          <t>No</t>
        </is>
      </c>
      <c r="W153" s="11" t="inlineStr">
        <is>
          <t>St Pancras - Coram's Fields 3G</t>
        </is>
      </c>
      <c r="X153" s="11" t="n">
        <v>15</v>
      </c>
      <c r="Y153" s="11" t="n"/>
      <c r="Z153" s="11" t="inlineStr">
        <is>
          <t>St Pancras - Coram's Fields 3G</t>
        </is>
      </c>
      <c r="AA153" s="11" t="n">
        <v>15</v>
      </c>
      <c r="AB153" s="14">
        <f>IFERROR(INDEX(Venues!$E$2:$E$17,MATCH(Z153,Venues!$A$2:$A$17,0)),"Not checked")</f>
        <v/>
      </c>
      <c r="AC153" s="14">
        <f>IFERROR(INDEX(Venues!$F$2:$F$17,MATCH(Z153,Venues!$A$2:$A$17,0)),0)</f>
        <v/>
      </c>
      <c r="AD153" s="15">
        <f>IFERROR(INDEX(Venues!$M$2:$M$17,MATCH(Z153,Venues!$A$2:$A$17,0)),"")</f>
        <v/>
      </c>
      <c r="AE153" s="14">
        <f>IFERROR(INDEX(Venues!$N$2:$N$17,MATCH(Z153,Venues!$A$2:$A$17,0)),"5-a-side")</f>
        <v/>
      </c>
      <c r="AF153" s="16">
        <f>IF(Offer!$C$4="","",Offer!$C$4)</f>
        <v/>
      </c>
      <c r="AG153" s="14">
        <f>Z153&amp;" ("&amp;AA153&amp;" min walk) · "&amp;IF(ISNUMBER(AD153),TEXT(AD153,"ddd d mmm, hh:mm"),"slot to confirm with venue")&amp;" · "&amp;AE153&amp;" · "&amp;IF(AF153&lt;&gt;"","£"&amp;TEXT(AF153,"0.00")&amp;" pp","price TBC")</f>
        <v/>
      </c>
      <c r="AH153" s="14">
        <f>IF(U153&lt;&gt;"",U153,IF(H153&lt;&gt;"",H153,""))</f>
        <v/>
      </c>
      <c r="AI153" s="14">
        <f>"After-work football for "&amp;F153&amp;" · "&amp;Z153&amp;", "&amp;AA153&amp;" min from your office"</f>
        <v/>
      </c>
      <c r="AJ153" s="14">
        <f>"Hi "&amp;IF(R153&lt;&gt;"",R153,F153&amp;" team")&amp;","&amp;CHAR(10)&amp;CHAR(10)&amp;"I'm "&amp;IF(AM153&lt;&gt;"",AM153,IF(Offer!$C$5&lt;&gt;"",Offer!$C$5,"[NAME]"))&amp;" from FC Urban. We organise after-work football for teams in the City and Canary Wharf."&amp;CHAR(10)&amp;CHAR(10)&amp;"We have a "&amp;AE153&amp;" pitch at "&amp;Z153&amp;", "&amp;IF(OR(AA153=8,AA153=11,AA153=18),"an ","a ")&amp;AA153&amp;"-minute walk from your "&amp;P153&amp;" office, "&amp;IF(ISNUMBER(AD153),"on "&amp;TEXT(AD153,"dddd d mmmm")&amp;" at "&amp;TEXT(AD153,"hh:mm"),"on a weekday evening that suits your team")&amp;". It's "&amp;IF(AF153&lt;&gt;"","£"&amp;IF(AF153=INT(AF153),TEXT(AF153,"0"),TEXT(AF153,"0.00")),"[PRICE PER PLAYER]")&amp;" a player and we handle the pitch booking, sign-ups and payments, so all it takes is one person sharing a link with the team."&amp;CHAR(10)&amp;CHAR(10)&amp;"It works well as a team social or "&amp;IF(ISNUMBER(SEARCH(LEFT(F153,1),"AEIOU")),"an ","a ")&amp;F153&amp;"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LINK]")&amp;CHAR(10)&amp;CHAR(10)&amp;"Best,"&amp;CHAR(10)&amp;IF(AM153&lt;&gt;"",AM153,IF(Offer!$C$5&lt;&gt;"",Offer!$C$5,"[NAME]"))&amp;CHAR(10)&amp;"FC Urban"</f>
        <v/>
      </c>
      <c r="AK153" s="14">
        <f>"Hi "&amp;IF(R153&lt;&gt;"",R153,F153&amp;" team")&amp;","&amp;CHAR(10)&amp;CHAR(10)&amp;"Just bumping this up. The "&amp;AE153&amp;" pitch at "&amp;Z153&amp;" is still free "&amp;IF(ISNUMBER(AD153),TEXT(AD153,"ddd d mmm")&amp;", "&amp;TEXT(AD153,"hh:mm"),"weekday evenings")&amp;", "&amp;IF(OR(AA153=8,AA153=11,AA153=18),"an ","a ")&amp;AA153&amp;"-minute walk from your office, "&amp;IF(AF153&lt;&gt;"","£"&amp;IF(AF153=INT(AF153),TEXT(AF153,"0"),TEXT(AF153,"0.00")),"[PRICE PER PLAYER]")&amp;" a player. Happy to hold it for "&amp;F153&amp;"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LINK]")&amp;CHAR(10)&amp;CHAR(10)&amp;"Best,"&amp;CHAR(10)&amp;IF(AM153&lt;&gt;"",AM153,IF(Offer!$C$5&lt;&gt;"",Offer!$C$5,"[NAME]"))&amp;CHAR(10)&amp;"FC Urban"</f>
        <v/>
      </c>
      <c r="AL153" s="14">
        <f>IF(AH153="","No email yet",IF(ISNUMBER(SEARCH("[",AJ153)),"Fill placeholders",IF(ISNUMBER(AD153),"Ready to send","Ready · no fixed slot")))</f>
        <v/>
      </c>
      <c r="AO153" s="17" t="n"/>
      <c r="AP153" s="17" t="n"/>
    </row>
    <row r="154">
      <c r="A154" s="11" t="n">
        <v>152</v>
      </c>
      <c r="B154" s="11" t="n">
        <v>2</v>
      </c>
      <c r="C154" s="11" t="inlineStr">
        <is>
          <t>Fund / asset manager</t>
        </is>
      </c>
      <c r="D154" s="11" t="inlineStr">
        <is>
          <t>City of London</t>
        </is>
      </c>
      <c r="E154" s="11" t="inlineStr">
        <is>
          <t>Aerius Associates Advisers LLP</t>
        </is>
      </c>
      <c r="F154" s="11" t="inlineStr">
        <is>
          <t>Aerius Associates Advisers</t>
        </is>
      </c>
      <c r="G154" s="12" t="inlineStr">
        <is>
          <t>https://www.aeriusassociates.com</t>
        </is>
      </c>
      <c r="H154" s="11" t="inlineStr">
        <is>
          <t>info@aeriusassociates.com</t>
        </is>
      </c>
      <c r="I154" s="11" t="inlineStr">
        <is>
          <t>general</t>
        </is>
      </c>
      <c r="J154" s="12" t="inlineStr">
        <is>
          <t>Open page</t>
        </is>
      </c>
      <c r="K154" s="11" t="inlineStr">
        <is>
          <t>OC392744</t>
        </is>
      </c>
      <c r="L154" s="12" t="inlineStr">
        <is>
          <t>Open</t>
        </is>
      </c>
      <c r="M154" s="11" t="inlineStr">
        <is>
          <t>Group</t>
        </is>
      </c>
      <c r="N154" s="13" t="n">
        <v>41746</v>
      </c>
      <c r="O154" s="11" t="inlineStr">
        <is>
          <t>7 Bell Yard, London, London</t>
        </is>
      </c>
      <c r="P154" s="11" t="inlineStr">
        <is>
          <t>WC2A 2JR</t>
        </is>
      </c>
      <c r="Q154" s="11" t="inlineStr">
        <is>
          <t>No</t>
        </is>
      </c>
      <c r="W154" s="11" t="inlineStr">
        <is>
          <t>City of London School (EC4V 3AL)</t>
        </is>
      </c>
      <c r="X154" s="11" t="n">
        <v>15</v>
      </c>
      <c r="Y154" s="11" t="n"/>
      <c r="Z154" s="11" t="inlineStr">
        <is>
          <t>City of London School (EC4V 3AL)</t>
        </is>
      </c>
      <c r="AA154" s="11" t="n">
        <v>15</v>
      </c>
      <c r="AB154" s="14">
        <f>IFERROR(INDEX(Venues!$E$2:$E$17,MATCH(Z154,Venues!$A$2:$A$17,0)),"Not checked")</f>
        <v/>
      </c>
      <c r="AC154" s="14">
        <f>IFERROR(INDEX(Venues!$F$2:$F$17,MATCH(Z154,Venues!$A$2:$A$17,0)),0)</f>
        <v/>
      </c>
      <c r="AD154" s="15">
        <f>IFERROR(INDEX(Venues!$M$2:$M$17,MATCH(Z154,Venues!$A$2:$A$17,0)),"")</f>
        <v/>
      </c>
      <c r="AE154" s="14">
        <f>IFERROR(INDEX(Venues!$N$2:$N$17,MATCH(Z154,Venues!$A$2:$A$17,0)),"5-a-side")</f>
        <v/>
      </c>
      <c r="AF154" s="16">
        <f>IF(Offer!$C$4="","",Offer!$C$4)</f>
        <v/>
      </c>
      <c r="AG154" s="14">
        <f>Z154&amp;" ("&amp;AA154&amp;" min walk) · "&amp;IF(ISNUMBER(AD154),TEXT(AD154,"ddd d mmm, hh:mm"),"slot to confirm with venue")&amp;" · "&amp;AE154&amp;" · "&amp;IF(AF154&lt;&gt;"","£"&amp;TEXT(AF154,"0.00")&amp;" pp","price TBC")</f>
        <v/>
      </c>
      <c r="AH154" s="14">
        <f>IF(U154&lt;&gt;"",U154,IF(H154&lt;&gt;"",H154,""))</f>
        <v/>
      </c>
      <c r="AI154" s="14">
        <f>"After-work football for "&amp;F154&amp;" · "&amp;Z154&amp;", "&amp;AA154&amp;" min from your office"</f>
        <v/>
      </c>
      <c r="AJ154" s="14">
        <f>"Hi "&amp;IF(R154&lt;&gt;"",R154,F154&amp;" team")&amp;","&amp;CHAR(10)&amp;CHAR(10)&amp;"I'm "&amp;IF(AM154&lt;&gt;"",AM154,IF(Offer!$C$5&lt;&gt;"",Offer!$C$5,"[NAME]"))&amp;" from FC Urban. We organise after-work football for teams in the City and Canary Wharf."&amp;CHAR(10)&amp;CHAR(10)&amp;"We have a "&amp;AE154&amp;" pitch at "&amp;Z154&amp;", "&amp;IF(OR(AA154=8,AA154=11,AA154=18),"an ","a ")&amp;AA154&amp;"-minute walk from your "&amp;P154&amp;" office, "&amp;IF(ISNUMBER(AD154),"on "&amp;TEXT(AD154,"dddd d mmmm")&amp;" at "&amp;TEXT(AD154,"hh:mm"),"on a weekday evening that suits your team")&amp;". It's "&amp;IF(AF154&lt;&gt;"","£"&amp;IF(AF154=INT(AF154),TEXT(AF154,"0"),TEXT(AF154,"0.00")),"[PRICE PER PLAYER]")&amp;" a player and we handle the pitch booking, sign-ups and payments, so all it takes is one person sharing a link with the team."&amp;CHAR(10)&amp;CHAR(10)&amp;"It works well as a team social or "&amp;IF(ISNUMBER(SEARCH(LEFT(F154,1),"AEIOU")),"an ","a ")&amp;F154&amp;"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LINK]")&amp;CHAR(10)&amp;CHAR(10)&amp;"Best,"&amp;CHAR(10)&amp;IF(AM154&lt;&gt;"",AM154,IF(Offer!$C$5&lt;&gt;"",Offer!$C$5,"[NAME]"))&amp;CHAR(10)&amp;"FC Urban"</f>
        <v/>
      </c>
      <c r="AK154" s="14">
        <f>"Hi "&amp;IF(R154&lt;&gt;"",R154,F154&amp;" team")&amp;","&amp;CHAR(10)&amp;CHAR(10)&amp;"Just bumping this up. The "&amp;AE154&amp;" pitch at "&amp;Z154&amp;" is still free "&amp;IF(ISNUMBER(AD154),TEXT(AD154,"ddd d mmm")&amp;", "&amp;TEXT(AD154,"hh:mm"),"weekday evenings")&amp;", "&amp;IF(OR(AA154=8,AA154=11,AA154=18),"an ","a ")&amp;AA154&amp;"-minute walk from your office, "&amp;IF(AF154&lt;&gt;"","£"&amp;IF(AF154=INT(AF154),TEXT(AF154,"0"),TEXT(AF154,"0.00")),"[PRICE PER PLAYER]")&amp;" a player. Happy to hold it for "&amp;F154&amp;"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LINK]")&amp;CHAR(10)&amp;CHAR(10)&amp;"Best,"&amp;CHAR(10)&amp;IF(AM154&lt;&gt;"",AM154,IF(Offer!$C$5&lt;&gt;"",Offer!$C$5,"[NAME]"))&amp;CHAR(10)&amp;"FC Urban"</f>
        <v/>
      </c>
      <c r="AL154" s="14">
        <f>IF(AH154="","No email yet",IF(ISNUMBER(SEARCH("[",AJ154)),"Fill placeholders",IF(ISNUMBER(AD154),"Ready to send","Ready · no fixed slot")))</f>
        <v/>
      </c>
      <c r="AO154" s="17" t="n"/>
      <c r="AP154" s="17" t="n"/>
    </row>
    <row r="155">
      <c r="A155" s="11" t="n">
        <v>153</v>
      </c>
      <c r="B155" s="11" t="n">
        <v>2</v>
      </c>
      <c r="C155" s="11" t="inlineStr">
        <is>
          <t>Insurance / broker</t>
        </is>
      </c>
      <c r="D155" s="11" t="inlineStr">
        <is>
          <t>City of London</t>
        </is>
      </c>
      <c r="E155" s="11" t="inlineStr">
        <is>
          <t>Iris Insurance Brokers Limited</t>
        </is>
      </c>
      <c r="F155" s="11" t="inlineStr">
        <is>
          <t>Iris Insurance Brokers</t>
        </is>
      </c>
      <c r="G155" s="12" t="inlineStr">
        <is>
          <t>https://www.iris.co.uk</t>
        </is>
      </c>
      <c r="H155" s="11" t="inlineStr">
        <is>
          <t>support@iris.co.uk</t>
        </is>
      </c>
      <c r="I155" s="11" t="inlineStr">
        <is>
          <t>role (other)</t>
        </is>
      </c>
      <c r="J155" s="12" t="inlineStr">
        <is>
          <t>Open page</t>
        </is>
      </c>
      <c r="K155" s="11" t="inlineStr">
        <is>
          <t>04072404</t>
        </is>
      </c>
      <c r="L155" s="12" t="inlineStr">
        <is>
          <t>Open</t>
        </is>
      </c>
      <c r="M155" s="11" t="inlineStr">
        <is>
          <t>Group</t>
        </is>
      </c>
      <c r="N155" s="13" t="n">
        <v>36784</v>
      </c>
      <c r="O155" s="11" t="inlineStr">
        <is>
          <t>33 Exchequer Court, St. Mary Axe, London</t>
        </is>
      </c>
      <c r="P155" s="11" t="inlineStr">
        <is>
          <t>EC3A 8AA</t>
        </is>
      </c>
      <c r="Q155" s="11" t="inlineStr">
        <is>
          <t>Yes</t>
        </is>
      </c>
      <c r="W155" s="11" t="inlineStr">
        <is>
          <t>Liverpool St - Attlee Centre</t>
        </is>
      </c>
      <c r="X155" s="11" t="n">
        <v>10</v>
      </c>
      <c r="Y155" s="11" t="inlineStr">
        <is>
          <t>Shoreditch Powerleague (15.5)</t>
        </is>
      </c>
      <c r="Z155" s="11" t="inlineStr">
        <is>
          <t>Shoreditch Powerleague</t>
        </is>
      </c>
      <c r="AA155" s="11" t="n">
        <v>16</v>
      </c>
      <c r="AB155" s="14">
        <f>IFERROR(INDEX(Venues!$E$2:$E$17,MATCH(Z155,Venues!$A$2:$A$17,0)),"Not checked")</f>
        <v/>
      </c>
      <c r="AC155" s="14">
        <f>IFERROR(INDEX(Venues!$F$2:$F$17,MATCH(Z155,Venues!$A$2:$A$17,0)),0)</f>
        <v/>
      </c>
      <c r="AD155" s="15">
        <f>IFERROR(INDEX(Venues!$M$2:$M$17,MATCH(Z155,Venues!$A$2:$A$17,0)),"")</f>
        <v/>
      </c>
      <c r="AE155" s="14">
        <f>IFERROR(INDEX(Venues!$N$2:$N$17,MATCH(Z155,Venues!$A$2:$A$17,0)),"5-a-side")</f>
        <v/>
      </c>
      <c r="AF155" s="16">
        <f>IF(Offer!$C$4="","",Offer!$C$4)</f>
        <v/>
      </c>
      <c r="AG155" s="14">
        <f>Z155&amp;" ("&amp;AA155&amp;" min walk) · "&amp;IF(ISNUMBER(AD155),TEXT(AD155,"ddd d mmm, hh:mm"),"slot to confirm with venue")&amp;" · "&amp;AE155&amp;" · "&amp;IF(AF155&lt;&gt;"","£"&amp;TEXT(AF155,"0.00")&amp;" pp","price TBC")</f>
        <v/>
      </c>
      <c r="AH155" s="14">
        <f>IF(U155&lt;&gt;"",U155,IF(H155&lt;&gt;"",H155,""))</f>
        <v/>
      </c>
      <c r="AI155" s="14">
        <f>"After-work football for "&amp;F155&amp;" · "&amp;Z155&amp;", "&amp;AA155&amp;" min from your office"</f>
        <v/>
      </c>
      <c r="AJ155" s="14">
        <f>"Hi "&amp;IF(R155&lt;&gt;"",R155,F155&amp;" team")&amp;","&amp;CHAR(10)&amp;CHAR(10)&amp;"I'm "&amp;IF(AM155&lt;&gt;"",AM155,IF(Offer!$C$5&lt;&gt;"",Offer!$C$5,"[NAME]"))&amp;" from FC Urban. We organise after-work football for teams in the City and Canary Wharf."&amp;CHAR(10)&amp;CHAR(10)&amp;"We have a "&amp;AE155&amp;" pitch at "&amp;Z155&amp;", "&amp;IF(OR(AA155=8,AA155=11,AA155=18),"an ","a ")&amp;AA155&amp;"-minute walk from your "&amp;P155&amp;" office, "&amp;IF(ISNUMBER(AD155),"on "&amp;TEXT(AD155,"dddd d mmmm")&amp;" at "&amp;TEXT(AD155,"hh:mm"),"on a weekday evening that suits your team")&amp;". It's "&amp;IF(AF155&lt;&gt;"","£"&amp;IF(AF155=INT(AF155),TEXT(AF155,"0"),TEXT(AF155,"0.00")),"[PRICE PER PLAYER]")&amp;" a player and we handle the pitch booking, sign-ups and payments, so all it takes is one person sharing a link with the team."&amp;CHAR(10)&amp;CHAR(10)&amp;"It works well as a team social or "&amp;IF(ISNUMBER(SEARCH(LEFT(F155,1),"AEIOU")),"an ","a ")&amp;F155&amp;"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LINK]")&amp;CHAR(10)&amp;CHAR(10)&amp;"Best,"&amp;CHAR(10)&amp;IF(AM155&lt;&gt;"",AM155,IF(Offer!$C$5&lt;&gt;"",Offer!$C$5,"[NAME]"))&amp;CHAR(10)&amp;"FC Urban"</f>
        <v/>
      </c>
      <c r="AK155" s="14">
        <f>"Hi "&amp;IF(R155&lt;&gt;"",R155,F155&amp;" team")&amp;","&amp;CHAR(10)&amp;CHAR(10)&amp;"Just bumping this up. The "&amp;AE155&amp;" pitch at "&amp;Z155&amp;" is still free "&amp;IF(ISNUMBER(AD155),TEXT(AD155,"ddd d mmm")&amp;", "&amp;TEXT(AD155,"hh:mm"),"weekday evenings")&amp;", "&amp;IF(OR(AA155=8,AA155=11,AA155=18),"an ","a ")&amp;AA155&amp;"-minute walk from your office, "&amp;IF(AF155&lt;&gt;"","£"&amp;IF(AF155=INT(AF155),TEXT(AF155,"0"),TEXT(AF155,"0.00")),"[PRICE PER PLAYER]")&amp;" a player. Happy to hold it for "&amp;F155&amp;"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LINK]")&amp;CHAR(10)&amp;CHAR(10)&amp;"Best,"&amp;CHAR(10)&amp;IF(AM155&lt;&gt;"",AM155,IF(Offer!$C$5&lt;&gt;"",Offer!$C$5,"[NAME]"))&amp;CHAR(10)&amp;"FC Urban"</f>
        <v/>
      </c>
      <c r="AL155" s="14">
        <f>IF(AH155="","No email yet",IF(ISNUMBER(SEARCH("[",AJ155)),"Fill placeholders",IF(ISNUMBER(AD155),"Ready to send","Ready · no fixed slot")))</f>
        <v/>
      </c>
      <c r="AO155" s="17" t="n"/>
      <c r="AP155" s="17" t="n"/>
    </row>
    <row r="156">
      <c r="A156" s="11" t="n">
        <v>154</v>
      </c>
      <c r="B156" s="11" t="n">
        <v>2</v>
      </c>
      <c r="C156" s="11" t="inlineStr">
        <is>
          <t>Fund / asset manager</t>
        </is>
      </c>
      <c r="D156" s="11" t="inlineStr">
        <is>
          <t>City of London</t>
        </is>
      </c>
      <c r="E156" s="11" t="inlineStr">
        <is>
          <t>Stockdale Street Limited</t>
        </is>
      </c>
      <c r="F156" s="11" t="inlineStr">
        <is>
          <t>Stockdale Street</t>
        </is>
      </c>
      <c r="G156" s="12" t="inlineStr">
        <is>
          <t>https://www.stockdalestreet.co.uk</t>
        </is>
      </c>
      <c r="H156" s="11" t="inlineStr">
        <is>
          <t>info@stockdalestreet.co.uk</t>
        </is>
      </c>
      <c r="I156" s="11" t="inlineStr">
        <is>
          <t>general</t>
        </is>
      </c>
      <c r="J156" s="12" t="inlineStr">
        <is>
          <t>Open page</t>
        </is>
      </c>
      <c r="K156" s="11" t="inlineStr">
        <is>
          <t>04481271</t>
        </is>
      </c>
      <c r="L156" s="12" t="inlineStr">
        <is>
          <t>Open</t>
        </is>
      </c>
      <c r="M156" s="11" t="inlineStr">
        <is>
          <t>Group</t>
        </is>
      </c>
      <c r="N156" s="13" t="n">
        <v>37446</v>
      </c>
      <c r="O156" s="11" t="inlineStr">
        <is>
          <t>1 Charterhouse Street, London</t>
        </is>
      </c>
      <c r="P156" s="11" t="inlineStr">
        <is>
          <t>EC1N 6SA</t>
        </is>
      </c>
      <c r="Q156" s="11" t="inlineStr">
        <is>
          <t>Yes</t>
        </is>
      </c>
      <c r="W156" s="11" t="inlineStr">
        <is>
          <t>City of London School (EC4V 3AL)</t>
        </is>
      </c>
      <c r="X156" s="11" t="n">
        <v>16</v>
      </c>
      <c r="Y156" s="11" t="n"/>
      <c r="Z156" s="11" t="inlineStr">
        <is>
          <t>City of London School (EC4V 3AL)</t>
        </is>
      </c>
      <c r="AA156" s="11" t="n">
        <v>16</v>
      </c>
      <c r="AB156" s="14">
        <f>IFERROR(INDEX(Venues!$E$2:$E$17,MATCH(Z156,Venues!$A$2:$A$17,0)),"Not checked")</f>
        <v/>
      </c>
      <c r="AC156" s="14">
        <f>IFERROR(INDEX(Venues!$F$2:$F$17,MATCH(Z156,Venues!$A$2:$A$17,0)),0)</f>
        <v/>
      </c>
      <c r="AD156" s="15">
        <f>IFERROR(INDEX(Venues!$M$2:$M$17,MATCH(Z156,Venues!$A$2:$A$17,0)),"")</f>
        <v/>
      </c>
      <c r="AE156" s="14">
        <f>IFERROR(INDEX(Venues!$N$2:$N$17,MATCH(Z156,Venues!$A$2:$A$17,0)),"5-a-side")</f>
        <v/>
      </c>
      <c r="AF156" s="16">
        <f>IF(Offer!$C$4="","",Offer!$C$4)</f>
        <v/>
      </c>
      <c r="AG156" s="14">
        <f>Z156&amp;" ("&amp;AA156&amp;" min walk) · "&amp;IF(ISNUMBER(AD156),TEXT(AD156,"ddd d mmm, hh:mm"),"slot to confirm with venue")&amp;" · "&amp;AE156&amp;" · "&amp;IF(AF156&lt;&gt;"","£"&amp;TEXT(AF156,"0.00")&amp;" pp","price TBC")</f>
        <v/>
      </c>
      <c r="AH156" s="14">
        <f>IF(U156&lt;&gt;"",U156,IF(H156&lt;&gt;"",H156,""))</f>
        <v/>
      </c>
      <c r="AI156" s="14">
        <f>"After-work football for "&amp;F156&amp;" · "&amp;Z156&amp;", "&amp;AA156&amp;" min from your office"</f>
        <v/>
      </c>
      <c r="AJ156" s="14">
        <f>"Hi "&amp;IF(R156&lt;&gt;"",R156,F156&amp;" team")&amp;","&amp;CHAR(10)&amp;CHAR(10)&amp;"I'm "&amp;IF(AM156&lt;&gt;"",AM156,IF(Offer!$C$5&lt;&gt;"",Offer!$C$5,"[NAME]"))&amp;" from FC Urban. We organise after-work football for teams in the City and Canary Wharf."&amp;CHAR(10)&amp;CHAR(10)&amp;"We have a "&amp;AE156&amp;" pitch at "&amp;Z156&amp;", "&amp;IF(OR(AA156=8,AA156=11,AA156=18),"an ","a ")&amp;AA156&amp;"-minute walk from your "&amp;P156&amp;" office, "&amp;IF(ISNUMBER(AD156),"on "&amp;TEXT(AD156,"dddd d mmmm")&amp;" at "&amp;TEXT(AD156,"hh:mm"),"on a weekday evening that suits your team")&amp;". It's "&amp;IF(AF156&lt;&gt;"","£"&amp;IF(AF156=INT(AF156),TEXT(AF156,"0"),TEXT(AF156,"0.00")),"[PRICE PER PLAYER]")&amp;" a player and we handle the pitch booking, sign-ups and payments, so all it takes is one person sharing a link with the team."&amp;CHAR(10)&amp;CHAR(10)&amp;"It works well as a team social or "&amp;IF(ISNUMBER(SEARCH(LEFT(F156,1),"AEIOU")),"an ","a ")&amp;F156&amp;"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LINK]")&amp;CHAR(10)&amp;CHAR(10)&amp;"Best,"&amp;CHAR(10)&amp;IF(AM156&lt;&gt;"",AM156,IF(Offer!$C$5&lt;&gt;"",Offer!$C$5,"[NAME]"))&amp;CHAR(10)&amp;"FC Urban"</f>
        <v/>
      </c>
      <c r="AK156" s="14">
        <f>"Hi "&amp;IF(R156&lt;&gt;"",R156,F156&amp;" team")&amp;","&amp;CHAR(10)&amp;CHAR(10)&amp;"Just bumping this up. The "&amp;AE156&amp;" pitch at "&amp;Z156&amp;" is still free "&amp;IF(ISNUMBER(AD156),TEXT(AD156,"ddd d mmm")&amp;", "&amp;TEXT(AD156,"hh:mm"),"weekday evenings")&amp;", "&amp;IF(OR(AA156=8,AA156=11,AA156=18),"an ","a ")&amp;AA156&amp;"-minute walk from your office, "&amp;IF(AF156&lt;&gt;"","£"&amp;IF(AF156=INT(AF156),TEXT(AF156,"0"),TEXT(AF156,"0.00")),"[PRICE PER PLAYER]")&amp;" a player. Happy to hold it for "&amp;F156&amp;"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LINK]")&amp;CHAR(10)&amp;CHAR(10)&amp;"Best,"&amp;CHAR(10)&amp;IF(AM156&lt;&gt;"",AM156,IF(Offer!$C$5&lt;&gt;"",Offer!$C$5,"[NAME]"))&amp;CHAR(10)&amp;"FC Urban"</f>
        <v/>
      </c>
      <c r="AL156" s="14">
        <f>IF(AH156="","No email yet",IF(ISNUMBER(SEARCH("[",AJ156)),"Fill placeholders",IF(ISNUMBER(AD156),"Ready to send","Ready · no fixed slot")))</f>
        <v/>
      </c>
      <c r="AO156" s="17" t="n"/>
      <c r="AP156" s="17" t="n"/>
    </row>
    <row r="157">
      <c r="A157" s="11" t="n">
        <v>155</v>
      </c>
      <c r="B157" s="11" t="n">
        <v>2</v>
      </c>
      <c r="C157" s="11" t="inlineStr">
        <is>
          <t>Fund / asset manager</t>
        </is>
      </c>
      <c r="D157" s="11" t="inlineStr">
        <is>
          <t>City of London</t>
        </is>
      </c>
      <c r="E157" s="11" t="inlineStr">
        <is>
          <t>TT International Asset Management Ltd</t>
        </is>
      </c>
      <c r="F157" s="11" t="inlineStr">
        <is>
          <t>TT International Asset Management</t>
        </is>
      </c>
      <c r="G157" s="11" t="n"/>
      <c r="H157" s="11" t="inlineStr">
        <is>
          <t>info@ttint.com</t>
        </is>
      </c>
      <c r="I157" s="11" t="inlineStr">
        <is>
          <t>general</t>
        </is>
      </c>
      <c r="J157" s="12" t="inlineStr">
        <is>
          <t>Open page</t>
        </is>
      </c>
      <c r="K157" s="11" t="inlineStr">
        <is>
          <t>12093921</t>
        </is>
      </c>
      <c r="L157" s="12" t="inlineStr">
        <is>
          <t>Open</t>
        </is>
      </c>
      <c r="M157" s="11" t="inlineStr">
        <is>
          <t>Group</t>
        </is>
      </c>
      <c r="N157" s="13" t="n">
        <v>43655</v>
      </c>
      <c r="O157" s="11" t="inlineStr">
        <is>
          <t>62 Threadneedle Street, London</t>
        </is>
      </c>
      <c r="P157" s="11" t="inlineStr">
        <is>
          <t>EC2R 8HP</t>
        </is>
      </c>
      <c r="Q157" s="11" t="inlineStr">
        <is>
          <t>Yes</t>
        </is>
      </c>
      <c r="W157" s="11" t="inlineStr">
        <is>
          <t>City of London School (EC4V 3AL)</t>
        </is>
      </c>
      <c r="X157" s="11" t="n">
        <v>16</v>
      </c>
      <c r="Y157" s="11" t="inlineStr">
        <is>
          <t>Liverpool St - Attlee Centre (16.7)</t>
        </is>
      </c>
      <c r="Z157" s="11" t="inlineStr">
        <is>
          <t>City of London School (EC4V 3AL)</t>
        </is>
      </c>
      <c r="AA157" s="11" t="n">
        <v>16</v>
      </c>
      <c r="AB157" s="14">
        <f>IFERROR(INDEX(Venues!$E$2:$E$17,MATCH(Z157,Venues!$A$2:$A$17,0)),"Not checked")</f>
        <v/>
      </c>
      <c r="AC157" s="14">
        <f>IFERROR(INDEX(Venues!$F$2:$F$17,MATCH(Z157,Venues!$A$2:$A$17,0)),0)</f>
        <v/>
      </c>
      <c r="AD157" s="15">
        <f>IFERROR(INDEX(Venues!$M$2:$M$17,MATCH(Z157,Venues!$A$2:$A$17,0)),"")</f>
        <v/>
      </c>
      <c r="AE157" s="14">
        <f>IFERROR(INDEX(Venues!$N$2:$N$17,MATCH(Z157,Venues!$A$2:$A$17,0)),"5-a-side")</f>
        <v/>
      </c>
      <c r="AF157" s="16">
        <f>IF(Offer!$C$4="","",Offer!$C$4)</f>
        <v/>
      </c>
      <c r="AG157" s="14">
        <f>Z157&amp;" ("&amp;AA157&amp;" min walk) · "&amp;IF(ISNUMBER(AD157),TEXT(AD157,"ddd d mmm, hh:mm"),"slot to confirm with venue")&amp;" · "&amp;AE157&amp;" · "&amp;IF(AF157&lt;&gt;"","£"&amp;TEXT(AF157,"0.00")&amp;" pp","price TBC")</f>
        <v/>
      </c>
      <c r="AH157" s="14">
        <f>IF(U157&lt;&gt;"",U157,IF(H157&lt;&gt;"",H157,""))</f>
        <v/>
      </c>
      <c r="AI157" s="14">
        <f>"After-work football for "&amp;F157&amp;" · "&amp;Z157&amp;", "&amp;AA157&amp;" min from your office"</f>
        <v/>
      </c>
      <c r="AJ157" s="14">
        <f>"Hi "&amp;IF(R157&lt;&gt;"",R157,F157&amp;" team")&amp;","&amp;CHAR(10)&amp;CHAR(10)&amp;"I'm "&amp;IF(AM157&lt;&gt;"",AM157,IF(Offer!$C$5&lt;&gt;"",Offer!$C$5,"[NAME]"))&amp;" from FC Urban. We organise after-work football for teams in the City and Canary Wharf."&amp;CHAR(10)&amp;CHAR(10)&amp;"We have a "&amp;AE157&amp;" pitch at "&amp;Z157&amp;", "&amp;IF(OR(AA157=8,AA157=11,AA157=18),"an ","a ")&amp;AA157&amp;"-minute walk from your "&amp;P157&amp;" office, "&amp;IF(ISNUMBER(AD157),"on "&amp;TEXT(AD157,"dddd d mmmm")&amp;" at "&amp;TEXT(AD157,"hh:mm"),"on a weekday evening that suits your team")&amp;". It's "&amp;IF(AF157&lt;&gt;"","£"&amp;IF(AF157=INT(AF157),TEXT(AF157,"0"),TEXT(AF157,"0.00")),"[PRICE PER PLAYER]")&amp;" a player and we handle the pitch booking, sign-ups and payments, so all it takes is one person sharing a link with the team."&amp;CHAR(10)&amp;CHAR(10)&amp;"It works well as a team social or "&amp;IF(ISNUMBER(SEARCH(LEFT(F157,1),"AEIOU")),"an ","a ")&amp;F157&amp;"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LINK]")&amp;CHAR(10)&amp;CHAR(10)&amp;"Best,"&amp;CHAR(10)&amp;IF(AM157&lt;&gt;"",AM157,IF(Offer!$C$5&lt;&gt;"",Offer!$C$5,"[NAME]"))&amp;CHAR(10)&amp;"FC Urban"</f>
        <v/>
      </c>
      <c r="AK157" s="14">
        <f>"Hi "&amp;IF(R157&lt;&gt;"",R157,F157&amp;" team")&amp;","&amp;CHAR(10)&amp;CHAR(10)&amp;"Just bumping this up. The "&amp;AE157&amp;" pitch at "&amp;Z157&amp;" is still free "&amp;IF(ISNUMBER(AD157),TEXT(AD157,"ddd d mmm")&amp;", "&amp;TEXT(AD157,"hh:mm"),"weekday evenings")&amp;", "&amp;IF(OR(AA157=8,AA157=11,AA157=18),"an ","a ")&amp;AA157&amp;"-minute walk from your office, "&amp;IF(AF157&lt;&gt;"","£"&amp;IF(AF157=INT(AF157),TEXT(AF157,"0"),TEXT(AF157,"0.00")),"[PRICE PER PLAYER]")&amp;" a player. Happy to hold it for "&amp;F157&amp;"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LINK]")&amp;CHAR(10)&amp;CHAR(10)&amp;"Best,"&amp;CHAR(10)&amp;IF(AM157&lt;&gt;"",AM157,IF(Offer!$C$5&lt;&gt;"",Offer!$C$5,"[NAME]"))&amp;CHAR(10)&amp;"FC Urban"</f>
        <v/>
      </c>
      <c r="AL157" s="14">
        <f>IF(AH157="","No email yet",IF(ISNUMBER(SEARCH("[",AJ157)),"Fill placeholders",IF(ISNUMBER(AD157),"Ready to send","Ready · no fixed slot")))</f>
        <v/>
      </c>
      <c r="AO157" s="17" t="n"/>
      <c r="AP157" s="17" t="n"/>
    </row>
    <row r="158">
      <c r="A158" s="11" t="n">
        <v>156</v>
      </c>
      <c r="B158" s="11" t="n">
        <v>2</v>
      </c>
      <c r="C158" s="11" t="inlineStr">
        <is>
          <t>Fund / asset manager</t>
        </is>
      </c>
      <c r="D158" s="11" t="inlineStr">
        <is>
          <t>City of London</t>
        </is>
      </c>
      <c r="E158" s="11" t="inlineStr">
        <is>
          <t>Platina Partners LLP</t>
        </is>
      </c>
      <c r="F158" s="11" t="inlineStr">
        <is>
          <t>Platina Partners</t>
        </is>
      </c>
      <c r="G158" s="12" t="inlineStr">
        <is>
          <t>https://www.platina.com</t>
        </is>
      </c>
      <c r="H158" s="11" t="inlineStr">
        <is>
          <t>info@platina.com</t>
        </is>
      </c>
      <c r="I158" s="11" t="inlineStr">
        <is>
          <t>general</t>
        </is>
      </c>
      <c r="J158" s="12" t="inlineStr">
        <is>
          <t>Open page</t>
        </is>
      </c>
      <c r="K158" s="11" t="inlineStr">
        <is>
          <t>OC332872</t>
        </is>
      </c>
      <c r="L158" s="12" t="inlineStr">
        <is>
          <t>Open</t>
        </is>
      </c>
      <c r="M158" s="11" t="inlineStr">
        <is>
          <t>Group</t>
        </is>
      </c>
      <c r="N158" s="13" t="n">
        <v>39405</v>
      </c>
      <c r="O158" s="11" t="inlineStr">
        <is>
          <t>Dmh Stallard Llp, Fetter Yard, Barnards Inn, 86 Fetter Lane, London</t>
        </is>
      </c>
      <c r="P158" s="11" t="inlineStr">
        <is>
          <t>EC4A 1EN</t>
        </is>
      </c>
      <c r="Q158" s="11" t="inlineStr">
        <is>
          <t>No</t>
        </is>
      </c>
      <c r="W158" s="11" t="inlineStr">
        <is>
          <t>City of London School (EC4V 3AL)</t>
        </is>
      </c>
      <c r="X158" s="11" t="n">
        <v>16</v>
      </c>
      <c r="Y158" s="11" t="n"/>
      <c r="Z158" s="11" t="inlineStr">
        <is>
          <t>City of London School (EC4V 3AL)</t>
        </is>
      </c>
      <c r="AA158" s="11" t="n">
        <v>16</v>
      </c>
      <c r="AB158" s="14">
        <f>IFERROR(INDEX(Venues!$E$2:$E$17,MATCH(Z158,Venues!$A$2:$A$17,0)),"Not checked")</f>
        <v/>
      </c>
      <c r="AC158" s="14">
        <f>IFERROR(INDEX(Venues!$F$2:$F$17,MATCH(Z158,Venues!$A$2:$A$17,0)),0)</f>
        <v/>
      </c>
      <c r="AD158" s="15">
        <f>IFERROR(INDEX(Venues!$M$2:$M$17,MATCH(Z158,Venues!$A$2:$A$17,0)),"")</f>
        <v/>
      </c>
      <c r="AE158" s="14">
        <f>IFERROR(INDEX(Venues!$N$2:$N$17,MATCH(Z158,Venues!$A$2:$A$17,0)),"5-a-side")</f>
        <v/>
      </c>
      <c r="AF158" s="16">
        <f>IF(Offer!$C$4="","",Offer!$C$4)</f>
        <v/>
      </c>
      <c r="AG158" s="14">
        <f>Z158&amp;" ("&amp;AA158&amp;" min walk) · "&amp;IF(ISNUMBER(AD158),TEXT(AD158,"ddd d mmm, hh:mm"),"slot to confirm with venue")&amp;" · "&amp;AE158&amp;" · "&amp;IF(AF158&lt;&gt;"","£"&amp;TEXT(AF158,"0.00")&amp;" pp","price TBC")</f>
        <v/>
      </c>
      <c r="AH158" s="14">
        <f>IF(U158&lt;&gt;"",U158,IF(H158&lt;&gt;"",H158,""))</f>
        <v/>
      </c>
      <c r="AI158" s="14">
        <f>"After-work football for "&amp;F158&amp;" · "&amp;Z158&amp;", "&amp;AA158&amp;" min from your office"</f>
        <v/>
      </c>
      <c r="AJ158" s="14">
        <f>"Hi "&amp;IF(R158&lt;&gt;"",R158,F158&amp;" team")&amp;","&amp;CHAR(10)&amp;CHAR(10)&amp;"I'm "&amp;IF(AM158&lt;&gt;"",AM158,IF(Offer!$C$5&lt;&gt;"",Offer!$C$5,"[NAME]"))&amp;" from FC Urban. We organise after-work football for teams in the City and Canary Wharf."&amp;CHAR(10)&amp;CHAR(10)&amp;"We have a "&amp;AE158&amp;" pitch at "&amp;Z158&amp;", "&amp;IF(OR(AA158=8,AA158=11,AA158=18),"an ","a ")&amp;AA158&amp;"-minute walk from your "&amp;P158&amp;" office, "&amp;IF(ISNUMBER(AD158),"on "&amp;TEXT(AD158,"dddd d mmmm")&amp;" at "&amp;TEXT(AD158,"hh:mm"),"on a weekday evening that suits your team")&amp;". It's "&amp;IF(AF158&lt;&gt;"","£"&amp;IF(AF158=INT(AF158),TEXT(AF158,"0"),TEXT(AF158,"0.00")),"[PRICE PER PLAYER]")&amp;" a player and we handle the pitch booking, sign-ups and payments, so all it takes is one person sharing a link with the team."&amp;CHAR(10)&amp;CHAR(10)&amp;"It works well as a team social or "&amp;IF(ISNUMBER(SEARCH(LEFT(F158,1),"AEIOU")),"an ","a ")&amp;F158&amp;"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LINK]")&amp;CHAR(10)&amp;CHAR(10)&amp;"Best,"&amp;CHAR(10)&amp;IF(AM158&lt;&gt;"",AM158,IF(Offer!$C$5&lt;&gt;"",Offer!$C$5,"[NAME]"))&amp;CHAR(10)&amp;"FC Urban"</f>
        <v/>
      </c>
      <c r="AK158" s="14">
        <f>"Hi "&amp;IF(R158&lt;&gt;"",R158,F158&amp;" team")&amp;","&amp;CHAR(10)&amp;CHAR(10)&amp;"Just bumping this up. The "&amp;AE158&amp;" pitch at "&amp;Z158&amp;" is still free "&amp;IF(ISNUMBER(AD158),TEXT(AD158,"ddd d mmm")&amp;", "&amp;TEXT(AD158,"hh:mm"),"weekday evenings")&amp;", "&amp;IF(OR(AA158=8,AA158=11,AA158=18),"an ","a ")&amp;AA158&amp;"-minute walk from your office, "&amp;IF(AF158&lt;&gt;"","£"&amp;IF(AF158=INT(AF158),TEXT(AF158,"0"),TEXT(AF158,"0.00")),"[PRICE PER PLAYER]")&amp;" a player. Happy to hold it for "&amp;F158&amp;"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LINK]")&amp;CHAR(10)&amp;CHAR(10)&amp;"Best,"&amp;CHAR(10)&amp;IF(AM158&lt;&gt;"",AM158,IF(Offer!$C$5&lt;&gt;"",Offer!$C$5,"[NAME]"))&amp;CHAR(10)&amp;"FC Urban"</f>
        <v/>
      </c>
      <c r="AL158" s="14">
        <f>IF(AH158="","No email yet",IF(ISNUMBER(SEARCH("[",AJ158)),"Fill placeholders",IF(ISNUMBER(AD158),"Ready to send","Ready · no fixed slot")))</f>
        <v/>
      </c>
      <c r="AO158" s="17" t="n"/>
      <c r="AP158" s="17" t="n"/>
    </row>
    <row r="159">
      <c r="A159" s="11" t="n">
        <v>157</v>
      </c>
      <c r="B159" s="11" t="n">
        <v>2</v>
      </c>
      <c r="C159" s="11" t="inlineStr">
        <is>
          <t>Fund / asset manager</t>
        </is>
      </c>
      <c r="D159" s="11" t="inlineStr">
        <is>
          <t>City of London</t>
        </is>
      </c>
      <c r="E159" s="11" t="inlineStr">
        <is>
          <t>Apposite Capital LLP</t>
        </is>
      </c>
      <c r="F159" s="11" t="inlineStr">
        <is>
          <t>Apposite Capital</t>
        </is>
      </c>
      <c r="G159" s="12" t="inlineStr">
        <is>
          <t>https://appositecapital.com</t>
        </is>
      </c>
      <c r="H159" s="11" t="inlineStr">
        <is>
          <t>enquiry@appositecapital.com</t>
        </is>
      </c>
      <c r="I159" s="11" t="inlineStr">
        <is>
          <t>named person</t>
        </is>
      </c>
      <c r="J159" s="12" t="inlineStr">
        <is>
          <t>Open page</t>
        </is>
      </c>
      <c r="K159" s="11" t="inlineStr">
        <is>
          <t>OC318626</t>
        </is>
      </c>
      <c r="L159" s="12" t="inlineStr">
        <is>
          <t>Open</t>
        </is>
      </c>
      <c r="M159" s="11" t="inlineStr">
        <is>
          <t>Group</t>
        </is>
      </c>
      <c r="N159" s="13" t="n">
        <v>38799</v>
      </c>
      <c r="O159" s="11" t="inlineStr">
        <is>
          <t>89 Charterhouse Street, Second Floor, London</t>
        </is>
      </c>
      <c r="P159" s="11" t="inlineStr">
        <is>
          <t>EC1M 6HR</t>
        </is>
      </c>
      <c r="Q159" s="11" t="inlineStr">
        <is>
          <t>No</t>
        </is>
      </c>
      <c r="W159" s="11" t="inlineStr">
        <is>
          <t>Finsbury Leisure Centre (EC1V 3PU)</t>
        </is>
      </c>
      <c r="X159" s="11" t="n">
        <v>13</v>
      </c>
      <c r="Y159" s="11" t="inlineStr">
        <is>
          <t>Old St - Moreland Primary School (16.1); City of London School (EC4V 3AL) (16.5)</t>
        </is>
      </c>
      <c r="Z159" s="11" t="inlineStr">
        <is>
          <t>Old St - Moreland Primary School</t>
        </is>
      </c>
      <c r="AA159" s="11" t="n">
        <v>16</v>
      </c>
      <c r="AB159" s="14">
        <f>IFERROR(INDEX(Venues!$E$2:$E$17,MATCH(Z159,Venues!$A$2:$A$17,0)),"Not checked")</f>
        <v/>
      </c>
      <c r="AC159" s="14">
        <f>IFERROR(INDEX(Venues!$F$2:$F$17,MATCH(Z159,Venues!$A$2:$A$17,0)),0)</f>
        <v/>
      </c>
      <c r="AD159" s="15">
        <f>IFERROR(INDEX(Venues!$M$2:$M$17,MATCH(Z159,Venues!$A$2:$A$17,0)),"")</f>
        <v/>
      </c>
      <c r="AE159" s="14">
        <f>IFERROR(INDEX(Venues!$N$2:$N$17,MATCH(Z159,Venues!$A$2:$A$17,0)),"5-a-side")</f>
        <v/>
      </c>
      <c r="AF159" s="16">
        <f>IF(Offer!$C$4="","",Offer!$C$4)</f>
        <v/>
      </c>
      <c r="AG159" s="14">
        <f>Z159&amp;" ("&amp;AA159&amp;" min walk) · "&amp;IF(ISNUMBER(AD159),TEXT(AD159,"ddd d mmm, hh:mm"),"slot to confirm with venue")&amp;" · "&amp;AE159&amp;" · "&amp;IF(AF159&lt;&gt;"","£"&amp;TEXT(AF159,"0.00")&amp;" pp","price TBC")</f>
        <v/>
      </c>
      <c r="AH159" s="14">
        <f>IF(U159&lt;&gt;"",U159,IF(H159&lt;&gt;"",H159,""))</f>
        <v/>
      </c>
      <c r="AI159" s="14">
        <f>"After-work football for "&amp;F159&amp;" · "&amp;Z159&amp;", "&amp;AA159&amp;" min from your office"</f>
        <v/>
      </c>
      <c r="AJ159" s="14">
        <f>"Hi "&amp;IF(R159&lt;&gt;"",R159,F159&amp;" team")&amp;","&amp;CHAR(10)&amp;CHAR(10)&amp;"I'm "&amp;IF(AM159&lt;&gt;"",AM159,IF(Offer!$C$5&lt;&gt;"",Offer!$C$5,"[NAME]"))&amp;" from FC Urban. We organise after-work football for teams in the City and Canary Wharf."&amp;CHAR(10)&amp;CHAR(10)&amp;"We have a "&amp;AE159&amp;" pitch at "&amp;Z159&amp;", "&amp;IF(OR(AA159=8,AA159=11,AA159=18),"an ","a ")&amp;AA159&amp;"-minute walk from your "&amp;P159&amp;" office, "&amp;IF(ISNUMBER(AD159),"on "&amp;TEXT(AD159,"dddd d mmmm")&amp;" at "&amp;TEXT(AD159,"hh:mm"),"on a weekday evening that suits your team")&amp;". It's "&amp;IF(AF159&lt;&gt;"","£"&amp;IF(AF159=INT(AF159),TEXT(AF159,"0"),TEXT(AF159,"0.00")),"[PRICE PER PLAYER]")&amp;" a player and we handle the pitch booking, sign-ups and payments, so all it takes is one person sharing a link with the team."&amp;CHAR(10)&amp;CHAR(10)&amp;"It works well as a team social or "&amp;IF(ISNUMBER(SEARCH(LEFT(F159,1),"AEIOU")),"an ","a ")&amp;F159&amp;"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LINK]")&amp;CHAR(10)&amp;CHAR(10)&amp;"Best,"&amp;CHAR(10)&amp;IF(AM159&lt;&gt;"",AM159,IF(Offer!$C$5&lt;&gt;"",Offer!$C$5,"[NAME]"))&amp;CHAR(10)&amp;"FC Urban"</f>
        <v/>
      </c>
      <c r="AK159" s="14">
        <f>"Hi "&amp;IF(R159&lt;&gt;"",R159,F159&amp;" team")&amp;","&amp;CHAR(10)&amp;CHAR(10)&amp;"Just bumping this up. The "&amp;AE159&amp;" pitch at "&amp;Z159&amp;" is still free "&amp;IF(ISNUMBER(AD159),TEXT(AD159,"ddd d mmm")&amp;", "&amp;TEXT(AD159,"hh:mm"),"weekday evenings")&amp;", "&amp;IF(OR(AA159=8,AA159=11,AA159=18),"an ","a ")&amp;AA159&amp;"-minute walk from your office, "&amp;IF(AF159&lt;&gt;"","£"&amp;IF(AF159=INT(AF159),TEXT(AF159,"0"),TEXT(AF159,"0.00")),"[PRICE PER PLAYER]")&amp;" a player. Happy to hold it for "&amp;F159&amp;"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LINK]")&amp;CHAR(10)&amp;CHAR(10)&amp;"Best,"&amp;CHAR(10)&amp;IF(AM159&lt;&gt;"",AM159,IF(Offer!$C$5&lt;&gt;"",Offer!$C$5,"[NAME]"))&amp;CHAR(10)&amp;"FC Urban"</f>
        <v/>
      </c>
      <c r="AL159" s="14">
        <f>IF(AH159="","No email yet",IF(ISNUMBER(SEARCH("[",AJ159)),"Fill placeholders",IF(ISNUMBER(AD159),"Ready to send","Ready · no fixed slot")))</f>
        <v/>
      </c>
      <c r="AO159" s="17" t="n"/>
      <c r="AP159" s="17" t="n"/>
    </row>
    <row r="160">
      <c r="A160" s="11" t="n">
        <v>158</v>
      </c>
      <c r="B160" s="11" t="n">
        <v>2</v>
      </c>
      <c r="C160" s="11" t="inlineStr">
        <is>
          <t>Fund / asset manager</t>
        </is>
      </c>
      <c r="D160" s="11" t="inlineStr">
        <is>
          <t>City of London</t>
        </is>
      </c>
      <c r="E160" s="11" t="inlineStr">
        <is>
          <t>Montanaro Asset Management Limited</t>
        </is>
      </c>
      <c r="F160" s="11" t="inlineStr">
        <is>
          <t>Montanaro Asset Management</t>
        </is>
      </c>
      <c r="G160" s="12" t="inlineStr">
        <is>
          <t>https://montanaro.co.uk</t>
        </is>
      </c>
      <c r="H160" s="11" t="inlineStr">
        <is>
          <t>enquiries@montanaro.co.uk</t>
        </is>
      </c>
      <c r="I160" s="11" t="inlineStr">
        <is>
          <t>general</t>
        </is>
      </c>
      <c r="J160" s="12" t="inlineStr">
        <is>
          <t>Open page</t>
        </is>
      </c>
      <c r="K160" s="11" t="inlineStr">
        <is>
          <t>03246931</t>
        </is>
      </c>
      <c r="L160" s="12" t="inlineStr">
        <is>
          <t>Open</t>
        </is>
      </c>
      <c r="M160" s="11" t="inlineStr">
        <is>
          <t>Group</t>
        </is>
      </c>
      <c r="N160" s="13" t="n">
        <v>35314</v>
      </c>
      <c r="O160" s="11" t="inlineStr">
        <is>
          <t>53 Threadneedle Street, London</t>
        </is>
      </c>
      <c r="P160" s="11" t="inlineStr">
        <is>
          <t>EC2R 8AR</t>
        </is>
      </c>
      <c r="Q160" s="11" t="inlineStr">
        <is>
          <t>Yes</t>
        </is>
      </c>
      <c r="W160" s="11" t="inlineStr">
        <is>
          <t>Liverpool St - Attlee Centre</t>
        </is>
      </c>
      <c r="X160" s="11" t="n">
        <v>16</v>
      </c>
      <c r="Y160" s="11" t="inlineStr">
        <is>
          <t>City of London School (EC4V 3AL) (16.3)</t>
        </is>
      </c>
      <c r="Z160" s="11" t="inlineStr">
        <is>
          <t>City of London School (EC4V 3AL)</t>
        </is>
      </c>
      <c r="AA160" s="11" t="n">
        <v>16</v>
      </c>
      <c r="AB160" s="14">
        <f>IFERROR(INDEX(Venues!$E$2:$E$17,MATCH(Z160,Venues!$A$2:$A$17,0)),"Not checked")</f>
        <v/>
      </c>
      <c r="AC160" s="14">
        <f>IFERROR(INDEX(Venues!$F$2:$F$17,MATCH(Z160,Venues!$A$2:$A$17,0)),0)</f>
        <v/>
      </c>
      <c r="AD160" s="15">
        <f>IFERROR(INDEX(Venues!$M$2:$M$17,MATCH(Z160,Venues!$A$2:$A$17,0)),"")</f>
        <v/>
      </c>
      <c r="AE160" s="14">
        <f>IFERROR(INDEX(Venues!$N$2:$N$17,MATCH(Z160,Venues!$A$2:$A$17,0)),"5-a-side")</f>
        <v/>
      </c>
      <c r="AF160" s="16">
        <f>IF(Offer!$C$4="","",Offer!$C$4)</f>
        <v/>
      </c>
      <c r="AG160" s="14">
        <f>Z160&amp;" ("&amp;AA160&amp;" min walk) · "&amp;IF(ISNUMBER(AD160),TEXT(AD160,"ddd d mmm, hh:mm"),"slot to confirm with venue")&amp;" · "&amp;AE160&amp;" · "&amp;IF(AF160&lt;&gt;"","£"&amp;TEXT(AF160,"0.00")&amp;" pp","price TBC")</f>
        <v/>
      </c>
      <c r="AH160" s="14">
        <f>IF(U160&lt;&gt;"",U160,IF(H160&lt;&gt;"",H160,""))</f>
        <v/>
      </c>
      <c r="AI160" s="14">
        <f>"After-work football for "&amp;F160&amp;" · "&amp;Z160&amp;", "&amp;AA160&amp;" min from your office"</f>
        <v/>
      </c>
      <c r="AJ160" s="14">
        <f>"Hi "&amp;IF(R160&lt;&gt;"",R160,F160&amp;" team")&amp;","&amp;CHAR(10)&amp;CHAR(10)&amp;"I'm "&amp;IF(AM160&lt;&gt;"",AM160,IF(Offer!$C$5&lt;&gt;"",Offer!$C$5,"[NAME]"))&amp;" from FC Urban. We organise after-work football for teams in the City and Canary Wharf."&amp;CHAR(10)&amp;CHAR(10)&amp;"We have a "&amp;AE160&amp;" pitch at "&amp;Z160&amp;", "&amp;IF(OR(AA160=8,AA160=11,AA160=18),"an ","a ")&amp;AA160&amp;"-minute walk from your "&amp;P160&amp;" office, "&amp;IF(ISNUMBER(AD160),"on "&amp;TEXT(AD160,"dddd d mmmm")&amp;" at "&amp;TEXT(AD160,"hh:mm"),"on a weekday evening that suits your team")&amp;". It's "&amp;IF(AF160&lt;&gt;"","£"&amp;IF(AF160=INT(AF160),TEXT(AF160,"0"),TEXT(AF160,"0.00")),"[PRICE PER PLAYER]")&amp;" a player and we handle the pitch booking, sign-ups and payments, so all it takes is one person sharing a link with the team."&amp;CHAR(10)&amp;CHAR(10)&amp;"It works well as a team social or "&amp;IF(ISNUMBER(SEARCH(LEFT(F160,1),"AEIOU")),"an ","a ")&amp;F160&amp;"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LINK]")&amp;CHAR(10)&amp;CHAR(10)&amp;"Best,"&amp;CHAR(10)&amp;IF(AM160&lt;&gt;"",AM160,IF(Offer!$C$5&lt;&gt;"",Offer!$C$5,"[NAME]"))&amp;CHAR(10)&amp;"FC Urban"</f>
        <v/>
      </c>
      <c r="AK160" s="14">
        <f>"Hi "&amp;IF(R160&lt;&gt;"",R160,F160&amp;" team")&amp;","&amp;CHAR(10)&amp;CHAR(10)&amp;"Just bumping this up. The "&amp;AE160&amp;" pitch at "&amp;Z160&amp;" is still free "&amp;IF(ISNUMBER(AD160),TEXT(AD160,"ddd d mmm")&amp;", "&amp;TEXT(AD160,"hh:mm"),"weekday evenings")&amp;", "&amp;IF(OR(AA160=8,AA160=11,AA160=18),"an ","a ")&amp;AA160&amp;"-minute walk from your office, "&amp;IF(AF160&lt;&gt;"","£"&amp;IF(AF160=INT(AF160),TEXT(AF160,"0"),TEXT(AF160,"0.00")),"[PRICE PER PLAYER]")&amp;" a player. Happy to hold it for "&amp;F160&amp;"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LINK]")&amp;CHAR(10)&amp;CHAR(10)&amp;"Best,"&amp;CHAR(10)&amp;IF(AM160&lt;&gt;"",AM160,IF(Offer!$C$5&lt;&gt;"",Offer!$C$5,"[NAME]"))&amp;CHAR(10)&amp;"FC Urban"</f>
        <v/>
      </c>
      <c r="AL160" s="14">
        <f>IF(AH160="","No email yet",IF(ISNUMBER(SEARCH("[",AJ160)),"Fill placeholders",IF(ISNUMBER(AD160),"Ready to send","Ready · no fixed slot")))</f>
        <v/>
      </c>
      <c r="AO160" s="17" t="n"/>
      <c r="AP160" s="17" t="n"/>
    </row>
    <row r="161">
      <c r="A161" s="11" t="n">
        <v>159</v>
      </c>
      <c r="B161" s="11" t="n">
        <v>2</v>
      </c>
      <c r="C161" s="11" t="inlineStr">
        <is>
          <t>Insurance / broker</t>
        </is>
      </c>
      <c r="D161" s="11" t="inlineStr">
        <is>
          <t>City of London</t>
        </is>
      </c>
      <c r="E161" s="11" t="inlineStr">
        <is>
          <t>International Risk Solutions Limited</t>
        </is>
      </c>
      <c r="F161" s="11" t="inlineStr">
        <is>
          <t>International Risk Solutions</t>
        </is>
      </c>
      <c r="G161" s="12" t="inlineStr">
        <is>
          <t>https://risksolutions.com</t>
        </is>
      </c>
      <c r="H161" s="11" t="inlineStr">
        <is>
          <t>dh@risksolutions.com</t>
        </is>
      </c>
      <c r="I161" s="11" t="inlineStr">
        <is>
          <t>named person</t>
        </is>
      </c>
      <c r="J161" s="12" t="inlineStr">
        <is>
          <t>Open page</t>
        </is>
      </c>
      <c r="K161" s="11" t="inlineStr">
        <is>
          <t>03978143</t>
        </is>
      </c>
      <c r="L161" s="12" t="inlineStr">
        <is>
          <t>Open</t>
        </is>
      </c>
      <c r="M161" s="11" t="inlineStr">
        <is>
          <t>Group</t>
        </is>
      </c>
      <c r="N161" s="13" t="n">
        <v>36636</v>
      </c>
      <c r="O161" s="11" t="inlineStr">
        <is>
          <t>33 4Th Floor, Creechurch Lane, London</t>
        </is>
      </c>
      <c r="P161" s="11" t="inlineStr">
        <is>
          <t>EC3A 5EB</t>
        </is>
      </c>
      <c r="Q161" s="11" t="inlineStr">
        <is>
          <t>Yes</t>
        </is>
      </c>
      <c r="W161" s="11" t="inlineStr">
        <is>
          <t>Liverpool St - Attlee Centre</t>
        </is>
      </c>
      <c r="X161" s="11" t="n">
        <v>9</v>
      </c>
      <c r="Y161" s="11" t="inlineStr">
        <is>
          <t>Shoreditch Powerleague (16.4)</t>
        </is>
      </c>
      <c r="Z161" s="11" t="inlineStr">
        <is>
          <t>Shoreditch Powerleague</t>
        </is>
      </c>
      <c r="AA161" s="11" t="n">
        <v>16</v>
      </c>
      <c r="AB161" s="14">
        <f>IFERROR(INDEX(Venues!$E$2:$E$17,MATCH(Z161,Venues!$A$2:$A$17,0)),"Not checked")</f>
        <v/>
      </c>
      <c r="AC161" s="14">
        <f>IFERROR(INDEX(Venues!$F$2:$F$17,MATCH(Z161,Venues!$A$2:$A$17,0)),0)</f>
        <v/>
      </c>
      <c r="AD161" s="15">
        <f>IFERROR(INDEX(Venues!$M$2:$M$17,MATCH(Z161,Venues!$A$2:$A$17,0)),"")</f>
        <v/>
      </c>
      <c r="AE161" s="14">
        <f>IFERROR(INDEX(Venues!$N$2:$N$17,MATCH(Z161,Venues!$A$2:$A$17,0)),"5-a-side")</f>
        <v/>
      </c>
      <c r="AF161" s="16">
        <f>IF(Offer!$C$4="","",Offer!$C$4)</f>
        <v/>
      </c>
      <c r="AG161" s="14">
        <f>Z161&amp;" ("&amp;AA161&amp;" min walk) · "&amp;IF(ISNUMBER(AD161),TEXT(AD161,"ddd d mmm, hh:mm"),"slot to confirm with venue")&amp;" · "&amp;AE161&amp;" · "&amp;IF(AF161&lt;&gt;"","£"&amp;TEXT(AF161,"0.00")&amp;" pp","price TBC")</f>
        <v/>
      </c>
      <c r="AH161" s="14">
        <f>IF(U161&lt;&gt;"",U161,IF(H161&lt;&gt;"",H161,""))</f>
        <v/>
      </c>
      <c r="AI161" s="14">
        <f>"After-work football for "&amp;F161&amp;" · "&amp;Z161&amp;", "&amp;AA161&amp;" min from your office"</f>
        <v/>
      </c>
      <c r="AJ161" s="14">
        <f>"Hi "&amp;IF(R161&lt;&gt;"",R161,F161&amp;" team")&amp;","&amp;CHAR(10)&amp;CHAR(10)&amp;"I'm "&amp;IF(AM161&lt;&gt;"",AM161,IF(Offer!$C$5&lt;&gt;"",Offer!$C$5,"[NAME]"))&amp;" from FC Urban. We organise after-work football for teams in the City and Canary Wharf."&amp;CHAR(10)&amp;CHAR(10)&amp;"We have a "&amp;AE161&amp;" pitch at "&amp;Z161&amp;", "&amp;IF(OR(AA161=8,AA161=11,AA161=18),"an ","a ")&amp;AA161&amp;"-minute walk from your "&amp;P161&amp;" office, "&amp;IF(ISNUMBER(AD161),"on "&amp;TEXT(AD161,"dddd d mmmm")&amp;" at "&amp;TEXT(AD161,"hh:mm"),"on a weekday evening that suits your team")&amp;". It's "&amp;IF(AF161&lt;&gt;"","£"&amp;IF(AF161=INT(AF161),TEXT(AF161,"0"),TEXT(AF161,"0.00")),"[PRICE PER PLAYER]")&amp;" a player and we handle the pitch booking, sign-ups and payments, so all it takes is one person sharing a link with the team."&amp;CHAR(10)&amp;CHAR(10)&amp;"It works well as a team social or "&amp;IF(ISNUMBER(SEARCH(LEFT(F161,1),"AEIOU")),"an ","a ")&amp;F161&amp;"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LINK]")&amp;CHAR(10)&amp;CHAR(10)&amp;"Best,"&amp;CHAR(10)&amp;IF(AM161&lt;&gt;"",AM161,IF(Offer!$C$5&lt;&gt;"",Offer!$C$5,"[NAME]"))&amp;CHAR(10)&amp;"FC Urban"</f>
        <v/>
      </c>
      <c r="AK161" s="14">
        <f>"Hi "&amp;IF(R161&lt;&gt;"",R161,F161&amp;" team")&amp;","&amp;CHAR(10)&amp;CHAR(10)&amp;"Just bumping this up. The "&amp;AE161&amp;" pitch at "&amp;Z161&amp;" is still free "&amp;IF(ISNUMBER(AD161),TEXT(AD161,"ddd d mmm")&amp;", "&amp;TEXT(AD161,"hh:mm"),"weekday evenings")&amp;", "&amp;IF(OR(AA161=8,AA161=11,AA161=18),"an ","a ")&amp;AA161&amp;"-minute walk from your office, "&amp;IF(AF161&lt;&gt;"","£"&amp;IF(AF161=INT(AF161),TEXT(AF161,"0"),TEXT(AF161,"0.00")),"[PRICE PER PLAYER]")&amp;" a player. Happy to hold it for "&amp;F161&amp;"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LINK]")&amp;CHAR(10)&amp;CHAR(10)&amp;"Best,"&amp;CHAR(10)&amp;IF(AM161&lt;&gt;"",AM161,IF(Offer!$C$5&lt;&gt;"",Offer!$C$5,"[NAME]"))&amp;CHAR(10)&amp;"FC Urban"</f>
        <v/>
      </c>
      <c r="AL161" s="14">
        <f>IF(AH161="","No email yet",IF(ISNUMBER(SEARCH("[",AJ161)),"Fill placeholders",IF(ISNUMBER(AD161),"Ready to send","Ready · no fixed slot")))</f>
        <v/>
      </c>
      <c r="AO161" s="17" t="n"/>
      <c r="AP161" s="17" t="n"/>
    </row>
    <row r="162">
      <c r="A162" s="11" t="n">
        <v>160</v>
      </c>
      <c r="B162" s="11" t="n">
        <v>2</v>
      </c>
      <c r="C162" s="11" t="inlineStr">
        <is>
          <t>Fund / asset manager</t>
        </is>
      </c>
      <c r="D162" s="11" t="inlineStr">
        <is>
          <t>City of London</t>
        </is>
      </c>
      <c r="E162" s="11" t="inlineStr">
        <is>
          <t>Panmure Liberum Capital Limited</t>
        </is>
      </c>
      <c r="F162" s="11" t="inlineStr">
        <is>
          <t>Panmure Liberum Capital</t>
        </is>
      </c>
      <c r="G162" s="12" t="inlineStr">
        <is>
          <t>https://www.panmureliberum.com</t>
        </is>
      </c>
      <c r="H162" s="11" t="inlineStr">
        <is>
          <t>enquiries@panmureliberum.com</t>
        </is>
      </c>
      <c r="I162" s="11" t="inlineStr">
        <is>
          <t>general</t>
        </is>
      </c>
      <c r="J162" s="12" t="inlineStr">
        <is>
          <t>Open page</t>
        </is>
      </c>
      <c r="K162" s="11" t="inlineStr">
        <is>
          <t>05912554</t>
        </is>
      </c>
      <c r="L162" s="12" t="inlineStr">
        <is>
          <t>Open</t>
        </is>
      </c>
      <c r="M162" s="11" t="inlineStr">
        <is>
          <t>Group</t>
        </is>
      </c>
      <c r="N162" s="13" t="n">
        <v>38951</v>
      </c>
      <c r="O162" s="11" t="inlineStr">
        <is>
          <t>Ropemaker Place Level 12, 25 Ropemaker Street, London</t>
        </is>
      </c>
      <c r="P162" s="11" t="inlineStr">
        <is>
          <t>EC2Y 9LY</t>
        </is>
      </c>
      <c r="Q162" s="11" t="inlineStr">
        <is>
          <t>Yes</t>
        </is>
      </c>
      <c r="W162" s="11" t="inlineStr">
        <is>
          <t>Finsbury Leisure Centre (EC1V 3PU)</t>
        </is>
      </c>
      <c r="X162" s="11" t="n">
        <v>13</v>
      </c>
      <c r="Y162" s="11" t="inlineStr">
        <is>
          <t>Shoreditch Powerleague (16.4); Old St - Moreland Primary School (18.7)</t>
        </is>
      </c>
      <c r="Z162" s="11" t="inlineStr">
        <is>
          <t>Shoreditch Powerleague</t>
        </is>
      </c>
      <c r="AA162" s="11" t="n">
        <v>16</v>
      </c>
      <c r="AB162" s="14">
        <f>IFERROR(INDEX(Venues!$E$2:$E$17,MATCH(Z162,Venues!$A$2:$A$17,0)),"Not checked")</f>
        <v/>
      </c>
      <c r="AC162" s="14">
        <f>IFERROR(INDEX(Venues!$F$2:$F$17,MATCH(Z162,Venues!$A$2:$A$17,0)),0)</f>
        <v/>
      </c>
      <c r="AD162" s="15">
        <f>IFERROR(INDEX(Venues!$M$2:$M$17,MATCH(Z162,Venues!$A$2:$A$17,0)),"")</f>
        <v/>
      </c>
      <c r="AE162" s="14">
        <f>IFERROR(INDEX(Venues!$N$2:$N$17,MATCH(Z162,Venues!$A$2:$A$17,0)),"5-a-side")</f>
        <v/>
      </c>
      <c r="AF162" s="16">
        <f>IF(Offer!$C$4="","",Offer!$C$4)</f>
        <v/>
      </c>
      <c r="AG162" s="14">
        <f>Z162&amp;" ("&amp;AA162&amp;" min walk) · "&amp;IF(ISNUMBER(AD162),TEXT(AD162,"ddd d mmm, hh:mm"),"slot to confirm with venue")&amp;" · "&amp;AE162&amp;" · "&amp;IF(AF162&lt;&gt;"","£"&amp;TEXT(AF162,"0.00")&amp;" pp","price TBC")</f>
        <v/>
      </c>
      <c r="AH162" s="14">
        <f>IF(U162&lt;&gt;"",U162,IF(H162&lt;&gt;"",H162,""))</f>
        <v/>
      </c>
      <c r="AI162" s="14">
        <f>"After-work football for "&amp;F162&amp;" · "&amp;Z162&amp;", "&amp;AA162&amp;" min from your office"</f>
        <v/>
      </c>
      <c r="AJ162" s="14">
        <f>"Hi "&amp;IF(R162&lt;&gt;"",R162,F162&amp;" team")&amp;","&amp;CHAR(10)&amp;CHAR(10)&amp;"I'm "&amp;IF(AM162&lt;&gt;"",AM162,IF(Offer!$C$5&lt;&gt;"",Offer!$C$5,"[NAME]"))&amp;" from FC Urban. We organise after-work football for teams in the City and Canary Wharf."&amp;CHAR(10)&amp;CHAR(10)&amp;"We have a "&amp;AE162&amp;" pitch at "&amp;Z162&amp;", "&amp;IF(OR(AA162=8,AA162=11,AA162=18),"an ","a ")&amp;AA162&amp;"-minute walk from your "&amp;P162&amp;" office, "&amp;IF(ISNUMBER(AD162),"on "&amp;TEXT(AD162,"dddd d mmmm")&amp;" at "&amp;TEXT(AD162,"hh:mm"),"on a weekday evening that suits your team")&amp;". It's "&amp;IF(AF162&lt;&gt;"","£"&amp;IF(AF162=INT(AF162),TEXT(AF162,"0"),TEXT(AF162,"0.00")),"[PRICE PER PLAYER]")&amp;" a player and we handle the pitch booking, sign-ups and payments, so all it takes is one person sharing a link with the team."&amp;CHAR(10)&amp;CHAR(10)&amp;"It works well as a team social or "&amp;IF(ISNUMBER(SEARCH(LEFT(F162,1),"AEIOU")),"an ","a ")&amp;F162&amp;"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LINK]")&amp;CHAR(10)&amp;CHAR(10)&amp;"Best,"&amp;CHAR(10)&amp;IF(AM162&lt;&gt;"",AM162,IF(Offer!$C$5&lt;&gt;"",Offer!$C$5,"[NAME]"))&amp;CHAR(10)&amp;"FC Urban"</f>
        <v/>
      </c>
      <c r="AK162" s="14">
        <f>"Hi "&amp;IF(R162&lt;&gt;"",R162,F162&amp;" team")&amp;","&amp;CHAR(10)&amp;CHAR(10)&amp;"Just bumping this up. The "&amp;AE162&amp;" pitch at "&amp;Z162&amp;" is still free "&amp;IF(ISNUMBER(AD162),TEXT(AD162,"ddd d mmm")&amp;", "&amp;TEXT(AD162,"hh:mm"),"weekday evenings")&amp;", "&amp;IF(OR(AA162=8,AA162=11,AA162=18),"an ","a ")&amp;AA162&amp;"-minute walk from your office, "&amp;IF(AF162&lt;&gt;"","£"&amp;IF(AF162=INT(AF162),TEXT(AF162,"0"),TEXT(AF162,"0.00")),"[PRICE PER PLAYER]")&amp;" a player. Happy to hold it for "&amp;F162&amp;"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LINK]")&amp;CHAR(10)&amp;CHAR(10)&amp;"Best,"&amp;CHAR(10)&amp;IF(AM162&lt;&gt;"",AM162,IF(Offer!$C$5&lt;&gt;"",Offer!$C$5,"[NAME]"))&amp;CHAR(10)&amp;"FC Urban"</f>
        <v/>
      </c>
      <c r="AL162" s="14">
        <f>IF(AH162="","No email yet",IF(ISNUMBER(SEARCH("[",AJ162)),"Fill placeholders",IF(ISNUMBER(AD162),"Ready to send","Ready · no fixed slot")))</f>
        <v/>
      </c>
      <c r="AO162" s="17" t="n"/>
      <c r="AP162" s="17" t="n"/>
    </row>
    <row r="163">
      <c r="A163" s="11" t="n">
        <v>161</v>
      </c>
      <c r="B163" s="11" t="n">
        <v>2</v>
      </c>
      <c r="C163" s="11" t="inlineStr">
        <is>
          <t>Insurance / broker</t>
        </is>
      </c>
      <c r="D163" s="11" t="inlineStr">
        <is>
          <t>City of London</t>
        </is>
      </c>
      <c r="E163" s="11" t="inlineStr">
        <is>
          <t>Howden Group Holdings Limited</t>
        </is>
      </c>
      <c r="F163" s="11" t="inlineStr">
        <is>
          <t>Howden</t>
        </is>
      </c>
      <c r="G163" s="12" t="inlineStr">
        <is>
          <t>https://www.chartindustries.com</t>
        </is>
      </c>
      <c r="H163" s="11" t="inlineStr">
        <is>
          <t>paul.shields@chartindustries.com</t>
        </is>
      </c>
      <c r="I163" s="11" t="inlineStr">
        <is>
          <t>named person</t>
        </is>
      </c>
      <c r="J163" s="12" t="inlineStr">
        <is>
          <t>Open page</t>
        </is>
      </c>
      <c r="K163" s="11" t="inlineStr">
        <is>
          <t>02937398</t>
        </is>
      </c>
      <c r="L163" s="12" t="inlineStr">
        <is>
          <t>Open</t>
        </is>
      </c>
      <c r="M163" s="11" t="inlineStr">
        <is>
          <t>Group</t>
        </is>
      </c>
      <c r="N163" s="13" t="n">
        <v>34494</v>
      </c>
      <c r="O163" s="11" t="inlineStr">
        <is>
          <t>One Creechurch Place, London</t>
        </is>
      </c>
      <c r="P163" s="11" t="inlineStr">
        <is>
          <t>EC3A 5AF</t>
        </is>
      </c>
      <c r="Q163" s="11" t="inlineStr">
        <is>
          <t>No</t>
        </is>
      </c>
      <c r="W163" s="11" t="inlineStr">
        <is>
          <t>Liverpool St - Attlee Centre</t>
        </is>
      </c>
      <c r="X163" s="11" t="n">
        <v>9</v>
      </c>
      <c r="Y163" s="11" t="inlineStr">
        <is>
          <t>Shoreditch Powerleague (16.6)</t>
        </is>
      </c>
      <c r="Z163" s="11" t="inlineStr">
        <is>
          <t>Shoreditch Powerleague</t>
        </is>
      </c>
      <c r="AA163" s="11" t="n">
        <v>17</v>
      </c>
      <c r="AB163" s="14">
        <f>IFERROR(INDEX(Venues!$E$2:$E$17,MATCH(Z163,Venues!$A$2:$A$17,0)),"Not checked")</f>
        <v/>
      </c>
      <c r="AC163" s="14">
        <f>IFERROR(INDEX(Venues!$F$2:$F$17,MATCH(Z163,Venues!$A$2:$A$17,0)),0)</f>
        <v/>
      </c>
      <c r="AD163" s="15">
        <f>IFERROR(INDEX(Venues!$M$2:$M$17,MATCH(Z163,Venues!$A$2:$A$17,0)),"")</f>
        <v/>
      </c>
      <c r="AE163" s="14">
        <f>IFERROR(INDEX(Venues!$N$2:$N$17,MATCH(Z163,Venues!$A$2:$A$17,0)),"5-a-side")</f>
        <v/>
      </c>
      <c r="AF163" s="16">
        <f>IF(Offer!$C$4="","",Offer!$C$4)</f>
        <v/>
      </c>
      <c r="AG163" s="14">
        <f>Z163&amp;" ("&amp;AA163&amp;" min walk) · "&amp;IF(ISNUMBER(AD163),TEXT(AD163,"ddd d mmm, hh:mm"),"slot to confirm with venue")&amp;" · "&amp;AE163&amp;" · "&amp;IF(AF163&lt;&gt;"","£"&amp;TEXT(AF163,"0.00")&amp;" pp","price TBC")</f>
        <v/>
      </c>
      <c r="AH163" s="14">
        <f>IF(U163&lt;&gt;"",U163,IF(H163&lt;&gt;"",H163,""))</f>
        <v/>
      </c>
      <c r="AI163" s="14">
        <f>"After-work football for "&amp;F163&amp;" · "&amp;Z163&amp;", "&amp;AA163&amp;" min from your office"</f>
        <v/>
      </c>
      <c r="AJ163" s="14">
        <f>"Hi "&amp;IF(R163&lt;&gt;"",R163,F163&amp;" team")&amp;","&amp;CHAR(10)&amp;CHAR(10)&amp;"I'm "&amp;IF(AM163&lt;&gt;"",AM163,IF(Offer!$C$5&lt;&gt;"",Offer!$C$5,"[NAME]"))&amp;" from FC Urban. We organise after-work football for teams in the City and Canary Wharf."&amp;CHAR(10)&amp;CHAR(10)&amp;"We have a "&amp;AE163&amp;" pitch at "&amp;Z163&amp;", "&amp;IF(OR(AA163=8,AA163=11,AA163=18),"an ","a ")&amp;AA163&amp;"-minute walk from your "&amp;P163&amp;" office, "&amp;IF(ISNUMBER(AD163),"on "&amp;TEXT(AD163,"dddd d mmmm")&amp;" at "&amp;TEXT(AD163,"hh:mm"),"on a weekday evening that suits your team")&amp;". It's "&amp;IF(AF163&lt;&gt;"","£"&amp;IF(AF163=INT(AF163),TEXT(AF163,"0"),TEXT(AF163,"0.00")),"[PRICE PER PLAYER]")&amp;" a player and we handle the pitch booking, sign-ups and payments, so all it takes is one person sharing a link with the team."&amp;CHAR(10)&amp;CHAR(10)&amp;"It works well as a team social or "&amp;IF(ISNUMBER(SEARCH(LEFT(F163,1),"AEIOU")),"an ","a ")&amp;F163&amp;"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LINK]")&amp;CHAR(10)&amp;CHAR(10)&amp;"Best,"&amp;CHAR(10)&amp;IF(AM163&lt;&gt;"",AM163,IF(Offer!$C$5&lt;&gt;"",Offer!$C$5,"[NAME]"))&amp;CHAR(10)&amp;"FC Urban"</f>
        <v/>
      </c>
      <c r="AK163" s="14">
        <f>"Hi "&amp;IF(R163&lt;&gt;"",R163,F163&amp;" team")&amp;","&amp;CHAR(10)&amp;CHAR(10)&amp;"Just bumping this up. The "&amp;AE163&amp;" pitch at "&amp;Z163&amp;" is still free "&amp;IF(ISNUMBER(AD163),TEXT(AD163,"ddd d mmm")&amp;", "&amp;TEXT(AD163,"hh:mm"),"weekday evenings")&amp;", "&amp;IF(OR(AA163=8,AA163=11,AA163=18),"an ","a ")&amp;AA163&amp;"-minute walk from your office, "&amp;IF(AF163&lt;&gt;"","£"&amp;IF(AF163=INT(AF163),TEXT(AF163,"0"),TEXT(AF163,"0.00")),"[PRICE PER PLAYER]")&amp;" a player. Happy to hold it for "&amp;F163&amp;"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LINK]")&amp;CHAR(10)&amp;CHAR(10)&amp;"Best,"&amp;CHAR(10)&amp;IF(AM163&lt;&gt;"",AM163,IF(Offer!$C$5&lt;&gt;"",Offer!$C$5,"[NAME]"))&amp;CHAR(10)&amp;"FC Urban"</f>
        <v/>
      </c>
      <c r="AL163" s="14">
        <f>IF(AH163="","No email yet",IF(ISNUMBER(SEARCH("[",AJ163)),"Fill placeholders",IF(ISNUMBER(AD163),"Ready to send","Ready · no fixed slot")))</f>
        <v/>
      </c>
      <c r="AO163" s="17" t="n"/>
      <c r="AP163" s="17" t="n"/>
    </row>
    <row r="164">
      <c r="A164" s="11" t="n">
        <v>162</v>
      </c>
      <c r="B164" s="11" t="n">
        <v>2</v>
      </c>
      <c r="C164" s="11" t="inlineStr">
        <is>
          <t>Insurance / broker</t>
        </is>
      </c>
      <c r="D164" s="11" t="inlineStr">
        <is>
          <t>City of London</t>
        </is>
      </c>
      <c r="E164" s="11" t="inlineStr">
        <is>
          <t>Meacock Capital PLC</t>
        </is>
      </c>
      <c r="F164" s="11" t="inlineStr">
        <is>
          <t>Meacock Capital</t>
        </is>
      </c>
      <c r="G164" s="12" t="inlineStr">
        <is>
          <t>https://www.meacockcapital.co.uk</t>
        </is>
      </c>
      <c r="H164" s="11" t="n"/>
      <c r="I164" s="11" t="inlineStr">
        <is>
          <t>Not found</t>
        </is>
      </c>
      <c r="J164" s="11" t="n"/>
      <c r="K164" s="11" t="inlineStr">
        <is>
          <t>03600178</t>
        </is>
      </c>
      <c r="L164" s="12" t="inlineStr">
        <is>
          <t>Open</t>
        </is>
      </c>
      <c r="M164" s="11" t="inlineStr">
        <is>
          <t>Group</t>
        </is>
      </c>
      <c r="N164" s="13" t="n">
        <v>35990</v>
      </c>
      <c r="O164" s="11" t="inlineStr">
        <is>
          <t>Hasilwood House, 60 Bishopsgate, London</t>
        </is>
      </c>
      <c r="P164" s="11" t="inlineStr">
        <is>
          <t>EC2N 4AW</t>
        </is>
      </c>
      <c r="Q164" s="11" t="inlineStr">
        <is>
          <t>Yes</t>
        </is>
      </c>
      <c r="W164" s="11" t="inlineStr">
        <is>
          <t>Liverpool St - Attlee Centre</t>
        </is>
      </c>
      <c r="X164" s="11" t="n">
        <v>12</v>
      </c>
      <c r="Y164" s="11" t="inlineStr">
        <is>
          <t>Shoreditch Powerleague (16.6)</t>
        </is>
      </c>
      <c r="Z164" s="11" t="inlineStr">
        <is>
          <t>Shoreditch Powerleague</t>
        </is>
      </c>
      <c r="AA164" s="11" t="n">
        <v>17</v>
      </c>
      <c r="AB164" s="14">
        <f>IFERROR(INDEX(Venues!$E$2:$E$17,MATCH(Z164,Venues!$A$2:$A$17,0)),"Not checked")</f>
        <v/>
      </c>
      <c r="AC164" s="14">
        <f>IFERROR(INDEX(Venues!$F$2:$F$17,MATCH(Z164,Venues!$A$2:$A$17,0)),0)</f>
        <v/>
      </c>
      <c r="AD164" s="15">
        <f>IFERROR(INDEX(Venues!$M$2:$M$17,MATCH(Z164,Venues!$A$2:$A$17,0)),"")</f>
        <v/>
      </c>
      <c r="AE164" s="14">
        <f>IFERROR(INDEX(Venues!$N$2:$N$17,MATCH(Z164,Venues!$A$2:$A$17,0)),"5-a-side")</f>
        <v/>
      </c>
      <c r="AF164" s="16">
        <f>IF(Offer!$C$4="","",Offer!$C$4)</f>
        <v/>
      </c>
      <c r="AG164" s="14">
        <f>Z164&amp;" ("&amp;AA164&amp;" min walk) · "&amp;IF(ISNUMBER(AD164),TEXT(AD164,"ddd d mmm, hh:mm"),"slot to confirm with venue")&amp;" · "&amp;AE164&amp;" · "&amp;IF(AF164&lt;&gt;"","£"&amp;TEXT(AF164,"0.00")&amp;" pp","price TBC")</f>
        <v/>
      </c>
      <c r="AH164" s="14">
        <f>IF(U164&lt;&gt;"",U164,IF(H164&lt;&gt;"",H164,""))</f>
        <v/>
      </c>
      <c r="AI164" s="14">
        <f>"After-work football for "&amp;F164&amp;" · "&amp;Z164&amp;", "&amp;AA164&amp;" min from your office"</f>
        <v/>
      </c>
      <c r="AJ164" s="14">
        <f>"Hi "&amp;IF(R164&lt;&gt;"",R164,F164&amp;" team")&amp;","&amp;CHAR(10)&amp;CHAR(10)&amp;"I'm "&amp;IF(AM164&lt;&gt;"",AM164,IF(Offer!$C$5&lt;&gt;"",Offer!$C$5,"[NAME]"))&amp;" from FC Urban. We organise after-work football for teams in the City and Canary Wharf."&amp;CHAR(10)&amp;CHAR(10)&amp;"We have a "&amp;AE164&amp;" pitch at "&amp;Z164&amp;", "&amp;IF(OR(AA164=8,AA164=11,AA164=18),"an ","a ")&amp;AA164&amp;"-minute walk from your "&amp;P164&amp;" office, "&amp;IF(ISNUMBER(AD164),"on "&amp;TEXT(AD164,"dddd d mmmm")&amp;" at "&amp;TEXT(AD164,"hh:mm"),"on a weekday evening that suits your team")&amp;". It's "&amp;IF(AF164&lt;&gt;"","£"&amp;IF(AF164=INT(AF164),TEXT(AF164,"0"),TEXT(AF164,"0.00")),"[PRICE PER PLAYER]")&amp;" a player and we handle the pitch booking, sign-ups and payments, so all it takes is one person sharing a link with the team."&amp;CHAR(10)&amp;CHAR(10)&amp;"It works well as a team social or "&amp;IF(ISNUMBER(SEARCH(LEFT(F164,1),"AEIOU")),"an ","a ")&amp;F164&amp;"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LINK]")&amp;CHAR(10)&amp;CHAR(10)&amp;"Best,"&amp;CHAR(10)&amp;IF(AM164&lt;&gt;"",AM164,IF(Offer!$C$5&lt;&gt;"",Offer!$C$5,"[NAME]"))&amp;CHAR(10)&amp;"FC Urban"</f>
        <v/>
      </c>
      <c r="AK164" s="14">
        <f>"Hi "&amp;IF(R164&lt;&gt;"",R164,F164&amp;" team")&amp;","&amp;CHAR(10)&amp;CHAR(10)&amp;"Just bumping this up. The "&amp;AE164&amp;" pitch at "&amp;Z164&amp;" is still free "&amp;IF(ISNUMBER(AD164),TEXT(AD164,"ddd d mmm")&amp;", "&amp;TEXT(AD164,"hh:mm"),"weekday evenings")&amp;", "&amp;IF(OR(AA164=8,AA164=11,AA164=18),"an ","a ")&amp;AA164&amp;"-minute walk from your office, "&amp;IF(AF164&lt;&gt;"","£"&amp;IF(AF164=INT(AF164),TEXT(AF164,"0"),TEXT(AF164,"0.00")),"[PRICE PER PLAYER]")&amp;" a player. Happy to hold it for "&amp;F164&amp;"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LINK]")&amp;CHAR(10)&amp;CHAR(10)&amp;"Best,"&amp;CHAR(10)&amp;IF(AM164&lt;&gt;"",AM164,IF(Offer!$C$5&lt;&gt;"",Offer!$C$5,"[NAME]"))&amp;CHAR(10)&amp;"FC Urban"</f>
        <v/>
      </c>
      <c r="AL164" s="14">
        <f>IF(AH164="","No email yet",IF(ISNUMBER(SEARCH("[",AJ164)),"Fill placeholders",IF(ISNUMBER(AD164),"Ready to send","Ready · no fixed slot")))</f>
        <v/>
      </c>
      <c r="AO164" s="17" t="n"/>
      <c r="AP164" s="17" t="n"/>
    </row>
    <row r="165">
      <c r="A165" s="11" t="n">
        <v>163</v>
      </c>
      <c r="B165" s="11" t="n">
        <v>2</v>
      </c>
      <c r="C165" s="11" t="inlineStr">
        <is>
          <t>Fund / asset manager</t>
        </is>
      </c>
      <c r="D165" s="11" t="inlineStr">
        <is>
          <t>City of London</t>
        </is>
      </c>
      <c r="E165" s="11" t="inlineStr">
        <is>
          <t>Arcus Infrastructure Partners LLP</t>
        </is>
      </c>
      <c r="F165" s="11" t="inlineStr">
        <is>
          <t>Arcus Infrastructure Partners</t>
        </is>
      </c>
      <c r="G165" s="11" t="n"/>
      <c r="H165" s="11" t="inlineStr">
        <is>
          <t>info@arcusip.com</t>
        </is>
      </c>
      <c r="I165" s="11" t="inlineStr">
        <is>
          <t>general</t>
        </is>
      </c>
      <c r="J165" s="12" t="inlineStr">
        <is>
          <t>Open page</t>
        </is>
      </c>
      <c r="K165" s="11" t="inlineStr">
        <is>
          <t>OC343340</t>
        </is>
      </c>
      <c r="L165" s="12" t="inlineStr">
        <is>
          <t>Open</t>
        </is>
      </c>
      <c r="M165" s="11" t="inlineStr">
        <is>
          <t>Group</t>
        </is>
      </c>
      <c r="N165" s="13" t="n">
        <v>39857</v>
      </c>
      <c r="O165" s="11" t="inlineStr">
        <is>
          <t>101 Moorgate, London</t>
        </is>
      </c>
      <c r="P165" s="11" t="inlineStr">
        <is>
          <t>EC2M 6SA</t>
        </is>
      </c>
      <c r="Q165" s="11" t="inlineStr">
        <is>
          <t>No</t>
        </is>
      </c>
      <c r="W165" s="11" t="inlineStr">
        <is>
          <t>City of London School (EC4V 3AL)</t>
        </is>
      </c>
      <c r="X165" s="11" t="n">
        <v>17</v>
      </c>
      <c r="Y165" s="11" t="inlineStr">
        <is>
          <t>Finsbury Leisure Centre (EC1V 3PU) (16.9); Liverpool St - Attlee Centre (17.8)</t>
        </is>
      </c>
      <c r="Z165" s="11" t="inlineStr">
        <is>
          <t>City of London School (EC4V 3AL)</t>
        </is>
      </c>
      <c r="AA165" s="11" t="n">
        <v>17</v>
      </c>
      <c r="AB165" s="14">
        <f>IFERROR(INDEX(Venues!$E$2:$E$17,MATCH(Z165,Venues!$A$2:$A$17,0)),"Not checked")</f>
        <v/>
      </c>
      <c r="AC165" s="14">
        <f>IFERROR(INDEX(Venues!$F$2:$F$17,MATCH(Z165,Venues!$A$2:$A$17,0)),0)</f>
        <v/>
      </c>
      <c r="AD165" s="15">
        <f>IFERROR(INDEX(Venues!$M$2:$M$17,MATCH(Z165,Venues!$A$2:$A$17,0)),"")</f>
        <v/>
      </c>
      <c r="AE165" s="14">
        <f>IFERROR(INDEX(Venues!$N$2:$N$17,MATCH(Z165,Venues!$A$2:$A$17,0)),"5-a-side")</f>
        <v/>
      </c>
      <c r="AF165" s="16">
        <f>IF(Offer!$C$4="","",Offer!$C$4)</f>
        <v/>
      </c>
      <c r="AG165" s="14">
        <f>Z165&amp;" ("&amp;AA165&amp;" min walk) · "&amp;IF(ISNUMBER(AD165),TEXT(AD165,"ddd d mmm, hh:mm"),"slot to confirm with venue")&amp;" · "&amp;AE165&amp;" · "&amp;IF(AF165&lt;&gt;"","£"&amp;TEXT(AF165,"0.00")&amp;" pp","price TBC")</f>
        <v/>
      </c>
      <c r="AH165" s="14">
        <f>IF(U165&lt;&gt;"",U165,IF(H165&lt;&gt;"",H165,""))</f>
        <v/>
      </c>
      <c r="AI165" s="14">
        <f>"After-work football for "&amp;F165&amp;" · "&amp;Z165&amp;", "&amp;AA165&amp;" min from your office"</f>
        <v/>
      </c>
      <c r="AJ165" s="14">
        <f>"Hi "&amp;IF(R165&lt;&gt;"",R165,F165&amp;" team")&amp;","&amp;CHAR(10)&amp;CHAR(10)&amp;"I'm "&amp;IF(AM165&lt;&gt;"",AM165,IF(Offer!$C$5&lt;&gt;"",Offer!$C$5,"[NAME]"))&amp;" from FC Urban. We organise after-work football for teams in the City and Canary Wharf."&amp;CHAR(10)&amp;CHAR(10)&amp;"We have a "&amp;AE165&amp;" pitch at "&amp;Z165&amp;", "&amp;IF(OR(AA165=8,AA165=11,AA165=18),"an ","a ")&amp;AA165&amp;"-minute walk from your "&amp;P165&amp;" office, "&amp;IF(ISNUMBER(AD165),"on "&amp;TEXT(AD165,"dddd d mmmm")&amp;" at "&amp;TEXT(AD165,"hh:mm"),"on a weekday evening that suits your team")&amp;". It's "&amp;IF(AF165&lt;&gt;"","£"&amp;IF(AF165=INT(AF165),TEXT(AF165,"0"),TEXT(AF165,"0.00")),"[PRICE PER PLAYER]")&amp;" a player and we handle the pitch booking, sign-ups and payments, so all it takes is one person sharing a link with the team."&amp;CHAR(10)&amp;CHAR(10)&amp;"It works well as a team social or "&amp;IF(ISNUMBER(SEARCH(LEFT(F165,1),"AEIOU")),"an ","a ")&amp;F165&amp;"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LINK]")&amp;CHAR(10)&amp;CHAR(10)&amp;"Best,"&amp;CHAR(10)&amp;IF(AM165&lt;&gt;"",AM165,IF(Offer!$C$5&lt;&gt;"",Offer!$C$5,"[NAME]"))&amp;CHAR(10)&amp;"FC Urban"</f>
        <v/>
      </c>
      <c r="AK165" s="14">
        <f>"Hi "&amp;IF(R165&lt;&gt;"",R165,F165&amp;" team")&amp;","&amp;CHAR(10)&amp;CHAR(10)&amp;"Just bumping this up. The "&amp;AE165&amp;" pitch at "&amp;Z165&amp;" is still free "&amp;IF(ISNUMBER(AD165),TEXT(AD165,"ddd d mmm")&amp;", "&amp;TEXT(AD165,"hh:mm"),"weekday evenings")&amp;", "&amp;IF(OR(AA165=8,AA165=11,AA165=18),"an ","a ")&amp;AA165&amp;"-minute walk from your office, "&amp;IF(AF165&lt;&gt;"","£"&amp;IF(AF165=INT(AF165),TEXT(AF165,"0"),TEXT(AF165,"0.00")),"[PRICE PER PLAYER]")&amp;" a player. Happy to hold it for "&amp;F165&amp;"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LINK]")&amp;CHAR(10)&amp;CHAR(10)&amp;"Best,"&amp;CHAR(10)&amp;IF(AM165&lt;&gt;"",AM165,IF(Offer!$C$5&lt;&gt;"",Offer!$C$5,"[NAME]"))&amp;CHAR(10)&amp;"FC Urban"</f>
        <v/>
      </c>
      <c r="AL165" s="14">
        <f>IF(AH165="","No email yet",IF(ISNUMBER(SEARCH("[",AJ165)),"Fill placeholders",IF(ISNUMBER(AD165),"Ready to send","Ready · no fixed slot")))</f>
        <v/>
      </c>
      <c r="AO165" s="17" t="n"/>
      <c r="AP165" s="17" t="n"/>
    </row>
    <row r="166">
      <c r="A166" s="11" t="n">
        <v>164</v>
      </c>
      <c r="B166" s="11" t="n">
        <v>2</v>
      </c>
      <c r="C166" s="11" t="inlineStr">
        <is>
          <t>Fund / asset manager</t>
        </is>
      </c>
      <c r="D166" s="11" t="inlineStr">
        <is>
          <t>City of London</t>
        </is>
      </c>
      <c r="E166" s="11" t="inlineStr">
        <is>
          <t>Epic Investment Partners LLP</t>
        </is>
      </c>
      <c r="F166" s="11" t="inlineStr">
        <is>
          <t>Epic Investment Partners</t>
        </is>
      </c>
      <c r="G166" s="12" t="inlineStr">
        <is>
          <t>https://www.epic.com</t>
        </is>
      </c>
      <c r="H166" s="11" t="inlineStr">
        <is>
          <t>info@epic.com</t>
        </is>
      </c>
      <c r="I166" s="11" t="inlineStr">
        <is>
          <t>general</t>
        </is>
      </c>
      <c r="J166" s="12" t="inlineStr">
        <is>
          <t>Open page</t>
        </is>
      </c>
      <c r="K166" s="11" t="inlineStr">
        <is>
          <t>OC318938</t>
        </is>
      </c>
      <c r="L166" s="12" t="inlineStr">
        <is>
          <t>Open</t>
        </is>
      </c>
      <c r="M166" s="11" t="inlineStr">
        <is>
          <t>Group</t>
        </is>
      </c>
      <c r="N166" s="13" t="n">
        <v>38813</v>
      </c>
      <c r="O166" s="11" t="inlineStr">
        <is>
          <t>Audrey House, 16-20 Ely Place, London</t>
        </is>
      </c>
      <c r="P166" s="11" t="inlineStr">
        <is>
          <t>EC1N 6SN</t>
        </is>
      </c>
      <c r="Q166" s="11" t="inlineStr">
        <is>
          <t>No</t>
        </is>
      </c>
      <c r="W166" s="11" t="inlineStr">
        <is>
          <t>City of London School (EC4V 3AL)</t>
        </is>
      </c>
      <c r="X166" s="11" t="n">
        <v>17</v>
      </c>
      <c r="Y166" s="11" t="inlineStr">
        <is>
          <t>Finsbury Leisure Centre (EC1V 3PU) (18.7); St Pancras - Coram's Fields 3G (19)</t>
        </is>
      </c>
      <c r="Z166" s="11" t="inlineStr">
        <is>
          <t>City of London School (EC4V 3AL)</t>
        </is>
      </c>
      <c r="AA166" s="11" t="n">
        <v>17</v>
      </c>
      <c r="AB166" s="14">
        <f>IFERROR(INDEX(Venues!$E$2:$E$17,MATCH(Z166,Venues!$A$2:$A$17,0)),"Not checked")</f>
        <v/>
      </c>
      <c r="AC166" s="14">
        <f>IFERROR(INDEX(Venues!$F$2:$F$17,MATCH(Z166,Venues!$A$2:$A$17,0)),0)</f>
        <v/>
      </c>
      <c r="AD166" s="15">
        <f>IFERROR(INDEX(Venues!$M$2:$M$17,MATCH(Z166,Venues!$A$2:$A$17,0)),"")</f>
        <v/>
      </c>
      <c r="AE166" s="14">
        <f>IFERROR(INDEX(Venues!$N$2:$N$17,MATCH(Z166,Venues!$A$2:$A$17,0)),"5-a-side")</f>
        <v/>
      </c>
      <c r="AF166" s="16">
        <f>IF(Offer!$C$4="","",Offer!$C$4)</f>
        <v/>
      </c>
      <c r="AG166" s="14">
        <f>Z166&amp;" ("&amp;AA166&amp;" min walk) · "&amp;IF(ISNUMBER(AD166),TEXT(AD166,"ddd d mmm, hh:mm"),"slot to confirm with venue")&amp;" · "&amp;AE166&amp;" · "&amp;IF(AF166&lt;&gt;"","£"&amp;TEXT(AF166,"0.00")&amp;" pp","price TBC")</f>
        <v/>
      </c>
      <c r="AH166" s="14">
        <f>IF(U166&lt;&gt;"",U166,IF(H166&lt;&gt;"",H166,""))</f>
        <v/>
      </c>
      <c r="AI166" s="14">
        <f>"After-work football for "&amp;F166&amp;" · "&amp;Z166&amp;", "&amp;AA166&amp;" min from your office"</f>
        <v/>
      </c>
      <c r="AJ166" s="14">
        <f>"Hi "&amp;IF(R166&lt;&gt;"",R166,F166&amp;" team")&amp;","&amp;CHAR(10)&amp;CHAR(10)&amp;"I'm "&amp;IF(AM166&lt;&gt;"",AM166,IF(Offer!$C$5&lt;&gt;"",Offer!$C$5,"[NAME]"))&amp;" from FC Urban. We organise after-work football for teams in the City and Canary Wharf."&amp;CHAR(10)&amp;CHAR(10)&amp;"We have a "&amp;AE166&amp;" pitch at "&amp;Z166&amp;", "&amp;IF(OR(AA166=8,AA166=11,AA166=18),"an ","a ")&amp;AA166&amp;"-minute walk from your "&amp;P166&amp;" office, "&amp;IF(ISNUMBER(AD166),"on "&amp;TEXT(AD166,"dddd d mmmm")&amp;" at "&amp;TEXT(AD166,"hh:mm"),"on a weekday evening that suits your team")&amp;". It's "&amp;IF(AF166&lt;&gt;"","£"&amp;IF(AF166=INT(AF166),TEXT(AF166,"0"),TEXT(AF166,"0.00")),"[PRICE PER PLAYER]")&amp;" a player and we handle the pitch booking, sign-ups and payments, so all it takes is one person sharing a link with the team."&amp;CHAR(10)&amp;CHAR(10)&amp;"It works well as a team social or "&amp;IF(ISNUMBER(SEARCH(LEFT(F166,1),"AEIOU")),"an ","a ")&amp;F166&amp;"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LINK]")&amp;CHAR(10)&amp;CHAR(10)&amp;"Best,"&amp;CHAR(10)&amp;IF(AM166&lt;&gt;"",AM166,IF(Offer!$C$5&lt;&gt;"",Offer!$C$5,"[NAME]"))&amp;CHAR(10)&amp;"FC Urban"</f>
        <v/>
      </c>
      <c r="AK166" s="14">
        <f>"Hi "&amp;IF(R166&lt;&gt;"",R166,F166&amp;" team")&amp;","&amp;CHAR(10)&amp;CHAR(10)&amp;"Just bumping this up. The "&amp;AE166&amp;" pitch at "&amp;Z166&amp;" is still free "&amp;IF(ISNUMBER(AD166),TEXT(AD166,"ddd d mmm")&amp;", "&amp;TEXT(AD166,"hh:mm"),"weekday evenings")&amp;", "&amp;IF(OR(AA166=8,AA166=11,AA166=18),"an ","a ")&amp;AA166&amp;"-minute walk from your office, "&amp;IF(AF166&lt;&gt;"","£"&amp;IF(AF166=INT(AF166),TEXT(AF166,"0"),TEXT(AF166,"0.00")),"[PRICE PER PLAYER]")&amp;" a player. Happy to hold it for "&amp;F166&amp;"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LINK]")&amp;CHAR(10)&amp;CHAR(10)&amp;"Best,"&amp;CHAR(10)&amp;IF(AM166&lt;&gt;"",AM166,IF(Offer!$C$5&lt;&gt;"",Offer!$C$5,"[NAME]"))&amp;CHAR(10)&amp;"FC Urban"</f>
        <v/>
      </c>
      <c r="AL166" s="14">
        <f>IF(AH166="","No email yet",IF(ISNUMBER(SEARCH("[",AJ166)),"Fill placeholders",IF(ISNUMBER(AD166),"Ready to send","Ready · no fixed slot")))</f>
        <v/>
      </c>
      <c r="AO166" s="17" t="n"/>
      <c r="AP166" s="17" t="n"/>
    </row>
    <row r="167">
      <c r="A167" s="11" t="n">
        <v>165</v>
      </c>
      <c r="B167" s="11" t="n">
        <v>2</v>
      </c>
      <c r="C167" s="11" t="inlineStr">
        <is>
          <t>Insurance / broker</t>
        </is>
      </c>
      <c r="D167" s="11" t="inlineStr">
        <is>
          <t>City of London</t>
        </is>
      </c>
      <c r="E167" s="11" t="inlineStr">
        <is>
          <t>Global Aerospace Underwriting Managers Limited</t>
        </is>
      </c>
      <c r="F167" s="11" t="inlineStr">
        <is>
          <t>Global Aerospace Underwriting Managers</t>
        </is>
      </c>
      <c r="G167" s="11" t="n"/>
      <c r="H167" s="11" t="n"/>
      <c r="I167" s="11" t="inlineStr">
        <is>
          <t>Not found</t>
        </is>
      </c>
      <c r="J167" s="11" t="n"/>
      <c r="K167" s="11" t="inlineStr">
        <is>
          <t>02512067</t>
        </is>
      </c>
      <c r="L167" s="12" t="inlineStr">
        <is>
          <t>Open</t>
        </is>
      </c>
      <c r="M167" s="11" t="inlineStr">
        <is>
          <t>Group</t>
        </is>
      </c>
      <c r="N167" s="13" t="n">
        <v>33038</v>
      </c>
      <c r="O167" s="11" t="inlineStr">
        <is>
          <t>Fitzwilliam House, 10 St Mary Axe, London</t>
        </is>
      </c>
      <c r="P167" s="11" t="inlineStr">
        <is>
          <t>EC3A 8EQ</t>
        </is>
      </c>
      <c r="Q167" s="11" t="inlineStr">
        <is>
          <t>Yes</t>
        </is>
      </c>
      <c r="W167" s="11" t="inlineStr">
        <is>
          <t>Liverpool St - Attlee Centre</t>
        </is>
      </c>
      <c r="X167" s="11" t="n">
        <v>11</v>
      </c>
      <c r="Y167" s="11" t="inlineStr">
        <is>
          <t>Shoreditch Powerleague (17.5)</t>
        </is>
      </c>
      <c r="Z167" s="11" t="inlineStr">
        <is>
          <t>Shoreditch Powerleague</t>
        </is>
      </c>
      <c r="AA167" s="11" t="n">
        <v>18</v>
      </c>
      <c r="AB167" s="14">
        <f>IFERROR(INDEX(Venues!$E$2:$E$17,MATCH(Z167,Venues!$A$2:$A$17,0)),"Not checked")</f>
        <v/>
      </c>
      <c r="AC167" s="14">
        <f>IFERROR(INDEX(Venues!$F$2:$F$17,MATCH(Z167,Venues!$A$2:$A$17,0)),0)</f>
        <v/>
      </c>
      <c r="AD167" s="15">
        <f>IFERROR(INDEX(Venues!$M$2:$M$17,MATCH(Z167,Venues!$A$2:$A$17,0)),"")</f>
        <v/>
      </c>
      <c r="AE167" s="14">
        <f>IFERROR(INDEX(Venues!$N$2:$N$17,MATCH(Z167,Venues!$A$2:$A$17,0)),"5-a-side")</f>
        <v/>
      </c>
      <c r="AF167" s="16">
        <f>IF(Offer!$C$4="","",Offer!$C$4)</f>
        <v/>
      </c>
      <c r="AG167" s="14">
        <f>Z167&amp;" ("&amp;AA167&amp;" min walk) · "&amp;IF(ISNUMBER(AD167),TEXT(AD167,"ddd d mmm, hh:mm"),"slot to confirm with venue")&amp;" · "&amp;AE167&amp;" · "&amp;IF(AF167&lt;&gt;"","£"&amp;TEXT(AF167,"0.00")&amp;" pp","price TBC")</f>
        <v/>
      </c>
      <c r="AH167" s="14">
        <f>IF(U167&lt;&gt;"",U167,IF(H167&lt;&gt;"",H167,""))</f>
        <v/>
      </c>
      <c r="AI167" s="14">
        <f>"After-work football for "&amp;F167&amp;" · "&amp;Z167&amp;", "&amp;AA167&amp;" min from your office"</f>
        <v/>
      </c>
      <c r="AJ167" s="14">
        <f>"Hi "&amp;IF(R167&lt;&gt;"",R167,F167&amp;" team")&amp;","&amp;CHAR(10)&amp;CHAR(10)&amp;"I'm "&amp;IF(AM167&lt;&gt;"",AM167,IF(Offer!$C$5&lt;&gt;"",Offer!$C$5,"[NAME]"))&amp;" from FC Urban. We organise after-work football for teams in the City and Canary Wharf."&amp;CHAR(10)&amp;CHAR(10)&amp;"We have a "&amp;AE167&amp;" pitch at "&amp;Z167&amp;", "&amp;IF(OR(AA167=8,AA167=11,AA167=18),"an ","a ")&amp;AA167&amp;"-minute walk from your "&amp;P167&amp;" office, "&amp;IF(ISNUMBER(AD167),"on "&amp;TEXT(AD167,"dddd d mmmm")&amp;" at "&amp;TEXT(AD167,"hh:mm"),"on a weekday evening that suits your team")&amp;". It's "&amp;IF(AF167&lt;&gt;"","£"&amp;IF(AF167=INT(AF167),TEXT(AF167,"0"),TEXT(AF167,"0.00")),"[PRICE PER PLAYER]")&amp;" a player and we handle the pitch booking, sign-ups and payments, so all it takes is one person sharing a link with the team."&amp;CHAR(10)&amp;CHAR(10)&amp;"It works well as a team social or "&amp;IF(ISNUMBER(SEARCH(LEFT(F167,1),"AEIOU")),"an ","a ")&amp;F167&amp;"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LINK]")&amp;CHAR(10)&amp;CHAR(10)&amp;"Best,"&amp;CHAR(10)&amp;IF(AM167&lt;&gt;"",AM167,IF(Offer!$C$5&lt;&gt;"",Offer!$C$5,"[NAME]"))&amp;CHAR(10)&amp;"FC Urban"</f>
        <v/>
      </c>
      <c r="AK167" s="14">
        <f>"Hi "&amp;IF(R167&lt;&gt;"",R167,F167&amp;" team")&amp;","&amp;CHAR(10)&amp;CHAR(10)&amp;"Just bumping this up. The "&amp;AE167&amp;" pitch at "&amp;Z167&amp;" is still free "&amp;IF(ISNUMBER(AD167),TEXT(AD167,"ddd d mmm")&amp;", "&amp;TEXT(AD167,"hh:mm"),"weekday evenings")&amp;", "&amp;IF(OR(AA167=8,AA167=11,AA167=18),"an ","a ")&amp;AA167&amp;"-minute walk from your office, "&amp;IF(AF167&lt;&gt;"","£"&amp;IF(AF167=INT(AF167),TEXT(AF167,"0"),TEXT(AF167,"0.00")),"[PRICE PER PLAYER]")&amp;" a player. Happy to hold it for "&amp;F167&amp;"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LINK]")&amp;CHAR(10)&amp;CHAR(10)&amp;"Best,"&amp;CHAR(10)&amp;IF(AM167&lt;&gt;"",AM167,IF(Offer!$C$5&lt;&gt;"",Offer!$C$5,"[NAME]"))&amp;CHAR(10)&amp;"FC Urban"</f>
        <v/>
      </c>
      <c r="AL167" s="14">
        <f>IF(AH167="","No email yet",IF(ISNUMBER(SEARCH("[",AJ167)),"Fill placeholders",IF(ISNUMBER(AD167),"Ready to send","Ready · no fixed slot")))</f>
        <v/>
      </c>
      <c r="AO167" s="17" t="n"/>
      <c r="AP167" s="17" t="n"/>
    </row>
    <row r="168">
      <c r="A168" s="11" t="n">
        <v>166</v>
      </c>
      <c r="B168" s="11" t="n">
        <v>2</v>
      </c>
      <c r="C168" s="11" t="inlineStr">
        <is>
          <t>Fund / asset manager</t>
        </is>
      </c>
      <c r="D168" s="11" t="inlineStr">
        <is>
          <t>City of London</t>
        </is>
      </c>
      <c r="E168" s="11" t="inlineStr">
        <is>
          <t>Primary Capital Partners LLP</t>
        </is>
      </c>
      <c r="F168" s="11" t="inlineStr">
        <is>
          <t>Primary Capital Partners</t>
        </is>
      </c>
      <c r="G168" s="12" t="inlineStr">
        <is>
          <t>https://www.primary.com</t>
        </is>
      </c>
      <c r="H168" s="11" t="inlineStr">
        <is>
          <t>help@primary.com</t>
        </is>
      </c>
      <c r="I168" s="11" t="inlineStr">
        <is>
          <t>general</t>
        </is>
      </c>
      <c r="J168" s="12" t="inlineStr">
        <is>
          <t>Open page</t>
        </is>
      </c>
      <c r="K168" s="11" t="inlineStr">
        <is>
          <t>OC390504</t>
        </is>
      </c>
      <c r="L168" s="12" t="inlineStr">
        <is>
          <t>Open</t>
        </is>
      </c>
      <c r="M168" s="11" t="inlineStr">
        <is>
          <t>Group</t>
        </is>
      </c>
      <c r="N168" s="13" t="n">
        <v>41660</v>
      </c>
      <c r="O168" s="11" t="inlineStr">
        <is>
          <t>Augustine House, 6A Austin Friars, London</t>
        </is>
      </c>
      <c r="P168" s="11" t="inlineStr">
        <is>
          <t>EC2N 2HA</t>
        </is>
      </c>
      <c r="Q168" s="11" t="inlineStr">
        <is>
          <t>No</t>
        </is>
      </c>
      <c r="W168" s="11" t="inlineStr">
        <is>
          <t>Liverpool St - Attlee Centre</t>
        </is>
      </c>
      <c r="X168" s="11" t="n">
        <v>15</v>
      </c>
      <c r="Y168" s="11" t="inlineStr">
        <is>
          <t>City of London School (EC4V 3AL) (17.8); Shoreditch Powerleague (17.8)</t>
        </is>
      </c>
      <c r="Z168" s="11" t="inlineStr">
        <is>
          <t>City of London School (EC4V 3AL)</t>
        </is>
      </c>
      <c r="AA168" s="11" t="n">
        <v>18</v>
      </c>
      <c r="AB168" s="14">
        <f>IFERROR(INDEX(Venues!$E$2:$E$17,MATCH(Z168,Venues!$A$2:$A$17,0)),"Not checked")</f>
        <v/>
      </c>
      <c r="AC168" s="14">
        <f>IFERROR(INDEX(Venues!$F$2:$F$17,MATCH(Z168,Venues!$A$2:$A$17,0)),0)</f>
        <v/>
      </c>
      <c r="AD168" s="15">
        <f>IFERROR(INDEX(Venues!$M$2:$M$17,MATCH(Z168,Venues!$A$2:$A$17,0)),"")</f>
        <v/>
      </c>
      <c r="AE168" s="14">
        <f>IFERROR(INDEX(Venues!$N$2:$N$17,MATCH(Z168,Venues!$A$2:$A$17,0)),"5-a-side")</f>
        <v/>
      </c>
      <c r="AF168" s="16">
        <f>IF(Offer!$C$4="","",Offer!$C$4)</f>
        <v/>
      </c>
      <c r="AG168" s="14">
        <f>Z168&amp;" ("&amp;AA168&amp;" min walk) · "&amp;IF(ISNUMBER(AD168),TEXT(AD168,"ddd d mmm, hh:mm"),"slot to confirm with venue")&amp;" · "&amp;AE168&amp;" · "&amp;IF(AF168&lt;&gt;"","£"&amp;TEXT(AF168,"0.00")&amp;" pp","price TBC")</f>
        <v/>
      </c>
      <c r="AH168" s="14">
        <f>IF(U168&lt;&gt;"",U168,IF(H168&lt;&gt;"",H168,""))</f>
        <v/>
      </c>
      <c r="AI168" s="14">
        <f>"After-work football for "&amp;F168&amp;" · "&amp;Z168&amp;", "&amp;AA168&amp;" min from your office"</f>
        <v/>
      </c>
      <c r="AJ168" s="14">
        <f>"Hi "&amp;IF(R168&lt;&gt;"",R168,F168&amp;" team")&amp;","&amp;CHAR(10)&amp;CHAR(10)&amp;"I'm "&amp;IF(AM168&lt;&gt;"",AM168,IF(Offer!$C$5&lt;&gt;"",Offer!$C$5,"[NAME]"))&amp;" from FC Urban. We organise after-work football for teams in the City and Canary Wharf."&amp;CHAR(10)&amp;CHAR(10)&amp;"We have a "&amp;AE168&amp;" pitch at "&amp;Z168&amp;", "&amp;IF(OR(AA168=8,AA168=11,AA168=18),"an ","a ")&amp;AA168&amp;"-minute walk from your "&amp;P168&amp;" office, "&amp;IF(ISNUMBER(AD168),"on "&amp;TEXT(AD168,"dddd d mmmm")&amp;" at "&amp;TEXT(AD168,"hh:mm"),"on a weekday evening that suits your team")&amp;". It's "&amp;IF(AF168&lt;&gt;"","£"&amp;IF(AF168=INT(AF168),TEXT(AF168,"0"),TEXT(AF168,"0.00")),"[PRICE PER PLAYER]")&amp;" a player and we handle the pitch booking, sign-ups and payments, so all it takes is one person sharing a link with the team."&amp;CHAR(10)&amp;CHAR(10)&amp;"It works well as a team social or "&amp;IF(ISNUMBER(SEARCH(LEFT(F168,1),"AEIOU")),"an ","a ")&amp;F168&amp;"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LINK]")&amp;CHAR(10)&amp;CHAR(10)&amp;"Best,"&amp;CHAR(10)&amp;IF(AM168&lt;&gt;"",AM168,IF(Offer!$C$5&lt;&gt;"",Offer!$C$5,"[NAME]"))&amp;CHAR(10)&amp;"FC Urban"</f>
        <v/>
      </c>
      <c r="AK168" s="14">
        <f>"Hi "&amp;IF(R168&lt;&gt;"",R168,F168&amp;" team")&amp;","&amp;CHAR(10)&amp;CHAR(10)&amp;"Just bumping this up. The "&amp;AE168&amp;" pitch at "&amp;Z168&amp;" is still free "&amp;IF(ISNUMBER(AD168),TEXT(AD168,"ddd d mmm")&amp;", "&amp;TEXT(AD168,"hh:mm"),"weekday evenings")&amp;", "&amp;IF(OR(AA168=8,AA168=11,AA168=18),"an ","a ")&amp;AA168&amp;"-minute walk from your office, "&amp;IF(AF168&lt;&gt;"","£"&amp;IF(AF168=INT(AF168),TEXT(AF168,"0"),TEXT(AF168,"0.00")),"[PRICE PER PLAYER]")&amp;" a player. Happy to hold it for "&amp;F168&amp;"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LINK]")&amp;CHAR(10)&amp;CHAR(10)&amp;"Best,"&amp;CHAR(10)&amp;IF(AM168&lt;&gt;"",AM168,IF(Offer!$C$5&lt;&gt;"",Offer!$C$5,"[NAME]"))&amp;CHAR(10)&amp;"FC Urban"</f>
        <v/>
      </c>
      <c r="AL168" s="14">
        <f>IF(AH168="","No email yet",IF(ISNUMBER(SEARCH("[",AJ168)),"Fill placeholders",IF(ISNUMBER(AD168),"Ready to send","Ready · no fixed slot")))</f>
        <v/>
      </c>
      <c r="AO168" s="17" t="n"/>
      <c r="AP168" s="17" t="n"/>
    </row>
    <row r="169">
      <c r="A169" s="11" t="n">
        <v>167</v>
      </c>
      <c r="B169" s="11" t="n">
        <v>2</v>
      </c>
      <c r="C169" s="11" t="inlineStr">
        <is>
          <t>Fund / asset manager</t>
        </is>
      </c>
      <c r="D169" s="11" t="inlineStr">
        <is>
          <t>City of London</t>
        </is>
      </c>
      <c r="E169" s="11" t="inlineStr">
        <is>
          <t>Robus Capital Management Limited</t>
        </is>
      </c>
      <c r="F169" s="11" t="inlineStr">
        <is>
          <t>Robus Capital Management</t>
        </is>
      </c>
      <c r="G169" s="12" t="inlineStr">
        <is>
          <t>https://robus.com</t>
        </is>
      </c>
      <c r="H169" s="11" t="inlineStr">
        <is>
          <t>info@robus.com</t>
        </is>
      </c>
      <c r="I169" s="11" t="inlineStr">
        <is>
          <t>general</t>
        </is>
      </c>
      <c r="J169" s="12" t="inlineStr">
        <is>
          <t>Open page</t>
        </is>
      </c>
      <c r="K169" s="11" t="inlineStr">
        <is>
          <t>07745735</t>
        </is>
      </c>
      <c r="L169" s="12" t="inlineStr">
        <is>
          <t>Open</t>
        </is>
      </c>
      <c r="M169" s="11" t="inlineStr">
        <is>
          <t>Group</t>
        </is>
      </c>
      <c r="N169" s="13" t="n">
        <v>40773</v>
      </c>
      <c r="O169" s="11" t="inlineStr">
        <is>
          <t>Central Court, 25 Southampton Buildings, London</t>
        </is>
      </c>
      <c r="P169" s="11" t="inlineStr">
        <is>
          <t>WC2A 1AL</t>
        </is>
      </c>
      <c r="Q169" s="11" t="inlineStr">
        <is>
          <t>No</t>
        </is>
      </c>
      <c r="W169" s="11" t="inlineStr">
        <is>
          <t>St Pancras - Coram's Fields 3G</t>
        </is>
      </c>
      <c r="X169" s="11" t="n">
        <v>18</v>
      </c>
      <c r="Y169" s="11" t="inlineStr">
        <is>
          <t>City of London School (EC4V 3AL) (18)</t>
        </is>
      </c>
      <c r="Z169" s="11" t="inlineStr">
        <is>
          <t>St Pancras - Coram's Fields 3G</t>
        </is>
      </c>
      <c r="AA169" s="11" t="n">
        <v>18</v>
      </c>
      <c r="AB169" s="14">
        <f>IFERROR(INDEX(Venues!$E$2:$E$17,MATCH(Z169,Venues!$A$2:$A$17,0)),"Not checked")</f>
        <v/>
      </c>
      <c r="AC169" s="14">
        <f>IFERROR(INDEX(Venues!$F$2:$F$17,MATCH(Z169,Venues!$A$2:$A$17,0)),0)</f>
        <v/>
      </c>
      <c r="AD169" s="15">
        <f>IFERROR(INDEX(Venues!$M$2:$M$17,MATCH(Z169,Venues!$A$2:$A$17,0)),"")</f>
        <v/>
      </c>
      <c r="AE169" s="14">
        <f>IFERROR(INDEX(Venues!$N$2:$N$17,MATCH(Z169,Venues!$A$2:$A$17,0)),"5-a-side")</f>
        <v/>
      </c>
      <c r="AF169" s="16">
        <f>IF(Offer!$C$4="","",Offer!$C$4)</f>
        <v/>
      </c>
      <c r="AG169" s="14">
        <f>Z169&amp;" ("&amp;AA169&amp;" min walk) · "&amp;IF(ISNUMBER(AD169),TEXT(AD169,"ddd d mmm, hh:mm"),"slot to confirm with venue")&amp;" · "&amp;AE169&amp;" · "&amp;IF(AF169&lt;&gt;"","£"&amp;TEXT(AF169,"0.00")&amp;" pp","price TBC")</f>
        <v/>
      </c>
      <c r="AH169" s="14">
        <f>IF(U169&lt;&gt;"",U169,IF(H169&lt;&gt;"",H169,""))</f>
        <v/>
      </c>
      <c r="AI169" s="14">
        <f>"After-work football for "&amp;F169&amp;" · "&amp;Z169&amp;", "&amp;AA169&amp;" min from your office"</f>
        <v/>
      </c>
      <c r="AJ169" s="14">
        <f>"Hi "&amp;IF(R169&lt;&gt;"",R169,F169&amp;" team")&amp;","&amp;CHAR(10)&amp;CHAR(10)&amp;"I'm "&amp;IF(AM169&lt;&gt;"",AM169,IF(Offer!$C$5&lt;&gt;"",Offer!$C$5,"[NAME]"))&amp;" from FC Urban. We organise after-work football for teams in the City and Canary Wharf."&amp;CHAR(10)&amp;CHAR(10)&amp;"We have a "&amp;AE169&amp;" pitch at "&amp;Z169&amp;", "&amp;IF(OR(AA169=8,AA169=11,AA169=18),"an ","a ")&amp;AA169&amp;"-minute walk from your "&amp;P169&amp;" office, "&amp;IF(ISNUMBER(AD169),"on "&amp;TEXT(AD169,"dddd d mmmm")&amp;" at "&amp;TEXT(AD169,"hh:mm"),"on a weekday evening that suits your team")&amp;". It's "&amp;IF(AF169&lt;&gt;"","£"&amp;IF(AF169=INT(AF169),TEXT(AF169,"0"),TEXT(AF169,"0.00")),"[PRICE PER PLAYER]")&amp;" a player and we handle the pitch booking, sign-ups and payments, so all it takes is one person sharing a link with the team."&amp;CHAR(10)&amp;CHAR(10)&amp;"It works well as a team social or "&amp;IF(ISNUMBER(SEARCH(LEFT(F169,1),"AEIOU")),"an ","a ")&amp;F169&amp;"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LINK]")&amp;CHAR(10)&amp;CHAR(10)&amp;"Best,"&amp;CHAR(10)&amp;IF(AM169&lt;&gt;"",AM169,IF(Offer!$C$5&lt;&gt;"",Offer!$C$5,"[NAME]"))&amp;CHAR(10)&amp;"FC Urban"</f>
        <v/>
      </c>
      <c r="AK169" s="14">
        <f>"Hi "&amp;IF(R169&lt;&gt;"",R169,F169&amp;" team")&amp;","&amp;CHAR(10)&amp;CHAR(10)&amp;"Just bumping this up. The "&amp;AE169&amp;" pitch at "&amp;Z169&amp;" is still free "&amp;IF(ISNUMBER(AD169),TEXT(AD169,"ddd d mmm")&amp;", "&amp;TEXT(AD169,"hh:mm"),"weekday evenings")&amp;", "&amp;IF(OR(AA169=8,AA169=11,AA169=18),"an ","a ")&amp;AA169&amp;"-minute walk from your office, "&amp;IF(AF169&lt;&gt;"","£"&amp;IF(AF169=INT(AF169),TEXT(AF169,"0"),TEXT(AF169,"0.00")),"[PRICE PER PLAYER]")&amp;" a player. Happy to hold it for "&amp;F169&amp;"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LINK]")&amp;CHAR(10)&amp;CHAR(10)&amp;"Best,"&amp;CHAR(10)&amp;IF(AM169&lt;&gt;"",AM169,IF(Offer!$C$5&lt;&gt;"",Offer!$C$5,"[NAME]"))&amp;CHAR(10)&amp;"FC Urban"</f>
        <v/>
      </c>
      <c r="AL169" s="14">
        <f>IF(AH169="","No email yet",IF(ISNUMBER(SEARCH("[",AJ169)),"Fill placeholders",IF(ISNUMBER(AD169),"Ready to send","Ready · no fixed slot")))</f>
        <v/>
      </c>
      <c r="AO169" s="17" t="n"/>
      <c r="AP169" s="17" t="n"/>
    </row>
    <row r="170">
      <c r="A170" s="11" t="n">
        <v>168</v>
      </c>
      <c r="B170" s="11" t="n">
        <v>2</v>
      </c>
      <c r="C170" s="11" t="inlineStr">
        <is>
          <t>Insurance / broker</t>
        </is>
      </c>
      <c r="D170" s="11" t="inlineStr">
        <is>
          <t>City of London</t>
        </is>
      </c>
      <c r="E170" s="11" t="inlineStr">
        <is>
          <t>Euclid Transactional UK Limited</t>
        </is>
      </c>
      <c r="F170" s="11" t="inlineStr">
        <is>
          <t>Euclid Transactional</t>
        </is>
      </c>
      <c r="G170" s="12" t="inlineStr">
        <is>
          <t>https://euclidtransactional.com</t>
        </is>
      </c>
      <c r="H170" s="11" t="inlineStr">
        <is>
          <t>info@euclidtransactional.com</t>
        </is>
      </c>
      <c r="I170" s="11" t="inlineStr">
        <is>
          <t>general</t>
        </is>
      </c>
      <c r="J170" s="12" t="inlineStr">
        <is>
          <t>Open page</t>
        </is>
      </c>
      <c r="K170" s="11" t="inlineStr">
        <is>
          <t>11237103</t>
        </is>
      </c>
      <c r="L170" s="12" t="inlineStr">
        <is>
          <t>Open</t>
        </is>
      </c>
      <c r="M170" s="11" t="inlineStr">
        <is>
          <t>Group</t>
        </is>
      </c>
      <c r="N170" s="13" t="n">
        <v>43165</v>
      </c>
      <c r="O170" s="11" t="inlineStr">
        <is>
          <t>41 Eastcheap, Eastcheap, London</t>
        </is>
      </c>
      <c r="P170" s="11" t="inlineStr">
        <is>
          <t>EC3M 1DT</t>
        </is>
      </c>
      <c r="Q170" s="11" t="inlineStr">
        <is>
          <t>Yes</t>
        </is>
      </c>
      <c r="W170" s="11" t="inlineStr">
        <is>
          <t>Liverpool St - Attlee Centre</t>
        </is>
      </c>
      <c r="X170" s="11" t="n">
        <v>17</v>
      </c>
      <c r="Y170" s="11" t="inlineStr">
        <is>
          <t>Marlborough Sports Garden (SE1 1SD) (17.3); City of London School (EC4V 3AL) (18)</t>
        </is>
      </c>
      <c r="Z170" s="11" t="inlineStr">
        <is>
          <t>City of London School (EC4V 3AL)</t>
        </is>
      </c>
      <c r="AA170" s="11" t="n">
        <v>18</v>
      </c>
      <c r="AB170" s="14">
        <f>IFERROR(INDEX(Venues!$E$2:$E$17,MATCH(Z170,Venues!$A$2:$A$17,0)),"Not checked")</f>
        <v/>
      </c>
      <c r="AC170" s="14">
        <f>IFERROR(INDEX(Venues!$F$2:$F$17,MATCH(Z170,Venues!$A$2:$A$17,0)),0)</f>
        <v/>
      </c>
      <c r="AD170" s="15">
        <f>IFERROR(INDEX(Venues!$M$2:$M$17,MATCH(Z170,Venues!$A$2:$A$17,0)),"")</f>
        <v/>
      </c>
      <c r="AE170" s="14">
        <f>IFERROR(INDEX(Venues!$N$2:$N$17,MATCH(Z170,Venues!$A$2:$A$17,0)),"5-a-side")</f>
        <v/>
      </c>
      <c r="AF170" s="16">
        <f>IF(Offer!$C$4="","",Offer!$C$4)</f>
        <v/>
      </c>
      <c r="AG170" s="14">
        <f>Z170&amp;" ("&amp;AA170&amp;" min walk) · "&amp;IF(ISNUMBER(AD170),TEXT(AD170,"ddd d mmm, hh:mm"),"slot to confirm with venue")&amp;" · "&amp;AE170&amp;" · "&amp;IF(AF170&lt;&gt;"","£"&amp;TEXT(AF170,"0.00")&amp;" pp","price TBC")</f>
        <v/>
      </c>
      <c r="AH170" s="14">
        <f>IF(U170&lt;&gt;"",U170,IF(H170&lt;&gt;"",H170,""))</f>
        <v/>
      </c>
      <c r="AI170" s="14">
        <f>"After-work football for "&amp;F170&amp;" · "&amp;Z170&amp;", "&amp;AA170&amp;" min from your office"</f>
        <v/>
      </c>
      <c r="AJ170" s="14">
        <f>"Hi "&amp;IF(R170&lt;&gt;"",R170,F170&amp;" team")&amp;","&amp;CHAR(10)&amp;CHAR(10)&amp;"I'm "&amp;IF(AM170&lt;&gt;"",AM170,IF(Offer!$C$5&lt;&gt;"",Offer!$C$5,"[NAME]"))&amp;" from FC Urban. We organise after-work football for teams in the City and Canary Wharf."&amp;CHAR(10)&amp;CHAR(10)&amp;"We have a "&amp;AE170&amp;" pitch at "&amp;Z170&amp;", "&amp;IF(OR(AA170=8,AA170=11,AA170=18),"an ","a ")&amp;AA170&amp;"-minute walk from your "&amp;P170&amp;" office, "&amp;IF(ISNUMBER(AD170),"on "&amp;TEXT(AD170,"dddd d mmmm")&amp;" at "&amp;TEXT(AD170,"hh:mm"),"on a weekday evening that suits your team")&amp;". It's "&amp;IF(AF170&lt;&gt;"","£"&amp;IF(AF170=INT(AF170),TEXT(AF170,"0"),TEXT(AF170,"0.00")),"[PRICE PER PLAYER]")&amp;" a player and we handle the pitch booking, sign-ups and payments, so all it takes is one person sharing a link with the team."&amp;CHAR(10)&amp;CHAR(10)&amp;"It works well as a team social or "&amp;IF(ISNUMBER(SEARCH(LEFT(F170,1),"AEIOU")),"an ","a ")&amp;F170&amp;"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LINK]")&amp;CHAR(10)&amp;CHAR(10)&amp;"Best,"&amp;CHAR(10)&amp;IF(AM170&lt;&gt;"",AM170,IF(Offer!$C$5&lt;&gt;"",Offer!$C$5,"[NAME]"))&amp;CHAR(10)&amp;"FC Urban"</f>
        <v/>
      </c>
      <c r="AK170" s="14">
        <f>"Hi "&amp;IF(R170&lt;&gt;"",R170,F170&amp;" team")&amp;","&amp;CHAR(10)&amp;CHAR(10)&amp;"Just bumping this up. The "&amp;AE170&amp;" pitch at "&amp;Z170&amp;" is still free "&amp;IF(ISNUMBER(AD170),TEXT(AD170,"ddd d mmm")&amp;", "&amp;TEXT(AD170,"hh:mm"),"weekday evenings")&amp;", "&amp;IF(OR(AA170=8,AA170=11,AA170=18),"an ","a ")&amp;AA170&amp;"-minute walk from your office, "&amp;IF(AF170&lt;&gt;"","£"&amp;IF(AF170=INT(AF170),TEXT(AF170,"0"),TEXT(AF170,"0.00")),"[PRICE PER PLAYER]")&amp;" a player. Happy to hold it for "&amp;F170&amp;"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LINK]")&amp;CHAR(10)&amp;CHAR(10)&amp;"Best,"&amp;CHAR(10)&amp;IF(AM170&lt;&gt;"",AM170,IF(Offer!$C$5&lt;&gt;"",Offer!$C$5,"[NAME]"))&amp;CHAR(10)&amp;"FC Urban"</f>
        <v/>
      </c>
      <c r="AL170" s="14">
        <f>IF(AH170="","No email yet",IF(ISNUMBER(SEARCH("[",AJ170)),"Fill placeholders",IF(ISNUMBER(AD170),"Ready to send","Ready · no fixed slot")))</f>
        <v/>
      </c>
      <c r="AO170" s="17" t="n"/>
      <c r="AP170" s="17" t="n"/>
    </row>
    <row r="171">
      <c r="A171" s="11" t="n">
        <v>169</v>
      </c>
      <c r="B171" s="11" t="n">
        <v>2</v>
      </c>
      <c r="C171" s="11" t="inlineStr">
        <is>
          <t>Fund / asset manager</t>
        </is>
      </c>
      <c r="D171" s="11" t="inlineStr">
        <is>
          <t>City of London</t>
        </is>
      </c>
      <c r="E171" s="11" t="inlineStr">
        <is>
          <t>Shackleton Ventures Limited</t>
        </is>
      </c>
      <c r="F171" s="11" t="inlineStr">
        <is>
          <t>Shackleton Ventures</t>
        </is>
      </c>
      <c r="G171" s="11" t="n"/>
      <c r="H171" s="11" t="inlineStr">
        <is>
          <t>info@shackletonventures.com</t>
        </is>
      </c>
      <c r="I171" s="11" t="inlineStr">
        <is>
          <t>general</t>
        </is>
      </c>
      <c r="J171" s="12" t="inlineStr">
        <is>
          <t>Open page</t>
        </is>
      </c>
      <c r="K171" s="11" t="inlineStr">
        <is>
          <t>06010019</t>
        </is>
      </c>
      <c r="L171" s="12" t="inlineStr">
        <is>
          <t>Open</t>
        </is>
      </c>
      <c r="M171" s="11" t="inlineStr">
        <is>
          <t>Group</t>
        </is>
      </c>
      <c r="N171" s="13" t="n">
        <v>39048</v>
      </c>
      <c r="O171" s="11" t="inlineStr">
        <is>
          <t>1St Floor, 48 Chancery Lane, Chancery Lane, London</t>
        </is>
      </c>
      <c r="P171" s="11" t="inlineStr">
        <is>
          <t>WC2A 1JF</t>
        </is>
      </c>
      <c r="Q171" s="11" t="inlineStr">
        <is>
          <t>No</t>
        </is>
      </c>
      <c r="W171" s="11" t="inlineStr">
        <is>
          <t>City of London School (EC4V 3AL)</t>
        </is>
      </c>
      <c r="X171" s="11" t="n">
        <v>18</v>
      </c>
      <c r="Y171" s="11" t="inlineStr">
        <is>
          <t>St Pancras - Coram's Fields 3G (18.2)</t>
        </is>
      </c>
      <c r="Z171" s="11" t="inlineStr">
        <is>
          <t>City of London School (EC4V 3AL)</t>
        </is>
      </c>
      <c r="AA171" s="11" t="n">
        <v>18</v>
      </c>
      <c r="AB171" s="14">
        <f>IFERROR(INDEX(Venues!$E$2:$E$17,MATCH(Z171,Venues!$A$2:$A$17,0)),"Not checked")</f>
        <v/>
      </c>
      <c r="AC171" s="14">
        <f>IFERROR(INDEX(Venues!$F$2:$F$17,MATCH(Z171,Venues!$A$2:$A$17,0)),0)</f>
        <v/>
      </c>
      <c r="AD171" s="15">
        <f>IFERROR(INDEX(Venues!$M$2:$M$17,MATCH(Z171,Venues!$A$2:$A$17,0)),"")</f>
        <v/>
      </c>
      <c r="AE171" s="14">
        <f>IFERROR(INDEX(Venues!$N$2:$N$17,MATCH(Z171,Venues!$A$2:$A$17,0)),"5-a-side")</f>
        <v/>
      </c>
      <c r="AF171" s="16">
        <f>IF(Offer!$C$4="","",Offer!$C$4)</f>
        <v/>
      </c>
      <c r="AG171" s="14">
        <f>Z171&amp;" ("&amp;AA171&amp;" min walk) · "&amp;IF(ISNUMBER(AD171),TEXT(AD171,"ddd d mmm, hh:mm"),"slot to confirm with venue")&amp;" · "&amp;AE171&amp;" · "&amp;IF(AF171&lt;&gt;"","£"&amp;TEXT(AF171,"0.00")&amp;" pp","price TBC")</f>
        <v/>
      </c>
      <c r="AH171" s="14">
        <f>IF(U171&lt;&gt;"",U171,IF(H171&lt;&gt;"",H171,""))</f>
        <v/>
      </c>
      <c r="AI171" s="14">
        <f>"After-work football for "&amp;F171&amp;" · "&amp;Z171&amp;", "&amp;AA171&amp;" min from your office"</f>
        <v/>
      </c>
      <c r="AJ171" s="14">
        <f>"Hi "&amp;IF(R171&lt;&gt;"",R171,F171&amp;" team")&amp;","&amp;CHAR(10)&amp;CHAR(10)&amp;"I'm "&amp;IF(AM171&lt;&gt;"",AM171,IF(Offer!$C$5&lt;&gt;"",Offer!$C$5,"[NAME]"))&amp;" from FC Urban. We organise after-work football for teams in the City and Canary Wharf."&amp;CHAR(10)&amp;CHAR(10)&amp;"We have a "&amp;AE171&amp;" pitch at "&amp;Z171&amp;", "&amp;IF(OR(AA171=8,AA171=11,AA171=18),"an ","a ")&amp;AA171&amp;"-minute walk from your "&amp;P171&amp;" office, "&amp;IF(ISNUMBER(AD171),"on "&amp;TEXT(AD171,"dddd d mmmm")&amp;" at "&amp;TEXT(AD171,"hh:mm"),"on a weekday evening that suits your team")&amp;". It's "&amp;IF(AF171&lt;&gt;"","£"&amp;IF(AF171=INT(AF171),TEXT(AF171,"0"),TEXT(AF171,"0.00")),"[PRICE PER PLAYER]")&amp;" a player and we handle the pitch booking, sign-ups and payments, so all it takes is one person sharing a link with the team."&amp;CHAR(10)&amp;CHAR(10)&amp;"It works well as a team social or "&amp;IF(ISNUMBER(SEARCH(LEFT(F171,1),"AEIOU")),"an ","a ")&amp;F171&amp;"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LINK]")&amp;CHAR(10)&amp;CHAR(10)&amp;"Best,"&amp;CHAR(10)&amp;IF(AM171&lt;&gt;"",AM171,IF(Offer!$C$5&lt;&gt;"",Offer!$C$5,"[NAME]"))&amp;CHAR(10)&amp;"FC Urban"</f>
        <v/>
      </c>
      <c r="AK171" s="14">
        <f>"Hi "&amp;IF(R171&lt;&gt;"",R171,F171&amp;" team")&amp;","&amp;CHAR(10)&amp;CHAR(10)&amp;"Just bumping this up. The "&amp;AE171&amp;" pitch at "&amp;Z171&amp;" is still free "&amp;IF(ISNUMBER(AD171),TEXT(AD171,"ddd d mmm")&amp;", "&amp;TEXT(AD171,"hh:mm"),"weekday evenings")&amp;", "&amp;IF(OR(AA171=8,AA171=11,AA171=18),"an ","a ")&amp;AA171&amp;"-minute walk from your office, "&amp;IF(AF171&lt;&gt;"","£"&amp;IF(AF171=INT(AF171),TEXT(AF171,"0"),TEXT(AF171,"0.00")),"[PRICE PER PLAYER]")&amp;" a player. Happy to hold it for "&amp;F171&amp;"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LINK]")&amp;CHAR(10)&amp;CHAR(10)&amp;"Best,"&amp;CHAR(10)&amp;IF(AM171&lt;&gt;"",AM171,IF(Offer!$C$5&lt;&gt;"",Offer!$C$5,"[NAME]"))&amp;CHAR(10)&amp;"FC Urban"</f>
        <v/>
      </c>
      <c r="AL171" s="14">
        <f>IF(AH171="","No email yet",IF(ISNUMBER(SEARCH("[",AJ171)),"Fill placeholders",IF(ISNUMBER(AD171),"Ready to send","Ready · no fixed slot")))</f>
        <v/>
      </c>
      <c r="AO171" s="17" t="n"/>
      <c r="AP171" s="17" t="n"/>
    </row>
    <row r="172">
      <c r="A172" s="11" t="n">
        <v>170</v>
      </c>
      <c r="B172" s="11" t="n">
        <v>2</v>
      </c>
      <c r="C172" s="11" t="inlineStr">
        <is>
          <t>Fund / asset manager</t>
        </is>
      </c>
      <c r="D172" s="11" t="inlineStr">
        <is>
          <t>City of London</t>
        </is>
      </c>
      <c r="E172" s="11" t="inlineStr">
        <is>
          <t>Sharegain Ltd</t>
        </is>
      </c>
      <c r="F172" s="11" t="inlineStr">
        <is>
          <t>Sharegain</t>
        </is>
      </c>
      <c r="G172" s="12" t="inlineStr">
        <is>
          <t>https://sharegain.com</t>
        </is>
      </c>
      <c r="H172" s="11" t="inlineStr">
        <is>
          <t>info@sharegain.com</t>
        </is>
      </c>
      <c r="I172" s="11" t="inlineStr">
        <is>
          <t>general</t>
        </is>
      </c>
      <c r="J172" s="12" t="inlineStr">
        <is>
          <t>Open page</t>
        </is>
      </c>
      <c r="K172" s="11" t="inlineStr">
        <is>
          <t>09600298</t>
        </is>
      </c>
      <c r="L172" s="12" t="inlineStr">
        <is>
          <t>Open</t>
        </is>
      </c>
      <c r="M172" s="11" t="inlineStr">
        <is>
          <t>Group</t>
        </is>
      </c>
      <c r="N172" s="13" t="n">
        <v>42144</v>
      </c>
      <c r="O172" s="11" t="inlineStr">
        <is>
          <t>77 Leadenhall Street, London</t>
        </is>
      </c>
      <c r="P172" s="11" t="inlineStr">
        <is>
          <t>EC3A 3DE</t>
        </is>
      </c>
      <c r="Q172" s="11" t="inlineStr">
        <is>
          <t>Yes</t>
        </is>
      </c>
      <c r="W172" s="11" t="inlineStr">
        <is>
          <t>Liverpool St - Attlee Centre</t>
        </is>
      </c>
      <c r="X172" s="11" t="n">
        <v>10</v>
      </c>
      <c r="Y172" s="11" t="inlineStr">
        <is>
          <t>Shoreditch Powerleague (18.1)</t>
        </is>
      </c>
      <c r="Z172" s="11" t="inlineStr">
        <is>
          <t>Shoreditch Powerleague</t>
        </is>
      </c>
      <c r="AA172" s="11" t="n">
        <v>18</v>
      </c>
      <c r="AB172" s="14">
        <f>IFERROR(INDEX(Venues!$E$2:$E$17,MATCH(Z172,Venues!$A$2:$A$17,0)),"Not checked")</f>
        <v/>
      </c>
      <c r="AC172" s="14">
        <f>IFERROR(INDEX(Venues!$F$2:$F$17,MATCH(Z172,Venues!$A$2:$A$17,0)),0)</f>
        <v/>
      </c>
      <c r="AD172" s="15">
        <f>IFERROR(INDEX(Venues!$M$2:$M$17,MATCH(Z172,Venues!$A$2:$A$17,0)),"")</f>
        <v/>
      </c>
      <c r="AE172" s="14">
        <f>IFERROR(INDEX(Venues!$N$2:$N$17,MATCH(Z172,Venues!$A$2:$A$17,0)),"5-a-side")</f>
        <v/>
      </c>
      <c r="AF172" s="16">
        <f>IF(Offer!$C$4="","",Offer!$C$4)</f>
        <v/>
      </c>
      <c r="AG172" s="14">
        <f>Z172&amp;" ("&amp;AA172&amp;" min walk) · "&amp;IF(ISNUMBER(AD172),TEXT(AD172,"ddd d mmm, hh:mm"),"slot to confirm with venue")&amp;" · "&amp;AE172&amp;" · "&amp;IF(AF172&lt;&gt;"","£"&amp;TEXT(AF172,"0.00")&amp;" pp","price TBC")</f>
        <v/>
      </c>
      <c r="AH172" s="14">
        <f>IF(U172&lt;&gt;"",U172,IF(H172&lt;&gt;"",H172,""))</f>
        <v/>
      </c>
      <c r="AI172" s="14">
        <f>"After-work football for "&amp;F172&amp;" · "&amp;Z172&amp;", "&amp;AA172&amp;" min from your office"</f>
        <v/>
      </c>
      <c r="AJ172" s="14">
        <f>"Hi "&amp;IF(R172&lt;&gt;"",R172,F172&amp;" team")&amp;","&amp;CHAR(10)&amp;CHAR(10)&amp;"I'm "&amp;IF(AM172&lt;&gt;"",AM172,IF(Offer!$C$5&lt;&gt;"",Offer!$C$5,"[NAME]"))&amp;" from FC Urban. We organise after-work football for teams in the City and Canary Wharf."&amp;CHAR(10)&amp;CHAR(10)&amp;"We have a "&amp;AE172&amp;" pitch at "&amp;Z172&amp;", "&amp;IF(OR(AA172=8,AA172=11,AA172=18),"an ","a ")&amp;AA172&amp;"-minute walk from your "&amp;P172&amp;" office, "&amp;IF(ISNUMBER(AD172),"on "&amp;TEXT(AD172,"dddd d mmmm")&amp;" at "&amp;TEXT(AD172,"hh:mm"),"on a weekday evening that suits your team")&amp;". It's "&amp;IF(AF172&lt;&gt;"","£"&amp;IF(AF172=INT(AF172),TEXT(AF172,"0"),TEXT(AF172,"0.00")),"[PRICE PER PLAYER]")&amp;" a player and we handle the pitch booking, sign-ups and payments, so all it takes is one person sharing a link with the team."&amp;CHAR(10)&amp;CHAR(10)&amp;"It works well as a team social or "&amp;IF(ISNUMBER(SEARCH(LEFT(F172,1),"AEIOU")),"an ","a ")&amp;F172&amp;"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LINK]")&amp;CHAR(10)&amp;CHAR(10)&amp;"Best,"&amp;CHAR(10)&amp;IF(AM172&lt;&gt;"",AM172,IF(Offer!$C$5&lt;&gt;"",Offer!$C$5,"[NAME]"))&amp;CHAR(10)&amp;"FC Urban"</f>
        <v/>
      </c>
      <c r="AK172" s="14">
        <f>"Hi "&amp;IF(R172&lt;&gt;"",R172,F172&amp;" team")&amp;","&amp;CHAR(10)&amp;CHAR(10)&amp;"Just bumping this up. The "&amp;AE172&amp;" pitch at "&amp;Z172&amp;" is still free "&amp;IF(ISNUMBER(AD172),TEXT(AD172,"ddd d mmm")&amp;", "&amp;TEXT(AD172,"hh:mm"),"weekday evenings")&amp;", "&amp;IF(OR(AA172=8,AA172=11,AA172=18),"an ","a ")&amp;AA172&amp;"-minute walk from your office, "&amp;IF(AF172&lt;&gt;"","£"&amp;IF(AF172=INT(AF172),TEXT(AF172,"0"),TEXT(AF172,"0.00")),"[PRICE PER PLAYER]")&amp;" a player. Happy to hold it for "&amp;F172&amp;"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LINK]")&amp;CHAR(10)&amp;CHAR(10)&amp;"Best,"&amp;CHAR(10)&amp;IF(AM172&lt;&gt;"",AM172,IF(Offer!$C$5&lt;&gt;"",Offer!$C$5,"[NAME]"))&amp;CHAR(10)&amp;"FC Urban"</f>
        <v/>
      </c>
      <c r="AL172" s="14">
        <f>IF(AH172="","No email yet",IF(ISNUMBER(SEARCH("[",AJ172)),"Fill placeholders",IF(ISNUMBER(AD172),"Ready to send","Ready · no fixed slot")))</f>
        <v/>
      </c>
      <c r="AO172" s="17" t="n"/>
      <c r="AP172" s="17" t="n"/>
    </row>
    <row r="173">
      <c r="A173" s="11" t="n">
        <v>171</v>
      </c>
      <c r="B173" s="11" t="n">
        <v>2</v>
      </c>
      <c r="C173" s="11" t="inlineStr">
        <is>
          <t>Advisory / accountancy</t>
        </is>
      </c>
      <c r="D173" s="11" t="inlineStr">
        <is>
          <t>City of London</t>
        </is>
      </c>
      <c r="E173" s="11" t="inlineStr">
        <is>
          <t>Westonwilliamson+Partners LLP</t>
        </is>
      </c>
      <c r="F173" s="11" t="inlineStr">
        <is>
          <t>WestonWilliamson+Partners</t>
        </is>
      </c>
      <c r="G173" s="11" t="n"/>
      <c r="H173" s="11" t="inlineStr">
        <is>
          <t>studio@westonwilliamson.com</t>
        </is>
      </c>
      <c r="I173" s="11" t="inlineStr">
        <is>
          <t>general</t>
        </is>
      </c>
      <c r="J173" s="12" t="inlineStr">
        <is>
          <t>Open page</t>
        </is>
      </c>
      <c r="K173" s="11" t="inlineStr">
        <is>
          <t>OC375867</t>
        </is>
      </c>
      <c r="L173" s="12" t="inlineStr">
        <is>
          <t>Open</t>
        </is>
      </c>
      <c r="M173" s="11" t="inlineStr">
        <is>
          <t>Group</t>
        </is>
      </c>
      <c r="N173" s="13" t="n">
        <v>41067</v>
      </c>
      <c r="O173" s="11" t="inlineStr">
        <is>
          <t>12 Valentine Place, London</t>
        </is>
      </c>
      <c r="P173" s="11" t="inlineStr">
        <is>
          <t>SE1 8QH</t>
        </is>
      </c>
      <c r="Q173" s="11" t="inlineStr">
        <is>
          <t>No</t>
        </is>
      </c>
      <c r="W173" s="11" t="inlineStr">
        <is>
          <t>Borough Academy</t>
        </is>
      </c>
      <c r="X173" s="11" t="n">
        <v>7</v>
      </c>
      <c r="Y173" s="11" t="inlineStr">
        <is>
          <t>Marlborough Sports Garden (SE1 1SD) (14.4); City of London School (EC4V 3AL) (18.4)</t>
        </is>
      </c>
      <c r="Z173" s="11" t="inlineStr">
        <is>
          <t>City of London School (EC4V 3AL)</t>
        </is>
      </c>
      <c r="AA173" s="11" t="n">
        <v>18</v>
      </c>
      <c r="AB173" s="14">
        <f>IFERROR(INDEX(Venues!$E$2:$E$17,MATCH(Z173,Venues!$A$2:$A$17,0)),"Not checked")</f>
        <v/>
      </c>
      <c r="AC173" s="14">
        <f>IFERROR(INDEX(Venues!$F$2:$F$17,MATCH(Z173,Venues!$A$2:$A$17,0)),0)</f>
        <v/>
      </c>
      <c r="AD173" s="15">
        <f>IFERROR(INDEX(Venues!$M$2:$M$17,MATCH(Z173,Venues!$A$2:$A$17,0)),"")</f>
        <v/>
      </c>
      <c r="AE173" s="14">
        <f>IFERROR(INDEX(Venues!$N$2:$N$17,MATCH(Z173,Venues!$A$2:$A$17,0)),"5-a-side")</f>
        <v/>
      </c>
      <c r="AF173" s="16">
        <f>IF(Offer!$C$4="","",Offer!$C$4)</f>
        <v/>
      </c>
      <c r="AG173" s="14">
        <f>Z173&amp;" ("&amp;AA173&amp;" min walk) · "&amp;IF(ISNUMBER(AD173),TEXT(AD173,"ddd d mmm, hh:mm"),"slot to confirm with venue")&amp;" · "&amp;AE173&amp;" · "&amp;IF(AF173&lt;&gt;"","£"&amp;TEXT(AF173,"0.00")&amp;" pp","price TBC")</f>
        <v/>
      </c>
      <c r="AH173" s="14">
        <f>IF(U173&lt;&gt;"",U173,IF(H173&lt;&gt;"",H173,""))</f>
        <v/>
      </c>
      <c r="AI173" s="14">
        <f>"After-work football for "&amp;F173&amp;" · "&amp;Z173&amp;", "&amp;AA173&amp;" min from your office"</f>
        <v/>
      </c>
      <c r="AJ173" s="14">
        <f>"Hi "&amp;IF(R173&lt;&gt;"",R173,F173&amp;" team")&amp;","&amp;CHAR(10)&amp;CHAR(10)&amp;"I'm "&amp;IF(AM173&lt;&gt;"",AM173,IF(Offer!$C$5&lt;&gt;"",Offer!$C$5,"[NAME]"))&amp;" from FC Urban. We organise after-work football for teams in the City and Canary Wharf."&amp;CHAR(10)&amp;CHAR(10)&amp;"We have a "&amp;AE173&amp;" pitch at "&amp;Z173&amp;", "&amp;IF(OR(AA173=8,AA173=11,AA173=18),"an ","a ")&amp;AA173&amp;"-minute walk from your "&amp;P173&amp;" office, "&amp;IF(ISNUMBER(AD173),"on "&amp;TEXT(AD173,"dddd d mmmm")&amp;" at "&amp;TEXT(AD173,"hh:mm"),"on a weekday evening that suits your team")&amp;". It's "&amp;IF(AF173&lt;&gt;"","£"&amp;IF(AF173=INT(AF173),TEXT(AF173,"0"),TEXT(AF173,"0.00")),"[PRICE PER PLAYER]")&amp;" a player and we handle the pitch booking, sign-ups and payments, so all it takes is one person sharing a link with the team."&amp;CHAR(10)&amp;CHAR(10)&amp;"It works well as a team social or "&amp;IF(ISNUMBER(SEARCH(LEFT(F173,1),"AEIOU")),"an ","a ")&amp;F173&amp;"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LINK]")&amp;CHAR(10)&amp;CHAR(10)&amp;"Best,"&amp;CHAR(10)&amp;IF(AM173&lt;&gt;"",AM173,IF(Offer!$C$5&lt;&gt;"",Offer!$C$5,"[NAME]"))&amp;CHAR(10)&amp;"FC Urban"</f>
        <v/>
      </c>
      <c r="AK173" s="14">
        <f>"Hi "&amp;IF(R173&lt;&gt;"",R173,F173&amp;" team")&amp;","&amp;CHAR(10)&amp;CHAR(10)&amp;"Just bumping this up. The "&amp;AE173&amp;" pitch at "&amp;Z173&amp;" is still free "&amp;IF(ISNUMBER(AD173),TEXT(AD173,"ddd d mmm")&amp;", "&amp;TEXT(AD173,"hh:mm"),"weekday evenings")&amp;", "&amp;IF(OR(AA173=8,AA173=11,AA173=18),"an ","a ")&amp;AA173&amp;"-minute walk from your office, "&amp;IF(AF173&lt;&gt;"","£"&amp;IF(AF173=INT(AF173),TEXT(AF173,"0"),TEXT(AF173,"0.00")),"[PRICE PER PLAYER]")&amp;" a player. Happy to hold it for "&amp;F173&amp;"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LINK]")&amp;CHAR(10)&amp;CHAR(10)&amp;"Best,"&amp;CHAR(10)&amp;IF(AM173&lt;&gt;"",AM173,IF(Offer!$C$5&lt;&gt;"",Offer!$C$5,"[NAME]"))&amp;CHAR(10)&amp;"FC Urban"</f>
        <v/>
      </c>
      <c r="AL173" s="14">
        <f>IF(AH173="","No email yet",IF(ISNUMBER(SEARCH("[",AJ173)),"Fill placeholders",IF(ISNUMBER(AD173),"Ready to send","Ready · no fixed slot")))</f>
        <v/>
      </c>
      <c r="AO173" s="17" t="n"/>
      <c r="AP173" s="17" t="n"/>
    </row>
    <row r="174">
      <c r="A174" s="11" t="n">
        <v>172</v>
      </c>
      <c r="B174" s="11" t="n">
        <v>2</v>
      </c>
      <c r="C174" s="11" t="inlineStr">
        <is>
          <t>Insurance / broker</t>
        </is>
      </c>
      <c r="D174" s="11" t="inlineStr">
        <is>
          <t>City of London</t>
        </is>
      </c>
      <c r="E174" s="11" t="inlineStr">
        <is>
          <t>International Transport Intermediaries Club Limited</t>
        </is>
      </c>
      <c r="F174" s="11" t="inlineStr">
        <is>
          <t>International Transport Intermediaries Club</t>
        </is>
      </c>
      <c r="G174" s="11" t="n"/>
      <c r="H174" s="11" t="n"/>
      <c r="I174" s="11" t="inlineStr">
        <is>
          <t>Not found</t>
        </is>
      </c>
      <c r="J174" s="11" t="n"/>
      <c r="K174" s="11" t="inlineStr">
        <is>
          <t>02725312</t>
        </is>
      </c>
      <c r="L174" s="12" t="inlineStr">
        <is>
          <t>Open</t>
        </is>
      </c>
      <c r="M174" s="11" t="inlineStr">
        <is>
          <t>Group</t>
        </is>
      </c>
      <c r="N174" s="13" t="n">
        <v>33773</v>
      </c>
      <c r="O174" s="11" t="inlineStr">
        <is>
          <t>90 Fenchurch Street, London</t>
        </is>
      </c>
      <c r="P174" s="11" t="inlineStr">
        <is>
          <t>EC3M 4ST</t>
        </is>
      </c>
      <c r="Q174" s="11" t="inlineStr">
        <is>
          <t>No</t>
        </is>
      </c>
      <c r="W174" s="11" t="inlineStr">
        <is>
          <t>Liverpool St - Attlee Centre</t>
        </is>
      </c>
      <c r="X174" s="11" t="n">
        <v>10</v>
      </c>
      <c r="Y174" s="11" t="inlineStr">
        <is>
          <t>Shoreditch Powerleague (18.4)</t>
        </is>
      </c>
      <c r="Z174" s="11" t="inlineStr">
        <is>
          <t>Shoreditch Powerleague</t>
        </is>
      </c>
      <c r="AA174" s="11" t="n">
        <v>18</v>
      </c>
      <c r="AB174" s="14">
        <f>IFERROR(INDEX(Venues!$E$2:$E$17,MATCH(Z174,Venues!$A$2:$A$17,0)),"Not checked")</f>
        <v/>
      </c>
      <c r="AC174" s="14">
        <f>IFERROR(INDEX(Venues!$F$2:$F$17,MATCH(Z174,Venues!$A$2:$A$17,0)),0)</f>
        <v/>
      </c>
      <c r="AD174" s="15">
        <f>IFERROR(INDEX(Venues!$M$2:$M$17,MATCH(Z174,Venues!$A$2:$A$17,0)),"")</f>
        <v/>
      </c>
      <c r="AE174" s="14">
        <f>IFERROR(INDEX(Venues!$N$2:$N$17,MATCH(Z174,Venues!$A$2:$A$17,0)),"5-a-side")</f>
        <v/>
      </c>
      <c r="AF174" s="16">
        <f>IF(Offer!$C$4="","",Offer!$C$4)</f>
        <v/>
      </c>
      <c r="AG174" s="14">
        <f>Z174&amp;" ("&amp;AA174&amp;" min walk) · "&amp;IF(ISNUMBER(AD174),TEXT(AD174,"ddd d mmm, hh:mm"),"slot to confirm with venue")&amp;" · "&amp;AE174&amp;" · "&amp;IF(AF174&lt;&gt;"","£"&amp;TEXT(AF174,"0.00")&amp;" pp","price TBC")</f>
        <v/>
      </c>
      <c r="AH174" s="14">
        <f>IF(U174&lt;&gt;"",U174,IF(H174&lt;&gt;"",H174,""))</f>
        <v/>
      </c>
      <c r="AI174" s="14">
        <f>"After-work football for "&amp;F174&amp;" · "&amp;Z174&amp;", "&amp;AA174&amp;" min from your office"</f>
        <v/>
      </c>
      <c r="AJ174" s="14">
        <f>"Hi "&amp;IF(R174&lt;&gt;"",R174,F174&amp;" team")&amp;","&amp;CHAR(10)&amp;CHAR(10)&amp;"I'm "&amp;IF(AM174&lt;&gt;"",AM174,IF(Offer!$C$5&lt;&gt;"",Offer!$C$5,"[NAME]"))&amp;" from FC Urban. We organise after-work football for teams in the City and Canary Wharf."&amp;CHAR(10)&amp;CHAR(10)&amp;"We have a "&amp;AE174&amp;" pitch at "&amp;Z174&amp;", "&amp;IF(OR(AA174=8,AA174=11,AA174=18),"an ","a ")&amp;AA174&amp;"-minute walk from your "&amp;P174&amp;" office, "&amp;IF(ISNUMBER(AD174),"on "&amp;TEXT(AD174,"dddd d mmmm")&amp;" at "&amp;TEXT(AD174,"hh:mm"),"on a weekday evening that suits your team")&amp;". It's "&amp;IF(AF174&lt;&gt;"","£"&amp;IF(AF174=INT(AF174),TEXT(AF174,"0"),TEXT(AF174,"0.00")),"[PRICE PER PLAYER]")&amp;" a player and we handle the pitch booking, sign-ups and payments, so all it takes is one person sharing a link with the team."&amp;CHAR(10)&amp;CHAR(10)&amp;"It works well as a team social or "&amp;IF(ISNUMBER(SEARCH(LEFT(F174,1),"AEIOU")),"an ","a ")&amp;F174&amp;"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LINK]")&amp;CHAR(10)&amp;CHAR(10)&amp;"Best,"&amp;CHAR(10)&amp;IF(AM174&lt;&gt;"",AM174,IF(Offer!$C$5&lt;&gt;"",Offer!$C$5,"[NAME]"))&amp;CHAR(10)&amp;"FC Urban"</f>
        <v/>
      </c>
      <c r="AK174" s="14">
        <f>"Hi "&amp;IF(R174&lt;&gt;"",R174,F174&amp;" team")&amp;","&amp;CHAR(10)&amp;CHAR(10)&amp;"Just bumping this up. The "&amp;AE174&amp;" pitch at "&amp;Z174&amp;" is still free "&amp;IF(ISNUMBER(AD174),TEXT(AD174,"ddd d mmm")&amp;", "&amp;TEXT(AD174,"hh:mm"),"weekday evenings")&amp;", "&amp;IF(OR(AA174=8,AA174=11,AA174=18),"an ","a ")&amp;AA174&amp;"-minute walk from your office, "&amp;IF(AF174&lt;&gt;"","£"&amp;IF(AF174=INT(AF174),TEXT(AF174,"0"),TEXT(AF174,"0.00")),"[PRICE PER PLAYER]")&amp;" a player. Happy to hold it for "&amp;F174&amp;"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LINK]")&amp;CHAR(10)&amp;CHAR(10)&amp;"Best,"&amp;CHAR(10)&amp;IF(AM174&lt;&gt;"",AM174,IF(Offer!$C$5&lt;&gt;"",Offer!$C$5,"[NAME]"))&amp;CHAR(10)&amp;"FC Urban"</f>
        <v/>
      </c>
      <c r="AL174" s="14">
        <f>IF(AH174="","No email yet",IF(ISNUMBER(SEARCH("[",AJ174)),"Fill placeholders",IF(ISNUMBER(AD174),"Ready to send","Ready · no fixed slot")))</f>
        <v/>
      </c>
      <c r="AO174" s="17" t="n"/>
      <c r="AP174" s="17" t="n"/>
    </row>
    <row r="175">
      <c r="A175" s="11" t="n">
        <v>173</v>
      </c>
      <c r="B175" s="11" t="n">
        <v>2</v>
      </c>
      <c r="C175" s="11" t="inlineStr">
        <is>
          <t>Insurance / broker</t>
        </is>
      </c>
      <c r="D175" s="11" t="inlineStr">
        <is>
          <t>City of London</t>
        </is>
      </c>
      <c r="E175" s="11" t="inlineStr">
        <is>
          <t>The United Kingdom Mutual Steam Ship Assurance Association Limited</t>
        </is>
      </c>
      <c r="F175" s="11" t="inlineStr">
        <is>
          <t>United Kingdom Mutual Steam Ship Assurance Association</t>
        </is>
      </c>
      <c r="G175" s="11" t="n"/>
      <c r="H175" s="11" t="n"/>
      <c r="I175" s="11" t="inlineStr">
        <is>
          <t>Not found</t>
        </is>
      </c>
      <c r="J175" s="11" t="n"/>
      <c r="K175" s="11" t="inlineStr">
        <is>
          <t>00022215</t>
        </is>
      </c>
      <c r="L175" s="12" t="inlineStr">
        <is>
          <t>Open</t>
        </is>
      </c>
      <c r="M175" s="11" t="inlineStr">
        <is>
          <t>Group</t>
        </is>
      </c>
      <c r="N175" s="13" t="n">
        <v>-5063</v>
      </c>
      <c r="O175" s="11" t="inlineStr">
        <is>
          <t>90 Fenchurch Street, London</t>
        </is>
      </c>
      <c r="P175" s="11" t="inlineStr">
        <is>
          <t>EC3M 4ST</t>
        </is>
      </c>
      <c r="Q175" s="11" t="inlineStr">
        <is>
          <t>No</t>
        </is>
      </c>
      <c r="W175" s="11" t="inlineStr">
        <is>
          <t>Liverpool St - Attlee Centre</t>
        </is>
      </c>
      <c r="X175" s="11" t="n">
        <v>10</v>
      </c>
      <c r="Y175" s="11" t="inlineStr">
        <is>
          <t>Shoreditch Powerleague (18.4)</t>
        </is>
      </c>
      <c r="Z175" s="11" t="inlineStr">
        <is>
          <t>Shoreditch Powerleague</t>
        </is>
      </c>
      <c r="AA175" s="11" t="n">
        <v>18</v>
      </c>
      <c r="AB175" s="14">
        <f>IFERROR(INDEX(Venues!$E$2:$E$17,MATCH(Z175,Venues!$A$2:$A$17,0)),"Not checked")</f>
        <v/>
      </c>
      <c r="AC175" s="14">
        <f>IFERROR(INDEX(Venues!$F$2:$F$17,MATCH(Z175,Venues!$A$2:$A$17,0)),0)</f>
        <v/>
      </c>
      <c r="AD175" s="15">
        <f>IFERROR(INDEX(Venues!$M$2:$M$17,MATCH(Z175,Venues!$A$2:$A$17,0)),"")</f>
        <v/>
      </c>
      <c r="AE175" s="14">
        <f>IFERROR(INDEX(Venues!$N$2:$N$17,MATCH(Z175,Venues!$A$2:$A$17,0)),"5-a-side")</f>
        <v/>
      </c>
      <c r="AF175" s="16">
        <f>IF(Offer!$C$4="","",Offer!$C$4)</f>
        <v/>
      </c>
      <c r="AG175" s="14">
        <f>Z175&amp;" ("&amp;AA175&amp;" min walk) · "&amp;IF(ISNUMBER(AD175),TEXT(AD175,"ddd d mmm, hh:mm"),"slot to confirm with venue")&amp;" · "&amp;AE175&amp;" · "&amp;IF(AF175&lt;&gt;"","£"&amp;TEXT(AF175,"0.00")&amp;" pp","price TBC")</f>
        <v/>
      </c>
      <c r="AH175" s="14">
        <f>IF(U175&lt;&gt;"",U175,IF(H175&lt;&gt;"",H175,""))</f>
        <v/>
      </c>
      <c r="AI175" s="14">
        <f>"After-work football for "&amp;F175&amp;" · "&amp;Z175&amp;", "&amp;AA175&amp;" min from your office"</f>
        <v/>
      </c>
      <c r="AJ175" s="14">
        <f>"Hi "&amp;IF(R175&lt;&gt;"",R175,F175&amp;" team")&amp;","&amp;CHAR(10)&amp;CHAR(10)&amp;"I'm "&amp;IF(AM175&lt;&gt;"",AM175,IF(Offer!$C$5&lt;&gt;"",Offer!$C$5,"[NAME]"))&amp;" from FC Urban. We organise after-work football for teams in the City and Canary Wharf."&amp;CHAR(10)&amp;CHAR(10)&amp;"We have a "&amp;AE175&amp;" pitch at "&amp;Z175&amp;", "&amp;IF(OR(AA175=8,AA175=11,AA175=18),"an ","a ")&amp;AA175&amp;"-minute walk from your "&amp;P175&amp;" office, "&amp;IF(ISNUMBER(AD175),"on "&amp;TEXT(AD175,"dddd d mmmm")&amp;" at "&amp;TEXT(AD175,"hh:mm"),"on a weekday evening that suits your team")&amp;". It's "&amp;IF(AF175&lt;&gt;"","£"&amp;IF(AF175=INT(AF175),TEXT(AF175,"0"),TEXT(AF175,"0.00")),"[PRICE PER PLAYER]")&amp;" a player and we handle the pitch booking, sign-ups and payments, so all it takes is one person sharing a link with the team."&amp;CHAR(10)&amp;CHAR(10)&amp;"It works well as a team social or "&amp;IF(ISNUMBER(SEARCH(LEFT(F175,1),"AEIOU")),"an ","a ")&amp;F175&amp;"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LINK]")&amp;CHAR(10)&amp;CHAR(10)&amp;"Best,"&amp;CHAR(10)&amp;IF(AM175&lt;&gt;"",AM175,IF(Offer!$C$5&lt;&gt;"",Offer!$C$5,"[NAME]"))&amp;CHAR(10)&amp;"FC Urban"</f>
        <v/>
      </c>
      <c r="AK175" s="14">
        <f>"Hi "&amp;IF(R175&lt;&gt;"",R175,F175&amp;" team")&amp;","&amp;CHAR(10)&amp;CHAR(10)&amp;"Just bumping this up. The "&amp;AE175&amp;" pitch at "&amp;Z175&amp;" is still free "&amp;IF(ISNUMBER(AD175),TEXT(AD175,"ddd d mmm")&amp;", "&amp;TEXT(AD175,"hh:mm"),"weekday evenings")&amp;", "&amp;IF(OR(AA175=8,AA175=11,AA175=18),"an ","a ")&amp;AA175&amp;"-minute walk from your office, "&amp;IF(AF175&lt;&gt;"","£"&amp;IF(AF175=INT(AF175),TEXT(AF175,"0"),TEXT(AF175,"0.00")),"[PRICE PER PLAYER]")&amp;" a player. Happy to hold it for "&amp;F175&amp;"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LINK]")&amp;CHAR(10)&amp;CHAR(10)&amp;"Best,"&amp;CHAR(10)&amp;IF(AM175&lt;&gt;"",AM175,IF(Offer!$C$5&lt;&gt;"",Offer!$C$5,"[NAME]"))&amp;CHAR(10)&amp;"FC Urban"</f>
        <v/>
      </c>
      <c r="AL175" s="14">
        <f>IF(AH175="","No email yet",IF(ISNUMBER(SEARCH("[",AJ175)),"Fill placeholders",IF(ISNUMBER(AD175),"Ready to send","Ready · no fixed slot")))</f>
        <v/>
      </c>
      <c r="AO175" s="17" t="n"/>
      <c r="AP175" s="17" t="n"/>
    </row>
    <row r="176">
      <c r="A176" s="11" t="n">
        <v>174</v>
      </c>
      <c r="B176" s="11" t="n">
        <v>2</v>
      </c>
      <c r="C176" s="11" t="inlineStr">
        <is>
          <t>Insurance / broker</t>
        </is>
      </c>
      <c r="D176" s="11" t="inlineStr">
        <is>
          <t>City of London</t>
        </is>
      </c>
      <c r="E176" s="11" t="inlineStr">
        <is>
          <t>The London Steam-Ship Owners' Mutual Insurance Association Limited</t>
        </is>
      </c>
      <c r="F176" s="11" t="inlineStr">
        <is>
          <t>London Steam-Ship Owners' Mutual Insurance Association</t>
        </is>
      </c>
      <c r="G176" s="11" t="n"/>
      <c r="H176" s="11" t="n"/>
      <c r="I176" s="11" t="inlineStr">
        <is>
          <t>Not found</t>
        </is>
      </c>
      <c r="J176" s="11" t="n"/>
      <c r="K176" s="11" t="inlineStr">
        <is>
          <t>00010341</t>
        </is>
      </c>
      <c r="L176" s="12" t="inlineStr">
        <is>
          <t>Open</t>
        </is>
      </c>
      <c r="M176" s="11" t="inlineStr">
        <is>
          <t>Group</t>
        </is>
      </c>
      <c r="N176" s="13" t="n">
        <v>-8715</v>
      </c>
      <c r="O176" s="11" t="inlineStr">
        <is>
          <t>50 Leman Street, London</t>
        </is>
      </c>
      <c r="P176" s="11" t="inlineStr">
        <is>
          <t>E1 8HQ</t>
        </is>
      </c>
      <c r="Q176" s="11" t="inlineStr">
        <is>
          <t>No</t>
        </is>
      </c>
      <c r="W176" s="11" t="inlineStr">
        <is>
          <t>Liverpool St - Attlee Centre</t>
        </is>
      </c>
      <c r="X176" s="11" t="n">
        <v>8</v>
      </c>
      <c r="Y176" s="11" t="inlineStr">
        <is>
          <t>Whitechapel (11.8); Shoreditch Powerleague (18.5)</t>
        </is>
      </c>
      <c r="Z176" s="11" t="inlineStr">
        <is>
          <t>Shoreditch Powerleague</t>
        </is>
      </c>
      <c r="AA176" s="11" t="n">
        <v>18</v>
      </c>
      <c r="AB176" s="14">
        <f>IFERROR(INDEX(Venues!$E$2:$E$17,MATCH(Z176,Venues!$A$2:$A$17,0)),"Not checked")</f>
        <v/>
      </c>
      <c r="AC176" s="14">
        <f>IFERROR(INDEX(Venues!$F$2:$F$17,MATCH(Z176,Venues!$A$2:$A$17,0)),0)</f>
        <v/>
      </c>
      <c r="AD176" s="15">
        <f>IFERROR(INDEX(Venues!$M$2:$M$17,MATCH(Z176,Venues!$A$2:$A$17,0)),"")</f>
        <v/>
      </c>
      <c r="AE176" s="14">
        <f>IFERROR(INDEX(Venues!$N$2:$N$17,MATCH(Z176,Venues!$A$2:$A$17,0)),"5-a-side")</f>
        <v/>
      </c>
      <c r="AF176" s="16">
        <f>IF(Offer!$C$4="","",Offer!$C$4)</f>
        <v/>
      </c>
      <c r="AG176" s="14">
        <f>Z176&amp;" ("&amp;AA176&amp;" min walk) · "&amp;IF(ISNUMBER(AD176),TEXT(AD176,"ddd d mmm, hh:mm"),"slot to confirm with venue")&amp;" · "&amp;AE176&amp;" · "&amp;IF(AF176&lt;&gt;"","£"&amp;TEXT(AF176,"0.00")&amp;" pp","price TBC")</f>
        <v/>
      </c>
      <c r="AH176" s="14">
        <f>IF(U176&lt;&gt;"",U176,IF(H176&lt;&gt;"",H176,""))</f>
        <v/>
      </c>
      <c r="AI176" s="14">
        <f>"After-work football for "&amp;F176&amp;" · "&amp;Z176&amp;", "&amp;AA176&amp;" min from your office"</f>
        <v/>
      </c>
      <c r="AJ176" s="14">
        <f>"Hi "&amp;IF(R176&lt;&gt;"",R176,F176&amp;" team")&amp;","&amp;CHAR(10)&amp;CHAR(10)&amp;"I'm "&amp;IF(AM176&lt;&gt;"",AM176,IF(Offer!$C$5&lt;&gt;"",Offer!$C$5,"[NAME]"))&amp;" from FC Urban. We organise after-work football for teams in the City and Canary Wharf."&amp;CHAR(10)&amp;CHAR(10)&amp;"We have a "&amp;AE176&amp;" pitch at "&amp;Z176&amp;", "&amp;IF(OR(AA176=8,AA176=11,AA176=18),"an ","a ")&amp;AA176&amp;"-minute walk from your "&amp;P176&amp;" office, "&amp;IF(ISNUMBER(AD176),"on "&amp;TEXT(AD176,"dddd d mmmm")&amp;" at "&amp;TEXT(AD176,"hh:mm"),"on a weekday evening that suits your team")&amp;". It's "&amp;IF(AF176&lt;&gt;"","£"&amp;IF(AF176=INT(AF176),TEXT(AF176,"0"),TEXT(AF176,"0.00")),"[PRICE PER PLAYER]")&amp;" a player and we handle the pitch booking, sign-ups and payments, so all it takes is one person sharing a link with the team."&amp;CHAR(10)&amp;CHAR(10)&amp;"It works well as a team social or "&amp;IF(ISNUMBER(SEARCH(LEFT(F176,1),"AEIOU")),"an ","a ")&amp;F176&amp;"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LINK]")&amp;CHAR(10)&amp;CHAR(10)&amp;"Best,"&amp;CHAR(10)&amp;IF(AM176&lt;&gt;"",AM176,IF(Offer!$C$5&lt;&gt;"",Offer!$C$5,"[NAME]"))&amp;CHAR(10)&amp;"FC Urban"</f>
        <v/>
      </c>
      <c r="AK176" s="14">
        <f>"Hi "&amp;IF(R176&lt;&gt;"",R176,F176&amp;" team")&amp;","&amp;CHAR(10)&amp;CHAR(10)&amp;"Just bumping this up. The "&amp;AE176&amp;" pitch at "&amp;Z176&amp;" is still free "&amp;IF(ISNUMBER(AD176),TEXT(AD176,"ddd d mmm")&amp;", "&amp;TEXT(AD176,"hh:mm"),"weekday evenings")&amp;", "&amp;IF(OR(AA176=8,AA176=11,AA176=18),"an ","a ")&amp;AA176&amp;"-minute walk from your office, "&amp;IF(AF176&lt;&gt;"","£"&amp;IF(AF176=INT(AF176),TEXT(AF176,"0"),TEXT(AF176,"0.00")),"[PRICE PER PLAYER]")&amp;" a player. Happy to hold it for "&amp;F176&amp;"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LINK]")&amp;CHAR(10)&amp;CHAR(10)&amp;"Best,"&amp;CHAR(10)&amp;IF(AM176&lt;&gt;"",AM176,IF(Offer!$C$5&lt;&gt;"",Offer!$C$5,"[NAME]"))&amp;CHAR(10)&amp;"FC Urban"</f>
        <v/>
      </c>
      <c r="AL176" s="14">
        <f>IF(AH176="","No email yet",IF(ISNUMBER(SEARCH("[",AJ176)),"Fill placeholders",IF(ISNUMBER(AD176),"Ready to send","Ready · no fixed slot")))</f>
        <v/>
      </c>
      <c r="AO176" s="17" t="n"/>
      <c r="AP176" s="17" t="n"/>
    </row>
    <row r="177">
      <c r="A177" s="11" t="n">
        <v>175</v>
      </c>
      <c r="B177" s="11" t="n">
        <v>2</v>
      </c>
      <c r="C177" s="11" t="inlineStr">
        <is>
          <t>Insurance / broker</t>
        </is>
      </c>
      <c r="D177" s="11" t="inlineStr">
        <is>
          <t>City of London</t>
        </is>
      </c>
      <c r="E177" s="11" t="inlineStr">
        <is>
          <t>Brit Group Holdings Limited</t>
        </is>
      </c>
      <c r="F177" s="11" t="inlineStr">
        <is>
          <t>Brit</t>
        </is>
      </c>
      <c r="G177" s="11" t="n"/>
      <c r="H177" s="11" t="n"/>
      <c r="I177" s="11" t="inlineStr">
        <is>
          <t>Not found</t>
        </is>
      </c>
      <c r="J177" s="11" t="n"/>
      <c r="K177" s="11" t="inlineStr">
        <is>
          <t>15884169</t>
        </is>
      </c>
      <c r="L177" s="12" t="inlineStr">
        <is>
          <t>Open</t>
        </is>
      </c>
      <c r="M177" s="11" t="inlineStr">
        <is>
          <t>Group</t>
        </is>
      </c>
      <c r="N177" s="13" t="n">
        <v>45511</v>
      </c>
      <c r="O177" s="11" t="inlineStr">
        <is>
          <t>122 Leadenhall Street, London</t>
        </is>
      </c>
      <c r="P177" s="11" t="inlineStr">
        <is>
          <t>EC3V 4AB</t>
        </is>
      </c>
      <c r="Q177" s="11" t="inlineStr">
        <is>
          <t>No</t>
        </is>
      </c>
      <c r="W177" s="11" t="inlineStr">
        <is>
          <t>Liverpool St - Attlee Centre</t>
        </is>
      </c>
      <c r="X177" s="11" t="n">
        <v>13</v>
      </c>
      <c r="Y177" s="11" t="inlineStr">
        <is>
          <t>Shoreditch Powerleague (18.7)</t>
        </is>
      </c>
      <c r="Z177" s="11" t="inlineStr">
        <is>
          <t>Shoreditch Powerleague</t>
        </is>
      </c>
      <c r="AA177" s="11" t="n">
        <v>19</v>
      </c>
      <c r="AB177" s="14">
        <f>IFERROR(INDEX(Venues!$E$2:$E$17,MATCH(Z177,Venues!$A$2:$A$17,0)),"Not checked")</f>
        <v/>
      </c>
      <c r="AC177" s="14">
        <f>IFERROR(INDEX(Venues!$F$2:$F$17,MATCH(Z177,Venues!$A$2:$A$17,0)),0)</f>
        <v/>
      </c>
      <c r="AD177" s="15">
        <f>IFERROR(INDEX(Venues!$M$2:$M$17,MATCH(Z177,Venues!$A$2:$A$17,0)),"")</f>
        <v/>
      </c>
      <c r="AE177" s="14">
        <f>IFERROR(INDEX(Venues!$N$2:$N$17,MATCH(Z177,Venues!$A$2:$A$17,0)),"5-a-side")</f>
        <v/>
      </c>
      <c r="AF177" s="16">
        <f>IF(Offer!$C$4="","",Offer!$C$4)</f>
        <v/>
      </c>
      <c r="AG177" s="14">
        <f>Z177&amp;" ("&amp;AA177&amp;" min walk) · "&amp;IF(ISNUMBER(AD177),TEXT(AD177,"ddd d mmm, hh:mm"),"slot to confirm with venue")&amp;" · "&amp;AE177&amp;" · "&amp;IF(AF177&lt;&gt;"","£"&amp;TEXT(AF177,"0.00")&amp;" pp","price TBC")</f>
        <v/>
      </c>
      <c r="AH177" s="14">
        <f>IF(U177&lt;&gt;"",U177,IF(H177&lt;&gt;"",H177,""))</f>
        <v/>
      </c>
      <c r="AI177" s="14">
        <f>"After-work football for "&amp;F177&amp;" · "&amp;Z177&amp;", "&amp;AA177&amp;" min from your office"</f>
        <v/>
      </c>
      <c r="AJ177" s="14">
        <f>"Hi "&amp;IF(R177&lt;&gt;"",R177,F177&amp;" team")&amp;","&amp;CHAR(10)&amp;CHAR(10)&amp;"I'm "&amp;IF(AM177&lt;&gt;"",AM177,IF(Offer!$C$5&lt;&gt;"",Offer!$C$5,"[NAME]"))&amp;" from FC Urban. We organise after-work football for teams in the City and Canary Wharf."&amp;CHAR(10)&amp;CHAR(10)&amp;"We have a "&amp;AE177&amp;" pitch at "&amp;Z177&amp;", "&amp;IF(OR(AA177=8,AA177=11,AA177=18),"an ","a ")&amp;AA177&amp;"-minute walk from your "&amp;P177&amp;" office, "&amp;IF(ISNUMBER(AD177),"on "&amp;TEXT(AD177,"dddd d mmmm")&amp;" at "&amp;TEXT(AD177,"hh:mm"),"on a weekday evening that suits your team")&amp;". It's "&amp;IF(AF177&lt;&gt;"","£"&amp;IF(AF177=INT(AF177),TEXT(AF177,"0"),TEXT(AF177,"0.00")),"[PRICE PER PLAYER]")&amp;" a player and we handle the pitch booking, sign-ups and payments, so all it takes is one person sharing a link with the team."&amp;CHAR(10)&amp;CHAR(10)&amp;"It works well as a team social or "&amp;IF(ISNUMBER(SEARCH(LEFT(F177,1),"AEIOU")),"an ","a ")&amp;F177&amp;"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LINK]")&amp;CHAR(10)&amp;CHAR(10)&amp;"Best,"&amp;CHAR(10)&amp;IF(AM177&lt;&gt;"",AM177,IF(Offer!$C$5&lt;&gt;"",Offer!$C$5,"[NAME]"))&amp;CHAR(10)&amp;"FC Urban"</f>
        <v/>
      </c>
      <c r="AK177" s="14">
        <f>"Hi "&amp;IF(R177&lt;&gt;"",R177,F177&amp;" team")&amp;","&amp;CHAR(10)&amp;CHAR(10)&amp;"Just bumping this up. The "&amp;AE177&amp;" pitch at "&amp;Z177&amp;" is still free "&amp;IF(ISNUMBER(AD177),TEXT(AD177,"ddd d mmm")&amp;", "&amp;TEXT(AD177,"hh:mm"),"weekday evenings")&amp;", "&amp;IF(OR(AA177=8,AA177=11,AA177=18),"an ","a ")&amp;AA177&amp;"-minute walk from your office, "&amp;IF(AF177&lt;&gt;"","£"&amp;IF(AF177=INT(AF177),TEXT(AF177,"0"),TEXT(AF177,"0.00")),"[PRICE PER PLAYER]")&amp;" a player. Happy to hold it for "&amp;F177&amp;"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LINK]")&amp;CHAR(10)&amp;CHAR(10)&amp;"Best,"&amp;CHAR(10)&amp;IF(AM177&lt;&gt;"",AM177,IF(Offer!$C$5&lt;&gt;"",Offer!$C$5,"[NAME]"))&amp;CHAR(10)&amp;"FC Urban"</f>
        <v/>
      </c>
      <c r="AL177" s="14">
        <f>IF(AH177="","No email yet",IF(ISNUMBER(SEARCH("[",AJ177)),"Fill placeholders",IF(ISNUMBER(AD177),"Ready to send","Ready · no fixed slot")))</f>
        <v/>
      </c>
      <c r="AO177" s="17" t="n"/>
      <c r="AP177" s="17" t="n"/>
    </row>
    <row r="178">
      <c r="A178" s="11" t="n">
        <v>176</v>
      </c>
      <c r="B178" s="11" t="n">
        <v>2</v>
      </c>
      <c r="C178" s="11" t="inlineStr">
        <is>
          <t>Insurance / broker</t>
        </is>
      </c>
      <c r="D178" s="11" t="inlineStr">
        <is>
          <t>City of London</t>
        </is>
      </c>
      <c r="E178" s="11" t="inlineStr">
        <is>
          <t>Pine Walk Capital Limited</t>
        </is>
      </c>
      <c r="F178" s="11" t="inlineStr">
        <is>
          <t>Pine Walk Capital</t>
        </is>
      </c>
      <c r="G178" s="12" t="inlineStr">
        <is>
          <t>https://www.pinewalkcapital.com</t>
        </is>
      </c>
      <c r="H178" s="11" t="n"/>
      <c r="I178" s="11" t="inlineStr">
        <is>
          <t>Not found</t>
        </is>
      </c>
      <c r="J178" s="11" t="n"/>
      <c r="K178" s="11" t="inlineStr">
        <is>
          <t>10846939</t>
        </is>
      </c>
      <c r="L178" s="12" t="inlineStr">
        <is>
          <t>Open</t>
        </is>
      </c>
      <c r="M178" s="11" t="inlineStr">
        <is>
          <t>Group</t>
        </is>
      </c>
      <c r="N178" s="13" t="n">
        <v>42919</v>
      </c>
      <c r="O178" s="11" t="inlineStr">
        <is>
          <t>22 Bishopsgate Level 42, London</t>
        </is>
      </c>
      <c r="P178" s="11" t="inlineStr">
        <is>
          <t>EC2N 4BQ</t>
        </is>
      </c>
      <c r="Q178" s="11" t="inlineStr">
        <is>
          <t>Yes</t>
        </is>
      </c>
      <c r="W178" s="11" t="inlineStr">
        <is>
          <t>Liverpool St - Attlee Centre</t>
        </is>
      </c>
      <c r="X178" s="11" t="n">
        <v>14</v>
      </c>
      <c r="Y178" s="11" t="inlineStr">
        <is>
          <t>City of London School (EC4V 3AL) (18.7); Shoreditch Powerleague (18.7)</t>
        </is>
      </c>
      <c r="Z178" s="11" t="inlineStr">
        <is>
          <t>City of London School (EC4V 3AL)</t>
        </is>
      </c>
      <c r="AA178" s="11" t="n">
        <v>19</v>
      </c>
      <c r="AB178" s="14">
        <f>IFERROR(INDEX(Venues!$E$2:$E$17,MATCH(Z178,Venues!$A$2:$A$17,0)),"Not checked")</f>
        <v/>
      </c>
      <c r="AC178" s="14">
        <f>IFERROR(INDEX(Venues!$F$2:$F$17,MATCH(Z178,Venues!$A$2:$A$17,0)),0)</f>
        <v/>
      </c>
      <c r="AD178" s="15">
        <f>IFERROR(INDEX(Venues!$M$2:$M$17,MATCH(Z178,Venues!$A$2:$A$17,0)),"")</f>
        <v/>
      </c>
      <c r="AE178" s="14">
        <f>IFERROR(INDEX(Venues!$N$2:$N$17,MATCH(Z178,Venues!$A$2:$A$17,0)),"5-a-side")</f>
        <v/>
      </c>
      <c r="AF178" s="16">
        <f>IF(Offer!$C$4="","",Offer!$C$4)</f>
        <v/>
      </c>
      <c r="AG178" s="14">
        <f>Z178&amp;" ("&amp;AA178&amp;" min walk) · "&amp;IF(ISNUMBER(AD178),TEXT(AD178,"ddd d mmm, hh:mm"),"slot to confirm with venue")&amp;" · "&amp;AE178&amp;" · "&amp;IF(AF178&lt;&gt;"","£"&amp;TEXT(AF178,"0.00")&amp;" pp","price TBC")</f>
        <v/>
      </c>
      <c r="AH178" s="14">
        <f>IF(U178&lt;&gt;"",U178,IF(H178&lt;&gt;"",H178,""))</f>
        <v/>
      </c>
      <c r="AI178" s="14">
        <f>"After-work football for "&amp;F178&amp;" · "&amp;Z178&amp;", "&amp;AA178&amp;" min from your office"</f>
        <v/>
      </c>
      <c r="AJ178" s="14">
        <f>"Hi "&amp;IF(R178&lt;&gt;"",R178,F178&amp;" team")&amp;","&amp;CHAR(10)&amp;CHAR(10)&amp;"I'm "&amp;IF(AM178&lt;&gt;"",AM178,IF(Offer!$C$5&lt;&gt;"",Offer!$C$5,"[NAME]"))&amp;" from FC Urban. We organise after-work football for teams in the City and Canary Wharf."&amp;CHAR(10)&amp;CHAR(10)&amp;"We have a "&amp;AE178&amp;" pitch at "&amp;Z178&amp;", "&amp;IF(OR(AA178=8,AA178=11,AA178=18),"an ","a ")&amp;AA178&amp;"-minute walk from your "&amp;P178&amp;" office, "&amp;IF(ISNUMBER(AD178),"on "&amp;TEXT(AD178,"dddd d mmmm")&amp;" at "&amp;TEXT(AD178,"hh:mm"),"on a weekday evening that suits your team")&amp;". It's "&amp;IF(AF178&lt;&gt;"","£"&amp;IF(AF178=INT(AF178),TEXT(AF178,"0"),TEXT(AF178,"0.00")),"[PRICE PER PLAYER]")&amp;" a player and we handle the pitch booking, sign-ups and payments, so all it takes is one person sharing a link with the team."&amp;CHAR(10)&amp;CHAR(10)&amp;"It works well as a team social or "&amp;IF(ISNUMBER(SEARCH(LEFT(F178,1),"AEIOU")),"an ","a ")&amp;F178&amp;"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LINK]")&amp;CHAR(10)&amp;CHAR(10)&amp;"Best,"&amp;CHAR(10)&amp;IF(AM178&lt;&gt;"",AM178,IF(Offer!$C$5&lt;&gt;"",Offer!$C$5,"[NAME]"))&amp;CHAR(10)&amp;"FC Urban"</f>
        <v/>
      </c>
      <c r="AK178" s="14">
        <f>"Hi "&amp;IF(R178&lt;&gt;"",R178,F178&amp;" team")&amp;","&amp;CHAR(10)&amp;CHAR(10)&amp;"Just bumping this up. The "&amp;AE178&amp;" pitch at "&amp;Z178&amp;" is still free "&amp;IF(ISNUMBER(AD178),TEXT(AD178,"ddd d mmm")&amp;", "&amp;TEXT(AD178,"hh:mm"),"weekday evenings")&amp;", "&amp;IF(OR(AA178=8,AA178=11,AA178=18),"an ","a ")&amp;AA178&amp;"-minute walk from your office, "&amp;IF(AF178&lt;&gt;"","£"&amp;IF(AF178=INT(AF178),TEXT(AF178,"0"),TEXT(AF178,"0.00")),"[PRICE PER PLAYER]")&amp;" a player. Happy to hold it for "&amp;F178&amp;"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LINK]")&amp;CHAR(10)&amp;CHAR(10)&amp;"Best,"&amp;CHAR(10)&amp;IF(AM178&lt;&gt;"",AM178,IF(Offer!$C$5&lt;&gt;"",Offer!$C$5,"[NAME]"))&amp;CHAR(10)&amp;"FC Urban"</f>
        <v/>
      </c>
      <c r="AL178" s="14">
        <f>IF(AH178="","No email yet",IF(ISNUMBER(SEARCH("[",AJ178)),"Fill placeholders",IF(ISNUMBER(AD178),"Ready to send","Ready · no fixed slot")))</f>
        <v/>
      </c>
      <c r="AO178" s="17" t="n"/>
      <c r="AP178" s="17" t="n"/>
    </row>
    <row r="179">
      <c r="A179" s="11" t="n">
        <v>177</v>
      </c>
      <c r="B179" s="11" t="n">
        <v>2</v>
      </c>
      <c r="C179" s="11" t="inlineStr">
        <is>
          <t>Insurance / broker</t>
        </is>
      </c>
      <c r="D179" s="11" t="inlineStr">
        <is>
          <t>City of London</t>
        </is>
      </c>
      <c r="E179" s="11" t="inlineStr">
        <is>
          <t>Wealth Wizards Limited</t>
        </is>
      </c>
      <c r="F179" s="11" t="inlineStr">
        <is>
          <t>Wealth Wizards</t>
        </is>
      </c>
      <c r="G179" s="12" t="inlineStr">
        <is>
          <t>https://company.wizards.com</t>
        </is>
      </c>
      <c r="H179" s="11" t="inlineStr">
        <is>
          <t>press@wizards.com</t>
        </is>
      </c>
      <c r="I179" s="11" t="inlineStr">
        <is>
          <t>role (press / marketing)</t>
        </is>
      </c>
      <c r="J179" s="12" t="inlineStr">
        <is>
          <t>Open page</t>
        </is>
      </c>
      <c r="K179" s="11" t="inlineStr">
        <is>
          <t>07014133</t>
        </is>
      </c>
      <c r="L179" s="12" t="inlineStr">
        <is>
          <t>Open</t>
        </is>
      </c>
      <c r="M179" s="11" t="inlineStr">
        <is>
          <t>Group</t>
        </is>
      </c>
      <c r="N179" s="13" t="n">
        <v>40065</v>
      </c>
      <c r="O179" s="11" t="inlineStr">
        <is>
          <t>80 Fenchurch Street, London</t>
        </is>
      </c>
      <c r="P179" s="11" t="inlineStr">
        <is>
          <t>EC3M 4BY</t>
        </is>
      </c>
      <c r="Q179" s="11" t="inlineStr">
        <is>
          <t>No</t>
        </is>
      </c>
      <c r="W179" s="11" t="inlineStr">
        <is>
          <t>Liverpool St - Attlee Centre</t>
        </is>
      </c>
      <c r="X179" s="11" t="n">
        <v>10</v>
      </c>
      <c r="Y179" s="11" t="inlineStr">
        <is>
          <t>Shoreditch Powerleague (18.7)</t>
        </is>
      </c>
      <c r="Z179" s="11" t="inlineStr">
        <is>
          <t>Shoreditch Powerleague</t>
        </is>
      </c>
      <c r="AA179" s="11" t="n">
        <v>19</v>
      </c>
      <c r="AB179" s="14">
        <f>IFERROR(INDEX(Venues!$E$2:$E$17,MATCH(Z179,Venues!$A$2:$A$17,0)),"Not checked")</f>
        <v/>
      </c>
      <c r="AC179" s="14">
        <f>IFERROR(INDEX(Venues!$F$2:$F$17,MATCH(Z179,Venues!$A$2:$A$17,0)),0)</f>
        <v/>
      </c>
      <c r="AD179" s="15">
        <f>IFERROR(INDEX(Venues!$M$2:$M$17,MATCH(Z179,Venues!$A$2:$A$17,0)),"")</f>
        <v/>
      </c>
      <c r="AE179" s="14">
        <f>IFERROR(INDEX(Venues!$N$2:$N$17,MATCH(Z179,Venues!$A$2:$A$17,0)),"5-a-side")</f>
        <v/>
      </c>
      <c r="AF179" s="16">
        <f>IF(Offer!$C$4="","",Offer!$C$4)</f>
        <v/>
      </c>
      <c r="AG179" s="14">
        <f>Z179&amp;" ("&amp;AA179&amp;" min walk) · "&amp;IF(ISNUMBER(AD179),TEXT(AD179,"ddd d mmm, hh:mm"),"slot to confirm with venue")&amp;" · "&amp;AE179&amp;" · "&amp;IF(AF179&lt;&gt;"","£"&amp;TEXT(AF179,"0.00")&amp;" pp","price TBC")</f>
        <v/>
      </c>
      <c r="AH179" s="14">
        <f>IF(U179&lt;&gt;"",U179,IF(H179&lt;&gt;"",H179,""))</f>
        <v/>
      </c>
      <c r="AI179" s="14">
        <f>"After-work football for "&amp;F179&amp;" · "&amp;Z179&amp;", "&amp;AA179&amp;" min from your office"</f>
        <v/>
      </c>
      <c r="AJ179" s="14">
        <f>"Hi "&amp;IF(R179&lt;&gt;"",R179,F179&amp;" team")&amp;","&amp;CHAR(10)&amp;CHAR(10)&amp;"I'm "&amp;IF(AM179&lt;&gt;"",AM179,IF(Offer!$C$5&lt;&gt;"",Offer!$C$5,"[NAME]"))&amp;" from FC Urban. We organise after-work football for teams in the City and Canary Wharf."&amp;CHAR(10)&amp;CHAR(10)&amp;"We have a "&amp;AE179&amp;" pitch at "&amp;Z179&amp;", "&amp;IF(OR(AA179=8,AA179=11,AA179=18),"an ","a ")&amp;AA179&amp;"-minute walk from your "&amp;P179&amp;" office, "&amp;IF(ISNUMBER(AD179),"on "&amp;TEXT(AD179,"dddd d mmmm")&amp;" at "&amp;TEXT(AD179,"hh:mm"),"on a weekday evening that suits your team")&amp;". It's "&amp;IF(AF179&lt;&gt;"","£"&amp;IF(AF179=INT(AF179),TEXT(AF179,"0"),TEXT(AF179,"0.00")),"[PRICE PER PLAYER]")&amp;" a player and we handle the pitch booking, sign-ups and payments, so all it takes is one person sharing a link with the team."&amp;CHAR(10)&amp;CHAR(10)&amp;"It works well as a team social or "&amp;IF(ISNUMBER(SEARCH(LEFT(F179,1),"AEIOU")),"an ","a ")&amp;F179&amp;"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LINK]")&amp;CHAR(10)&amp;CHAR(10)&amp;"Best,"&amp;CHAR(10)&amp;IF(AM179&lt;&gt;"",AM179,IF(Offer!$C$5&lt;&gt;"",Offer!$C$5,"[NAME]"))&amp;CHAR(10)&amp;"FC Urban"</f>
        <v/>
      </c>
      <c r="AK179" s="14">
        <f>"Hi "&amp;IF(R179&lt;&gt;"",R179,F179&amp;" team")&amp;","&amp;CHAR(10)&amp;CHAR(10)&amp;"Just bumping this up. The "&amp;AE179&amp;" pitch at "&amp;Z179&amp;" is still free "&amp;IF(ISNUMBER(AD179),TEXT(AD179,"ddd d mmm")&amp;", "&amp;TEXT(AD179,"hh:mm"),"weekday evenings")&amp;", "&amp;IF(OR(AA179=8,AA179=11,AA179=18),"an ","a ")&amp;AA179&amp;"-minute walk from your office, "&amp;IF(AF179&lt;&gt;"","£"&amp;IF(AF179=INT(AF179),TEXT(AF179,"0"),TEXT(AF179,"0.00")),"[PRICE PER PLAYER]")&amp;" a player. Happy to hold it for "&amp;F179&amp;"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LINK]")&amp;CHAR(10)&amp;CHAR(10)&amp;"Best,"&amp;CHAR(10)&amp;IF(AM179&lt;&gt;"",AM179,IF(Offer!$C$5&lt;&gt;"",Offer!$C$5,"[NAME]"))&amp;CHAR(10)&amp;"FC Urban"</f>
        <v/>
      </c>
      <c r="AL179" s="14">
        <f>IF(AH179="","No email yet",IF(ISNUMBER(SEARCH("[",AJ179)),"Fill placeholders",IF(ISNUMBER(AD179),"Ready to send","Ready · no fixed slot")))</f>
        <v/>
      </c>
      <c r="AO179" s="17" t="n"/>
      <c r="AP179" s="17" t="n"/>
    </row>
    <row r="180">
      <c r="A180" s="11" t="n">
        <v>178</v>
      </c>
      <c r="B180" s="11" t="n">
        <v>3</v>
      </c>
      <c r="C180" s="11" t="inlineStr">
        <is>
          <t>Fund / asset manager</t>
        </is>
      </c>
      <c r="D180" s="11" t="inlineStr">
        <is>
          <t>City of London</t>
        </is>
      </c>
      <c r="E180" s="11" t="inlineStr">
        <is>
          <t>Barker Poland Asset Management LLP</t>
        </is>
      </c>
      <c r="F180" s="11" t="inlineStr">
        <is>
          <t>Barker Poland Asset Management</t>
        </is>
      </c>
      <c r="G180" s="12" t="inlineStr">
        <is>
          <t>https://www.barkerpoland.co.uk</t>
        </is>
      </c>
      <c r="H180" s="11" t="inlineStr">
        <is>
          <t>info@barkerpoland.co.uk</t>
        </is>
      </c>
      <c r="I180" s="11" t="inlineStr">
        <is>
          <t>general</t>
        </is>
      </c>
      <c r="J180" s="12" t="inlineStr">
        <is>
          <t>Open page</t>
        </is>
      </c>
      <c r="K180" s="11" t="inlineStr">
        <is>
          <t>OC341149</t>
        </is>
      </c>
      <c r="L180" s="12" t="inlineStr">
        <is>
          <t>Open</t>
        </is>
      </c>
      <c r="M180" s="11" t="inlineStr">
        <is>
          <t>Full</t>
        </is>
      </c>
      <c r="N180" s="13" t="n">
        <v>39752</v>
      </c>
      <c r="O180" s="11" t="inlineStr">
        <is>
          <t>128 Queen Victoria Street, London</t>
        </is>
      </c>
      <c r="P180" s="11" t="inlineStr">
        <is>
          <t>EC4V 4BJ</t>
        </is>
      </c>
      <c r="Q180" s="11" t="inlineStr">
        <is>
          <t>No</t>
        </is>
      </c>
      <c r="W180" s="11" t="inlineStr">
        <is>
          <t>City of London School (EC4V 3AL)</t>
        </is>
      </c>
      <c r="X180" s="11" t="n">
        <v>3</v>
      </c>
      <c r="Y180" s="11" t="inlineStr">
        <is>
          <t>Marlborough Sports Garden (SE1 1SD) (16.1)</t>
        </is>
      </c>
      <c r="Z180" s="11" t="inlineStr">
        <is>
          <t>City of London School (EC4V 3AL)</t>
        </is>
      </c>
      <c r="AA180" s="11" t="n">
        <v>3</v>
      </c>
      <c r="AB180" s="14">
        <f>IFERROR(INDEX(Venues!$E$2:$E$17,MATCH(Z180,Venues!$A$2:$A$17,0)),"Not checked")</f>
        <v/>
      </c>
      <c r="AC180" s="14">
        <f>IFERROR(INDEX(Venues!$F$2:$F$17,MATCH(Z180,Venues!$A$2:$A$17,0)),0)</f>
        <v/>
      </c>
      <c r="AD180" s="15">
        <f>IFERROR(INDEX(Venues!$M$2:$M$17,MATCH(Z180,Venues!$A$2:$A$17,0)),"")</f>
        <v/>
      </c>
      <c r="AE180" s="14">
        <f>IFERROR(INDEX(Venues!$N$2:$N$17,MATCH(Z180,Venues!$A$2:$A$17,0)),"5-a-side")</f>
        <v/>
      </c>
      <c r="AF180" s="16">
        <f>IF(Offer!$C$4="","",Offer!$C$4)</f>
        <v/>
      </c>
      <c r="AG180" s="14">
        <f>Z180&amp;" ("&amp;AA180&amp;" min walk) · "&amp;IF(ISNUMBER(AD180),TEXT(AD180,"ddd d mmm, hh:mm"),"slot to confirm with venue")&amp;" · "&amp;AE180&amp;" · "&amp;IF(AF180&lt;&gt;"","£"&amp;TEXT(AF180,"0.00")&amp;" pp","price TBC")</f>
        <v/>
      </c>
      <c r="AH180" s="14">
        <f>IF(U180&lt;&gt;"",U180,IF(H180&lt;&gt;"",H180,""))</f>
        <v/>
      </c>
      <c r="AI180" s="14">
        <f>"After-work football for "&amp;F180&amp;" · "&amp;Z180&amp;", "&amp;AA180&amp;" min from your office"</f>
        <v/>
      </c>
      <c r="AJ180" s="14">
        <f>"Hi "&amp;IF(R180&lt;&gt;"",R180,F180&amp;" team")&amp;","&amp;CHAR(10)&amp;CHAR(10)&amp;"I'm "&amp;IF(AM180&lt;&gt;"",AM180,IF(Offer!$C$5&lt;&gt;"",Offer!$C$5,"[NAME]"))&amp;" from FC Urban. We organise after-work football for teams in the City and Canary Wharf."&amp;CHAR(10)&amp;CHAR(10)&amp;"We have a "&amp;AE180&amp;" pitch at "&amp;Z180&amp;", "&amp;IF(OR(AA180=8,AA180=11,AA180=18),"an ","a ")&amp;AA180&amp;"-minute walk from your "&amp;P180&amp;" office, "&amp;IF(ISNUMBER(AD180),"on "&amp;TEXT(AD180,"dddd d mmmm")&amp;" at "&amp;TEXT(AD180,"hh:mm"),"on a weekday evening that suits your team")&amp;". It's "&amp;IF(AF180&lt;&gt;"","£"&amp;IF(AF180=INT(AF180),TEXT(AF180,"0"),TEXT(AF180,"0.00")),"[PRICE PER PLAYER]")&amp;" a player and we handle the pitch booking, sign-ups and payments, so all it takes is one person sharing a link with the team."&amp;CHAR(10)&amp;CHAR(10)&amp;"It works well as a team social or "&amp;IF(ISNUMBER(SEARCH(LEFT(F180,1),"AEIOU")),"an ","a ")&amp;F180&amp;"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LINK]")&amp;CHAR(10)&amp;CHAR(10)&amp;"Best,"&amp;CHAR(10)&amp;IF(AM180&lt;&gt;"",AM180,IF(Offer!$C$5&lt;&gt;"",Offer!$C$5,"[NAME]"))&amp;CHAR(10)&amp;"FC Urban"</f>
        <v/>
      </c>
      <c r="AK180" s="14">
        <f>"Hi "&amp;IF(R180&lt;&gt;"",R180,F180&amp;" team")&amp;","&amp;CHAR(10)&amp;CHAR(10)&amp;"Just bumping this up. The "&amp;AE180&amp;" pitch at "&amp;Z180&amp;" is still free "&amp;IF(ISNUMBER(AD180),TEXT(AD180,"ddd d mmm")&amp;", "&amp;TEXT(AD180,"hh:mm"),"weekday evenings")&amp;", "&amp;IF(OR(AA180=8,AA180=11,AA180=18),"an ","a ")&amp;AA180&amp;"-minute walk from your office, "&amp;IF(AF180&lt;&gt;"","£"&amp;IF(AF180=INT(AF180),TEXT(AF180,"0"),TEXT(AF180,"0.00")),"[PRICE PER PLAYER]")&amp;" a player. Happy to hold it for "&amp;F180&amp;"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LINK]")&amp;CHAR(10)&amp;CHAR(10)&amp;"Best,"&amp;CHAR(10)&amp;IF(AM180&lt;&gt;"",AM180,IF(Offer!$C$5&lt;&gt;"",Offer!$C$5,"[NAME]"))&amp;CHAR(10)&amp;"FC Urban"</f>
        <v/>
      </c>
      <c r="AL180" s="14">
        <f>IF(AH180="","No email yet",IF(ISNUMBER(SEARCH("[",AJ180)),"Fill placeholders",IF(ISNUMBER(AD180),"Ready to send","Ready · no fixed slot")))</f>
        <v/>
      </c>
      <c r="AO180" s="17" t="n"/>
      <c r="AP180" s="17" t="n"/>
    </row>
    <row r="181">
      <c r="A181" s="11" t="n">
        <v>179</v>
      </c>
      <c r="B181" s="11" t="n">
        <v>3</v>
      </c>
      <c r="C181" s="11" t="inlineStr">
        <is>
          <t>Fund / asset manager</t>
        </is>
      </c>
      <c r="D181" s="11" t="inlineStr">
        <is>
          <t>City of London</t>
        </is>
      </c>
      <c r="E181" s="11" t="inlineStr">
        <is>
          <t>Clearbrook Capital Partners LLP</t>
        </is>
      </c>
      <c r="F181" s="11" t="inlineStr">
        <is>
          <t>Clearbrook Capital Partners</t>
        </is>
      </c>
      <c r="G181" s="12" t="inlineStr">
        <is>
          <t>https://clearbrook.com</t>
        </is>
      </c>
      <c r="H181" s="11" t="inlineStr">
        <is>
          <t>info@clearbrook.com</t>
        </is>
      </c>
      <c r="I181" s="11" t="inlineStr">
        <is>
          <t>general</t>
        </is>
      </c>
      <c r="J181" s="12" t="inlineStr">
        <is>
          <t>Open page</t>
        </is>
      </c>
      <c r="K181" s="11" t="inlineStr">
        <is>
          <t>OC306653</t>
        </is>
      </c>
      <c r="L181" s="12" t="inlineStr">
        <is>
          <t>Open</t>
        </is>
      </c>
      <c r="M181" s="11" t="inlineStr">
        <is>
          <t>Full</t>
        </is>
      </c>
      <c r="N181" s="13" t="n">
        <v>38010</v>
      </c>
      <c r="O181" s="11" t="inlineStr">
        <is>
          <t>Mermaid House C/O Frontier Tax Services Ltd, 2 Puddle Dock, London</t>
        </is>
      </c>
      <c r="P181" s="11" t="inlineStr">
        <is>
          <t>EC4V 3DB</t>
        </is>
      </c>
      <c r="Q181" s="11" t="inlineStr">
        <is>
          <t>No</t>
        </is>
      </c>
      <c r="W181" s="11" t="inlineStr">
        <is>
          <t>City of London School (EC4V 3AL)</t>
        </is>
      </c>
      <c r="X181" s="11" t="n">
        <v>3</v>
      </c>
      <c r="Y181" s="11" t="inlineStr">
        <is>
          <t>Marlborough Sports Garden (SE1 1SD) (17.3); Borough Academy (18.4)</t>
        </is>
      </c>
      <c r="Z181" s="11" t="inlineStr">
        <is>
          <t>City of London School (EC4V 3AL)</t>
        </is>
      </c>
      <c r="AA181" s="11" t="n">
        <v>3</v>
      </c>
      <c r="AB181" s="14">
        <f>IFERROR(INDEX(Venues!$E$2:$E$17,MATCH(Z181,Venues!$A$2:$A$17,0)),"Not checked")</f>
        <v/>
      </c>
      <c r="AC181" s="14">
        <f>IFERROR(INDEX(Venues!$F$2:$F$17,MATCH(Z181,Venues!$A$2:$A$17,0)),0)</f>
        <v/>
      </c>
      <c r="AD181" s="15">
        <f>IFERROR(INDEX(Venues!$M$2:$M$17,MATCH(Z181,Venues!$A$2:$A$17,0)),"")</f>
        <v/>
      </c>
      <c r="AE181" s="14">
        <f>IFERROR(INDEX(Venues!$N$2:$N$17,MATCH(Z181,Venues!$A$2:$A$17,0)),"5-a-side")</f>
        <v/>
      </c>
      <c r="AF181" s="16">
        <f>IF(Offer!$C$4="","",Offer!$C$4)</f>
        <v/>
      </c>
      <c r="AG181" s="14">
        <f>Z181&amp;" ("&amp;AA181&amp;" min walk) · "&amp;IF(ISNUMBER(AD181),TEXT(AD181,"ddd d mmm, hh:mm"),"slot to confirm with venue")&amp;" · "&amp;AE181&amp;" · "&amp;IF(AF181&lt;&gt;"","£"&amp;TEXT(AF181,"0.00")&amp;" pp","price TBC")</f>
        <v/>
      </c>
      <c r="AH181" s="14">
        <f>IF(U181&lt;&gt;"",U181,IF(H181&lt;&gt;"",H181,""))</f>
        <v/>
      </c>
      <c r="AI181" s="14">
        <f>"After-work football for "&amp;F181&amp;" · "&amp;Z181&amp;", "&amp;AA181&amp;" min from your office"</f>
        <v/>
      </c>
      <c r="AJ181" s="14">
        <f>"Hi "&amp;IF(R181&lt;&gt;"",R181,F181&amp;" team")&amp;","&amp;CHAR(10)&amp;CHAR(10)&amp;"I'm "&amp;IF(AM181&lt;&gt;"",AM181,IF(Offer!$C$5&lt;&gt;"",Offer!$C$5,"[NAME]"))&amp;" from FC Urban. We organise after-work football for teams in the City and Canary Wharf."&amp;CHAR(10)&amp;CHAR(10)&amp;"We have a "&amp;AE181&amp;" pitch at "&amp;Z181&amp;", "&amp;IF(OR(AA181=8,AA181=11,AA181=18),"an ","a ")&amp;AA181&amp;"-minute walk from your "&amp;P181&amp;" office, "&amp;IF(ISNUMBER(AD181),"on "&amp;TEXT(AD181,"dddd d mmmm")&amp;" at "&amp;TEXT(AD181,"hh:mm"),"on a weekday evening that suits your team")&amp;". It's "&amp;IF(AF181&lt;&gt;"","£"&amp;IF(AF181=INT(AF181),TEXT(AF181,"0"),TEXT(AF181,"0.00")),"[PRICE PER PLAYER]")&amp;" a player and we handle the pitch booking, sign-ups and payments, so all it takes is one person sharing a link with the team."&amp;CHAR(10)&amp;CHAR(10)&amp;"It works well as a team social or "&amp;IF(ISNUMBER(SEARCH(LEFT(F181,1),"AEIOU")),"an ","a ")&amp;F181&amp;"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LINK]")&amp;CHAR(10)&amp;CHAR(10)&amp;"Best,"&amp;CHAR(10)&amp;IF(AM181&lt;&gt;"",AM181,IF(Offer!$C$5&lt;&gt;"",Offer!$C$5,"[NAME]"))&amp;CHAR(10)&amp;"FC Urban"</f>
        <v/>
      </c>
      <c r="AK181" s="14">
        <f>"Hi "&amp;IF(R181&lt;&gt;"",R181,F181&amp;" team")&amp;","&amp;CHAR(10)&amp;CHAR(10)&amp;"Just bumping this up. The "&amp;AE181&amp;" pitch at "&amp;Z181&amp;" is still free "&amp;IF(ISNUMBER(AD181),TEXT(AD181,"ddd d mmm")&amp;", "&amp;TEXT(AD181,"hh:mm"),"weekday evenings")&amp;", "&amp;IF(OR(AA181=8,AA181=11,AA181=18),"an ","a ")&amp;AA181&amp;"-minute walk from your office, "&amp;IF(AF181&lt;&gt;"","£"&amp;IF(AF181=INT(AF181),TEXT(AF181,"0"),TEXT(AF181,"0.00")),"[PRICE PER PLAYER]")&amp;" a player. Happy to hold it for "&amp;F181&amp;"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LINK]")&amp;CHAR(10)&amp;CHAR(10)&amp;"Best,"&amp;CHAR(10)&amp;IF(AM181&lt;&gt;"",AM181,IF(Offer!$C$5&lt;&gt;"",Offer!$C$5,"[NAME]"))&amp;CHAR(10)&amp;"FC Urban"</f>
        <v/>
      </c>
      <c r="AL181" s="14">
        <f>IF(AH181="","No email yet",IF(ISNUMBER(SEARCH("[",AJ181)),"Fill placeholders",IF(ISNUMBER(AD181),"Ready to send","Ready · no fixed slot")))</f>
        <v/>
      </c>
      <c r="AO181" s="17" t="n"/>
      <c r="AP181" s="17" t="n"/>
    </row>
    <row r="182">
      <c r="A182" s="11" t="n">
        <v>180</v>
      </c>
      <c r="B182" s="11" t="n">
        <v>3</v>
      </c>
      <c r="C182" s="11" t="inlineStr">
        <is>
          <t>Insurance / broker</t>
        </is>
      </c>
      <c r="D182" s="11" t="inlineStr">
        <is>
          <t>City of London</t>
        </is>
      </c>
      <c r="E182" s="11" t="inlineStr">
        <is>
          <t>Suecia Re &amp; Marine Insurance Company Limited</t>
        </is>
      </c>
      <c r="F182" s="11" t="inlineStr">
        <is>
          <t>Suecia Re &amp; Marine Insurance Company</t>
        </is>
      </c>
      <c r="G182" s="11" t="n"/>
      <c r="H182" s="11" t="n"/>
      <c r="I182" s="11" t="inlineStr">
        <is>
          <t>Not found</t>
        </is>
      </c>
      <c r="J182" s="11" t="n"/>
      <c r="K182" s="11" t="inlineStr">
        <is>
          <t>01131216</t>
        </is>
      </c>
      <c r="L182" s="12" t="inlineStr">
        <is>
          <t>Open</t>
        </is>
      </c>
      <c r="M182" s="11" t="inlineStr">
        <is>
          <t>Full</t>
        </is>
      </c>
      <c r="N182" s="13" t="n">
        <v>26900</v>
      </c>
      <c r="O182" s="11" t="inlineStr">
        <is>
          <t>Seb London Branch, One Carter Lane, London</t>
        </is>
      </c>
      <c r="P182" s="11" t="inlineStr">
        <is>
          <t>EC4V 5AN</t>
        </is>
      </c>
      <c r="Q182" s="11" t="inlineStr">
        <is>
          <t>Yes</t>
        </is>
      </c>
      <c r="W182" s="11" t="inlineStr">
        <is>
          <t>City of London School (EC4V 3AL)</t>
        </is>
      </c>
      <c r="X182" s="11" t="n">
        <v>4</v>
      </c>
      <c r="Y182" s="11" t="inlineStr">
        <is>
          <t>Marlborough Sports Garden (SE1 1SD) (17.6)</t>
        </is>
      </c>
      <c r="Z182" s="11" t="inlineStr">
        <is>
          <t>City of London School (EC4V 3AL)</t>
        </is>
      </c>
      <c r="AA182" s="11" t="n">
        <v>4</v>
      </c>
      <c r="AB182" s="14">
        <f>IFERROR(INDEX(Venues!$E$2:$E$17,MATCH(Z182,Venues!$A$2:$A$17,0)),"Not checked")</f>
        <v/>
      </c>
      <c r="AC182" s="14">
        <f>IFERROR(INDEX(Venues!$F$2:$F$17,MATCH(Z182,Venues!$A$2:$A$17,0)),0)</f>
        <v/>
      </c>
      <c r="AD182" s="15">
        <f>IFERROR(INDEX(Venues!$M$2:$M$17,MATCH(Z182,Venues!$A$2:$A$17,0)),"")</f>
        <v/>
      </c>
      <c r="AE182" s="14">
        <f>IFERROR(INDEX(Venues!$N$2:$N$17,MATCH(Z182,Venues!$A$2:$A$17,0)),"5-a-side")</f>
        <v/>
      </c>
      <c r="AF182" s="16">
        <f>IF(Offer!$C$4="","",Offer!$C$4)</f>
        <v/>
      </c>
      <c r="AG182" s="14">
        <f>Z182&amp;" ("&amp;AA182&amp;" min walk) · "&amp;IF(ISNUMBER(AD182),TEXT(AD182,"ddd d mmm, hh:mm"),"slot to confirm with venue")&amp;" · "&amp;AE182&amp;" · "&amp;IF(AF182&lt;&gt;"","£"&amp;TEXT(AF182,"0.00")&amp;" pp","price TBC")</f>
        <v/>
      </c>
      <c r="AH182" s="14">
        <f>IF(U182&lt;&gt;"",U182,IF(H182&lt;&gt;"",H182,""))</f>
        <v/>
      </c>
      <c r="AI182" s="14">
        <f>"After-work football for "&amp;F182&amp;" · "&amp;Z182&amp;", "&amp;AA182&amp;" min from your office"</f>
        <v/>
      </c>
      <c r="AJ182" s="14">
        <f>"Hi "&amp;IF(R182&lt;&gt;"",R182,F182&amp;" team")&amp;","&amp;CHAR(10)&amp;CHAR(10)&amp;"I'm "&amp;IF(AM182&lt;&gt;"",AM182,IF(Offer!$C$5&lt;&gt;"",Offer!$C$5,"[NAME]"))&amp;" from FC Urban. We organise after-work football for teams in the City and Canary Wharf."&amp;CHAR(10)&amp;CHAR(10)&amp;"We have a "&amp;AE182&amp;" pitch at "&amp;Z182&amp;", "&amp;IF(OR(AA182=8,AA182=11,AA182=18),"an ","a ")&amp;AA182&amp;"-minute walk from your "&amp;P182&amp;" office, "&amp;IF(ISNUMBER(AD182),"on "&amp;TEXT(AD182,"dddd d mmmm")&amp;" at "&amp;TEXT(AD182,"hh:mm"),"on a weekday evening that suits your team")&amp;". It's "&amp;IF(AF182&lt;&gt;"","£"&amp;IF(AF182=INT(AF182),TEXT(AF182,"0"),TEXT(AF182,"0.00")),"[PRICE PER PLAYER]")&amp;" a player and we handle the pitch booking, sign-ups and payments, so all it takes is one person sharing a link with the team."&amp;CHAR(10)&amp;CHAR(10)&amp;"It works well as a team social or "&amp;IF(ISNUMBER(SEARCH(LEFT(F182,1),"AEIOU")),"an ","a ")&amp;F182&amp;"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LINK]")&amp;CHAR(10)&amp;CHAR(10)&amp;"Best,"&amp;CHAR(10)&amp;IF(AM182&lt;&gt;"",AM182,IF(Offer!$C$5&lt;&gt;"",Offer!$C$5,"[NAME]"))&amp;CHAR(10)&amp;"FC Urban"</f>
        <v/>
      </c>
      <c r="AK182" s="14">
        <f>"Hi "&amp;IF(R182&lt;&gt;"",R182,F182&amp;" team")&amp;","&amp;CHAR(10)&amp;CHAR(10)&amp;"Just bumping this up. The "&amp;AE182&amp;" pitch at "&amp;Z182&amp;" is still free "&amp;IF(ISNUMBER(AD182),TEXT(AD182,"ddd d mmm")&amp;", "&amp;TEXT(AD182,"hh:mm"),"weekday evenings")&amp;", "&amp;IF(OR(AA182=8,AA182=11,AA182=18),"an ","a ")&amp;AA182&amp;"-minute walk from your office, "&amp;IF(AF182&lt;&gt;"","£"&amp;IF(AF182=INT(AF182),TEXT(AF182,"0"),TEXT(AF182,"0.00")),"[PRICE PER PLAYER]")&amp;" a player. Happy to hold it for "&amp;F182&amp;"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LINK]")&amp;CHAR(10)&amp;CHAR(10)&amp;"Best,"&amp;CHAR(10)&amp;IF(AM182&lt;&gt;"",AM182,IF(Offer!$C$5&lt;&gt;"",Offer!$C$5,"[NAME]"))&amp;CHAR(10)&amp;"FC Urban"</f>
        <v/>
      </c>
      <c r="AL182" s="14">
        <f>IF(AH182="","No email yet",IF(ISNUMBER(SEARCH("[",AJ182)),"Fill placeholders",IF(ISNUMBER(AD182),"Ready to send","Ready · no fixed slot")))</f>
        <v/>
      </c>
      <c r="AO182" s="17" t="n"/>
      <c r="AP182" s="17" t="n"/>
    </row>
    <row r="183">
      <c r="A183" s="11" t="n">
        <v>181</v>
      </c>
      <c r="B183" s="11" t="n">
        <v>3</v>
      </c>
      <c r="C183" s="11" t="inlineStr">
        <is>
          <t>Fund / asset manager</t>
        </is>
      </c>
      <c r="D183" s="11" t="inlineStr">
        <is>
          <t>City of London</t>
        </is>
      </c>
      <c r="E183" s="11" t="inlineStr">
        <is>
          <t>Ultima Markets UK Limited</t>
        </is>
      </c>
      <c r="F183" s="11" t="inlineStr">
        <is>
          <t>Ultima Markets</t>
        </is>
      </c>
      <c r="G183" s="12" t="inlineStr">
        <is>
          <t>https://trustmarqueultima.com</t>
        </is>
      </c>
      <c r="H183" s="11" t="inlineStr">
        <is>
          <t>info@trustmarqueultima.com</t>
        </is>
      </c>
      <c r="I183" s="11" t="inlineStr">
        <is>
          <t>general</t>
        </is>
      </c>
      <c r="J183" s="12" t="inlineStr">
        <is>
          <t>Open page</t>
        </is>
      </c>
      <c r="K183" s="11" t="inlineStr">
        <is>
          <t>06249714</t>
        </is>
      </c>
      <c r="L183" s="12" t="inlineStr">
        <is>
          <t>Open</t>
        </is>
      </c>
      <c r="M183" s="11" t="inlineStr">
        <is>
          <t>Full</t>
        </is>
      </c>
      <c r="N183" s="13" t="n">
        <v>39218</v>
      </c>
      <c r="O183" s="11" t="inlineStr">
        <is>
          <t>1 Blossom Yard, Fourth Floor, London</t>
        </is>
      </c>
      <c r="P183" s="11" t="inlineStr">
        <is>
          <t>E1 6RS</t>
        </is>
      </c>
      <c r="Q183" s="11" t="inlineStr">
        <is>
          <t>No</t>
        </is>
      </c>
      <c r="W183" s="11" t="inlineStr">
        <is>
          <t>Shoreditch Powerleague</t>
        </is>
      </c>
      <c r="X183" s="11" t="n">
        <v>4</v>
      </c>
      <c r="Y183" s="11" t="inlineStr">
        <is>
          <t>Liverpool St - Attlee Centre (8.6)</t>
        </is>
      </c>
      <c r="Z183" s="11" t="inlineStr">
        <is>
          <t>Shoreditch Powerleague</t>
        </is>
      </c>
      <c r="AA183" s="11" t="n">
        <v>4</v>
      </c>
      <c r="AB183" s="14">
        <f>IFERROR(INDEX(Venues!$E$2:$E$17,MATCH(Z183,Venues!$A$2:$A$17,0)),"Not checked")</f>
        <v/>
      </c>
      <c r="AC183" s="14">
        <f>IFERROR(INDEX(Venues!$F$2:$F$17,MATCH(Z183,Venues!$A$2:$A$17,0)),0)</f>
        <v/>
      </c>
      <c r="AD183" s="15">
        <f>IFERROR(INDEX(Venues!$M$2:$M$17,MATCH(Z183,Venues!$A$2:$A$17,0)),"")</f>
        <v/>
      </c>
      <c r="AE183" s="14">
        <f>IFERROR(INDEX(Venues!$N$2:$N$17,MATCH(Z183,Venues!$A$2:$A$17,0)),"5-a-side")</f>
        <v/>
      </c>
      <c r="AF183" s="16">
        <f>IF(Offer!$C$4="","",Offer!$C$4)</f>
        <v/>
      </c>
      <c r="AG183" s="14">
        <f>Z183&amp;" ("&amp;AA183&amp;" min walk) · "&amp;IF(ISNUMBER(AD183),TEXT(AD183,"ddd d mmm, hh:mm"),"slot to confirm with venue")&amp;" · "&amp;AE183&amp;" · "&amp;IF(AF183&lt;&gt;"","£"&amp;TEXT(AF183,"0.00")&amp;" pp","price TBC")</f>
        <v/>
      </c>
      <c r="AH183" s="14">
        <f>IF(U183&lt;&gt;"",U183,IF(H183&lt;&gt;"",H183,""))</f>
        <v/>
      </c>
      <c r="AI183" s="14">
        <f>"After-work football for "&amp;F183&amp;" · "&amp;Z183&amp;", "&amp;AA183&amp;" min from your office"</f>
        <v/>
      </c>
      <c r="AJ183" s="14">
        <f>"Hi "&amp;IF(R183&lt;&gt;"",R183,F183&amp;" team")&amp;","&amp;CHAR(10)&amp;CHAR(10)&amp;"I'm "&amp;IF(AM183&lt;&gt;"",AM183,IF(Offer!$C$5&lt;&gt;"",Offer!$C$5,"[NAME]"))&amp;" from FC Urban. We organise after-work football for teams in the City and Canary Wharf."&amp;CHAR(10)&amp;CHAR(10)&amp;"We have a "&amp;AE183&amp;" pitch at "&amp;Z183&amp;", "&amp;IF(OR(AA183=8,AA183=11,AA183=18),"an ","a ")&amp;AA183&amp;"-minute walk from your "&amp;P183&amp;" office, "&amp;IF(ISNUMBER(AD183),"on "&amp;TEXT(AD183,"dddd d mmmm")&amp;" at "&amp;TEXT(AD183,"hh:mm"),"on a weekday evening that suits your team")&amp;". It's "&amp;IF(AF183&lt;&gt;"","£"&amp;IF(AF183=INT(AF183),TEXT(AF183,"0"),TEXT(AF183,"0.00")),"[PRICE PER PLAYER]")&amp;" a player and we handle the pitch booking, sign-ups and payments, so all it takes is one person sharing a link with the team."&amp;CHAR(10)&amp;CHAR(10)&amp;"It works well as a team social or "&amp;IF(ISNUMBER(SEARCH(LEFT(F183,1),"AEIOU")),"an ","a ")&amp;F183&amp;"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LINK]")&amp;CHAR(10)&amp;CHAR(10)&amp;"Best,"&amp;CHAR(10)&amp;IF(AM183&lt;&gt;"",AM183,IF(Offer!$C$5&lt;&gt;"",Offer!$C$5,"[NAME]"))&amp;CHAR(10)&amp;"FC Urban"</f>
        <v/>
      </c>
      <c r="AK183" s="14">
        <f>"Hi "&amp;IF(R183&lt;&gt;"",R183,F183&amp;" team")&amp;","&amp;CHAR(10)&amp;CHAR(10)&amp;"Just bumping this up. The "&amp;AE183&amp;" pitch at "&amp;Z183&amp;" is still free "&amp;IF(ISNUMBER(AD183),TEXT(AD183,"ddd d mmm")&amp;", "&amp;TEXT(AD183,"hh:mm"),"weekday evenings")&amp;", "&amp;IF(OR(AA183=8,AA183=11,AA183=18),"an ","a ")&amp;AA183&amp;"-minute walk from your office, "&amp;IF(AF183&lt;&gt;"","£"&amp;IF(AF183=INT(AF183),TEXT(AF183,"0"),TEXT(AF183,"0.00")),"[PRICE PER PLAYER]")&amp;" a player. Happy to hold it for "&amp;F183&amp;"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LINK]")&amp;CHAR(10)&amp;CHAR(10)&amp;"Best,"&amp;CHAR(10)&amp;IF(AM183&lt;&gt;"",AM183,IF(Offer!$C$5&lt;&gt;"",Offer!$C$5,"[NAME]"))&amp;CHAR(10)&amp;"FC Urban"</f>
        <v/>
      </c>
      <c r="AL183" s="14">
        <f>IF(AH183="","No email yet",IF(ISNUMBER(SEARCH("[",AJ183)),"Fill placeholders",IF(ISNUMBER(AD183),"Ready to send","Ready · no fixed slot")))</f>
        <v/>
      </c>
      <c r="AO183" s="17" t="n"/>
      <c r="AP183" s="17" t="n"/>
    </row>
    <row r="184">
      <c r="A184" s="11" t="n">
        <v>182</v>
      </c>
      <c r="B184" s="11" t="n">
        <v>3</v>
      </c>
      <c r="C184" s="11" t="inlineStr">
        <is>
          <t>Fund / asset manager</t>
        </is>
      </c>
      <c r="D184" s="11" t="inlineStr">
        <is>
          <t>City of London</t>
        </is>
      </c>
      <c r="E184" s="11" t="inlineStr">
        <is>
          <t>Heronsgate Capital LLP</t>
        </is>
      </c>
      <c r="F184" s="11" t="inlineStr">
        <is>
          <t>Heronsgate Capital</t>
        </is>
      </c>
      <c r="G184" s="12" t="inlineStr">
        <is>
          <t>https://www.heronsgatecapital.com</t>
        </is>
      </c>
      <c r="H184" s="11" t="inlineStr">
        <is>
          <t>contactus@heronsgatecapital.com</t>
        </is>
      </c>
      <c r="I184" s="11" t="inlineStr">
        <is>
          <t>named person</t>
        </is>
      </c>
      <c r="J184" s="12" t="inlineStr">
        <is>
          <t>Open page</t>
        </is>
      </c>
      <c r="K184" s="11" t="inlineStr">
        <is>
          <t>OC430243</t>
        </is>
      </c>
      <c r="L184" s="12" t="inlineStr">
        <is>
          <t>Open</t>
        </is>
      </c>
      <c r="M184" s="11" t="inlineStr">
        <is>
          <t>Full</t>
        </is>
      </c>
      <c r="N184" s="13" t="n">
        <v>43843</v>
      </c>
      <c r="O184" s="11" t="inlineStr">
        <is>
          <t>181 Queen Victoria Street, London</t>
        </is>
      </c>
      <c r="P184" s="11" t="inlineStr">
        <is>
          <t>EC4V 4EG</t>
        </is>
      </c>
      <c r="Q184" s="11" t="inlineStr">
        <is>
          <t>No</t>
        </is>
      </c>
      <c r="W184" s="11" t="inlineStr">
        <is>
          <t>City of London School (EC4V 3AL)</t>
        </is>
      </c>
      <c r="X184" s="11" t="n">
        <v>5</v>
      </c>
      <c r="Y184" s="11" t="inlineStr">
        <is>
          <t>Marlborough Sports Garden (SE1 1SD) (18.5); Borough Academy (18.6)</t>
        </is>
      </c>
      <c r="Z184" s="11" t="inlineStr">
        <is>
          <t>City of London School (EC4V 3AL)</t>
        </is>
      </c>
      <c r="AA184" s="11" t="n">
        <v>5</v>
      </c>
      <c r="AB184" s="14">
        <f>IFERROR(INDEX(Venues!$E$2:$E$17,MATCH(Z184,Venues!$A$2:$A$17,0)),"Not checked")</f>
        <v/>
      </c>
      <c r="AC184" s="14">
        <f>IFERROR(INDEX(Venues!$F$2:$F$17,MATCH(Z184,Venues!$A$2:$A$17,0)),0)</f>
        <v/>
      </c>
      <c r="AD184" s="15">
        <f>IFERROR(INDEX(Venues!$M$2:$M$17,MATCH(Z184,Venues!$A$2:$A$17,0)),"")</f>
        <v/>
      </c>
      <c r="AE184" s="14">
        <f>IFERROR(INDEX(Venues!$N$2:$N$17,MATCH(Z184,Venues!$A$2:$A$17,0)),"5-a-side")</f>
        <v/>
      </c>
      <c r="AF184" s="16">
        <f>IF(Offer!$C$4="","",Offer!$C$4)</f>
        <v/>
      </c>
      <c r="AG184" s="14">
        <f>Z184&amp;" ("&amp;AA184&amp;" min walk) · "&amp;IF(ISNUMBER(AD184),TEXT(AD184,"ddd d mmm, hh:mm"),"slot to confirm with venue")&amp;" · "&amp;AE184&amp;" · "&amp;IF(AF184&lt;&gt;"","£"&amp;TEXT(AF184,"0.00")&amp;" pp","price TBC")</f>
        <v/>
      </c>
      <c r="AH184" s="14">
        <f>IF(U184&lt;&gt;"",U184,IF(H184&lt;&gt;"",H184,""))</f>
        <v/>
      </c>
      <c r="AI184" s="14">
        <f>"After-work football for "&amp;F184&amp;" · "&amp;Z184&amp;", "&amp;AA184&amp;" min from your office"</f>
        <v/>
      </c>
      <c r="AJ184" s="14">
        <f>"Hi "&amp;IF(R184&lt;&gt;"",R184,F184&amp;" team")&amp;","&amp;CHAR(10)&amp;CHAR(10)&amp;"I'm "&amp;IF(AM184&lt;&gt;"",AM184,IF(Offer!$C$5&lt;&gt;"",Offer!$C$5,"[NAME]"))&amp;" from FC Urban. We organise after-work football for teams in the City and Canary Wharf."&amp;CHAR(10)&amp;CHAR(10)&amp;"We have a "&amp;AE184&amp;" pitch at "&amp;Z184&amp;", "&amp;IF(OR(AA184=8,AA184=11,AA184=18),"an ","a ")&amp;AA184&amp;"-minute walk from your "&amp;P184&amp;" office, "&amp;IF(ISNUMBER(AD184),"on "&amp;TEXT(AD184,"dddd d mmmm")&amp;" at "&amp;TEXT(AD184,"hh:mm"),"on a weekday evening that suits your team")&amp;". It's "&amp;IF(AF184&lt;&gt;"","£"&amp;IF(AF184=INT(AF184),TEXT(AF184,"0"),TEXT(AF184,"0.00")),"[PRICE PER PLAYER]")&amp;" a player and we handle the pitch booking, sign-ups and payments, so all it takes is one person sharing a link with the team."&amp;CHAR(10)&amp;CHAR(10)&amp;"It works well as a team social or "&amp;IF(ISNUMBER(SEARCH(LEFT(F184,1),"AEIOU")),"an ","a ")&amp;F184&amp;"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LINK]")&amp;CHAR(10)&amp;CHAR(10)&amp;"Best,"&amp;CHAR(10)&amp;IF(AM184&lt;&gt;"",AM184,IF(Offer!$C$5&lt;&gt;"",Offer!$C$5,"[NAME]"))&amp;CHAR(10)&amp;"FC Urban"</f>
        <v/>
      </c>
      <c r="AK184" s="14">
        <f>"Hi "&amp;IF(R184&lt;&gt;"",R184,F184&amp;" team")&amp;","&amp;CHAR(10)&amp;CHAR(10)&amp;"Just bumping this up. The "&amp;AE184&amp;" pitch at "&amp;Z184&amp;" is still free "&amp;IF(ISNUMBER(AD184),TEXT(AD184,"ddd d mmm")&amp;", "&amp;TEXT(AD184,"hh:mm"),"weekday evenings")&amp;", "&amp;IF(OR(AA184=8,AA184=11,AA184=18),"an ","a ")&amp;AA184&amp;"-minute walk from your office, "&amp;IF(AF184&lt;&gt;"","£"&amp;IF(AF184=INT(AF184),TEXT(AF184,"0"),TEXT(AF184,"0.00")),"[PRICE PER PLAYER]")&amp;" a player. Happy to hold it for "&amp;F184&amp;"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LINK]")&amp;CHAR(10)&amp;CHAR(10)&amp;"Best,"&amp;CHAR(10)&amp;IF(AM184&lt;&gt;"",AM184,IF(Offer!$C$5&lt;&gt;"",Offer!$C$5,"[NAME]"))&amp;CHAR(10)&amp;"FC Urban"</f>
        <v/>
      </c>
      <c r="AL184" s="14">
        <f>IF(AH184="","No email yet",IF(ISNUMBER(SEARCH("[",AJ184)),"Fill placeholders",IF(ISNUMBER(AD184),"Ready to send","Ready · no fixed slot")))</f>
        <v/>
      </c>
      <c r="AO184" s="17" t="n"/>
      <c r="AP184" s="17" t="n"/>
    </row>
    <row r="185">
      <c r="A185" s="11" t="n">
        <v>183</v>
      </c>
      <c r="B185" s="11" t="n">
        <v>3</v>
      </c>
      <c r="C185" s="11" t="inlineStr">
        <is>
          <t>Fund / asset manager</t>
        </is>
      </c>
      <c r="D185" s="11" t="inlineStr">
        <is>
          <t>City of London</t>
        </is>
      </c>
      <c r="E185" s="11" t="inlineStr">
        <is>
          <t>Irg Advisors LLP</t>
        </is>
      </c>
      <c r="F185" s="11" t="inlineStr">
        <is>
          <t>Irg Advisors</t>
        </is>
      </c>
      <c r="G185" s="12" t="inlineStr">
        <is>
          <t>https://www.irg.com</t>
        </is>
      </c>
      <c r="H185" s="11" t="inlineStr">
        <is>
          <t>info@irg.com</t>
        </is>
      </c>
      <c r="I185" s="11" t="inlineStr">
        <is>
          <t>general</t>
        </is>
      </c>
      <c r="J185" s="12" t="inlineStr">
        <is>
          <t>Open page</t>
        </is>
      </c>
      <c r="K185" s="11" t="inlineStr">
        <is>
          <t>OC354226</t>
        </is>
      </c>
      <c r="L185" s="12" t="inlineStr">
        <is>
          <t>Open</t>
        </is>
      </c>
      <c r="M185" s="11" t="inlineStr">
        <is>
          <t>Full</t>
        </is>
      </c>
      <c r="N185" s="13" t="n">
        <v>40284</v>
      </c>
      <c r="O185" s="11" t="inlineStr">
        <is>
          <t>20 Cannon Street, London</t>
        </is>
      </c>
      <c r="P185" s="11" t="inlineStr">
        <is>
          <t>EC4M 6XD</t>
        </is>
      </c>
      <c r="Q185" s="11" t="inlineStr">
        <is>
          <t>No</t>
        </is>
      </c>
      <c r="W185" s="11" t="inlineStr">
        <is>
          <t>City of London School (EC4V 3AL)</t>
        </is>
      </c>
      <c r="X185" s="11" t="n">
        <v>5</v>
      </c>
      <c r="Y185" s="11" t="inlineStr">
        <is>
          <t>Marlborough Sports Garden (SE1 1SD) (16.5)</t>
        </is>
      </c>
      <c r="Z185" s="11" t="inlineStr">
        <is>
          <t>City of London School (EC4V 3AL)</t>
        </is>
      </c>
      <c r="AA185" s="11" t="n">
        <v>5</v>
      </c>
      <c r="AB185" s="14">
        <f>IFERROR(INDEX(Venues!$E$2:$E$17,MATCH(Z185,Venues!$A$2:$A$17,0)),"Not checked")</f>
        <v/>
      </c>
      <c r="AC185" s="14">
        <f>IFERROR(INDEX(Venues!$F$2:$F$17,MATCH(Z185,Venues!$A$2:$A$17,0)),0)</f>
        <v/>
      </c>
      <c r="AD185" s="15">
        <f>IFERROR(INDEX(Venues!$M$2:$M$17,MATCH(Z185,Venues!$A$2:$A$17,0)),"")</f>
        <v/>
      </c>
      <c r="AE185" s="14">
        <f>IFERROR(INDEX(Venues!$N$2:$N$17,MATCH(Z185,Venues!$A$2:$A$17,0)),"5-a-side")</f>
        <v/>
      </c>
      <c r="AF185" s="16">
        <f>IF(Offer!$C$4="","",Offer!$C$4)</f>
        <v/>
      </c>
      <c r="AG185" s="14">
        <f>Z185&amp;" ("&amp;AA185&amp;" min walk) · "&amp;IF(ISNUMBER(AD185),TEXT(AD185,"ddd d mmm, hh:mm"),"slot to confirm with venue")&amp;" · "&amp;AE185&amp;" · "&amp;IF(AF185&lt;&gt;"","£"&amp;TEXT(AF185,"0.00")&amp;" pp","price TBC")</f>
        <v/>
      </c>
      <c r="AH185" s="14">
        <f>IF(U185&lt;&gt;"",U185,IF(H185&lt;&gt;"",H185,""))</f>
        <v/>
      </c>
      <c r="AI185" s="14">
        <f>"After-work football for "&amp;F185&amp;" · "&amp;Z185&amp;", "&amp;AA185&amp;" min from your office"</f>
        <v/>
      </c>
      <c r="AJ185" s="14">
        <f>"Hi "&amp;IF(R185&lt;&gt;"",R185,F185&amp;" team")&amp;","&amp;CHAR(10)&amp;CHAR(10)&amp;"I'm "&amp;IF(AM185&lt;&gt;"",AM185,IF(Offer!$C$5&lt;&gt;"",Offer!$C$5,"[NAME]"))&amp;" from FC Urban. We organise after-work football for teams in the City and Canary Wharf."&amp;CHAR(10)&amp;CHAR(10)&amp;"We have a "&amp;AE185&amp;" pitch at "&amp;Z185&amp;", "&amp;IF(OR(AA185=8,AA185=11,AA185=18),"an ","a ")&amp;AA185&amp;"-minute walk from your "&amp;P185&amp;" office, "&amp;IF(ISNUMBER(AD185),"on "&amp;TEXT(AD185,"dddd d mmmm")&amp;" at "&amp;TEXT(AD185,"hh:mm"),"on a weekday evening that suits your team")&amp;". It's "&amp;IF(AF185&lt;&gt;"","£"&amp;IF(AF185=INT(AF185),TEXT(AF185,"0"),TEXT(AF185,"0.00")),"[PRICE PER PLAYER]")&amp;" a player and we handle the pitch booking, sign-ups and payments, so all it takes is one person sharing a link with the team."&amp;CHAR(10)&amp;CHAR(10)&amp;"It works well as a team social or "&amp;IF(ISNUMBER(SEARCH(LEFT(F185,1),"AEIOU")),"an ","a ")&amp;F185&amp;"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LINK]")&amp;CHAR(10)&amp;CHAR(10)&amp;"Best,"&amp;CHAR(10)&amp;IF(AM185&lt;&gt;"",AM185,IF(Offer!$C$5&lt;&gt;"",Offer!$C$5,"[NAME]"))&amp;CHAR(10)&amp;"FC Urban"</f>
        <v/>
      </c>
      <c r="AK185" s="14">
        <f>"Hi "&amp;IF(R185&lt;&gt;"",R185,F185&amp;" team")&amp;","&amp;CHAR(10)&amp;CHAR(10)&amp;"Just bumping this up. The "&amp;AE185&amp;" pitch at "&amp;Z185&amp;" is still free "&amp;IF(ISNUMBER(AD185),TEXT(AD185,"ddd d mmm")&amp;", "&amp;TEXT(AD185,"hh:mm"),"weekday evenings")&amp;", "&amp;IF(OR(AA185=8,AA185=11,AA185=18),"an ","a ")&amp;AA185&amp;"-minute walk from your office, "&amp;IF(AF185&lt;&gt;"","£"&amp;IF(AF185=INT(AF185),TEXT(AF185,"0"),TEXT(AF185,"0.00")),"[PRICE PER PLAYER]")&amp;" a player. Happy to hold it for "&amp;F185&amp;"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LINK]")&amp;CHAR(10)&amp;CHAR(10)&amp;"Best,"&amp;CHAR(10)&amp;IF(AM185&lt;&gt;"",AM185,IF(Offer!$C$5&lt;&gt;"",Offer!$C$5,"[NAME]"))&amp;CHAR(10)&amp;"FC Urban"</f>
        <v/>
      </c>
      <c r="AL185" s="14">
        <f>IF(AH185="","No email yet",IF(ISNUMBER(SEARCH("[",AJ185)),"Fill placeholders",IF(ISNUMBER(AD185),"Ready to send","Ready · no fixed slot")))</f>
        <v/>
      </c>
      <c r="AO185" s="17" t="n"/>
      <c r="AP185" s="17" t="n"/>
    </row>
    <row r="186">
      <c r="A186" s="11" t="n">
        <v>184</v>
      </c>
      <c r="B186" s="11" t="n">
        <v>3</v>
      </c>
      <c r="C186" s="11" t="inlineStr">
        <is>
          <t>Fund / asset manager</t>
        </is>
      </c>
      <c r="D186" s="11" t="inlineStr">
        <is>
          <t>City of London</t>
        </is>
      </c>
      <c r="E186" s="11" t="inlineStr">
        <is>
          <t>Tenax Capital Limited</t>
        </is>
      </c>
      <c r="F186" s="11" t="inlineStr">
        <is>
          <t>Tenax Capital</t>
        </is>
      </c>
      <c r="G186" s="12" t="inlineStr">
        <is>
          <t>https://www.tenaxcapital.com</t>
        </is>
      </c>
      <c r="H186" s="11" t="inlineStr">
        <is>
          <t>info@tenaxcapital.com</t>
        </is>
      </c>
      <c r="I186" s="11" t="inlineStr">
        <is>
          <t>general</t>
        </is>
      </c>
      <c r="J186" s="12" t="inlineStr">
        <is>
          <t>Open page</t>
        </is>
      </c>
      <c r="K186" s="11" t="inlineStr">
        <is>
          <t>05193344</t>
        </is>
      </c>
      <c r="L186" s="12" t="inlineStr">
        <is>
          <t>Open</t>
        </is>
      </c>
      <c r="M186" s="11" t="inlineStr">
        <is>
          <t>Full</t>
        </is>
      </c>
      <c r="N186" s="13" t="n">
        <v>38198</v>
      </c>
      <c r="O186" s="11" t="inlineStr">
        <is>
          <t>Dominican House, 4 Priory Court, Pilgrim Street</t>
        </is>
      </c>
      <c r="P186" s="11" t="inlineStr">
        <is>
          <t>EC4V 6DE</t>
        </is>
      </c>
      <c r="Q186" s="11" t="inlineStr">
        <is>
          <t>Yes</t>
        </is>
      </c>
      <c r="W186" s="11" t="inlineStr">
        <is>
          <t>City of London School (EC4V 3AL)</t>
        </is>
      </c>
      <c r="X186" s="11" t="n">
        <v>6</v>
      </c>
      <c r="Y186" s="11" t="n"/>
      <c r="Z186" s="11" t="inlineStr">
        <is>
          <t>City of London School (EC4V 3AL)</t>
        </is>
      </c>
      <c r="AA186" s="11" t="n">
        <v>6</v>
      </c>
      <c r="AB186" s="14">
        <f>IFERROR(INDEX(Venues!$E$2:$E$17,MATCH(Z186,Venues!$A$2:$A$17,0)),"Not checked")</f>
        <v/>
      </c>
      <c r="AC186" s="14">
        <f>IFERROR(INDEX(Venues!$F$2:$F$17,MATCH(Z186,Venues!$A$2:$A$17,0)),0)</f>
        <v/>
      </c>
      <c r="AD186" s="15">
        <f>IFERROR(INDEX(Venues!$M$2:$M$17,MATCH(Z186,Venues!$A$2:$A$17,0)),"")</f>
        <v/>
      </c>
      <c r="AE186" s="14">
        <f>IFERROR(INDEX(Venues!$N$2:$N$17,MATCH(Z186,Venues!$A$2:$A$17,0)),"5-a-side")</f>
        <v/>
      </c>
      <c r="AF186" s="16">
        <f>IF(Offer!$C$4="","",Offer!$C$4)</f>
        <v/>
      </c>
      <c r="AG186" s="14">
        <f>Z186&amp;" ("&amp;AA186&amp;" min walk) · "&amp;IF(ISNUMBER(AD186),TEXT(AD186,"ddd d mmm, hh:mm"),"slot to confirm with venue")&amp;" · "&amp;AE186&amp;" · "&amp;IF(AF186&lt;&gt;"","£"&amp;TEXT(AF186,"0.00")&amp;" pp","price TBC")</f>
        <v/>
      </c>
      <c r="AH186" s="14">
        <f>IF(U186&lt;&gt;"",U186,IF(H186&lt;&gt;"",H186,""))</f>
        <v/>
      </c>
      <c r="AI186" s="14">
        <f>"After-work football for "&amp;F186&amp;" · "&amp;Z186&amp;", "&amp;AA186&amp;" min from your office"</f>
        <v/>
      </c>
      <c r="AJ186" s="14">
        <f>"Hi "&amp;IF(R186&lt;&gt;"",R186,F186&amp;" team")&amp;","&amp;CHAR(10)&amp;CHAR(10)&amp;"I'm "&amp;IF(AM186&lt;&gt;"",AM186,IF(Offer!$C$5&lt;&gt;"",Offer!$C$5,"[NAME]"))&amp;" from FC Urban. We organise after-work football for teams in the City and Canary Wharf."&amp;CHAR(10)&amp;CHAR(10)&amp;"We have a "&amp;AE186&amp;" pitch at "&amp;Z186&amp;", "&amp;IF(OR(AA186=8,AA186=11,AA186=18),"an ","a ")&amp;AA186&amp;"-minute walk from your "&amp;P186&amp;" office, "&amp;IF(ISNUMBER(AD186),"on "&amp;TEXT(AD186,"dddd d mmmm")&amp;" at "&amp;TEXT(AD186,"hh:mm"),"on a weekday evening that suits your team")&amp;". It's "&amp;IF(AF186&lt;&gt;"","£"&amp;IF(AF186=INT(AF186),TEXT(AF186,"0"),TEXT(AF186,"0.00")),"[PRICE PER PLAYER]")&amp;" a player and we handle the pitch booking, sign-ups and payments, so all it takes is one person sharing a link with the team."&amp;CHAR(10)&amp;CHAR(10)&amp;"It works well as a team social or "&amp;IF(ISNUMBER(SEARCH(LEFT(F186,1),"AEIOU")),"an ","a ")&amp;F186&amp;"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LINK]")&amp;CHAR(10)&amp;CHAR(10)&amp;"Best,"&amp;CHAR(10)&amp;IF(AM186&lt;&gt;"",AM186,IF(Offer!$C$5&lt;&gt;"",Offer!$C$5,"[NAME]"))&amp;CHAR(10)&amp;"FC Urban"</f>
        <v/>
      </c>
      <c r="AK186" s="14">
        <f>"Hi "&amp;IF(R186&lt;&gt;"",R186,F186&amp;" team")&amp;","&amp;CHAR(10)&amp;CHAR(10)&amp;"Just bumping this up. The "&amp;AE186&amp;" pitch at "&amp;Z186&amp;" is still free "&amp;IF(ISNUMBER(AD186),TEXT(AD186,"ddd d mmm")&amp;", "&amp;TEXT(AD186,"hh:mm"),"weekday evenings")&amp;", "&amp;IF(OR(AA186=8,AA186=11,AA186=18),"an ","a ")&amp;AA186&amp;"-minute walk from your office, "&amp;IF(AF186&lt;&gt;"","£"&amp;IF(AF186=INT(AF186),TEXT(AF186,"0"),TEXT(AF186,"0.00")),"[PRICE PER PLAYER]")&amp;" a player. Happy to hold it for "&amp;F186&amp;"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LINK]")&amp;CHAR(10)&amp;CHAR(10)&amp;"Best,"&amp;CHAR(10)&amp;IF(AM186&lt;&gt;"",AM186,IF(Offer!$C$5&lt;&gt;"",Offer!$C$5,"[NAME]"))&amp;CHAR(10)&amp;"FC Urban"</f>
        <v/>
      </c>
      <c r="AL186" s="14">
        <f>IF(AH186="","No email yet",IF(ISNUMBER(SEARCH("[",AJ186)),"Fill placeholders",IF(ISNUMBER(AD186),"Ready to send","Ready · no fixed slot")))</f>
        <v/>
      </c>
      <c r="AO186" s="17" t="n"/>
      <c r="AP186" s="17" t="n"/>
    </row>
    <row r="187">
      <c r="A187" s="11" t="n">
        <v>185</v>
      </c>
      <c r="B187" s="11" t="n">
        <v>3</v>
      </c>
      <c r="C187" s="11" t="inlineStr">
        <is>
          <t>Fund / asset manager</t>
        </is>
      </c>
      <c r="D187" s="11" t="inlineStr">
        <is>
          <t>City of London</t>
        </is>
      </c>
      <c r="E187" s="11" t="inlineStr">
        <is>
          <t>Allspring Global Investments (UK) Limited</t>
        </is>
      </c>
      <c r="F187" s="11" t="inlineStr">
        <is>
          <t>Allspring Global Investments</t>
        </is>
      </c>
      <c r="G187" s="12" t="inlineStr">
        <is>
          <t>https://www.allspring.com</t>
        </is>
      </c>
      <c r="H187" s="11" t="inlineStr">
        <is>
          <t>allspringinternational@allspringglobal.com</t>
        </is>
      </c>
      <c r="I187" s="11" t="inlineStr">
        <is>
          <t>named person</t>
        </is>
      </c>
      <c r="J187" s="12" t="inlineStr">
        <is>
          <t>Open page</t>
        </is>
      </c>
      <c r="K187" s="11" t="inlineStr">
        <is>
          <t>03710963</t>
        </is>
      </c>
      <c r="L187" s="12" t="inlineStr">
        <is>
          <t>Open</t>
        </is>
      </c>
      <c r="M187" s="11" t="inlineStr">
        <is>
          <t>Full</t>
        </is>
      </c>
      <c r="N187" s="13" t="n">
        <v>36201</v>
      </c>
      <c r="O187" s="11" t="inlineStr">
        <is>
          <t>30 Cannon Street, 3Rd Floor, London</t>
        </is>
      </c>
      <c r="P187" s="11" t="inlineStr">
        <is>
          <t>EC4M 6XH</t>
        </is>
      </c>
      <c r="Q187" s="11" t="inlineStr">
        <is>
          <t>Yes</t>
        </is>
      </c>
      <c r="W187" s="11" t="inlineStr">
        <is>
          <t>City of London School (EC4V 3AL)</t>
        </is>
      </c>
      <c r="X187" s="11" t="n">
        <v>6</v>
      </c>
      <c r="Y187" s="11" t="inlineStr">
        <is>
          <t>Marlborough Sports Garden (SE1 1SD) (16.2)</t>
        </is>
      </c>
      <c r="Z187" s="11" t="inlineStr">
        <is>
          <t>City of London School (EC4V 3AL)</t>
        </is>
      </c>
      <c r="AA187" s="11" t="n">
        <v>6</v>
      </c>
      <c r="AB187" s="14">
        <f>IFERROR(INDEX(Venues!$E$2:$E$17,MATCH(Z187,Venues!$A$2:$A$17,0)),"Not checked")</f>
        <v/>
      </c>
      <c r="AC187" s="14">
        <f>IFERROR(INDEX(Venues!$F$2:$F$17,MATCH(Z187,Venues!$A$2:$A$17,0)),0)</f>
        <v/>
      </c>
      <c r="AD187" s="15">
        <f>IFERROR(INDEX(Venues!$M$2:$M$17,MATCH(Z187,Venues!$A$2:$A$17,0)),"")</f>
        <v/>
      </c>
      <c r="AE187" s="14">
        <f>IFERROR(INDEX(Venues!$N$2:$N$17,MATCH(Z187,Venues!$A$2:$A$17,0)),"5-a-side")</f>
        <v/>
      </c>
      <c r="AF187" s="16">
        <f>IF(Offer!$C$4="","",Offer!$C$4)</f>
        <v/>
      </c>
      <c r="AG187" s="14">
        <f>Z187&amp;" ("&amp;AA187&amp;" min walk) · "&amp;IF(ISNUMBER(AD187),TEXT(AD187,"ddd d mmm, hh:mm"),"slot to confirm with venue")&amp;" · "&amp;AE187&amp;" · "&amp;IF(AF187&lt;&gt;"","£"&amp;TEXT(AF187,"0.00")&amp;" pp","price TBC")</f>
        <v/>
      </c>
      <c r="AH187" s="14">
        <f>IF(U187&lt;&gt;"",U187,IF(H187&lt;&gt;"",H187,""))</f>
        <v/>
      </c>
      <c r="AI187" s="14">
        <f>"After-work football for "&amp;F187&amp;" · "&amp;Z187&amp;", "&amp;AA187&amp;" min from your office"</f>
        <v/>
      </c>
      <c r="AJ187" s="14">
        <f>"Hi "&amp;IF(R187&lt;&gt;"",R187,F187&amp;" team")&amp;","&amp;CHAR(10)&amp;CHAR(10)&amp;"I'm "&amp;IF(AM187&lt;&gt;"",AM187,IF(Offer!$C$5&lt;&gt;"",Offer!$C$5,"[NAME]"))&amp;" from FC Urban. We organise after-work football for teams in the City and Canary Wharf."&amp;CHAR(10)&amp;CHAR(10)&amp;"We have a "&amp;AE187&amp;" pitch at "&amp;Z187&amp;", "&amp;IF(OR(AA187=8,AA187=11,AA187=18),"an ","a ")&amp;AA187&amp;"-minute walk from your "&amp;P187&amp;" office, "&amp;IF(ISNUMBER(AD187),"on "&amp;TEXT(AD187,"dddd d mmmm")&amp;" at "&amp;TEXT(AD187,"hh:mm"),"on a weekday evening that suits your team")&amp;". It's "&amp;IF(AF187&lt;&gt;"","£"&amp;IF(AF187=INT(AF187),TEXT(AF187,"0"),TEXT(AF187,"0.00")),"[PRICE PER PLAYER]")&amp;" a player and we handle the pitch booking, sign-ups and payments, so all it takes is one person sharing a link with the team."&amp;CHAR(10)&amp;CHAR(10)&amp;"It works well as a team social or "&amp;IF(ISNUMBER(SEARCH(LEFT(F187,1),"AEIOU")),"an ","a ")&amp;F187&amp;"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LINK]")&amp;CHAR(10)&amp;CHAR(10)&amp;"Best,"&amp;CHAR(10)&amp;IF(AM187&lt;&gt;"",AM187,IF(Offer!$C$5&lt;&gt;"",Offer!$C$5,"[NAME]"))&amp;CHAR(10)&amp;"FC Urban"</f>
        <v/>
      </c>
      <c r="AK187" s="14">
        <f>"Hi "&amp;IF(R187&lt;&gt;"",R187,F187&amp;" team")&amp;","&amp;CHAR(10)&amp;CHAR(10)&amp;"Just bumping this up. The "&amp;AE187&amp;" pitch at "&amp;Z187&amp;" is still free "&amp;IF(ISNUMBER(AD187),TEXT(AD187,"ddd d mmm")&amp;", "&amp;TEXT(AD187,"hh:mm"),"weekday evenings")&amp;", "&amp;IF(OR(AA187=8,AA187=11,AA187=18),"an ","a ")&amp;AA187&amp;"-minute walk from your office, "&amp;IF(AF187&lt;&gt;"","£"&amp;IF(AF187=INT(AF187),TEXT(AF187,"0"),TEXT(AF187,"0.00")),"[PRICE PER PLAYER]")&amp;" a player. Happy to hold it for "&amp;F187&amp;"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LINK]")&amp;CHAR(10)&amp;CHAR(10)&amp;"Best,"&amp;CHAR(10)&amp;IF(AM187&lt;&gt;"",AM187,IF(Offer!$C$5&lt;&gt;"",Offer!$C$5,"[NAME]"))&amp;CHAR(10)&amp;"FC Urban"</f>
        <v/>
      </c>
      <c r="AL187" s="14">
        <f>IF(AH187="","No email yet",IF(ISNUMBER(SEARCH("[",AJ187)),"Fill placeholders",IF(ISNUMBER(AD187),"Ready to send","Ready · no fixed slot")))</f>
        <v/>
      </c>
      <c r="AO187" s="17" t="n"/>
      <c r="AP187" s="17" t="n"/>
    </row>
    <row r="188">
      <c r="A188" s="11" t="n">
        <v>186</v>
      </c>
      <c r="B188" s="11" t="n">
        <v>3</v>
      </c>
      <c r="C188" s="11" t="inlineStr">
        <is>
          <t>Fund / asset manager</t>
        </is>
      </c>
      <c r="D188" s="11" t="inlineStr">
        <is>
          <t>City of London</t>
        </is>
      </c>
      <c r="E188" s="11" t="inlineStr">
        <is>
          <t>Sparrows Capital Limited</t>
        </is>
      </c>
      <c r="F188" s="11" t="inlineStr">
        <is>
          <t>Sparrows Capital</t>
        </is>
      </c>
      <c r="G188" s="12" t="inlineStr">
        <is>
          <t>https://sparrowscapital.com</t>
        </is>
      </c>
      <c r="H188" s="11" t="inlineStr">
        <is>
          <t>info@sparrowscapital.com</t>
        </is>
      </c>
      <c r="I188" s="11" t="inlineStr">
        <is>
          <t>general</t>
        </is>
      </c>
      <c r="J188" s="12" t="inlineStr">
        <is>
          <t>Open page</t>
        </is>
      </c>
      <c r="K188" s="11" t="inlineStr">
        <is>
          <t>08623416</t>
        </is>
      </c>
      <c r="L188" s="12" t="inlineStr">
        <is>
          <t>Open</t>
        </is>
      </c>
      <c r="M188" s="11" t="inlineStr">
        <is>
          <t>Full</t>
        </is>
      </c>
      <c r="N188" s="13" t="n">
        <v>41479</v>
      </c>
      <c r="O188" s="11" t="inlineStr">
        <is>
          <t>35-37 Ludgate Hill, (Office 7), London</t>
        </is>
      </c>
      <c r="P188" s="11" t="inlineStr">
        <is>
          <t>EC4M 7JN</t>
        </is>
      </c>
      <c r="Q188" s="11" t="inlineStr">
        <is>
          <t>Yes</t>
        </is>
      </c>
      <c r="W188" s="11" t="inlineStr">
        <is>
          <t>City of London School (EC4V 3AL)</t>
        </is>
      </c>
      <c r="X188" s="11" t="n">
        <v>6</v>
      </c>
      <c r="Y188" s="11" t="n"/>
      <c r="Z188" s="11" t="inlineStr">
        <is>
          <t>City of London School (EC4V 3AL)</t>
        </is>
      </c>
      <c r="AA188" s="11" t="n">
        <v>6</v>
      </c>
      <c r="AB188" s="14">
        <f>IFERROR(INDEX(Venues!$E$2:$E$17,MATCH(Z188,Venues!$A$2:$A$17,0)),"Not checked")</f>
        <v/>
      </c>
      <c r="AC188" s="14">
        <f>IFERROR(INDEX(Venues!$F$2:$F$17,MATCH(Z188,Venues!$A$2:$A$17,0)),0)</f>
        <v/>
      </c>
      <c r="AD188" s="15">
        <f>IFERROR(INDEX(Venues!$M$2:$M$17,MATCH(Z188,Venues!$A$2:$A$17,0)),"")</f>
        <v/>
      </c>
      <c r="AE188" s="14">
        <f>IFERROR(INDEX(Venues!$N$2:$N$17,MATCH(Z188,Venues!$A$2:$A$17,0)),"5-a-side")</f>
        <v/>
      </c>
      <c r="AF188" s="16">
        <f>IF(Offer!$C$4="","",Offer!$C$4)</f>
        <v/>
      </c>
      <c r="AG188" s="14">
        <f>Z188&amp;" ("&amp;AA188&amp;" min walk) · "&amp;IF(ISNUMBER(AD188),TEXT(AD188,"ddd d mmm, hh:mm"),"slot to confirm with venue")&amp;" · "&amp;AE188&amp;" · "&amp;IF(AF188&lt;&gt;"","£"&amp;TEXT(AF188,"0.00")&amp;" pp","price TBC")</f>
        <v/>
      </c>
      <c r="AH188" s="14">
        <f>IF(U188&lt;&gt;"",U188,IF(H188&lt;&gt;"",H188,""))</f>
        <v/>
      </c>
      <c r="AI188" s="14">
        <f>"After-work football for "&amp;F188&amp;" · "&amp;Z188&amp;", "&amp;AA188&amp;" min from your office"</f>
        <v/>
      </c>
      <c r="AJ188" s="14">
        <f>"Hi "&amp;IF(R188&lt;&gt;"",R188,F188&amp;" team")&amp;","&amp;CHAR(10)&amp;CHAR(10)&amp;"I'm "&amp;IF(AM188&lt;&gt;"",AM188,IF(Offer!$C$5&lt;&gt;"",Offer!$C$5,"[NAME]"))&amp;" from FC Urban. We organise after-work football for teams in the City and Canary Wharf."&amp;CHAR(10)&amp;CHAR(10)&amp;"We have a "&amp;AE188&amp;" pitch at "&amp;Z188&amp;", "&amp;IF(OR(AA188=8,AA188=11,AA188=18),"an ","a ")&amp;AA188&amp;"-minute walk from your "&amp;P188&amp;" office, "&amp;IF(ISNUMBER(AD188),"on "&amp;TEXT(AD188,"dddd d mmmm")&amp;" at "&amp;TEXT(AD188,"hh:mm"),"on a weekday evening that suits your team")&amp;". It's "&amp;IF(AF188&lt;&gt;"","£"&amp;IF(AF188=INT(AF188),TEXT(AF188,"0"),TEXT(AF188,"0.00")),"[PRICE PER PLAYER]")&amp;" a player and we handle the pitch booking, sign-ups and payments, so all it takes is one person sharing a link with the team."&amp;CHAR(10)&amp;CHAR(10)&amp;"It works well as a team social or "&amp;IF(ISNUMBER(SEARCH(LEFT(F188,1),"AEIOU")),"an ","a ")&amp;F188&amp;"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LINK]")&amp;CHAR(10)&amp;CHAR(10)&amp;"Best,"&amp;CHAR(10)&amp;IF(AM188&lt;&gt;"",AM188,IF(Offer!$C$5&lt;&gt;"",Offer!$C$5,"[NAME]"))&amp;CHAR(10)&amp;"FC Urban"</f>
        <v/>
      </c>
      <c r="AK188" s="14">
        <f>"Hi "&amp;IF(R188&lt;&gt;"",R188,F188&amp;" team")&amp;","&amp;CHAR(10)&amp;CHAR(10)&amp;"Just bumping this up. The "&amp;AE188&amp;" pitch at "&amp;Z188&amp;" is still free "&amp;IF(ISNUMBER(AD188),TEXT(AD188,"ddd d mmm")&amp;", "&amp;TEXT(AD188,"hh:mm"),"weekday evenings")&amp;", "&amp;IF(OR(AA188=8,AA188=11,AA188=18),"an ","a ")&amp;AA188&amp;"-minute walk from your office, "&amp;IF(AF188&lt;&gt;"","£"&amp;IF(AF188=INT(AF188),TEXT(AF188,"0"),TEXT(AF188,"0.00")),"[PRICE PER PLAYER]")&amp;" a player. Happy to hold it for "&amp;F188&amp;"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LINK]")&amp;CHAR(10)&amp;CHAR(10)&amp;"Best,"&amp;CHAR(10)&amp;IF(AM188&lt;&gt;"",AM188,IF(Offer!$C$5&lt;&gt;"",Offer!$C$5,"[NAME]"))&amp;CHAR(10)&amp;"FC Urban"</f>
        <v/>
      </c>
      <c r="AL188" s="14">
        <f>IF(AH188="","No email yet",IF(ISNUMBER(SEARCH("[",AJ188)),"Fill placeholders",IF(ISNUMBER(AD188),"Ready to send","Ready · no fixed slot")))</f>
        <v/>
      </c>
      <c r="AO188" s="17" t="n"/>
      <c r="AP188" s="17" t="n"/>
    </row>
    <row r="189">
      <c r="A189" s="11" t="n">
        <v>187</v>
      </c>
      <c r="B189" s="11" t="n">
        <v>3</v>
      </c>
      <c r="C189" s="11" t="inlineStr">
        <is>
          <t>Insurance / broker</t>
        </is>
      </c>
      <c r="D189" s="11" t="inlineStr">
        <is>
          <t>City of London</t>
        </is>
      </c>
      <c r="E189" s="11" t="inlineStr">
        <is>
          <t>Post Office Management Services Limited</t>
        </is>
      </c>
      <c r="F189" s="11" t="inlineStr">
        <is>
          <t>Post Office Management</t>
        </is>
      </c>
      <c r="G189" s="12" t="inlineStr">
        <is>
          <t>https://www.postoffice.com</t>
        </is>
      </c>
      <c r="H189" s="11" t="n"/>
      <c r="I189" s="11" t="inlineStr">
        <is>
          <t>Not found</t>
        </is>
      </c>
      <c r="J189" s="11" t="n"/>
      <c r="K189" s="11" t="inlineStr">
        <is>
          <t>08459718</t>
        </is>
      </c>
      <c r="L189" s="12" t="inlineStr">
        <is>
          <t>Open</t>
        </is>
      </c>
      <c r="M189" s="11" t="inlineStr">
        <is>
          <t>Full</t>
        </is>
      </c>
      <c r="N189" s="13" t="n">
        <v>41358</v>
      </c>
      <c r="O189" s="11" t="inlineStr">
        <is>
          <t>2Nd Floor Myo, One New Change, London</t>
        </is>
      </c>
      <c r="P189" s="11" t="inlineStr">
        <is>
          <t>EC4M 9AF</t>
        </is>
      </c>
      <c r="Q189" s="11" t="inlineStr">
        <is>
          <t>Yes</t>
        </is>
      </c>
      <c r="W189" s="11" t="inlineStr">
        <is>
          <t>City of London School (EC4V 3AL)</t>
        </is>
      </c>
      <c r="X189" s="11" t="n">
        <v>6</v>
      </c>
      <c r="Y189" s="11" t="inlineStr">
        <is>
          <t>Marlborough Sports Garden (SE1 1SD) (18.5)</t>
        </is>
      </c>
      <c r="Z189" s="11" t="inlineStr">
        <is>
          <t>City of London School (EC4V 3AL)</t>
        </is>
      </c>
      <c r="AA189" s="11" t="n">
        <v>6</v>
      </c>
      <c r="AB189" s="14">
        <f>IFERROR(INDEX(Venues!$E$2:$E$17,MATCH(Z189,Venues!$A$2:$A$17,0)),"Not checked")</f>
        <v/>
      </c>
      <c r="AC189" s="14">
        <f>IFERROR(INDEX(Venues!$F$2:$F$17,MATCH(Z189,Venues!$A$2:$A$17,0)),0)</f>
        <v/>
      </c>
      <c r="AD189" s="15">
        <f>IFERROR(INDEX(Venues!$M$2:$M$17,MATCH(Z189,Venues!$A$2:$A$17,0)),"")</f>
        <v/>
      </c>
      <c r="AE189" s="14">
        <f>IFERROR(INDEX(Venues!$N$2:$N$17,MATCH(Z189,Venues!$A$2:$A$17,0)),"5-a-side")</f>
        <v/>
      </c>
      <c r="AF189" s="16">
        <f>IF(Offer!$C$4="","",Offer!$C$4)</f>
        <v/>
      </c>
      <c r="AG189" s="14">
        <f>Z189&amp;" ("&amp;AA189&amp;" min walk) · "&amp;IF(ISNUMBER(AD189),TEXT(AD189,"ddd d mmm, hh:mm"),"slot to confirm with venue")&amp;" · "&amp;AE189&amp;" · "&amp;IF(AF189&lt;&gt;"","£"&amp;TEXT(AF189,"0.00")&amp;" pp","price TBC")</f>
        <v/>
      </c>
      <c r="AH189" s="14">
        <f>IF(U189&lt;&gt;"",U189,IF(H189&lt;&gt;"",H189,""))</f>
        <v/>
      </c>
      <c r="AI189" s="14">
        <f>"After-work football for "&amp;F189&amp;" · "&amp;Z189&amp;", "&amp;AA189&amp;" min from your office"</f>
        <v/>
      </c>
      <c r="AJ189" s="14">
        <f>"Hi "&amp;IF(R189&lt;&gt;"",R189,F189&amp;" team")&amp;","&amp;CHAR(10)&amp;CHAR(10)&amp;"I'm "&amp;IF(AM189&lt;&gt;"",AM189,IF(Offer!$C$5&lt;&gt;"",Offer!$C$5,"[NAME]"))&amp;" from FC Urban. We organise after-work football for teams in the City and Canary Wharf."&amp;CHAR(10)&amp;CHAR(10)&amp;"We have a "&amp;AE189&amp;" pitch at "&amp;Z189&amp;", "&amp;IF(OR(AA189=8,AA189=11,AA189=18),"an ","a ")&amp;AA189&amp;"-minute walk from your "&amp;P189&amp;" office, "&amp;IF(ISNUMBER(AD189),"on "&amp;TEXT(AD189,"dddd d mmmm")&amp;" at "&amp;TEXT(AD189,"hh:mm"),"on a weekday evening that suits your team")&amp;". It's "&amp;IF(AF189&lt;&gt;"","£"&amp;IF(AF189=INT(AF189),TEXT(AF189,"0"),TEXT(AF189,"0.00")),"[PRICE PER PLAYER]")&amp;" a player and we handle the pitch booking, sign-ups and payments, so all it takes is one person sharing a link with the team."&amp;CHAR(10)&amp;CHAR(10)&amp;"It works well as a team social or "&amp;IF(ISNUMBER(SEARCH(LEFT(F189,1),"AEIOU")),"an ","a ")&amp;F189&amp;"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LINK]")&amp;CHAR(10)&amp;CHAR(10)&amp;"Best,"&amp;CHAR(10)&amp;IF(AM189&lt;&gt;"",AM189,IF(Offer!$C$5&lt;&gt;"",Offer!$C$5,"[NAME]"))&amp;CHAR(10)&amp;"FC Urban"</f>
        <v/>
      </c>
      <c r="AK189" s="14">
        <f>"Hi "&amp;IF(R189&lt;&gt;"",R189,F189&amp;" team")&amp;","&amp;CHAR(10)&amp;CHAR(10)&amp;"Just bumping this up. The "&amp;AE189&amp;" pitch at "&amp;Z189&amp;" is still free "&amp;IF(ISNUMBER(AD189),TEXT(AD189,"ddd d mmm")&amp;", "&amp;TEXT(AD189,"hh:mm"),"weekday evenings")&amp;", "&amp;IF(OR(AA189=8,AA189=11,AA189=18),"an ","a ")&amp;AA189&amp;"-minute walk from your office, "&amp;IF(AF189&lt;&gt;"","£"&amp;IF(AF189=INT(AF189),TEXT(AF189,"0"),TEXT(AF189,"0.00")),"[PRICE PER PLAYER]")&amp;" a player. Happy to hold it for "&amp;F189&amp;"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LINK]")&amp;CHAR(10)&amp;CHAR(10)&amp;"Best,"&amp;CHAR(10)&amp;IF(AM189&lt;&gt;"",AM189,IF(Offer!$C$5&lt;&gt;"",Offer!$C$5,"[NAME]"))&amp;CHAR(10)&amp;"FC Urban"</f>
        <v/>
      </c>
      <c r="AL189" s="14">
        <f>IF(AH189="","No email yet",IF(ISNUMBER(SEARCH("[",AJ189)),"Fill placeholders",IF(ISNUMBER(AD189),"Ready to send","Ready · no fixed slot")))</f>
        <v/>
      </c>
      <c r="AO189" s="17" t="n"/>
      <c r="AP189" s="17" t="n"/>
    </row>
    <row r="190">
      <c r="A190" s="11" t="n">
        <v>188</v>
      </c>
      <c r="B190" s="11" t="n">
        <v>3</v>
      </c>
      <c r="C190" s="11" t="inlineStr">
        <is>
          <t>Fund / asset manager</t>
        </is>
      </c>
      <c r="D190" s="11" t="inlineStr">
        <is>
          <t>City of London</t>
        </is>
      </c>
      <c r="E190" s="11" t="inlineStr">
        <is>
          <t>Janus Henderson Investors International Limited</t>
        </is>
      </c>
      <c r="F190" s="11" t="inlineStr">
        <is>
          <t>Janus Henderson</t>
        </is>
      </c>
      <c r="G190" s="12" t="inlineStr">
        <is>
          <t>https://www.janushenderson.com</t>
        </is>
      </c>
      <c r="H190" s="11" t="inlineStr">
        <is>
          <t>bryan.powell@janushenderson.com</t>
        </is>
      </c>
      <c r="I190" s="11" t="inlineStr">
        <is>
          <t>named person</t>
        </is>
      </c>
      <c r="J190" s="12" t="inlineStr">
        <is>
          <t>Open page</t>
        </is>
      </c>
      <c r="K190" s="11" t="inlineStr">
        <is>
          <t>03594615</t>
        </is>
      </c>
      <c r="L190" s="12" t="inlineStr">
        <is>
          <t>Open</t>
        </is>
      </c>
      <c r="M190" s="11" t="inlineStr">
        <is>
          <t>Full</t>
        </is>
      </c>
      <c r="N190" s="13" t="n">
        <v>35982</v>
      </c>
      <c r="O190" s="11" t="inlineStr">
        <is>
          <t>201 Bishopsgate, London</t>
        </is>
      </c>
      <c r="P190" s="11" t="inlineStr">
        <is>
          <t>EC2M 3AE</t>
        </is>
      </c>
      <c r="Q190" s="11" t="inlineStr">
        <is>
          <t>No</t>
        </is>
      </c>
      <c r="W190" s="11" t="inlineStr">
        <is>
          <t>Shoreditch Powerleague</t>
        </is>
      </c>
      <c r="X190" s="11" t="n">
        <v>6</v>
      </c>
      <c r="Y190" s="11" t="inlineStr">
        <is>
          <t>Liverpool St - Attlee Centre (8.7)</t>
        </is>
      </c>
      <c r="Z190" s="11" t="inlineStr">
        <is>
          <t>Shoreditch Powerleague</t>
        </is>
      </c>
      <c r="AA190" s="11" t="n">
        <v>6</v>
      </c>
      <c r="AB190" s="14">
        <f>IFERROR(INDEX(Venues!$E$2:$E$17,MATCH(Z190,Venues!$A$2:$A$17,0)),"Not checked")</f>
        <v/>
      </c>
      <c r="AC190" s="14">
        <f>IFERROR(INDEX(Venues!$F$2:$F$17,MATCH(Z190,Venues!$A$2:$A$17,0)),0)</f>
        <v/>
      </c>
      <c r="AD190" s="15">
        <f>IFERROR(INDEX(Venues!$M$2:$M$17,MATCH(Z190,Venues!$A$2:$A$17,0)),"")</f>
        <v/>
      </c>
      <c r="AE190" s="14">
        <f>IFERROR(INDEX(Venues!$N$2:$N$17,MATCH(Z190,Venues!$A$2:$A$17,0)),"5-a-side")</f>
        <v/>
      </c>
      <c r="AF190" s="16">
        <f>IF(Offer!$C$4="","",Offer!$C$4)</f>
        <v/>
      </c>
      <c r="AG190" s="14">
        <f>Z190&amp;" ("&amp;AA190&amp;" min walk) · "&amp;IF(ISNUMBER(AD190),TEXT(AD190,"ddd d mmm, hh:mm"),"slot to confirm with venue")&amp;" · "&amp;AE190&amp;" · "&amp;IF(AF190&lt;&gt;"","£"&amp;TEXT(AF190,"0.00")&amp;" pp","price TBC")</f>
        <v/>
      </c>
      <c r="AH190" s="14">
        <f>IF(U190&lt;&gt;"",U190,IF(H190&lt;&gt;"",H190,""))</f>
        <v/>
      </c>
      <c r="AI190" s="14">
        <f>"After-work football for "&amp;F190&amp;" · "&amp;Z190&amp;", "&amp;AA190&amp;" min from your office"</f>
        <v/>
      </c>
      <c r="AJ190" s="14">
        <f>"Hi "&amp;IF(R190&lt;&gt;"",R190,F190&amp;" team")&amp;","&amp;CHAR(10)&amp;CHAR(10)&amp;"I'm "&amp;IF(AM190&lt;&gt;"",AM190,IF(Offer!$C$5&lt;&gt;"",Offer!$C$5,"[NAME]"))&amp;" from FC Urban. We organise after-work football for teams in the City and Canary Wharf."&amp;CHAR(10)&amp;CHAR(10)&amp;"We have a "&amp;AE190&amp;" pitch at "&amp;Z190&amp;", "&amp;IF(OR(AA190=8,AA190=11,AA190=18),"an ","a ")&amp;AA190&amp;"-minute walk from your "&amp;P190&amp;" office, "&amp;IF(ISNUMBER(AD190),"on "&amp;TEXT(AD190,"dddd d mmmm")&amp;" at "&amp;TEXT(AD190,"hh:mm"),"on a weekday evening that suits your team")&amp;". It's "&amp;IF(AF190&lt;&gt;"","£"&amp;IF(AF190=INT(AF190),TEXT(AF190,"0"),TEXT(AF190,"0.00")),"[PRICE PER PLAYER]")&amp;" a player and we handle the pitch booking, sign-ups and payments, so all it takes is one person sharing a link with the team."&amp;CHAR(10)&amp;CHAR(10)&amp;"It works well as a team social or "&amp;IF(ISNUMBER(SEARCH(LEFT(F190,1),"AEIOU")),"an ","a ")&amp;F190&amp;"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LINK]")&amp;CHAR(10)&amp;CHAR(10)&amp;"Best,"&amp;CHAR(10)&amp;IF(AM190&lt;&gt;"",AM190,IF(Offer!$C$5&lt;&gt;"",Offer!$C$5,"[NAME]"))&amp;CHAR(10)&amp;"FC Urban"</f>
        <v/>
      </c>
      <c r="AK190" s="14">
        <f>"Hi "&amp;IF(R190&lt;&gt;"",R190,F190&amp;" team")&amp;","&amp;CHAR(10)&amp;CHAR(10)&amp;"Just bumping this up. The "&amp;AE190&amp;" pitch at "&amp;Z190&amp;" is still free "&amp;IF(ISNUMBER(AD190),TEXT(AD190,"ddd d mmm")&amp;", "&amp;TEXT(AD190,"hh:mm"),"weekday evenings")&amp;", "&amp;IF(OR(AA190=8,AA190=11,AA190=18),"an ","a ")&amp;AA190&amp;"-minute walk from your office, "&amp;IF(AF190&lt;&gt;"","£"&amp;IF(AF190=INT(AF190),TEXT(AF190,"0"),TEXT(AF190,"0.00")),"[PRICE PER PLAYER]")&amp;" a player. Happy to hold it for "&amp;F190&amp;"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LINK]")&amp;CHAR(10)&amp;CHAR(10)&amp;"Best,"&amp;CHAR(10)&amp;IF(AM190&lt;&gt;"",AM190,IF(Offer!$C$5&lt;&gt;"",Offer!$C$5,"[NAME]"))&amp;CHAR(10)&amp;"FC Urban"</f>
        <v/>
      </c>
      <c r="AL190" s="14">
        <f>IF(AH190="","No email yet",IF(ISNUMBER(SEARCH("[",AJ190)),"Fill placeholders",IF(ISNUMBER(AD190),"Ready to send","Ready · no fixed slot")))</f>
        <v/>
      </c>
      <c r="AO190" s="17" t="n"/>
      <c r="AP190" s="17" t="n"/>
    </row>
    <row r="191">
      <c r="A191" s="11" t="n">
        <v>189</v>
      </c>
      <c r="B191" s="11" t="n">
        <v>3</v>
      </c>
      <c r="C191" s="11" t="inlineStr">
        <is>
          <t>Fund / asset manager</t>
        </is>
      </c>
      <c r="D191" s="11" t="inlineStr">
        <is>
          <t>City of London</t>
        </is>
      </c>
      <c r="E191" s="11" t="inlineStr">
        <is>
          <t>Nordstar Partners Management LLP</t>
        </is>
      </c>
      <c r="F191" s="11" t="inlineStr">
        <is>
          <t>Nordstar Partners Management</t>
        </is>
      </c>
      <c r="G191" s="12" t="inlineStr">
        <is>
          <t>https://www.nordstar.com</t>
        </is>
      </c>
      <c r="H191" s="11" t="inlineStr">
        <is>
          <t>contact@nordstar.com</t>
        </is>
      </c>
      <c r="I191" s="11" t="inlineStr">
        <is>
          <t>general</t>
        </is>
      </c>
      <c r="J191" s="12" t="inlineStr">
        <is>
          <t>Open page</t>
        </is>
      </c>
      <c r="K191" s="11" t="inlineStr">
        <is>
          <t>OC435429</t>
        </is>
      </c>
      <c r="L191" s="12" t="inlineStr">
        <is>
          <t>Open</t>
        </is>
      </c>
      <c r="M191" s="11" t="inlineStr">
        <is>
          <t>Full</t>
        </is>
      </c>
      <c r="N191" s="13" t="n">
        <v>44235</v>
      </c>
      <c r="O191" s="11" t="inlineStr">
        <is>
          <t>3Rd Floor, Paternoster House, 65 St. Paul'S Churchyard, London</t>
        </is>
      </c>
      <c r="P191" s="11" t="inlineStr">
        <is>
          <t>EC4M 8AB</t>
        </is>
      </c>
      <c r="Q191" s="11" t="inlineStr">
        <is>
          <t>No</t>
        </is>
      </c>
      <c r="W191" s="11" t="inlineStr">
        <is>
          <t>City of London School (EC4V 3AL)</t>
        </is>
      </c>
      <c r="X191" s="11" t="n">
        <v>6</v>
      </c>
      <c r="Y191" s="11" t="n"/>
      <c r="Z191" s="11" t="inlineStr">
        <is>
          <t>City of London School (EC4V 3AL)</t>
        </is>
      </c>
      <c r="AA191" s="11" t="n">
        <v>6</v>
      </c>
      <c r="AB191" s="14">
        <f>IFERROR(INDEX(Venues!$E$2:$E$17,MATCH(Z191,Venues!$A$2:$A$17,0)),"Not checked")</f>
        <v/>
      </c>
      <c r="AC191" s="14">
        <f>IFERROR(INDEX(Venues!$F$2:$F$17,MATCH(Z191,Venues!$A$2:$A$17,0)),0)</f>
        <v/>
      </c>
      <c r="AD191" s="15">
        <f>IFERROR(INDEX(Venues!$M$2:$M$17,MATCH(Z191,Venues!$A$2:$A$17,0)),"")</f>
        <v/>
      </c>
      <c r="AE191" s="14">
        <f>IFERROR(INDEX(Venues!$N$2:$N$17,MATCH(Z191,Venues!$A$2:$A$17,0)),"5-a-side")</f>
        <v/>
      </c>
      <c r="AF191" s="16">
        <f>IF(Offer!$C$4="","",Offer!$C$4)</f>
        <v/>
      </c>
      <c r="AG191" s="14">
        <f>Z191&amp;" ("&amp;AA191&amp;" min walk) · "&amp;IF(ISNUMBER(AD191),TEXT(AD191,"ddd d mmm, hh:mm"),"slot to confirm with venue")&amp;" · "&amp;AE191&amp;" · "&amp;IF(AF191&lt;&gt;"","£"&amp;TEXT(AF191,"0.00")&amp;" pp","price TBC")</f>
        <v/>
      </c>
      <c r="AH191" s="14">
        <f>IF(U191&lt;&gt;"",U191,IF(H191&lt;&gt;"",H191,""))</f>
        <v/>
      </c>
      <c r="AI191" s="14">
        <f>"After-work football for "&amp;F191&amp;" · "&amp;Z191&amp;", "&amp;AA191&amp;" min from your office"</f>
        <v/>
      </c>
      <c r="AJ191" s="14">
        <f>"Hi "&amp;IF(R191&lt;&gt;"",R191,F191&amp;" team")&amp;","&amp;CHAR(10)&amp;CHAR(10)&amp;"I'm "&amp;IF(AM191&lt;&gt;"",AM191,IF(Offer!$C$5&lt;&gt;"",Offer!$C$5,"[NAME]"))&amp;" from FC Urban. We organise after-work football for teams in the City and Canary Wharf."&amp;CHAR(10)&amp;CHAR(10)&amp;"We have a "&amp;AE191&amp;" pitch at "&amp;Z191&amp;", "&amp;IF(OR(AA191=8,AA191=11,AA191=18),"an ","a ")&amp;AA191&amp;"-minute walk from your "&amp;P191&amp;" office, "&amp;IF(ISNUMBER(AD191),"on "&amp;TEXT(AD191,"dddd d mmmm")&amp;" at "&amp;TEXT(AD191,"hh:mm"),"on a weekday evening that suits your team")&amp;". It's "&amp;IF(AF191&lt;&gt;"","£"&amp;IF(AF191=INT(AF191),TEXT(AF191,"0"),TEXT(AF191,"0.00")),"[PRICE PER PLAYER]")&amp;" a player and we handle the pitch booking, sign-ups and payments, so all it takes is one person sharing a link with the team."&amp;CHAR(10)&amp;CHAR(10)&amp;"It works well as a team social or "&amp;IF(ISNUMBER(SEARCH(LEFT(F191,1),"AEIOU")),"an ","a ")&amp;F191&amp;"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LINK]")&amp;CHAR(10)&amp;CHAR(10)&amp;"Best,"&amp;CHAR(10)&amp;IF(AM191&lt;&gt;"",AM191,IF(Offer!$C$5&lt;&gt;"",Offer!$C$5,"[NAME]"))&amp;CHAR(10)&amp;"FC Urban"</f>
        <v/>
      </c>
      <c r="AK191" s="14">
        <f>"Hi "&amp;IF(R191&lt;&gt;"",R191,F191&amp;" team")&amp;","&amp;CHAR(10)&amp;CHAR(10)&amp;"Just bumping this up. The "&amp;AE191&amp;" pitch at "&amp;Z191&amp;" is still free "&amp;IF(ISNUMBER(AD191),TEXT(AD191,"ddd d mmm")&amp;", "&amp;TEXT(AD191,"hh:mm"),"weekday evenings")&amp;", "&amp;IF(OR(AA191=8,AA191=11,AA191=18),"an ","a ")&amp;AA191&amp;"-minute walk from your office, "&amp;IF(AF191&lt;&gt;"","£"&amp;IF(AF191=INT(AF191),TEXT(AF191,"0"),TEXT(AF191,"0.00")),"[PRICE PER PLAYER]")&amp;" a player. Happy to hold it for "&amp;F191&amp;"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LINK]")&amp;CHAR(10)&amp;CHAR(10)&amp;"Best,"&amp;CHAR(10)&amp;IF(AM191&lt;&gt;"",AM191,IF(Offer!$C$5&lt;&gt;"",Offer!$C$5,"[NAME]"))&amp;CHAR(10)&amp;"FC Urban"</f>
        <v/>
      </c>
      <c r="AL191" s="14">
        <f>IF(AH191="","No email yet",IF(ISNUMBER(SEARCH("[",AJ191)),"Fill placeholders",IF(ISNUMBER(AD191),"Ready to send","Ready · no fixed slot")))</f>
        <v/>
      </c>
      <c r="AO191" s="17" t="n"/>
      <c r="AP191" s="17" t="n"/>
    </row>
    <row r="192">
      <c r="A192" s="11" t="n">
        <v>190</v>
      </c>
      <c r="B192" s="11" t="n">
        <v>3</v>
      </c>
      <c r="C192" s="11" t="inlineStr">
        <is>
          <t>Fund / asset manager</t>
        </is>
      </c>
      <c r="D192" s="11" t="inlineStr">
        <is>
          <t>City of London</t>
        </is>
      </c>
      <c r="E192" s="11" t="inlineStr">
        <is>
          <t>Premier Portfolio Managers Limited</t>
        </is>
      </c>
      <c r="F192" s="11" t="inlineStr">
        <is>
          <t>Premier Portfolio Managers</t>
        </is>
      </c>
      <c r="G192" s="12" t="inlineStr">
        <is>
          <t>https://www.premiermiton.com</t>
        </is>
      </c>
      <c r="H192" s="11" t="inlineStr">
        <is>
          <t>contactus@premiermiton.com</t>
        </is>
      </c>
      <c r="I192" s="11" t="inlineStr">
        <is>
          <t>named person</t>
        </is>
      </c>
      <c r="J192" s="12" t="inlineStr">
        <is>
          <t>Open page</t>
        </is>
      </c>
      <c r="K192" s="11" t="inlineStr">
        <is>
          <t>01235867</t>
        </is>
      </c>
      <c r="L192" s="12" t="inlineStr">
        <is>
          <t>Open</t>
        </is>
      </c>
      <c r="M192" s="11" t="inlineStr">
        <is>
          <t>Full</t>
        </is>
      </c>
      <c r="N192" s="13" t="n">
        <v>27729</v>
      </c>
      <c r="O192" s="11" t="inlineStr">
        <is>
          <t>Paternoster House, 65 St. Paul'S Churchyard, London</t>
        </is>
      </c>
      <c r="P192" s="11" t="inlineStr">
        <is>
          <t>EC4M 8AB</t>
        </is>
      </c>
      <c r="Q192" s="11" t="inlineStr">
        <is>
          <t>No</t>
        </is>
      </c>
      <c r="W192" s="11" t="inlineStr">
        <is>
          <t>City of London School (EC4V 3AL)</t>
        </is>
      </c>
      <c r="X192" s="11" t="n">
        <v>6</v>
      </c>
      <c r="Y192" s="11" t="n"/>
      <c r="Z192" s="11" t="inlineStr">
        <is>
          <t>City of London School (EC4V 3AL)</t>
        </is>
      </c>
      <c r="AA192" s="11" t="n">
        <v>6</v>
      </c>
      <c r="AB192" s="14">
        <f>IFERROR(INDEX(Venues!$E$2:$E$17,MATCH(Z192,Venues!$A$2:$A$17,0)),"Not checked")</f>
        <v/>
      </c>
      <c r="AC192" s="14">
        <f>IFERROR(INDEX(Venues!$F$2:$F$17,MATCH(Z192,Venues!$A$2:$A$17,0)),0)</f>
        <v/>
      </c>
      <c r="AD192" s="15">
        <f>IFERROR(INDEX(Venues!$M$2:$M$17,MATCH(Z192,Venues!$A$2:$A$17,0)),"")</f>
        <v/>
      </c>
      <c r="AE192" s="14">
        <f>IFERROR(INDEX(Venues!$N$2:$N$17,MATCH(Z192,Venues!$A$2:$A$17,0)),"5-a-side")</f>
        <v/>
      </c>
      <c r="AF192" s="16">
        <f>IF(Offer!$C$4="","",Offer!$C$4)</f>
        <v/>
      </c>
      <c r="AG192" s="14">
        <f>Z192&amp;" ("&amp;AA192&amp;" min walk) · "&amp;IF(ISNUMBER(AD192),TEXT(AD192,"ddd d mmm, hh:mm"),"slot to confirm with venue")&amp;" · "&amp;AE192&amp;" · "&amp;IF(AF192&lt;&gt;"","£"&amp;TEXT(AF192,"0.00")&amp;" pp","price TBC")</f>
        <v/>
      </c>
      <c r="AH192" s="14">
        <f>IF(U192&lt;&gt;"",U192,IF(H192&lt;&gt;"",H192,""))</f>
        <v/>
      </c>
      <c r="AI192" s="14">
        <f>"After-work football for "&amp;F192&amp;" · "&amp;Z192&amp;", "&amp;AA192&amp;" min from your office"</f>
        <v/>
      </c>
      <c r="AJ192" s="14">
        <f>"Hi "&amp;IF(R192&lt;&gt;"",R192,F192&amp;" team")&amp;","&amp;CHAR(10)&amp;CHAR(10)&amp;"I'm "&amp;IF(AM192&lt;&gt;"",AM192,IF(Offer!$C$5&lt;&gt;"",Offer!$C$5,"[NAME]"))&amp;" from FC Urban. We organise after-work football for teams in the City and Canary Wharf."&amp;CHAR(10)&amp;CHAR(10)&amp;"We have a "&amp;AE192&amp;" pitch at "&amp;Z192&amp;", "&amp;IF(OR(AA192=8,AA192=11,AA192=18),"an ","a ")&amp;AA192&amp;"-minute walk from your "&amp;P192&amp;" office, "&amp;IF(ISNUMBER(AD192),"on "&amp;TEXT(AD192,"dddd d mmmm")&amp;" at "&amp;TEXT(AD192,"hh:mm"),"on a weekday evening that suits your team")&amp;". It's "&amp;IF(AF192&lt;&gt;"","£"&amp;IF(AF192=INT(AF192),TEXT(AF192,"0"),TEXT(AF192,"0.00")),"[PRICE PER PLAYER]")&amp;" a player and we handle the pitch booking, sign-ups and payments, so all it takes is one person sharing a link with the team."&amp;CHAR(10)&amp;CHAR(10)&amp;"It works well as a team social or "&amp;IF(ISNUMBER(SEARCH(LEFT(F192,1),"AEIOU")),"an ","a ")&amp;F192&amp;"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LINK]")&amp;CHAR(10)&amp;CHAR(10)&amp;"Best,"&amp;CHAR(10)&amp;IF(AM192&lt;&gt;"",AM192,IF(Offer!$C$5&lt;&gt;"",Offer!$C$5,"[NAME]"))&amp;CHAR(10)&amp;"FC Urban"</f>
        <v/>
      </c>
      <c r="AK192" s="14">
        <f>"Hi "&amp;IF(R192&lt;&gt;"",R192,F192&amp;" team")&amp;","&amp;CHAR(10)&amp;CHAR(10)&amp;"Just bumping this up. The "&amp;AE192&amp;" pitch at "&amp;Z192&amp;" is still free "&amp;IF(ISNUMBER(AD192),TEXT(AD192,"ddd d mmm")&amp;", "&amp;TEXT(AD192,"hh:mm"),"weekday evenings")&amp;", "&amp;IF(OR(AA192=8,AA192=11,AA192=18),"an ","a ")&amp;AA192&amp;"-minute walk from your office, "&amp;IF(AF192&lt;&gt;"","£"&amp;IF(AF192=INT(AF192),TEXT(AF192,"0"),TEXT(AF192,"0.00")),"[PRICE PER PLAYER]")&amp;" a player. Happy to hold it for "&amp;F192&amp;"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LINK]")&amp;CHAR(10)&amp;CHAR(10)&amp;"Best,"&amp;CHAR(10)&amp;IF(AM192&lt;&gt;"",AM192,IF(Offer!$C$5&lt;&gt;"",Offer!$C$5,"[NAME]"))&amp;CHAR(10)&amp;"FC Urban"</f>
        <v/>
      </c>
      <c r="AL192" s="14">
        <f>IF(AH192="","No email yet",IF(ISNUMBER(SEARCH("[",AJ192)),"Fill placeholders",IF(ISNUMBER(AD192),"Ready to send","Ready · no fixed slot")))</f>
        <v/>
      </c>
      <c r="AO192" s="17" t="n"/>
      <c r="AP192" s="17" t="n"/>
    </row>
    <row r="193">
      <c r="A193" s="11" t="n">
        <v>191</v>
      </c>
      <c r="B193" s="11" t="n">
        <v>3</v>
      </c>
      <c r="C193" s="11" t="inlineStr">
        <is>
          <t>Fund / asset manager</t>
        </is>
      </c>
      <c r="D193" s="11" t="inlineStr">
        <is>
          <t>City of London</t>
        </is>
      </c>
      <c r="E193" s="11" t="inlineStr">
        <is>
          <t>Tabula Investment Management Limited</t>
        </is>
      </c>
      <c r="F193" s="11" t="inlineStr">
        <is>
          <t>Tabula Investment Management</t>
        </is>
      </c>
      <c r="G193" s="12" t="inlineStr">
        <is>
          <t>https://www.tabulaim.com</t>
        </is>
      </c>
      <c r="H193" s="11" t="inlineStr">
        <is>
          <t>ir@tabulagroup.com</t>
        </is>
      </c>
      <c r="I193" s="11" t="inlineStr">
        <is>
          <t>general</t>
        </is>
      </c>
      <c r="J193" s="12" t="inlineStr">
        <is>
          <t>Open page</t>
        </is>
      </c>
      <c r="K193" s="11" t="inlineStr">
        <is>
          <t>11286661</t>
        </is>
      </c>
      <c r="L193" s="12" t="inlineStr">
        <is>
          <t>Open</t>
        </is>
      </c>
      <c r="M193" s="11" t="inlineStr">
        <is>
          <t>Full</t>
        </is>
      </c>
      <c r="N193" s="13" t="n">
        <v>43193</v>
      </c>
      <c r="O193" s="11" t="inlineStr">
        <is>
          <t>201 Bishopsgate, London</t>
        </is>
      </c>
      <c r="P193" s="11" t="inlineStr">
        <is>
          <t>EC2M 3AE</t>
        </is>
      </c>
      <c r="Q193" s="11" t="inlineStr">
        <is>
          <t>No</t>
        </is>
      </c>
      <c r="W193" s="11" t="inlineStr">
        <is>
          <t>Shoreditch Powerleague</t>
        </is>
      </c>
      <c r="X193" s="11" t="n">
        <v>6</v>
      </c>
      <c r="Y193" s="11" t="inlineStr">
        <is>
          <t>Liverpool St - Attlee Centre (8.7)</t>
        </is>
      </c>
      <c r="Z193" s="11" t="inlineStr">
        <is>
          <t>Shoreditch Powerleague</t>
        </is>
      </c>
      <c r="AA193" s="11" t="n">
        <v>6</v>
      </c>
      <c r="AB193" s="14">
        <f>IFERROR(INDEX(Venues!$E$2:$E$17,MATCH(Z193,Venues!$A$2:$A$17,0)),"Not checked")</f>
        <v/>
      </c>
      <c r="AC193" s="14">
        <f>IFERROR(INDEX(Venues!$F$2:$F$17,MATCH(Z193,Venues!$A$2:$A$17,0)),0)</f>
        <v/>
      </c>
      <c r="AD193" s="15">
        <f>IFERROR(INDEX(Venues!$M$2:$M$17,MATCH(Z193,Venues!$A$2:$A$17,0)),"")</f>
        <v/>
      </c>
      <c r="AE193" s="14">
        <f>IFERROR(INDEX(Venues!$N$2:$N$17,MATCH(Z193,Venues!$A$2:$A$17,0)),"5-a-side")</f>
        <v/>
      </c>
      <c r="AF193" s="16">
        <f>IF(Offer!$C$4="","",Offer!$C$4)</f>
        <v/>
      </c>
      <c r="AG193" s="14">
        <f>Z193&amp;" ("&amp;AA193&amp;" min walk) · "&amp;IF(ISNUMBER(AD193),TEXT(AD193,"ddd d mmm, hh:mm"),"slot to confirm with venue")&amp;" · "&amp;AE193&amp;" · "&amp;IF(AF193&lt;&gt;"","£"&amp;TEXT(AF193,"0.00")&amp;" pp","price TBC")</f>
        <v/>
      </c>
      <c r="AH193" s="14">
        <f>IF(U193&lt;&gt;"",U193,IF(H193&lt;&gt;"",H193,""))</f>
        <v/>
      </c>
      <c r="AI193" s="14">
        <f>"After-work football for "&amp;F193&amp;" · "&amp;Z193&amp;", "&amp;AA193&amp;" min from your office"</f>
        <v/>
      </c>
      <c r="AJ193" s="14">
        <f>"Hi "&amp;IF(R193&lt;&gt;"",R193,F193&amp;" team")&amp;","&amp;CHAR(10)&amp;CHAR(10)&amp;"I'm "&amp;IF(AM193&lt;&gt;"",AM193,IF(Offer!$C$5&lt;&gt;"",Offer!$C$5,"[NAME]"))&amp;" from FC Urban. We organise after-work football for teams in the City and Canary Wharf."&amp;CHAR(10)&amp;CHAR(10)&amp;"We have a "&amp;AE193&amp;" pitch at "&amp;Z193&amp;", "&amp;IF(OR(AA193=8,AA193=11,AA193=18),"an ","a ")&amp;AA193&amp;"-minute walk from your "&amp;P193&amp;" office, "&amp;IF(ISNUMBER(AD193),"on "&amp;TEXT(AD193,"dddd d mmmm")&amp;" at "&amp;TEXT(AD193,"hh:mm"),"on a weekday evening that suits your team")&amp;". It's "&amp;IF(AF193&lt;&gt;"","£"&amp;IF(AF193=INT(AF193),TEXT(AF193,"0"),TEXT(AF193,"0.00")),"[PRICE PER PLAYER]")&amp;" a player and we handle the pitch booking, sign-ups and payments, so all it takes is one person sharing a link with the team."&amp;CHAR(10)&amp;CHAR(10)&amp;"It works well as a team social or "&amp;IF(ISNUMBER(SEARCH(LEFT(F193,1),"AEIOU")),"an ","a ")&amp;F193&amp;"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LINK]")&amp;CHAR(10)&amp;CHAR(10)&amp;"Best,"&amp;CHAR(10)&amp;IF(AM193&lt;&gt;"",AM193,IF(Offer!$C$5&lt;&gt;"",Offer!$C$5,"[NAME]"))&amp;CHAR(10)&amp;"FC Urban"</f>
        <v/>
      </c>
      <c r="AK193" s="14">
        <f>"Hi "&amp;IF(R193&lt;&gt;"",R193,F193&amp;" team")&amp;","&amp;CHAR(10)&amp;CHAR(10)&amp;"Just bumping this up. The "&amp;AE193&amp;" pitch at "&amp;Z193&amp;" is still free "&amp;IF(ISNUMBER(AD193),TEXT(AD193,"ddd d mmm")&amp;", "&amp;TEXT(AD193,"hh:mm"),"weekday evenings")&amp;", "&amp;IF(OR(AA193=8,AA193=11,AA193=18),"an ","a ")&amp;AA193&amp;"-minute walk from your office, "&amp;IF(AF193&lt;&gt;"","£"&amp;IF(AF193=INT(AF193),TEXT(AF193,"0"),TEXT(AF193,"0.00")),"[PRICE PER PLAYER]")&amp;" a player. Happy to hold it for "&amp;F193&amp;"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LINK]")&amp;CHAR(10)&amp;CHAR(10)&amp;"Best,"&amp;CHAR(10)&amp;IF(AM193&lt;&gt;"",AM193,IF(Offer!$C$5&lt;&gt;"",Offer!$C$5,"[NAME]"))&amp;CHAR(10)&amp;"FC Urban"</f>
        <v/>
      </c>
      <c r="AL193" s="14">
        <f>IF(AH193="","No email yet",IF(ISNUMBER(SEARCH("[",AJ193)),"Fill placeholders",IF(ISNUMBER(AD193),"Ready to send","Ready · no fixed slot")))</f>
        <v/>
      </c>
      <c r="AO193" s="17" t="n"/>
      <c r="AP193" s="17" t="n"/>
    </row>
    <row r="194">
      <c r="A194" s="11" t="n">
        <v>192</v>
      </c>
      <c r="B194" s="11" t="n">
        <v>3</v>
      </c>
      <c r="C194" s="11" t="inlineStr">
        <is>
          <t>Fund / asset manager</t>
        </is>
      </c>
      <c r="D194" s="11" t="inlineStr">
        <is>
          <t>City of London</t>
        </is>
      </c>
      <c r="E194" s="11" t="inlineStr">
        <is>
          <t>Tellworth Investments LLP</t>
        </is>
      </c>
      <c r="F194" s="11" t="inlineStr">
        <is>
          <t>Tellworth Investments</t>
        </is>
      </c>
      <c r="G194" s="12" t="inlineStr">
        <is>
          <t>https://www.premiermiton.com</t>
        </is>
      </c>
      <c r="H194" s="11" t="inlineStr">
        <is>
          <t>info@premiermiton.com</t>
        </is>
      </c>
      <c r="I194" s="11" t="inlineStr">
        <is>
          <t>general</t>
        </is>
      </c>
      <c r="J194" s="12" t="inlineStr">
        <is>
          <t>Open page</t>
        </is>
      </c>
      <c r="K194" s="11" t="inlineStr">
        <is>
          <t>OC417414</t>
        </is>
      </c>
      <c r="L194" s="12" t="inlineStr">
        <is>
          <t>Open</t>
        </is>
      </c>
      <c r="M194" s="11" t="inlineStr">
        <is>
          <t>Full</t>
        </is>
      </c>
      <c r="N194" s="13" t="n">
        <v>42875</v>
      </c>
      <c r="O194" s="11" t="inlineStr">
        <is>
          <t>65 St Paul'S Churchyard Paternoster House, 65 St Paul'S Churchyard, London</t>
        </is>
      </c>
      <c r="P194" s="11" t="inlineStr">
        <is>
          <t>EC4M 8AB</t>
        </is>
      </c>
      <c r="Q194" s="11" t="inlineStr">
        <is>
          <t>No</t>
        </is>
      </c>
      <c r="W194" s="11" t="inlineStr">
        <is>
          <t>City of London School (EC4V 3AL)</t>
        </is>
      </c>
      <c r="X194" s="11" t="n">
        <v>6</v>
      </c>
      <c r="Y194" s="11" t="n"/>
      <c r="Z194" s="11" t="inlineStr">
        <is>
          <t>City of London School (EC4V 3AL)</t>
        </is>
      </c>
      <c r="AA194" s="11" t="n">
        <v>6</v>
      </c>
      <c r="AB194" s="14">
        <f>IFERROR(INDEX(Venues!$E$2:$E$17,MATCH(Z194,Venues!$A$2:$A$17,0)),"Not checked")</f>
        <v/>
      </c>
      <c r="AC194" s="14">
        <f>IFERROR(INDEX(Venues!$F$2:$F$17,MATCH(Z194,Venues!$A$2:$A$17,0)),0)</f>
        <v/>
      </c>
      <c r="AD194" s="15">
        <f>IFERROR(INDEX(Venues!$M$2:$M$17,MATCH(Z194,Venues!$A$2:$A$17,0)),"")</f>
        <v/>
      </c>
      <c r="AE194" s="14">
        <f>IFERROR(INDEX(Venues!$N$2:$N$17,MATCH(Z194,Venues!$A$2:$A$17,0)),"5-a-side")</f>
        <v/>
      </c>
      <c r="AF194" s="16">
        <f>IF(Offer!$C$4="","",Offer!$C$4)</f>
        <v/>
      </c>
      <c r="AG194" s="14">
        <f>Z194&amp;" ("&amp;AA194&amp;" min walk) · "&amp;IF(ISNUMBER(AD194),TEXT(AD194,"ddd d mmm, hh:mm"),"slot to confirm with venue")&amp;" · "&amp;AE194&amp;" · "&amp;IF(AF194&lt;&gt;"","£"&amp;TEXT(AF194,"0.00")&amp;" pp","price TBC")</f>
        <v/>
      </c>
      <c r="AH194" s="14">
        <f>IF(U194&lt;&gt;"",U194,IF(H194&lt;&gt;"",H194,""))</f>
        <v/>
      </c>
      <c r="AI194" s="14">
        <f>"After-work football for "&amp;F194&amp;" · "&amp;Z194&amp;", "&amp;AA194&amp;" min from your office"</f>
        <v/>
      </c>
      <c r="AJ194" s="14">
        <f>"Hi "&amp;IF(R194&lt;&gt;"",R194,F194&amp;" team")&amp;","&amp;CHAR(10)&amp;CHAR(10)&amp;"I'm "&amp;IF(AM194&lt;&gt;"",AM194,IF(Offer!$C$5&lt;&gt;"",Offer!$C$5,"[NAME]"))&amp;" from FC Urban. We organise after-work football for teams in the City and Canary Wharf."&amp;CHAR(10)&amp;CHAR(10)&amp;"We have a "&amp;AE194&amp;" pitch at "&amp;Z194&amp;", "&amp;IF(OR(AA194=8,AA194=11,AA194=18),"an ","a ")&amp;AA194&amp;"-minute walk from your "&amp;P194&amp;" office, "&amp;IF(ISNUMBER(AD194),"on "&amp;TEXT(AD194,"dddd d mmmm")&amp;" at "&amp;TEXT(AD194,"hh:mm"),"on a weekday evening that suits your team")&amp;". It's "&amp;IF(AF194&lt;&gt;"","£"&amp;IF(AF194=INT(AF194),TEXT(AF194,"0"),TEXT(AF194,"0.00")),"[PRICE PER PLAYER]")&amp;" a player and we handle the pitch booking, sign-ups and payments, so all it takes is one person sharing a link with the team."&amp;CHAR(10)&amp;CHAR(10)&amp;"It works well as a team social or "&amp;IF(ISNUMBER(SEARCH(LEFT(F194,1),"AEIOU")),"an ","a ")&amp;F194&amp;"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LINK]")&amp;CHAR(10)&amp;CHAR(10)&amp;"Best,"&amp;CHAR(10)&amp;IF(AM194&lt;&gt;"",AM194,IF(Offer!$C$5&lt;&gt;"",Offer!$C$5,"[NAME]"))&amp;CHAR(10)&amp;"FC Urban"</f>
        <v/>
      </c>
      <c r="AK194" s="14">
        <f>"Hi "&amp;IF(R194&lt;&gt;"",R194,F194&amp;" team")&amp;","&amp;CHAR(10)&amp;CHAR(10)&amp;"Just bumping this up. The "&amp;AE194&amp;" pitch at "&amp;Z194&amp;" is still free "&amp;IF(ISNUMBER(AD194),TEXT(AD194,"ddd d mmm")&amp;", "&amp;TEXT(AD194,"hh:mm"),"weekday evenings")&amp;", "&amp;IF(OR(AA194=8,AA194=11,AA194=18),"an ","a ")&amp;AA194&amp;"-minute walk from your office, "&amp;IF(AF194&lt;&gt;"","£"&amp;IF(AF194=INT(AF194),TEXT(AF194,"0"),TEXT(AF194,"0.00")),"[PRICE PER PLAYER]")&amp;" a player. Happy to hold it for "&amp;F194&amp;"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LINK]")&amp;CHAR(10)&amp;CHAR(10)&amp;"Best,"&amp;CHAR(10)&amp;IF(AM194&lt;&gt;"",AM194,IF(Offer!$C$5&lt;&gt;"",Offer!$C$5,"[NAME]"))&amp;CHAR(10)&amp;"FC Urban"</f>
        <v/>
      </c>
      <c r="AL194" s="14">
        <f>IF(AH194="","No email yet",IF(ISNUMBER(SEARCH("[",AJ194)),"Fill placeholders",IF(ISNUMBER(AD194),"Ready to send","Ready · no fixed slot")))</f>
        <v/>
      </c>
      <c r="AO194" s="17" t="n"/>
      <c r="AP194" s="17" t="n"/>
    </row>
    <row r="195">
      <c r="A195" s="11" t="n">
        <v>193</v>
      </c>
      <c r="B195" s="11" t="n">
        <v>3</v>
      </c>
      <c r="C195" s="11" t="inlineStr">
        <is>
          <t>Fund / asset manager</t>
        </is>
      </c>
      <c r="D195" s="11" t="inlineStr">
        <is>
          <t>City of London</t>
        </is>
      </c>
      <c r="E195" s="11" t="inlineStr">
        <is>
          <t>Finalto Financial Services Limited</t>
        </is>
      </c>
      <c r="F195" s="11" t="inlineStr">
        <is>
          <t>Finalto Financial</t>
        </is>
      </c>
      <c r="G195" s="12" t="inlineStr">
        <is>
          <t>https://finalto.com</t>
        </is>
      </c>
      <c r="H195" s="11" t="inlineStr">
        <is>
          <t>support@finalto.com</t>
        </is>
      </c>
      <c r="I195" s="11" t="inlineStr">
        <is>
          <t>role (other)</t>
        </is>
      </c>
      <c r="J195" s="12" t="inlineStr">
        <is>
          <t>Open page</t>
        </is>
      </c>
      <c r="K195" s="11" t="inlineStr">
        <is>
          <t>06557752</t>
        </is>
      </c>
      <c r="L195" s="12" t="inlineStr">
        <is>
          <t>Open</t>
        </is>
      </c>
      <c r="M195" s="11" t="inlineStr">
        <is>
          <t>Full</t>
        </is>
      </c>
      <c r="N195" s="13" t="n">
        <v>39545</v>
      </c>
      <c r="O195" s="11" t="inlineStr">
        <is>
          <t>11Th Floor Broadgate Tower, Primrose Street, London</t>
        </is>
      </c>
      <c r="P195" s="11" t="inlineStr">
        <is>
          <t>EC2A 2EW</t>
        </is>
      </c>
      <c r="Q195" s="11" t="inlineStr">
        <is>
          <t>Yes</t>
        </is>
      </c>
      <c r="W195" s="11" t="inlineStr">
        <is>
          <t>Shoreditch Powerleague</t>
        </is>
      </c>
      <c r="X195" s="11" t="n">
        <v>6</v>
      </c>
      <c r="Y195" s="11" t="inlineStr">
        <is>
          <t>Liverpool St - Attlee Centre (9.9)</t>
        </is>
      </c>
      <c r="Z195" s="11" t="inlineStr">
        <is>
          <t>Shoreditch Powerleague</t>
        </is>
      </c>
      <c r="AA195" s="11" t="n">
        <v>6</v>
      </c>
      <c r="AB195" s="14">
        <f>IFERROR(INDEX(Venues!$E$2:$E$17,MATCH(Z195,Venues!$A$2:$A$17,0)),"Not checked")</f>
        <v/>
      </c>
      <c r="AC195" s="14">
        <f>IFERROR(INDEX(Venues!$F$2:$F$17,MATCH(Z195,Venues!$A$2:$A$17,0)),0)</f>
        <v/>
      </c>
      <c r="AD195" s="15">
        <f>IFERROR(INDEX(Venues!$M$2:$M$17,MATCH(Z195,Venues!$A$2:$A$17,0)),"")</f>
        <v/>
      </c>
      <c r="AE195" s="14">
        <f>IFERROR(INDEX(Venues!$N$2:$N$17,MATCH(Z195,Venues!$A$2:$A$17,0)),"5-a-side")</f>
        <v/>
      </c>
      <c r="AF195" s="16">
        <f>IF(Offer!$C$4="","",Offer!$C$4)</f>
        <v/>
      </c>
      <c r="AG195" s="14">
        <f>Z195&amp;" ("&amp;AA195&amp;" min walk) · "&amp;IF(ISNUMBER(AD195),TEXT(AD195,"ddd d mmm, hh:mm"),"slot to confirm with venue")&amp;" · "&amp;AE195&amp;" · "&amp;IF(AF195&lt;&gt;"","£"&amp;TEXT(AF195,"0.00")&amp;" pp","price TBC")</f>
        <v/>
      </c>
      <c r="AH195" s="14">
        <f>IF(U195&lt;&gt;"",U195,IF(H195&lt;&gt;"",H195,""))</f>
        <v/>
      </c>
      <c r="AI195" s="14">
        <f>"After-work football for "&amp;F195&amp;" · "&amp;Z195&amp;", "&amp;AA195&amp;" min from your office"</f>
        <v/>
      </c>
      <c r="AJ195" s="14">
        <f>"Hi "&amp;IF(R195&lt;&gt;"",R195,F195&amp;" team")&amp;","&amp;CHAR(10)&amp;CHAR(10)&amp;"I'm "&amp;IF(AM195&lt;&gt;"",AM195,IF(Offer!$C$5&lt;&gt;"",Offer!$C$5,"[NAME]"))&amp;" from FC Urban. We organise after-work football for teams in the City and Canary Wharf."&amp;CHAR(10)&amp;CHAR(10)&amp;"We have a "&amp;AE195&amp;" pitch at "&amp;Z195&amp;", "&amp;IF(OR(AA195=8,AA195=11,AA195=18),"an ","a ")&amp;AA195&amp;"-minute walk from your "&amp;P195&amp;" office, "&amp;IF(ISNUMBER(AD195),"on "&amp;TEXT(AD195,"dddd d mmmm")&amp;" at "&amp;TEXT(AD195,"hh:mm"),"on a weekday evening that suits your team")&amp;". It's "&amp;IF(AF195&lt;&gt;"","£"&amp;IF(AF195=INT(AF195),TEXT(AF195,"0"),TEXT(AF195,"0.00")),"[PRICE PER PLAYER]")&amp;" a player and we handle the pitch booking, sign-ups and payments, so all it takes is one person sharing a link with the team."&amp;CHAR(10)&amp;CHAR(10)&amp;"It works well as a team social or "&amp;IF(ISNUMBER(SEARCH(LEFT(F195,1),"AEIOU")),"an ","a ")&amp;F195&amp;"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LINK]")&amp;CHAR(10)&amp;CHAR(10)&amp;"Best,"&amp;CHAR(10)&amp;IF(AM195&lt;&gt;"",AM195,IF(Offer!$C$5&lt;&gt;"",Offer!$C$5,"[NAME]"))&amp;CHAR(10)&amp;"FC Urban"</f>
        <v/>
      </c>
      <c r="AK195" s="14">
        <f>"Hi "&amp;IF(R195&lt;&gt;"",R195,F195&amp;" team")&amp;","&amp;CHAR(10)&amp;CHAR(10)&amp;"Just bumping this up. The "&amp;AE195&amp;" pitch at "&amp;Z195&amp;" is still free "&amp;IF(ISNUMBER(AD195),TEXT(AD195,"ddd d mmm")&amp;", "&amp;TEXT(AD195,"hh:mm"),"weekday evenings")&amp;", "&amp;IF(OR(AA195=8,AA195=11,AA195=18),"an ","a ")&amp;AA195&amp;"-minute walk from your office, "&amp;IF(AF195&lt;&gt;"","£"&amp;IF(AF195=INT(AF195),TEXT(AF195,"0"),TEXT(AF195,"0.00")),"[PRICE PER PLAYER]")&amp;" a player. Happy to hold it for "&amp;F195&amp;"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LINK]")&amp;CHAR(10)&amp;CHAR(10)&amp;"Best,"&amp;CHAR(10)&amp;IF(AM195&lt;&gt;"",AM195,IF(Offer!$C$5&lt;&gt;"",Offer!$C$5,"[NAME]"))&amp;CHAR(10)&amp;"FC Urban"</f>
        <v/>
      </c>
      <c r="AL195" s="14">
        <f>IF(AH195="","No email yet",IF(ISNUMBER(SEARCH("[",AJ195)),"Fill placeholders",IF(ISNUMBER(AD195),"Ready to send","Ready · no fixed slot")))</f>
        <v/>
      </c>
      <c r="AO195" s="17" t="n"/>
      <c r="AP195" s="17" t="n"/>
    </row>
    <row r="196">
      <c r="A196" s="11" t="n">
        <v>194</v>
      </c>
      <c r="B196" s="11" t="n">
        <v>3</v>
      </c>
      <c r="C196" s="11" t="inlineStr">
        <is>
          <t>Fund / asset manager</t>
        </is>
      </c>
      <c r="D196" s="11" t="inlineStr">
        <is>
          <t>City of London</t>
        </is>
      </c>
      <c r="E196" s="11" t="inlineStr">
        <is>
          <t>Astatine Capital Partners LLP</t>
        </is>
      </c>
      <c r="F196" s="11" t="inlineStr">
        <is>
          <t>Astatine Capital Partners</t>
        </is>
      </c>
      <c r="G196" s="12" t="inlineStr">
        <is>
          <t>https://astatineip.com</t>
        </is>
      </c>
      <c r="H196" s="11" t="inlineStr">
        <is>
          <t>investors@astatineip.com</t>
        </is>
      </c>
      <c r="I196" s="11" t="inlineStr">
        <is>
          <t>general</t>
        </is>
      </c>
      <c r="J196" s="12" t="inlineStr">
        <is>
          <t>Open page</t>
        </is>
      </c>
      <c r="K196" s="11" t="inlineStr">
        <is>
          <t>OC376508</t>
        </is>
      </c>
      <c r="L196" s="12" t="inlineStr">
        <is>
          <t>Open</t>
        </is>
      </c>
      <c r="M196" s="11" t="inlineStr">
        <is>
          <t>Full</t>
        </is>
      </c>
      <c r="N196" s="13" t="n">
        <v>41088</v>
      </c>
      <c r="O196" s="11" t="inlineStr">
        <is>
          <t>Duo, Level 6, 280 Bishopsgate, London</t>
        </is>
      </c>
      <c r="P196" s="11" t="inlineStr">
        <is>
          <t>EC2M 4RB</t>
        </is>
      </c>
      <c r="Q196" s="11" t="inlineStr">
        <is>
          <t>No</t>
        </is>
      </c>
      <c r="W196" s="11" t="inlineStr">
        <is>
          <t>Shoreditch Powerleague</t>
        </is>
      </c>
      <c r="X196" s="11" t="n">
        <v>7</v>
      </c>
      <c r="Y196" s="11" t="inlineStr">
        <is>
          <t>Liverpool St - Attlee Centre (7.1)</t>
        </is>
      </c>
      <c r="Z196" s="11" t="inlineStr">
        <is>
          <t>Shoreditch Powerleague</t>
        </is>
      </c>
      <c r="AA196" s="11" t="n">
        <v>7</v>
      </c>
      <c r="AB196" s="14">
        <f>IFERROR(INDEX(Venues!$E$2:$E$17,MATCH(Z196,Venues!$A$2:$A$17,0)),"Not checked")</f>
        <v/>
      </c>
      <c r="AC196" s="14">
        <f>IFERROR(INDEX(Venues!$F$2:$F$17,MATCH(Z196,Venues!$A$2:$A$17,0)),0)</f>
        <v/>
      </c>
      <c r="AD196" s="15">
        <f>IFERROR(INDEX(Venues!$M$2:$M$17,MATCH(Z196,Venues!$A$2:$A$17,0)),"")</f>
        <v/>
      </c>
      <c r="AE196" s="14">
        <f>IFERROR(INDEX(Venues!$N$2:$N$17,MATCH(Z196,Venues!$A$2:$A$17,0)),"5-a-side")</f>
        <v/>
      </c>
      <c r="AF196" s="16">
        <f>IF(Offer!$C$4="","",Offer!$C$4)</f>
        <v/>
      </c>
      <c r="AG196" s="14">
        <f>Z196&amp;" ("&amp;AA196&amp;" min walk) · "&amp;IF(ISNUMBER(AD196),TEXT(AD196,"ddd d mmm, hh:mm"),"slot to confirm with venue")&amp;" · "&amp;AE196&amp;" · "&amp;IF(AF196&lt;&gt;"","£"&amp;TEXT(AF196,"0.00")&amp;" pp","price TBC")</f>
        <v/>
      </c>
      <c r="AH196" s="14">
        <f>IF(U196&lt;&gt;"",U196,IF(H196&lt;&gt;"",H196,""))</f>
        <v/>
      </c>
      <c r="AI196" s="14">
        <f>"After-work football for "&amp;F196&amp;" · "&amp;Z196&amp;", "&amp;AA196&amp;" min from your office"</f>
        <v/>
      </c>
      <c r="AJ196" s="14">
        <f>"Hi "&amp;IF(R196&lt;&gt;"",R196,F196&amp;" team")&amp;","&amp;CHAR(10)&amp;CHAR(10)&amp;"I'm "&amp;IF(AM196&lt;&gt;"",AM196,IF(Offer!$C$5&lt;&gt;"",Offer!$C$5,"[NAME]"))&amp;" from FC Urban. We organise after-work football for teams in the City and Canary Wharf."&amp;CHAR(10)&amp;CHAR(10)&amp;"We have a "&amp;AE196&amp;" pitch at "&amp;Z196&amp;", "&amp;IF(OR(AA196=8,AA196=11,AA196=18),"an ","a ")&amp;AA196&amp;"-minute walk from your "&amp;P196&amp;" office, "&amp;IF(ISNUMBER(AD196),"on "&amp;TEXT(AD196,"dddd d mmmm")&amp;" at "&amp;TEXT(AD196,"hh:mm"),"on a weekday evening that suits your team")&amp;". It's "&amp;IF(AF196&lt;&gt;"","£"&amp;IF(AF196=INT(AF196),TEXT(AF196,"0"),TEXT(AF196,"0.00")),"[PRICE PER PLAYER]")&amp;" a player and we handle the pitch booking, sign-ups and payments, so all it takes is one person sharing a link with the team."&amp;CHAR(10)&amp;CHAR(10)&amp;"It works well as a team social or "&amp;IF(ISNUMBER(SEARCH(LEFT(F196,1),"AEIOU")),"an ","a ")&amp;F196&amp;"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LINK]")&amp;CHAR(10)&amp;CHAR(10)&amp;"Best,"&amp;CHAR(10)&amp;IF(AM196&lt;&gt;"",AM196,IF(Offer!$C$5&lt;&gt;"",Offer!$C$5,"[NAME]"))&amp;CHAR(10)&amp;"FC Urban"</f>
        <v/>
      </c>
      <c r="AK196" s="14">
        <f>"Hi "&amp;IF(R196&lt;&gt;"",R196,F196&amp;" team")&amp;","&amp;CHAR(10)&amp;CHAR(10)&amp;"Just bumping this up. The "&amp;AE196&amp;" pitch at "&amp;Z196&amp;" is still free "&amp;IF(ISNUMBER(AD196),TEXT(AD196,"ddd d mmm")&amp;", "&amp;TEXT(AD196,"hh:mm"),"weekday evenings")&amp;", "&amp;IF(OR(AA196=8,AA196=11,AA196=18),"an ","a ")&amp;AA196&amp;"-minute walk from your office, "&amp;IF(AF196&lt;&gt;"","£"&amp;IF(AF196=INT(AF196),TEXT(AF196,"0"),TEXT(AF196,"0.00")),"[PRICE PER PLAYER]")&amp;" a player. Happy to hold it for "&amp;F196&amp;"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LINK]")&amp;CHAR(10)&amp;CHAR(10)&amp;"Best,"&amp;CHAR(10)&amp;IF(AM196&lt;&gt;"",AM196,IF(Offer!$C$5&lt;&gt;"",Offer!$C$5,"[NAME]"))&amp;CHAR(10)&amp;"FC Urban"</f>
        <v/>
      </c>
      <c r="AL196" s="14">
        <f>IF(AH196="","No email yet",IF(ISNUMBER(SEARCH("[",AJ196)),"Fill placeholders",IF(ISNUMBER(AD196),"Ready to send","Ready · no fixed slot")))</f>
        <v/>
      </c>
      <c r="AO196" s="17" t="n"/>
      <c r="AP196" s="17" t="n"/>
    </row>
    <row r="197">
      <c r="A197" s="11" t="n">
        <v>195</v>
      </c>
      <c r="B197" s="11" t="n">
        <v>3</v>
      </c>
      <c r="C197" s="11" t="inlineStr">
        <is>
          <t>Fund / asset manager</t>
        </is>
      </c>
      <c r="D197" s="11" t="inlineStr">
        <is>
          <t>City of London</t>
        </is>
      </c>
      <c r="E197" s="11" t="inlineStr">
        <is>
          <t>Bain Capital Private Equity (Europe), LLP</t>
        </is>
      </c>
      <c r="F197" s="11" t="inlineStr">
        <is>
          <t>Bain Capital</t>
        </is>
      </c>
      <c r="G197" s="12" t="inlineStr">
        <is>
          <t>https://www.bain.com</t>
        </is>
      </c>
      <c r="H197" s="11" t="inlineStr">
        <is>
          <t>celina.oda@bain.com</t>
        </is>
      </c>
      <c r="I197" s="11" t="inlineStr">
        <is>
          <t>named person</t>
        </is>
      </c>
      <c r="J197" s="12" t="inlineStr">
        <is>
          <t>Open page</t>
        </is>
      </c>
      <c r="K197" s="11" t="inlineStr">
        <is>
          <t>OC380135</t>
        </is>
      </c>
      <c r="L197" s="12" t="inlineStr">
        <is>
          <t>Open</t>
        </is>
      </c>
      <c r="M197" s="11" t="inlineStr">
        <is>
          <t>Full</t>
        </is>
      </c>
      <c r="N197" s="13" t="n">
        <v>41225</v>
      </c>
      <c r="O197" s="11" t="inlineStr">
        <is>
          <t>Duo, Level 6, 280 Bishopsgate, London</t>
        </is>
      </c>
      <c r="P197" s="11" t="inlineStr">
        <is>
          <t>EC2M 4RB</t>
        </is>
      </c>
      <c r="Q197" s="11" t="inlineStr">
        <is>
          <t>No</t>
        </is>
      </c>
      <c r="W197" s="11" t="inlineStr">
        <is>
          <t>Shoreditch Powerleague</t>
        </is>
      </c>
      <c r="X197" s="11" t="n">
        <v>7</v>
      </c>
      <c r="Y197" s="11" t="inlineStr">
        <is>
          <t>Liverpool St - Attlee Centre (7.1)</t>
        </is>
      </c>
      <c r="Z197" s="11" t="inlineStr">
        <is>
          <t>Shoreditch Powerleague</t>
        </is>
      </c>
      <c r="AA197" s="11" t="n">
        <v>7</v>
      </c>
      <c r="AB197" s="14">
        <f>IFERROR(INDEX(Venues!$E$2:$E$17,MATCH(Z197,Venues!$A$2:$A$17,0)),"Not checked")</f>
        <v/>
      </c>
      <c r="AC197" s="14">
        <f>IFERROR(INDEX(Venues!$F$2:$F$17,MATCH(Z197,Venues!$A$2:$A$17,0)),0)</f>
        <v/>
      </c>
      <c r="AD197" s="15">
        <f>IFERROR(INDEX(Venues!$M$2:$M$17,MATCH(Z197,Venues!$A$2:$A$17,0)),"")</f>
        <v/>
      </c>
      <c r="AE197" s="14">
        <f>IFERROR(INDEX(Venues!$N$2:$N$17,MATCH(Z197,Venues!$A$2:$A$17,0)),"5-a-side")</f>
        <v/>
      </c>
      <c r="AF197" s="16">
        <f>IF(Offer!$C$4="","",Offer!$C$4)</f>
        <v/>
      </c>
      <c r="AG197" s="14">
        <f>Z197&amp;" ("&amp;AA197&amp;" min walk) · "&amp;IF(ISNUMBER(AD197),TEXT(AD197,"ddd d mmm, hh:mm"),"slot to confirm with venue")&amp;" · "&amp;AE197&amp;" · "&amp;IF(AF197&lt;&gt;"","£"&amp;TEXT(AF197,"0.00")&amp;" pp","price TBC")</f>
        <v/>
      </c>
      <c r="AH197" s="14">
        <f>IF(U197&lt;&gt;"",U197,IF(H197&lt;&gt;"",H197,""))</f>
        <v/>
      </c>
      <c r="AI197" s="14">
        <f>"After-work football for "&amp;F197&amp;" · "&amp;Z197&amp;", "&amp;AA197&amp;" min from your office"</f>
        <v/>
      </c>
      <c r="AJ197" s="14">
        <f>"Hi "&amp;IF(R197&lt;&gt;"",R197,F197&amp;" team")&amp;","&amp;CHAR(10)&amp;CHAR(10)&amp;"I'm "&amp;IF(AM197&lt;&gt;"",AM197,IF(Offer!$C$5&lt;&gt;"",Offer!$C$5,"[NAME]"))&amp;" from FC Urban. We organise after-work football for teams in the City and Canary Wharf."&amp;CHAR(10)&amp;CHAR(10)&amp;"We have a "&amp;AE197&amp;" pitch at "&amp;Z197&amp;", "&amp;IF(OR(AA197=8,AA197=11,AA197=18),"an ","a ")&amp;AA197&amp;"-minute walk from your "&amp;P197&amp;" office, "&amp;IF(ISNUMBER(AD197),"on "&amp;TEXT(AD197,"dddd d mmmm")&amp;" at "&amp;TEXT(AD197,"hh:mm"),"on a weekday evening that suits your team")&amp;". It's "&amp;IF(AF197&lt;&gt;"","£"&amp;IF(AF197=INT(AF197),TEXT(AF197,"0"),TEXT(AF197,"0.00")),"[PRICE PER PLAYER]")&amp;" a player and we handle the pitch booking, sign-ups and payments, so all it takes is one person sharing a link with the team."&amp;CHAR(10)&amp;CHAR(10)&amp;"It works well as a team social or "&amp;IF(ISNUMBER(SEARCH(LEFT(F197,1),"AEIOU")),"an ","a ")&amp;F197&amp;"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LINK]")&amp;CHAR(10)&amp;CHAR(10)&amp;"Best,"&amp;CHAR(10)&amp;IF(AM197&lt;&gt;"",AM197,IF(Offer!$C$5&lt;&gt;"",Offer!$C$5,"[NAME]"))&amp;CHAR(10)&amp;"FC Urban"</f>
        <v/>
      </c>
      <c r="AK197" s="14">
        <f>"Hi "&amp;IF(R197&lt;&gt;"",R197,F197&amp;" team")&amp;","&amp;CHAR(10)&amp;CHAR(10)&amp;"Just bumping this up. The "&amp;AE197&amp;" pitch at "&amp;Z197&amp;" is still free "&amp;IF(ISNUMBER(AD197),TEXT(AD197,"ddd d mmm")&amp;", "&amp;TEXT(AD197,"hh:mm"),"weekday evenings")&amp;", "&amp;IF(OR(AA197=8,AA197=11,AA197=18),"an ","a ")&amp;AA197&amp;"-minute walk from your office, "&amp;IF(AF197&lt;&gt;"","£"&amp;IF(AF197=INT(AF197),TEXT(AF197,"0"),TEXT(AF197,"0.00")),"[PRICE PER PLAYER]")&amp;" a player. Happy to hold it for "&amp;F197&amp;"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LINK]")&amp;CHAR(10)&amp;CHAR(10)&amp;"Best,"&amp;CHAR(10)&amp;IF(AM197&lt;&gt;"",AM197,IF(Offer!$C$5&lt;&gt;"",Offer!$C$5,"[NAME]"))&amp;CHAR(10)&amp;"FC Urban"</f>
        <v/>
      </c>
      <c r="AL197" s="14">
        <f>IF(AH197="","No email yet",IF(ISNUMBER(SEARCH("[",AJ197)),"Fill placeholders",IF(ISNUMBER(AD197),"Ready to send","Ready · no fixed slot")))</f>
        <v/>
      </c>
      <c r="AO197" s="17" t="n"/>
      <c r="AP197" s="17" t="n"/>
    </row>
    <row r="198">
      <c r="A198" s="11" t="n">
        <v>196</v>
      </c>
      <c r="B198" s="11" t="n">
        <v>3</v>
      </c>
      <c r="C198" s="11" t="inlineStr">
        <is>
          <t>Fund / asset manager</t>
        </is>
      </c>
      <c r="D198" s="11" t="inlineStr">
        <is>
          <t>City of London</t>
        </is>
      </c>
      <c r="E198" s="11" t="inlineStr">
        <is>
          <t>London Stock Exchange Lei Limited</t>
        </is>
      </c>
      <c r="F198" s="11" t="inlineStr">
        <is>
          <t>London Stock Exchange Lei</t>
        </is>
      </c>
      <c r="G198" s="12" t="inlineStr">
        <is>
          <t>https://www.lseg.com</t>
        </is>
      </c>
      <c r="H198" s="11" t="inlineStr">
        <is>
          <t>lei@lseg.com</t>
        </is>
      </c>
      <c r="I198" s="11" t="inlineStr">
        <is>
          <t>named person</t>
        </is>
      </c>
      <c r="J198" s="12" t="inlineStr">
        <is>
          <t>Open page</t>
        </is>
      </c>
      <c r="K198" s="11" t="inlineStr">
        <is>
          <t>08530763</t>
        </is>
      </c>
      <c r="L198" s="12" t="inlineStr">
        <is>
          <t>Open</t>
        </is>
      </c>
      <c r="M198" s="11" t="inlineStr">
        <is>
          <t>Full</t>
        </is>
      </c>
      <c r="N198" s="13" t="n">
        <v>41409</v>
      </c>
      <c r="O198" s="11" t="inlineStr">
        <is>
          <t>10 Paternoster Square, London</t>
        </is>
      </c>
      <c r="P198" s="11" t="inlineStr">
        <is>
          <t>EC4M 7LS</t>
        </is>
      </c>
      <c r="Q198" s="11" t="inlineStr">
        <is>
          <t>Yes</t>
        </is>
      </c>
      <c r="W198" s="11" t="inlineStr">
        <is>
          <t>City of London School (EC4V 3AL)</t>
        </is>
      </c>
      <c r="X198" s="11" t="n">
        <v>7</v>
      </c>
      <c r="Y198" s="11" t="n"/>
      <c r="Z198" s="11" t="inlineStr">
        <is>
          <t>City of London School (EC4V 3AL)</t>
        </is>
      </c>
      <c r="AA198" s="11" t="n">
        <v>7</v>
      </c>
      <c r="AB198" s="14">
        <f>IFERROR(INDEX(Venues!$E$2:$E$17,MATCH(Z198,Venues!$A$2:$A$17,0)),"Not checked")</f>
        <v/>
      </c>
      <c r="AC198" s="14">
        <f>IFERROR(INDEX(Venues!$F$2:$F$17,MATCH(Z198,Venues!$A$2:$A$17,0)),0)</f>
        <v/>
      </c>
      <c r="AD198" s="15">
        <f>IFERROR(INDEX(Venues!$M$2:$M$17,MATCH(Z198,Venues!$A$2:$A$17,0)),"")</f>
        <v/>
      </c>
      <c r="AE198" s="14">
        <f>IFERROR(INDEX(Venues!$N$2:$N$17,MATCH(Z198,Venues!$A$2:$A$17,0)),"5-a-side")</f>
        <v/>
      </c>
      <c r="AF198" s="16">
        <f>IF(Offer!$C$4="","",Offer!$C$4)</f>
        <v/>
      </c>
      <c r="AG198" s="14">
        <f>Z198&amp;" ("&amp;AA198&amp;" min walk) · "&amp;IF(ISNUMBER(AD198),TEXT(AD198,"ddd d mmm, hh:mm"),"slot to confirm with venue")&amp;" · "&amp;AE198&amp;" · "&amp;IF(AF198&lt;&gt;"","£"&amp;TEXT(AF198,"0.00")&amp;" pp","price TBC")</f>
        <v/>
      </c>
      <c r="AH198" s="14">
        <f>IF(U198&lt;&gt;"",U198,IF(H198&lt;&gt;"",H198,""))</f>
        <v/>
      </c>
      <c r="AI198" s="14">
        <f>"After-work football for "&amp;F198&amp;" · "&amp;Z198&amp;", "&amp;AA198&amp;" min from your office"</f>
        <v/>
      </c>
      <c r="AJ198" s="14">
        <f>"Hi "&amp;IF(R198&lt;&gt;"",R198,F198&amp;" team")&amp;","&amp;CHAR(10)&amp;CHAR(10)&amp;"I'm "&amp;IF(AM198&lt;&gt;"",AM198,IF(Offer!$C$5&lt;&gt;"",Offer!$C$5,"[NAME]"))&amp;" from FC Urban. We organise after-work football for teams in the City and Canary Wharf."&amp;CHAR(10)&amp;CHAR(10)&amp;"We have a "&amp;AE198&amp;" pitch at "&amp;Z198&amp;", "&amp;IF(OR(AA198=8,AA198=11,AA198=18),"an ","a ")&amp;AA198&amp;"-minute walk from your "&amp;P198&amp;" office, "&amp;IF(ISNUMBER(AD198),"on "&amp;TEXT(AD198,"dddd d mmmm")&amp;" at "&amp;TEXT(AD198,"hh:mm"),"on a weekday evening that suits your team")&amp;". It's "&amp;IF(AF198&lt;&gt;"","£"&amp;IF(AF198=INT(AF198),TEXT(AF198,"0"),TEXT(AF198,"0.00")),"[PRICE PER PLAYER]")&amp;" a player and we handle the pitch booking, sign-ups and payments, so all it takes is one person sharing a link with the team."&amp;CHAR(10)&amp;CHAR(10)&amp;"It works well as a team social or "&amp;IF(ISNUMBER(SEARCH(LEFT(F198,1),"AEIOU")),"an ","a ")&amp;F198&amp;"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LINK]")&amp;CHAR(10)&amp;CHAR(10)&amp;"Best,"&amp;CHAR(10)&amp;IF(AM198&lt;&gt;"",AM198,IF(Offer!$C$5&lt;&gt;"",Offer!$C$5,"[NAME]"))&amp;CHAR(10)&amp;"FC Urban"</f>
        <v/>
      </c>
      <c r="AK198" s="14">
        <f>"Hi "&amp;IF(R198&lt;&gt;"",R198,F198&amp;" team")&amp;","&amp;CHAR(10)&amp;CHAR(10)&amp;"Just bumping this up. The "&amp;AE198&amp;" pitch at "&amp;Z198&amp;" is still free "&amp;IF(ISNUMBER(AD198),TEXT(AD198,"ddd d mmm")&amp;", "&amp;TEXT(AD198,"hh:mm"),"weekday evenings")&amp;", "&amp;IF(OR(AA198=8,AA198=11,AA198=18),"an ","a ")&amp;AA198&amp;"-minute walk from your office, "&amp;IF(AF198&lt;&gt;"","£"&amp;IF(AF198=INT(AF198),TEXT(AF198,"0"),TEXT(AF198,"0.00")),"[PRICE PER PLAYER]")&amp;" a player. Happy to hold it for "&amp;F198&amp;"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LINK]")&amp;CHAR(10)&amp;CHAR(10)&amp;"Best,"&amp;CHAR(10)&amp;IF(AM198&lt;&gt;"",AM198,IF(Offer!$C$5&lt;&gt;"",Offer!$C$5,"[NAME]"))&amp;CHAR(10)&amp;"FC Urban"</f>
        <v/>
      </c>
      <c r="AL198" s="14">
        <f>IF(AH198="","No email yet",IF(ISNUMBER(SEARCH("[",AJ198)),"Fill placeholders",IF(ISNUMBER(AD198),"Ready to send","Ready · no fixed slot")))</f>
        <v/>
      </c>
      <c r="AO198" s="17" t="n"/>
      <c r="AP198" s="17" t="n"/>
    </row>
    <row r="199">
      <c r="A199" s="11" t="n">
        <v>197</v>
      </c>
      <c r="B199" s="11" t="n">
        <v>3</v>
      </c>
      <c r="C199" s="11" t="inlineStr">
        <is>
          <t>Fund / asset manager</t>
        </is>
      </c>
      <c r="D199" s="11" t="inlineStr">
        <is>
          <t>City of London</t>
        </is>
      </c>
      <c r="E199" s="11" t="inlineStr">
        <is>
          <t>Autonomy Capital Research LLP</t>
        </is>
      </c>
      <c r="F199" s="11" t="inlineStr">
        <is>
          <t>Autonomy Capital Research</t>
        </is>
      </c>
      <c r="G199" s="12" t="inlineStr">
        <is>
          <t>https://autonomycapital.com</t>
        </is>
      </c>
      <c r="H199" s="11" t="inlineStr">
        <is>
          <t>info@autonomycapital.com</t>
        </is>
      </c>
      <c r="I199" s="11" t="inlineStr">
        <is>
          <t>general</t>
        </is>
      </c>
      <c r="J199" s="12" t="inlineStr">
        <is>
          <t>Open page</t>
        </is>
      </c>
      <c r="K199" s="11" t="inlineStr">
        <is>
          <t>OC303616</t>
        </is>
      </c>
      <c r="L199" s="12" t="inlineStr">
        <is>
          <t>Open</t>
        </is>
      </c>
      <c r="M199" s="11" t="inlineStr">
        <is>
          <t>Full</t>
        </is>
      </c>
      <c r="N199" s="13" t="n">
        <v>37613</v>
      </c>
      <c r="O199" s="11" t="inlineStr">
        <is>
          <t>9 Appold Street, 6Th Floor, London</t>
        </is>
      </c>
      <c r="P199" s="11" t="inlineStr">
        <is>
          <t>EC2A 2AP</t>
        </is>
      </c>
      <c r="Q199" s="11" t="inlineStr">
        <is>
          <t>No</t>
        </is>
      </c>
      <c r="W199" s="11" t="inlineStr">
        <is>
          <t>Shoreditch Powerleague</t>
        </is>
      </c>
      <c r="X199" s="11" t="n">
        <v>7</v>
      </c>
      <c r="Y199" s="11" t="inlineStr">
        <is>
          <t>Liverpool St - Attlee Centre (12); Finsbury Leisure Centre (EC1V 3PU) (17.2)</t>
        </is>
      </c>
      <c r="Z199" s="11" t="inlineStr">
        <is>
          <t>Shoreditch Powerleague</t>
        </is>
      </c>
      <c r="AA199" s="11" t="n">
        <v>7</v>
      </c>
      <c r="AB199" s="14">
        <f>IFERROR(INDEX(Venues!$E$2:$E$17,MATCH(Z199,Venues!$A$2:$A$17,0)),"Not checked")</f>
        <v/>
      </c>
      <c r="AC199" s="14">
        <f>IFERROR(INDEX(Venues!$F$2:$F$17,MATCH(Z199,Venues!$A$2:$A$17,0)),0)</f>
        <v/>
      </c>
      <c r="AD199" s="15">
        <f>IFERROR(INDEX(Venues!$M$2:$M$17,MATCH(Z199,Venues!$A$2:$A$17,0)),"")</f>
        <v/>
      </c>
      <c r="AE199" s="14">
        <f>IFERROR(INDEX(Venues!$N$2:$N$17,MATCH(Z199,Venues!$A$2:$A$17,0)),"5-a-side")</f>
        <v/>
      </c>
      <c r="AF199" s="16">
        <f>IF(Offer!$C$4="","",Offer!$C$4)</f>
        <v/>
      </c>
      <c r="AG199" s="14">
        <f>Z199&amp;" ("&amp;AA199&amp;" min walk) · "&amp;IF(ISNUMBER(AD199),TEXT(AD199,"ddd d mmm, hh:mm"),"slot to confirm with venue")&amp;" · "&amp;AE199&amp;" · "&amp;IF(AF199&lt;&gt;"","£"&amp;TEXT(AF199,"0.00")&amp;" pp","price TBC")</f>
        <v/>
      </c>
      <c r="AH199" s="14">
        <f>IF(U199&lt;&gt;"",U199,IF(H199&lt;&gt;"",H199,""))</f>
        <v/>
      </c>
      <c r="AI199" s="14">
        <f>"After-work football for "&amp;F199&amp;" · "&amp;Z199&amp;", "&amp;AA199&amp;" min from your office"</f>
        <v/>
      </c>
      <c r="AJ199" s="14">
        <f>"Hi "&amp;IF(R199&lt;&gt;"",R199,F199&amp;" team")&amp;","&amp;CHAR(10)&amp;CHAR(10)&amp;"I'm "&amp;IF(AM199&lt;&gt;"",AM199,IF(Offer!$C$5&lt;&gt;"",Offer!$C$5,"[NAME]"))&amp;" from FC Urban. We organise after-work football for teams in the City and Canary Wharf."&amp;CHAR(10)&amp;CHAR(10)&amp;"We have a "&amp;AE199&amp;" pitch at "&amp;Z199&amp;", "&amp;IF(OR(AA199=8,AA199=11,AA199=18),"an ","a ")&amp;AA199&amp;"-minute walk from your "&amp;P199&amp;" office, "&amp;IF(ISNUMBER(AD199),"on "&amp;TEXT(AD199,"dddd d mmmm")&amp;" at "&amp;TEXT(AD199,"hh:mm"),"on a weekday evening that suits your team")&amp;". It's "&amp;IF(AF199&lt;&gt;"","£"&amp;IF(AF199=INT(AF199),TEXT(AF199,"0"),TEXT(AF199,"0.00")),"[PRICE PER PLAYER]")&amp;" a player and we handle the pitch booking, sign-ups and payments, so all it takes is one person sharing a link with the team."&amp;CHAR(10)&amp;CHAR(10)&amp;"It works well as a team social or "&amp;IF(ISNUMBER(SEARCH(LEFT(F199,1),"AEIOU")),"an ","a ")&amp;F199&amp;"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LINK]")&amp;CHAR(10)&amp;CHAR(10)&amp;"Best,"&amp;CHAR(10)&amp;IF(AM199&lt;&gt;"",AM199,IF(Offer!$C$5&lt;&gt;"",Offer!$C$5,"[NAME]"))&amp;CHAR(10)&amp;"FC Urban"</f>
        <v/>
      </c>
      <c r="AK199" s="14">
        <f>"Hi "&amp;IF(R199&lt;&gt;"",R199,F199&amp;" team")&amp;","&amp;CHAR(10)&amp;CHAR(10)&amp;"Just bumping this up. The "&amp;AE199&amp;" pitch at "&amp;Z199&amp;" is still free "&amp;IF(ISNUMBER(AD199),TEXT(AD199,"ddd d mmm")&amp;", "&amp;TEXT(AD199,"hh:mm"),"weekday evenings")&amp;", "&amp;IF(OR(AA199=8,AA199=11,AA199=18),"an ","a ")&amp;AA199&amp;"-minute walk from your office, "&amp;IF(AF199&lt;&gt;"","£"&amp;IF(AF199=INT(AF199),TEXT(AF199,"0"),TEXT(AF199,"0.00")),"[PRICE PER PLAYER]")&amp;" a player. Happy to hold it for "&amp;F199&amp;"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LINK]")&amp;CHAR(10)&amp;CHAR(10)&amp;"Best,"&amp;CHAR(10)&amp;IF(AM199&lt;&gt;"",AM199,IF(Offer!$C$5&lt;&gt;"",Offer!$C$5,"[NAME]"))&amp;CHAR(10)&amp;"FC Urban"</f>
        <v/>
      </c>
      <c r="AL199" s="14">
        <f>IF(AH199="","No email yet",IF(ISNUMBER(SEARCH("[",AJ199)),"Fill placeholders",IF(ISNUMBER(AD199),"Ready to send","Ready · no fixed slot")))</f>
        <v/>
      </c>
      <c r="AO199" s="17" t="n"/>
      <c r="AP199" s="17" t="n"/>
    </row>
    <row r="200">
      <c r="A200" s="11" t="n">
        <v>198</v>
      </c>
      <c r="B200" s="11" t="n">
        <v>3</v>
      </c>
      <c r="C200" s="11" t="inlineStr">
        <is>
          <t>Fund / asset manager</t>
        </is>
      </c>
      <c r="D200" s="11" t="inlineStr">
        <is>
          <t>City of London</t>
        </is>
      </c>
      <c r="E200" s="11" t="inlineStr">
        <is>
          <t>Capital Markets Trading UK LLP</t>
        </is>
      </c>
      <c r="F200" s="11" t="inlineStr">
        <is>
          <t>Capital Markets Trading</t>
        </is>
      </c>
      <c r="G200" s="12" t="inlineStr">
        <is>
          <t>https://www.trading.com</t>
        </is>
      </c>
      <c r="H200" s="11" t="inlineStr">
        <is>
          <t>support.uk@trading.com</t>
        </is>
      </c>
      <c r="I200" s="11" t="inlineStr">
        <is>
          <t>role (other)</t>
        </is>
      </c>
      <c r="J200" s="12" t="inlineStr">
        <is>
          <t>Open page</t>
        </is>
      </c>
      <c r="K200" s="11" t="inlineStr">
        <is>
          <t>OC300617</t>
        </is>
      </c>
      <c r="L200" s="12" t="inlineStr">
        <is>
          <t>Open</t>
        </is>
      </c>
      <c r="M200" s="11" t="inlineStr">
        <is>
          <t>Full</t>
        </is>
      </c>
      <c r="N200" s="13" t="n">
        <v>37127</v>
      </c>
      <c r="O200" s="11" t="inlineStr">
        <is>
          <t>6Th Floor, 9 Appold Street, London</t>
        </is>
      </c>
      <c r="P200" s="11" t="inlineStr">
        <is>
          <t>EC2A 2AP</t>
        </is>
      </c>
      <c r="Q200" s="11" t="inlineStr">
        <is>
          <t>No</t>
        </is>
      </c>
      <c r="W200" s="11" t="inlineStr">
        <is>
          <t>Shoreditch Powerleague</t>
        </is>
      </c>
      <c r="X200" s="11" t="n">
        <v>7</v>
      </c>
      <c r="Y200" s="11" t="inlineStr">
        <is>
          <t>Liverpool St - Attlee Centre (12); Finsbury Leisure Centre (EC1V 3PU) (17.2)</t>
        </is>
      </c>
      <c r="Z200" s="11" t="inlineStr">
        <is>
          <t>Shoreditch Powerleague</t>
        </is>
      </c>
      <c r="AA200" s="11" t="n">
        <v>7</v>
      </c>
      <c r="AB200" s="14">
        <f>IFERROR(INDEX(Venues!$E$2:$E$17,MATCH(Z200,Venues!$A$2:$A$17,0)),"Not checked")</f>
        <v/>
      </c>
      <c r="AC200" s="14">
        <f>IFERROR(INDEX(Venues!$F$2:$F$17,MATCH(Z200,Venues!$A$2:$A$17,0)),0)</f>
        <v/>
      </c>
      <c r="AD200" s="15">
        <f>IFERROR(INDEX(Venues!$M$2:$M$17,MATCH(Z200,Venues!$A$2:$A$17,0)),"")</f>
        <v/>
      </c>
      <c r="AE200" s="14">
        <f>IFERROR(INDEX(Venues!$N$2:$N$17,MATCH(Z200,Venues!$A$2:$A$17,0)),"5-a-side")</f>
        <v/>
      </c>
      <c r="AF200" s="16">
        <f>IF(Offer!$C$4="","",Offer!$C$4)</f>
        <v/>
      </c>
      <c r="AG200" s="14">
        <f>Z200&amp;" ("&amp;AA200&amp;" min walk) · "&amp;IF(ISNUMBER(AD200),TEXT(AD200,"ddd d mmm, hh:mm"),"slot to confirm with venue")&amp;" · "&amp;AE200&amp;" · "&amp;IF(AF200&lt;&gt;"","£"&amp;TEXT(AF200,"0.00")&amp;" pp","price TBC")</f>
        <v/>
      </c>
      <c r="AH200" s="14">
        <f>IF(U200&lt;&gt;"",U200,IF(H200&lt;&gt;"",H200,""))</f>
        <v/>
      </c>
      <c r="AI200" s="14">
        <f>"After-work football for "&amp;F200&amp;" · "&amp;Z200&amp;", "&amp;AA200&amp;" min from your office"</f>
        <v/>
      </c>
      <c r="AJ200" s="14">
        <f>"Hi "&amp;IF(R200&lt;&gt;"",R200,F200&amp;" team")&amp;","&amp;CHAR(10)&amp;CHAR(10)&amp;"I'm "&amp;IF(AM200&lt;&gt;"",AM200,IF(Offer!$C$5&lt;&gt;"",Offer!$C$5,"[NAME]"))&amp;" from FC Urban. We organise after-work football for teams in the City and Canary Wharf."&amp;CHAR(10)&amp;CHAR(10)&amp;"We have a "&amp;AE200&amp;" pitch at "&amp;Z200&amp;", "&amp;IF(OR(AA200=8,AA200=11,AA200=18),"an ","a ")&amp;AA200&amp;"-minute walk from your "&amp;P200&amp;" office, "&amp;IF(ISNUMBER(AD200),"on "&amp;TEXT(AD200,"dddd d mmmm")&amp;" at "&amp;TEXT(AD200,"hh:mm"),"on a weekday evening that suits your team")&amp;". It's "&amp;IF(AF200&lt;&gt;"","£"&amp;IF(AF200=INT(AF200),TEXT(AF200,"0"),TEXT(AF200,"0.00")),"[PRICE PER PLAYER]")&amp;" a player and we handle the pitch booking, sign-ups and payments, so all it takes is one person sharing a link with the team."&amp;CHAR(10)&amp;CHAR(10)&amp;"It works well as a team social or "&amp;IF(ISNUMBER(SEARCH(LEFT(F200,1),"AEIOU")),"an ","a ")&amp;F200&amp;"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LINK]")&amp;CHAR(10)&amp;CHAR(10)&amp;"Best,"&amp;CHAR(10)&amp;IF(AM200&lt;&gt;"",AM200,IF(Offer!$C$5&lt;&gt;"",Offer!$C$5,"[NAME]"))&amp;CHAR(10)&amp;"FC Urban"</f>
        <v/>
      </c>
      <c r="AK200" s="14">
        <f>"Hi "&amp;IF(R200&lt;&gt;"",R200,F200&amp;" team")&amp;","&amp;CHAR(10)&amp;CHAR(10)&amp;"Just bumping this up. The "&amp;AE200&amp;" pitch at "&amp;Z200&amp;" is still free "&amp;IF(ISNUMBER(AD200),TEXT(AD200,"ddd d mmm")&amp;", "&amp;TEXT(AD200,"hh:mm"),"weekday evenings")&amp;", "&amp;IF(OR(AA200=8,AA200=11,AA200=18),"an ","a ")&amp;AA200&amp;"-minute walk from your office, "&amp;IF(AF200&lt;&gt;"","£"&amp;IF(AF200=INT(AF200),TEXT(AF200,"0"),TEXT(AF200,"0.00")),"[PRICE PER PLAYER]")&amp;" a player. Happy to hold it for "&amp;F200&amp;"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LINK]")&amp;CHAR(10)&amp;CHAR(10)&amp;"Best,"&amp;CHAR(10)&amp;IF(AM200&lt;&gt;"",AM200,IF(Offer!$C$5&lt;&gt;"",Offer!$C$5,"[NAME]"))&amp;CHAR(10)&amp;"FC Urban"</f>
        <v/>
      </c>
      <c r="AL200" s="14">
        <f>IF(AH200="","No email yet",IF(ISNUMBER(SEARCH("[",AJ200)),"Fill placeholders",IF(ISNUMBER(AD200),"Ready to send","Ready · no fixed slot")))</f>
        <v/>
      </c>
      <c r="AO200" s="17" t="n"/>
      <c r="AP200" s="17" t="n"/>
    </row>
    <row r="201">
      <c r="A201" s="11" t="n">
        <v>199</v>
      </c>
      <c r="B201" s="11" t="n">
        <v>3</v>
      </c>
      <c r="C201" s="11" t="inlineStr">
        <is>
          <t>Fund / asset manager</t>
        </is>
      </c>
      <c r="D201" s="11" t="inlineStr">
        <is>
          <t>City of London</t>
        </is>
      </c>
      <c r="E201" s="11" t="inlineStr">
        <is>
          <t>Flywire Payments Limited</t>
        </is>
      </c>
      <c r="F201" s="11" t="inlineStr">
        <is>
          <t>Flywire Payments</t>
        </is>
      </c>
      <c r="G201" s="12" t="inlineStr">
        <is>
          <t>https://www.flywire.com</t>
        </is>
      </c>
      <c r="H201" s="11" t="inlineStr">
        <is>
          <t>support@flywire.com</t>
        </is>
      </c>
      <c r="I201" s="11" t="inlineStr">
        <is>
          <t>role (other)</t>
        </is>
      </c>
      <c r="J201" s="12" t="inlineStr">
        <is>
          <t>Open page</t>
        </is>
      </c>
      <c r="K201" s="11" t="inlineStr">
        <is>
          <t>07677601</t>
        </is>
      </c>
      <c r="L201" s="12" t="inlineStr">
        <is>
          <t>Open</t>
        </is>
      </c>
      <c r="M201" s="11" t="inlineStr">
        <is>
          <t>Full</t>
        </is>
      </c>
      <c r="N201" s="13" t="n">
        <v>40715</v>
      </c>
      <c r="O201" s="11" t="inlineStr">
        <is>
          <t>6Th Floor, 9 Appold Street, London</t>
        </is>
      </c>
      <c r="P201" s="11" t="inlineStr">
        <is>
          <t>EC2A 2AP</t>
        </is>
      </c>
      <c r="Q201" s="11" t="inlineStr">
        <is>
          <t>No</t>
        </is>
      </c>
      <c r="W201" s="11" t="inlineStr">
        <is>
          <t>Shoreditch Powerleague</t>
        </is>
      </c>
      <c r="X201" s="11" t="n">
        <v>7</v>
      </c>
      <c r="Y201" s="11" t="inlineStr">
        <is>
          <t>Liverpool St - Attlee Centre (12); Finsbury Leisure Centre (EC1V 3PU) (17.2)</t>
        </is>
      </c>
      <c r="Z201" s="11" t="inlineStr">
        <is>
          <t>Shoreditch Powerleague</t>
        </is>
      </c>
      <c r="AA201" s="11" t="n">
        <v>7</v>
      </c>
      <c r="AB201" s="14">
        <f>IFERROR(INDEX(Venues!$E$2:$E$17,MATCH(Z201,Venues!$A$2:$A$17,0)),"Not checked")</f>
        <v/>
      </c>
      <c r="AC201" s="14">
        <f>IFERROR(INDEX(Venues!$F$2:$F$17,MATCH(Z201,Venues!$A$2:$A$17,0)),0)</f>
        <v/>
      </c>
      <c r="AD201" s="15">
        <f>IFERROR(INDEX(Venues!$M$2:$M$17,MATCH(Z201,Venues!$A$2:$A$17,0)),"")</f>
        <v/>
      </c>
      <c r="AE201" s="14">
        <f>IFERROR(INDEX(Venues!$N$2:$N$17,MATCH(Z201,Venues!$A$2:$A$17,0)),"5-a-side")</f>
        <v/>
      </c>
      <c r="AF201" s="16">
        <f>IF(Offer!$C$4="","",Offer!$C$4)</f>
        <v/>
      </c>
      <c r="AG201" s="14">
        <f>Z201&amp;" ("&amp;AA201&amp;" min walk) · "&amp;IF(ISNUMBER(AD201),TEXT(AD201,"ddd d mmm, hh:mm"),"slot to confirm with venue")&amp;" · "&amp;AE201&amp;" · "&amp;IF(AF201&lt;&gt;"","£"&amp;TEXT(AF201,"0.00")&amp;" pp","price TBC")</f>
        <v/>
      </c>
      <c r="AH201" s="14">
        <f>IF(U201&lt;&gt;"",U201,IF(H201&lt;&gt;"",H201,""))</f>
        <v/>
      </c>
      <c r="AI201" s="14">
        <f>"After-work football for "&amp;F201&amp;" · "&amp;Z201&amp;", "&amp;AA201&amp;" min from your office"</f>
        <v/>
      </c>
      <c r="AJ201" s="14">
        <f>"Hi "&amp;IF(R201&lt;&gt;"",R201,F201&amp;" team")&amp;","&amp;CHAR(10)&amp;CHAR(10)&amp;"I'm "&amp;IF(AM201&lt;&gt;"",AM201,IF(Offer!$C$5&lt;&gt;"",Offer!$C$5,"[NAME]"))&amp;" from FC Urban. We organise after-work football for teams in the City and Canary Wharf."&amp;CHAR(10)&amp;CHAR(10)&amp;"We have a "&amp;AE201&amp;" pitch at "&amp;Z201&amp;", "&amp;IF(OR(AA201=8,AA201=11,AA201=18),"an ","a ")&amp;AA201&amp;"-minute walk from your "&amp;P201&amp;" office, "&amp;IF(ISNUMBER(AD201),"on "&amp;TEXT(AD201,"dddd d mmmm")&amp;" at "&amp;TEXT(AD201,"hh:mm"),"on a weekday evening that suits your team")&amp;". It's "&amp;IF(AF201&lt;&gt;"","£"&amp;IF(AF201=INT(AF201),TEXT(AF201,"0"),TEXT(AF201,"0.00")),"[PRICE PER PLAYER]")&amp;" a player and we handle the pitch booking, sign-ups and payments, so all it takes is one person sharing a link with the team."&amp;CHAR(10)&amp;CHAR(10)&amp;"It works well as a team social or "&amp;IF(ISNUMBER(SEARCH(LEFT(F201,1),"AEIOU")),"an ","a ")&amp;F201&amp;"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LINK]")&amp;CHAR(10)&amp;CHAR(10)&amp;"Best,"&amp;CHAR(10)&amp;IF(AM201&lt;&gt;"",AM201,IF(Offer!$C$5&lt;&gt;"",Offer!$C$5,"[NAME]"))&amp;CHAR(10)&amp;"FC Urban"</f>
        <v/>
      </c>
      <c r="AK201" s="14">
        <f>"Hi "&amp;IF(R201&lt;&gt;"",R201,F201&amp;" team")&amp;","&amp;CHAR(10)&amp;CHAR(10)&amp;"Just bumping this up. The "&amp;AE201&amp;" pitch at "&amp;Z201&amp;" is still free "&amp;IF(ISNUMBER(AD201),TEXT(AD201,"ddd d mmm")&amp;", "&amp;TEXT(AD201,"hh:mm"),"weekday evenings")&amp;", "&amp;IF(OR(AA201=8,AA201=11,AA201=18),"an ","a ")&amp;AA201&amp;"-minute walk from your office, "&amp;IF(AF201&lt;&gt;"","£"&amp;IF(AF201=INT(AF201),TEXT(AF201,"0"),TEXT(AF201,"0.00")),"[PRICE PER PLAYER]")&amp;" a player. Happy to hold it for "&amp;F201&amp;"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LINK]")&amp;CHAR(10)&amp;CHAR(10)&amp;"Best,"&amp;CHAR(10)&amp;IF(AM201&lt;&gt;"",AM201,IF(Offer!$C$5&lt;&gt;"",Offer!$C$5,"[NAME]"))&amp;CHAR(10)&amp;"FC Urban"</f>
        <v/>
      </c>
      <c r="AL201" s="14">
        <f>IF(AH201="","No email yet",IF(ISNUMBER(SEARCH("[",AJ201)),"Fill placeholders",IF(ISNUMBER(AD201),"Ready to send","Ready · no fixed slot")))</f>
        <v/>
      </c>
      <c r="AO201" s="17" t="n"/>
      <c r="AP201" s="17" t="n"/>
    </row>
    <row r="202">
      <c r="A202" s="11" t="n">
        <v>200</v>
      </c>
      <c r="B202" s="11" t="n">
        <v>3</v>
      </c>
      <c r="C202" s="11" t="inlineStr">
        <is>
          <t>Fund / asset manager</t>
        </is>
      </c>
      <c r="D202" s="11" t="inlineStr">
        <is>
          <t>City of London</t>
        </is>
      </c>
      <c r="E202" s="11" t="inlineStr">
        <is>
          <t>Navera Investment Management Limited</t>
        </is>
      </c>
      <c r="F202" s="11" t="inlineStr">
        <is>
          <t>Navera Investment Management</t>
        </is>
      </c>
      <c r="G202" s="12" t="inlineStr">
        <is>
          <t>https://navera.co.uk</t>
        </is>
      </c>
      <c r="H202" s="11" t="inlineStr">
        <is>
          <t>info@navera.co.uk</t>
        </is>
      </c>
      <c r="I202" s="11" t="inlineStr">
        <is>
          <t>general</t>
        </is>
      </c>
      <c r="J202" s="12" t="inlineStr">
        <is>
          <t>Open page</t>
        </is>
      </c>
      <c r="K202" s="11" t="inlineStr">
        <is>
          <t>12516583</t>
        </is>
      </c>
      <c r="L202" s="12" t="inlineStr">
        <is>
          <t>Open</t>
        </is>
      </c>
      <c r="M202" s="11" t="inlineStr">
        <is>
          <t>Full</t>
        </is>
      </c>
      <c r="N202" s="13" t="n">
        <v>43903</v>
      </c>
      <c r="O202" s="11" t="inlineStr">
        <is>
          <t>Riverside House, 2A Southwark Bridge Road, London</t>
        </is>
      </c>
      <c r="P202" s="11" t="inlineStr">
        <is>
          <t>SE1 9HA</t>
        </is>
      </c>
      <c r="Q202" s="11" t="inlineStr">
        <is>
          <t>No</t>
        </is>
      </c>
      <c r="W202" s="11" t="inlineStr">
        <is>
          <t>City of London School (EC4V 3AL)</t>
        </is>
      </c>
      <c r="X202" s="11" t="n">
        <v>7</v>
      </c>
      <c r="Y202" s="11" t="inlineStr">
        <is>
          <t>Marlborough Sports Garden (SE1 1SD) (8.3); Borough Academy (12.6)</t>
        </is>
      </c>
      <c r="Z202" s="11" t="inlineStr">
        <is>
          <t>City of London School (EC4V 3AL)</t>
        </is>
      </c>
      <c r="AA202" s="11" t="n">
        <v>7</v>
      </c>
      <c r="AB202" s="14">
        <f>IFERROR(INDEX(Venues!$E$2:$E$17,MATCH(Z202,Venues!$A$2:$A$17,0)),"Not checked")</f>
        <v/>
      </c>
      <c r="AC202" s="14">
        <f>IFERROR(INDEX(Venues!$F$2:$F$17,MATCH(Z202,Venues!$A$2:$A$17,0)),0)</f>
        <v/>
      </c>
      <c r="AD202" s="15">
        <f>IFERROR(INDEX(Venues!$M$2:$M$17,MATCH(Z202,Venues!$A$2:$A$17,0)),"")</f>
        <v/>
      </c>
      <c r="AE202" s="14">
        <f>IFERROR(INDEX(Venues!$N$2:$N$17,MATCH(Z202,Venues!$A$2:$A$17,0)),"5-a-side")</f>
        <v/>
      </c>
      <c r="AF202" s="16">
        <f>IF(Offer!$C$4="","",Offer!$C$4)</f>
        <v/>
      </c>
      <c r="AG202" s="14">
        <f>Z202&amp;" ("&amp;AA202&amp;" min walk) · "&amp;IF(ISNUMBER(AD202),TEXT(AD202,"ddd d mmm, hh:mm"),"slot to confirm with venue")&amp;" · "&amp;AE202&amp;" · "&amp;IF(AF202&lt;&gt;"","£"&amp;TEXT(AF202,"0.00")&amp;" pp","price TBC")</f>
        <v/>
      </c>
      <c r="AH202" s="14">
        <f>IF(U202&lt;&gt;"",U202,IF(H202&lt;&gt;"",H202,""))</f>
        <v/>
      </c>
      <c r="AI202" s="14">
        <f>"After-work football for "&amp;F202&amp;" · "&amp;Z202&amp;", "&amp;AA202&amp;" min from your office"</f>
        <v/>
      </c>
      <c r="AJ202" s="14">
        <f>"Hi "&amp;IF(R202&lt;&gt;"",R202,F202&amp;" team")&amp;","&amp;CHAR(10)&amp;CHAR(10)&amp;"I'm "&amp;IF(AM202&lt;&gt;"",AM202,IF(Offer!$C$5&lt;&gt;"",Offer!$C$5,"[NAME]"))&amp;" from FC Urban. We organise after-work football for teams in the City and Canary Wharf."&amp;CHAR(10)&amp;CHAR(10)&amp;"We have a "&amp;AE202&amp;" pitch at "&amp;Z202&amp;", "&amp;IF(OR(AA202=8,AA202=11,AA202=18),"an ","a ")&amp;AA202&amp;"-minute walk from your "&amp;P202&amp;" office, "&amp;IF(ISNUMBER(AD202),"on "&amp;TEXT(AD202,"dddd d mmmm")&amp;" at "&amp;TEXT(AD202,"hh:mm"),"on a weekday evening that suits your team")&amp;". It's "&amp;IF(AF202&lt;&gt;"","£"&amp;IF(AF202=INT(AF202),TEXT(AF202,"0"),TEXT(AF202,"0.00")),"[PRICE PER PLAYER]")&amp;" a player and we handle the pitch booking, sign-ups and payments, so all it takes is one person sharing a link with the team."&amp;CHAR(10)&amp;CHAR(10)&amp;"It works well as a team social or "&amp;IF(ISNUMBER(SEARCH(LEFT(F202,1),"AEIOU")),"an ","a ")&amp;F202&amp;"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LINK]")&amp;CHAR(10)&amp;CHAR(10)&amp;"Best,"&amp;CHAR(10)&amp;IF(AM202&lt;&gt;"",AM202,IF(Offer!$C$5&lt;&gt;"",Offer!$C$5,"[NAME]"))&amp;CHAR(10)&amp;"FC Urban"</f>
        <v/>
      </c>
      <c r="AK202" s="14">
        <f>"Hi "&amp;IF(R202&lt;&gt;"",R202,F202&amp;" team")&amp;","&amp;CHAR(10)&amp;CHAR(10)&amp;"Just bumping this up. The "&amp;AE202&amp;" pitch at "&amp;Z202&amp;" is still free "&amp;IF(ISNUMBER(AD202),TEXT(AD202,"ddd d mmm")&amp;", "&amp;TEXT(AD202,"hh:mm"),"weekday evenings")&amp;", "&amp;IF(OR(AA202=8,AA202=11,AA202=18),"an ","a ")&amp;AA202&amp;"-minute walk from your office, "&amp;IF(AF202&lt;&gt;"","£"&amp;IF(AF202=INT(AF202),TEXT(AF202,"0"),TEXT(AF202,"0.00")),"[PRICE PER PLAYER]")&amp;" a player. Happy to hold it for "&amp;F202&amp;"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LINK]")&amp;CHAR(10)&amp;CHAR(10)&amp;"Best,"&amp;CHAR(10)&amp;IF(AM202&lt;&gt;"",AM202,IF(Offer!$C$5&lt;&gt;"",Offer!$C$5,"[NAME]"))&amp;CHAR(10)&amp;"FC Urban"</f>
        <v/>
      </c>
      <c r="AL202" s="14">
        <f>IF(AH202="","No email yet",IF(ISNUMBER(SEARCH("[",AJ202)),"Fill placeholders",IF(ISNUMBER(AD202),"Ready to send","Ready · no fixed slot")))</f>
        <v/>
      </c>
      <c r="AO202" s="17" t="n"/>
      <c r="AP202" s="17" t="n"/>
    </row>
    <row r="203">
      <c r="A203" s="11" t="n">
        <v>201</v>
      </c>
      <c r="B203" s="11" t="n">
        <v>3</v>
      </c>
      <c r="C203" s="11" t="inlineStr">
        <is>
          <t>Fund / asset manager</t>
        </is>
      </c>
      <c r="D203" s="11" t="inlineStr">
        <is>
          <t>City of London</t>
        </is>
      </c>
      <c r="E203" s="11" t="inlineStr">
        <is>
          <t>Vertis Capital Partners Limited</t>
        </is>
      </c>
      <c r="F203" s="11" t="inlineStr">
        <is>
          <t>Vertis Capital Partners</t>
        </is>
      </c>
      <c r="G203" s="12" t="inlineStr">
        <is>
          <t>https://vertis.com</t>
        </is>
      </c>
      <c r="H203" s="11" t="inlineStr">
        <is>
          <t>info@vertiscap.com</t>
        </is>
      </c>
      <c r="I203" s="11" t="inlineStr">
        <is>
          <t>general</t>
        </is>
      </c>
      <c r="J203" s="12" t="inlineStr">
        <is>
          <t>Open page</t>
        </is>
      </c>
      <c r="K203" s="11" t="inlineStr">
        <is>
          <t>15354221</t>
        </is>
      </c>
      <c r="L203" s="12" t="inlineStr">
        <is>
          <t>Open</t>
        </is>
      </c>
      <c r="M203" s="11" t="inlineStr">
        <is>
          <t>Full</t>
        </is>
      </c>
      <c r="N203" s="13" t="n">
        <v>45275</v>
      </c>
      <c r="O203" s="11" t="inlineStr">
        <is>
          <t>6Th Floor, 9 Appold Street, London</t>
        </is>
      </c>
      <c r="P203" s="11" t="inlineStr">
        <is>
          <t>EC2A 2AP</t>
        </is>
      </c>
      <c r="Q203" s="11" t="inlineStr">
        <is>
          <t>No</t>
        </is>
      </c>
      <c r="W203" s="11" t="inlineStr">
        <is>
          <t>Shoreditch Powerleague</t>
        </is>
      </c>
      <c r="X203" s="11" t="n">
        <v>7</v>
      </c>
      <c r="Y203" s="11" t="inlineStr">
        <is>
          <t>Liverpool St - Attlee Centre (12); Finsbury Leisure Centre (EC1V 3PU) (17.2)</t>
        </is>
      </c>
      <c r="Z203" s="11" t="inlineStr">
        <is>
          <t>Shoreditch Powerleague</t>
        </is>
      </c>
      <c r="AA203" s="11" t="n">
        <v>7</v>
      </c>
      <c r="AB203" s="14">
        <f>IFERROR(INDEX(Venues!$E$2:$E$17,MATCH(Z203,Venues!$A$2:$A$17,0)),"Not checked")</f>
        <v/>
      </c>
      <c r="AC203" s="14">
        <f>IFERROR(INDEX(Venues!$F$2:$F$17,MATCH(Z203,Venues!$A$2:$A$17,0)),0)</f>
        <v/>
      </c>
      <c r="AD203" s="15">
        <f>IFERROR(INDEX(Venues!$M$2:$M$17,MATCH(Z203,Venues!$A$2:$A$17,0)),"")</f>
        <v/>
      </c>
      <c r="AE203" s="14">
        <f>IFERROR(INDEX(Venues!$N$2:$N$17,MATCH(Z203,Venues!$A$2:$A$17,0)),"5-a-side")</f>
        <v/>
      </c>
      <c r="AF203" s="16">
        <f>IF(Offer!$C$4="","",Offer!$C$4)</f>
        <v/>
      </c>
      <c r="AG203" s="14">
        <f>Z203&amp;" ("&amp;AA203&amp;" min walk) · "&amp;IF(ISNUMBER(AD203),TEXT(AD203,"ddd d mmm, hh:mm"),"slot to confirm with venue")&amp;" · "&amp;AE203&amp;" · "&amp;IF(AF203&lt;&gt;"","£"&amp;TEXT(AF203,"0.00")&amp;" pp","price TBC")</f>
        <v/>
      </c>
      <c r="AH203" s="14">
        <f>IF(U203&lt;&gt;"",U203,IF(H203&lt;&gt;"",H203,""))</f>
        <v/>
      </c>
      <c r="AI203" s="14">
        <f>"After-work football for "&amp;F203&amp;" · "&amp;Z203&amp;", "&amp;AA203&amp;" min from your office"</f>
        <v/>
      </c>
      <c r="AJ203" s="14">
        <f>"Hi "&amp;IF(R203&lt;&gt;"",R203,F203&amp;" team")&amp;","&amp;CHAR(10)&amp;CHAR(10)&amp;"I'm "&amp;IF(AM203&lt;&gt;"",AM203,IF(Offer!$C$5&lt;&gt;"",Offer!$C$5,"[NAME]"))&amp;" from FC Urban. We organise after-work football for teams in the City and Canary Wharf."&amp;CHAR(10)&amp;CHAR(10)&amp;"We have a "&amp;AE203&amp;" pitch at "&amp;Z203&amp;", "&amp;IF(OR(AA203=8,AA203=11,AA203=18),"an ","a ")&amp;AA203&amp;"-minute walk from your "&amp;P203&amp;" office, "&amp;IF(ISNUMBER(AD203),"on "&amp;TEXT(AD203,"dddd d mmmm")&amp;" at "&amp;TEXT(AD203,"hh:mm"),"on a weekday evening that suits your team")&amp;". It's "&amp;IF(AF203&lt;&gt;"","£"&amp;IF(AF203=INT(AF203),TEXT(AF203,"0"),TEXT(AF203,"0.00")),"[PRICE PER PLAYER]")&amp;" a player and we handle the pitch booking, sign-ups and payments, so all it takes is one person sharing a link with the team."&amp;CHAR(10)&amp;CHAR(10)&amp;"It works well as a team social or "&amp;IF(ISNUMBER(SEARCH(LEFT(F203,1),"AEIOU")),"an ","a ")&amp;F203&amp;"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LINK]")&amp;CHAR(10)&amp;CHAR(10)&amp;"Best,"&amp;CHAR(10)&amp;IF(AM203&lt;&gt;"",AM203,IF(Offer!$C$5&lt;&gt;"",Offer!$C$5,"[NAME]"))&amp;CHAR(10)&amp;"FC Urban"</f>
        <v/>
      </c>
      <c r="AK203" s="14">
        <f>"Hi "&amp;IF(R203&lt;&gt;"",R203,F203&amp;" team")&amp;","&amp;CHAR(10)&amp;CHAR(10)&amp;"Just bumping this up. The "&amp;AE203&amp;" pitch at "&amp;Z203&amp;" is still free "&amp;IF(ISNUMBER(AD203),TEXT(AD203,"ddd d mmm")&amp;", "&amp;TEXT(AD203,"hh:mm"),"weekday evenings")&amp;", "&amp;IF(OR(AA203=8,AA203=11,AA203=18),"an ","a ")&amp;AA203&amp;"-minute walk from your office, "&amp;IF(AF203&lt;&gt;"","£"&amp;IF(AF203=INT(AF203),TEXT(AF203,"0"),TEXT(AF203,"0.00")),"[PRICE PER PLAYER]")&amp;" a player. Happy to hold it for "&amp;F203&amp;"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LINK]")&amp;CHAR(10)&amp;CHAR(10)&amp;"Best,"&amp;CHAR(10)&amp;IF(AM203&lt;&gt;"",AM203,IF(Offer!$C$5&lt;&gt;"",Offer!$C$5,"[NAME]"))&amp;CHAR(10)&amp;"FC Urban"</f>
        <v/>
      </c>
      <c r="AL203" s="14">
        <f>IF(AH203="","No email yet",IF(ISNUMBER(SEARCH("[",AJ203)),"Fill placeholders",IF(ISNUMBER(AD203),"Ready to send","Ready · no fixed slot")))</f>
        <v/>
      </c>
      <c r="AO203" s="17" t="n"/>
      <c r="AP203" s="17" t="n"/>
    </row>
    <row r="204">
      <c r="A204" s="11" t="n">
        <v>202</v>
      </c>
      <c r="B204" s="11" t="n">
        <v>3</v>
      </c>
      <c r="C204" s="11" t="inlineStr">
        <is>
          <t>Insurance / broker</t>
        </is>
      </c>
      <c r="D204" s="11" t="inlineStr">
        <is>
          <t>City of London</t>
        </is>
      </c>
      <c r="E204" s="11" t="inlineStr">
        <is>
          <t>V.Scope Risk Management Ltd</t>
        </is>
      </c>
      <c r="F204" s="11" t="inlineStr">
        <is>
          <t>V.Scope Risk Management</t>
        </is>
      </c>
      <c r="G204" s="12" t="inlineStr">
        <is>
          <t>http://v-risk.com/</t>
        </is>
      </c>
      <c r="H204" s="11" t="n"/>
      <c r="I204" s="11" t="inlineStr">
        <is>
          <t>Not found</t>
        </is>
      </c>
      <c r="J204" s="11" t="n"/>
      <c r="K204" s="11" t="inlineStr">
        <is>
          <t>08633249</t>
        </is>
      </c>
      <c r="L204" s="12" t="inlineStr">
        <is>
          <t>Open</t>
        </is>
      </c>
      <c r="M204" s="11" t="inlineStr">
        <is>
          <t>Full</t>
        </is>
      </c>
      <c r="N204" s="13" t="n">
        <v>41487</v>
      </c>
      <c r="O204" s="11" t="inlineStr">
        <is>
          <t>1St Floor, 6 New Bridge Street, London</t>
        </is>
      </c>
      <c r="P204" s="11" t="inlineStr">
        <is>
          <t>EC4V 6AB</t>
        </is>
      </c>
      <c r="Q204" s="11" t="inlineStr">
        <is>
          <t>No</t>
        </is>
      </c>
      <c r="W204" s="11" t="inlineStr">
        <is>
          <t>City of London School (EC4V 3AL)</t>
        </is>
      </c>
      <c r="X204" s="11" t="n">
        <v>8</v>
      </c>
      <c r="Y204" s="11" t="n"/>
      <c r="Z204" s="11" t="inlineStr">
        <is>
          <t>City of London School (EC4V 3AL)</t>
        </is>
      </c>
      <c r="AA204" s="11" t="n">
        <v>8</v>
      </c>
      <c r="AB204" s="14">
        <f>IFERROR(INDEX(Venues!$E$2:$E$17,MATCH(Z204,Venues!$A$2:$A$17,0)),"Not checked")</f>
        <v/>
      </c>
      <c r="AC204" s="14">
        <f>IFERROR(INDEX(Venues!$F$2:$F$17,MATCH(Z204,Venues!$A$2:$A$17,0)),0)</f>
        <v/>
      </c>
      <c r="AD204" s="15">
        <f>IFERROR(INDEX(Venues!$M$2:$M$17,MATCH(Z204,Venues!$A$2:$A$17,0)),"")</f>
        <v/>
      </c>
      <c r="AE204" s="14">
        <f>IFERROR(INDEX(Venues!$N$2:$N$17,MATCH(Z204,Venues!$A$2:$A$17,0)),"5-a-side")</f>
        <v/>
      </c>
      <c r="AF204" s="16">
        <f>IF(Offer!$C$4="","",Offer!$C$4)</f>
        <v/>
      </c>
      <c r="AG204" s="14">
        <f>Z204&amp;" ("&amp;AA204&amp;" min walk) · "&amp;IF(ISNUMBER(AD204),TEXT(AD204,"ddd d mmm, hh:mm"),"slot to confirm with venue")&amp;" · "&amp;AE204&amp;" · "&amp;IF(AF204&lt;&gt;"","£"&amp;TEXT(AF204,"0.00")&amp;" pp","price TBC")</f>
        <v/>
      </c>
      <c r="AH204" s="14">
        <f>IF(U204&lt;&gt;"",U204,IF(H204&lt;&gt;"",H204,""))</f>
        <v/>
      </c>
      <c r="AI204" s="14">
        <f>"After-work football for "&amp;F204&amp;" · "&amp;Z204&amp;", "&amp;AA204&amp;" min from your office"</f>
        <v/>
      </c>
      <c r="AJ204" s="14">
        <f>"Hi "&amp;IF(R204&lt;&gt;"",R204,F204&amp;" team")&amp;","&amp;CHAR(10)&amp;CHAR(10)&amp;"I'm "&amp;IF(AM204&lt;&gt;"",AM204,IF(Offer!$C$5&lt;&gt;"",Offer!$C$5,"[NAME]"))&amp;" from FC Urban. We organise after-work football for teams in the City and Canary Wharf."&amp;CHAR(10)&amp;CHAR(10)&amp;"We have a "&amp;AE204&amp;" pitch at "&amp;Z204&amp;", "&amp;IF(OR(AA204=8,AA204=11,AA204=18),"an ","a ")&amp;AA204&amp;"-minute walk from your "&amp;P204&amp;" office, "&amp;IF(ISNUMBER(AD204),"on "&amp;TEXT(AD204,"dddd d mmmm")&amp;" at "&amp;TEXT(AD204,"hh:mm"),"on a weekday evening that suits your team")&amp;". It's "&amp;IF(AF204&lt;&gt;"","£"&amp;IF(AF204=INT(AF204),TEXT(AF204,"0"),TEXT(AF204,"0.00")),"[PRICE PER PLAYER]")&amp;" a player and we handle the pitch booking, sign-ups and payments, so all it takes is one person sharing a link with the team."&amp;CHAR(10)&amp;CHAR(10)&amp;"It works well as a team social or "&amp;IF(ISNUMBER(SEARCH(LEFT(F204,1),"AEIOU")),"an ","a ")&amp;F204&amp;"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LINK]")&amp;CHAR(10)&amp;CHAR(10)&amp;"Best,"&amp;CHAR(10)&amp;IF(AM204&lt;&gt;"",AM204,IF(Offer!$C$5&lt;&gt;"",Offer!$C$5,"[NAME]"))&amp;CHAR(10)&amp;"FC Urban"</f>
        <v/>
      </c>
      <c r="AK204" s="14">
        <f>"Hi "&amp;IF(R204&lt;&gt;"",R204,F204&amp;" team")&amp;","&amp;CHAR(10)&amp;CHAR(10)&amp;"Just bumping this up. The "&amp;AE204&amp;" pitch at "&amp;Z204&amp;" is still free "&amp;IF(ISNUMBER(AD204),TEXT(AD204,"ddd d mmm")&amp;", "&amp;TEXT(AD204,"hh:mm"),"weekday evenings")&amp;", "&amp;IF(OR(AA204=8,AA204=11,AA204=18),"an ","a ")&amp;AA204&amp;"-minute walk from your office, "&amp;IF(AF204&lt;&gt;"","£"&amp;IF(AF204=INT(AF204),TEXT(AF204,"0"),TEXT(AF204,"0.00")),"[PRICE PER PLAYER]")&amp;" a player. Happy to hold it for "&amp;F204&amp;"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LINK]")&amp;CHAR(10)&amp;CHAR(10)&amp;"Best,"&amp;CHAR(10)&amp;IF(AM204&lt;&gt;"",AM204,IF(Offer!$C$5&lt;&gt;"",Offer!$C$5,"[NAME]"))&amp;CHAR(10)&amp;"FC Urban"</f>
        <v/>
      </c>
      <c r="AL204" s="14">
        <f>IF(AH204="","No email yet",IF(ISNUMBER(SEARCH("[",AJ204)),"Fill placeholders",IF(ISNUMBER(AD204),"Ready to send","Ready · no fixed slot")))</f>
        <v/>
      </c>
      <c r="AO204" s="17" t="n"/>
      <c r="AP204" s="17" t="n"/>
    </row>
    <row r="205">
      <c r="A205" s="11" t="n">
        <v>203</v>
      </c>
      <c r="B205" s="11" t="n">
        <v>3</v>
      </c>
      <c r="C205" s="11" t="inlineStr">
        <is>
          <t>Advisory / accountancy</t>
        </is>
      </c>
      <c r="D205" s="11" t="inlineStr">
        <is>
          <t>City of London</t>
        </is>
      </c>
      <c r="E205" s="11" t="inlineStr">
        <is>
          <t>Alvarez &amp; Marsal Transaction Advisory Group Europe LLP</t>
        </is>
      </c>
      <c r="F205" s="11" t="inlineStr">
        <is>
          <t>Alvarez &amp; Marsal Transaction Advisory</t>
        </is>
      </c>
      <c r="G205" s="12" t="inlineStr">
        <is>
          <t>https://www.alvarezandmarsal.com</t>
        </is>
      </c>
      <c r="H205" s="11" t="n"/>
      <c r="I205" s="11" t="inlineStr">
        <is>
          <t>Not found</t>
        </is>
      </c>
      <c r="J205" s="11" t="n"/>
      <c r="K205" s="11" t="inlineStr">
        <is>
          <t>OC332080</t>
        </is>
      </c>
      <c r="L205" s="12" t="inlineStr">
        <is>
          <t>Open</t>
        </is>
      </c>
      <c r="M205" s="11" t="inlineStr">
        <is>
          <t>Full</t>
        </is>
      </c>
      <c r="N205" s="13" t="n">
        <v>39370</v>
      </c>
      <c r="O205" s="11" t="inlineStr">
        <is>
          <t>30 Old Bailey, London</t>
        </is>
      </c>
      <c r="P205" s="11" t="inlineStr">
        <is>
          <t>EC4M 7AU</t>
        </is>
      </c>
      <c r="Q205" s="11" t="inlineStr">
        <is>
          <t>No</t>
        </is>
      </c>
      <c r="W205" s="11" t="inlineStr">
        <is>
          <t>City of London School (EC4V 3AL)</t>
        </is>
      </c>
      <c r="X205" s="11" t="n">
        <v>8</v>
      </c>
      <c r="Y205" s="11" t="n"/>
      <c r="Z205" s="11" t="inlineStr">
        <is>
          <t>City of London School (EC4V 3AL)</t>
        </is>
      </c>
      <c r="AA205" s="11" t="n">
        <v>8</v>
      </c>
      <c r="AB205" s="14">
        <f>IFERROR(INDEX(Venues!$E$2:$E$17,MATCH(Z205,Venues!$A$2:$A$17,0)),"Not checked")</f>
        <v/>
      </c>
      <c r="AC205" s="14">
        <f>IFERROR(INDEX(Venues!$F$2:$F$17,MATCH(Z205,Venues!$A$2:$A$17,0)),0)</f>
        <v/>
      </c>
      <c r="AD205" s="15">
        <f>IFERROR(INDEX(Venues!$M$2:$M$17,MATCH(Z205,Venues!$A$2:$A$17,0)),"")</f>
        <v/>
      </c>
      <c r="AE205" s="14">
        <f>IFERROR(INDEX(Venues!$N$2:$N$17,MATCH(Z205,Venues!$A$2:$A$17,0)),"5-a-side")</f>
        <v/>
      </c>
      <c r="AF205" s="16">
        <f>IF(Offer!$C$4="","",Offer!$C$4)</f>
        <v/>
      </c>
      <c r="AG205" s="14">
        <f>Z205&amp;" ("&amp;AA205&amp;" min walk) · "&amp;IF(ISNUMBER(AD205),TEXT(AD205,"ddd d mmm, hh:mm"),"slot to confirm with venue")&amp;" · "&amp;AE205&amp;" · "&amp;IF(AF205&lt;&gt;"","£"&amp;TEXT(AF205,"0.00")&amp;" pp","price TBC")</f>
        <v/>
      </c>
      <c r="AH205" s="14">
        <f>IF(U205&lt;&gt;"",U205,IF(H205&lt;&gt;"",H205,""))</f>
        <v/>
      </c>
      <c r="AI205" s="14">
        <f>"After-work football for "&amp;F205&amp;" · "&amp;Z205&amp;", "&amp;AA205&amp;" min from your office"</f>
        <v/>
      </c>
      <c r="AJ205" s="14">
        <f>"Hi "&amp;IF(R205&lt;&gt;"",R205,F205&amp;" team")&amp;","&amp;CHAR(10)&amp;CHAR(10)&amp;"I'm "&amp;IF(AM205&lt;&gt;"",AM205,IF(Offer!$C$5&lt;&gt;"",Offer!$C$5,"[NAME]"))&amp;" from FC Urban. We organise after-work football for teams in the City and Canary Wharf."&amp;CHAR(10)&amp;CHAR(10)&amp;"We have a "&amp;AE205&amp;" pitch at "&amp;Z205&amp;", "&amp;IF(OR(AA205=8,AA205=11,AA205=18),"an ","a ")&amp;AA205&amp;"-minute walk from your "&amp;P205&amp;" office, "&amp;IF(ISNUMBER(AD205),"on "&amp;TEXT(AD205,"dddd d mmmm")&amp;" at "&amp;TEXT(AD205,"hh:mm"),"on a weekday evening that suits your team")&amp;". It's "&amp;IF(AF205&lt;&gt;"","£"&amp;IF(AF205=INT(AF205),TEXT(AF205,"0"),TEXT(AF205,"0.00")),"[PRICE PER PLAYER]")&amp;" a player and we handle the pitch booking, sign-ups and payments, so all it takes is one person sharing a link with the team."&amp;CHAR(10)&amp;CHAR(10)&amp;"It works well as a team social or "&amp;IF(ISNUMBER(SEARCH(LEFT(F205,1),"AEIOU")),"an ","a ")&amp;F205&amp;"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LINK]")&amp;CHAR(10)&amp;CHAR(10)&amp;"Best,"&amp;CHAR(10)&amp;IF(AM205&lt;&gt;"",AM205,IF(Offer!$C$5&lt;&gt;"",Offer!$C$5,"[NAME]"))&amp;CHAR(10)&amp;"FC Urban"</f>
        <v/>
      </c>
      <c r="AK205" s="14">
        <f>"Hi "&amp;IF(R205&lt;&gt;"",R205,F205&amp;" team")&amp;","&amp;CHAR(10)&amp;CHAR(10)&amp;"Just bumping this up. The "&amp;AE205&amp;" pitch at "&amp;Z205&amp;" is still free "&amp;IF(ISNUMBER(AD205),TEXT(AD205,"ddd d mmm")&amp;", "&amp;TEXT(AD205,"hh:mm"),"weekday evenings")&amp;", "&amp;IF(OR(AA205=8,AA205=11,AA205=18),"an ","a ")&amp;AA205&amp;"-minute walk from your office, "&amp;IF(AF205&lt;&gt;"","£"&amp;IF(AF205=INT(AF205),TEXT(AF205,"0"),TEXT(AF205,"0.00")),"[PRICE PER PLAYER]")&amp;" a player. Happy to hold it for "&amp;F205&amp;"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LINK]")&amp;CHAR(10)&amp;CHAR(10)&amp;"Best,"&amp;CHAR(10)&amp;IF(AM205&lt;&gt;"",AM205,IF(Offer!$C$5&lt;&gt;"",Offer!$C$5,"[NAME]"))&amp;CHAR(10)&amp;"FC Urban"</f>
        <v/>
      </c>
      <c r="AL205" s="14">
        <f>IF(AH205="","No email yet",IF(ISNUMBER(SEARCH("[",AJ205)),"Fill placeholders",IF(ISNUMBER(AD205),"Ready to send","Ready · no fixed slot")))</f>
        <v/>
      </c>
      <c r="AO205" s="17" t="n"/>
      <c r="AP205" s="17" t="n"/>
    </row>
    <row r="206">
      <c r="A206" s="11" t="n">
        <v>204</v>
      </c>
      <c r="B206" s="11" t="n">
        <v>3</v>
      </c>
      <c r="C206" s="11" t="inlineStr">
        <is>
          <t>Insurance / broker</t>
        </is>
      </c>
      <c r="D206" s="11" t="inlineStr">
        <is>
          <t>City of London</t>
        </is>
      </c>
      <c r="E206" s="11" t="inlineStr">
        <is>
          <t>Financial Guaranty UK Limited</t>
        </is>
      </c>
      <c r="F206" s="11" t="inlineStr">
        <is>
          <t>Financial Guaranty</t>
        </is>
      </c>
      <c r="G206" s="12" t="inlineStr">
        <is>
          <t>https://www.guaranty.co.uk</t>
        </is>
      </c>
      <c r="H206" s="11" t="n"/>
      <c r="I206" s="11" t="inlineStr">
        <is>
          <t>Not found</t>
        </is>
      </c>
      <c r="J206" s="11" t="n"/>
      <c r="K206" s="11" t="inlineStr">
        <is>
          <t>05030956</t>
        </is>
      </c>
      <c r="L206" s="12" t="inlineStr">
        <is>
          <t>Open</t>
        </is>
      </c>
      <c r="M206" s="11" t="inlineStr">
        <is>
          <t>Full</t>
        </is>
      </c>
      <c r="N206" s="13" t="n">
        <v>38016</v>
      </c>
      <c r="O206" s="11" t="inlineStr">
        <is>
          <t>30 Old Bailey, London</t>
        </is>
      </c>
      <c r="P206" s="11" t="inlineStr">
        <is>
          <t>EC4M 7AU</t>
        </is>
      </c>
      <c r="Q206" s="11" t="inlineStr">
        <is>
          <t>No</t>
        </is>
      </c>
      <c r="W206" s="11" t="inlineStr">
        <is>
          <t>City of London School (EC4V 3AL)</t>
        </is>
      </c>
      <c r="X206" s="11" t="n">
        <v>8</v>
      </c>
      <c r="Y206" s="11" t="n"/>
      <c r="Z206" s="11" t="inlineStr">
        <is>
          <t>City of London School (EC4V 3AL)</t>
        </is>
      </c>
      <c r="AA206" s="11" t="n">
        <v>8</v>
      </c>
      <c r="AB206" s="14">
        <f>IFERROR(INDEX(Venues!$E$2:$E$17,MATCH(Z206,Venues!$A$2:$A$17,0)),"Not checked")</f>
        <v/>
      </c>
      <c r="AC206" s="14">
        <f>IFERROR(INDEX(Venues!$F$2:$F$17,MATCH(Z206,Venues!$A$2:$A$17,0)),0)</f>
        <v/>
      </c>
      <c r="AD206" s="15">
        <f>IFERROR(INDEX(Venues!$M$2:$M$17,MATCH(Z206,Venues!$A$2:$A$17,0)),"")</f>
        <v/>
      </c>
      <c r="AE206" s="14">
        <f>IFERROR(INDEX(Venues!$N$2:$N$17,MATCH(Z206,Venues!$A$2:$A$17,0)),"5-a-side")</f>
        <v/>
      </c>
      <c r="AF206" s="16">
        <f>IF(Offer!$C$4="","",Offer!$C$4)</f>
        <v/>
      </c>
      <c r="AG206" s="14">
        <f>Z206&amp;" ("&amp;AA206&amp;" min walk) · "&amp;IF(ISNUMBER(AD206),TEXT(AD206,"ddd d mmm, hh:mm"),"slot to confirm with venue")&amp;" · "&amp;AE206&amp;" · "&amp;IF(AF206&lt;&gt;"","£"&amp;TEXT(AF206,"0.00")&amp;" pp","price TBC")</f>
        <v/>
      </c>
      <c r="AH206" s="14">
        <f>IF(U206&lt;&gt;"",U206,IF(H206&lt;&gt;"",H206,""))</f>
        <v/>
      </c>
      <c r="AI206" s="14">
        <f>"After-work football for "&amp;F206&amp;" · "&amp;Z206&amp;", "&amp;AA206&amp;" min from your office"</f>
        <v/>
      </c>
      <c r="AJ206" s="14">
        <f>"Hi "&amp;IF(R206&lt;&gt;"",R206,F206&amp;" team")&amp;","&amp;CHAR(10)&amp;CHAR(10)&amp;"I'm "&amp;IF(AM206&lt;&gt;"",AM206,IF(Offer!$C$5&lt;&gt;"",Offer!$C$5,"[NAME]"))&amp;" from FC Urban. We organise after-work football for teams in the City and Canary Wharf."&amp;CHAR(10)&amp;CHAR(10)&amp;"We have a "&amp;AE206&amp;" pitch at "&amp;Z206&amp;", "&amp;IF(OR(AA206=8,AA206=11,AA206=18),"an ","a ")&amp;AA206&amp;"-minute walk from your "&amp;P206&amp;" office, "&amp;IF(ISNUMBER(AD206),"on "&amp;TEXT(AD206,"dddd d mmmm")&amp;" at "&amp;TEXT(AD206,"hh:mm"),"on a weekday evening that suits your team")&amp;". It's "&amp;IF(AF206&lt;&gt;"","£"&amp;IF(AF206=INT(AF206),TEXT(AF206,"0"),TEXT(AF206,"0.00")),"[PRICE PER PLAYER]")&amp;" a player and we handle the pitch booking, sign-ups and payments, so all it takes is one person sharing a link with the team."&amp;CHAR(10)&amp;CHAR(10)&amp;"It works well as a team social or "&amp;IF(ISNUMBER(SEARCH(LEFT(F206,1),"AEIOU")),"an ","a ")&amp;F206&amp;"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LINK]")&amp;CHAR(10)&amp;CHAR(10)&amp;"Best,"&amp;CHAR(10)&amp;IF(AM206&lt;&gt;"",AM206,IF(Offer!$C$5&lt;&gt;"",Offer!$C$5,"[NAME]"))&amp;CHAR(10)&amp;"FC Urban"</f>
        <v/>
      </c>
      <c r="AK206" s="14">
        <f>"Hi "&amp;IF(R206&lt;&gt;"",R206,F206&amp;" team")&amp;","&amp;CHAR(10)&amp;CHAR(10)&amp;"Just bumping this up. The "&amp;AE206&amp;" pitch at "&amp;Z206&amp;" is still free "&amp;IF(ISNUMBER(AD206),TEXT(AD206,"ddd d mmm")&amp;", "&amp;TEXT(AD206,"hh:mm"),"weekday evenings")&amp;", "&amp;IF(OR(AA206=8,AA206=11,AA206=18),"an ","a ")&amp;AA206&amp;"-minute walk from your office, "&amp;IF(AF206&lt;&gt;"","£"&amp;IF(AF206=INT(AF206),TEXT(AF206,"0"),TEXT(AF206,"0.00")),"[PRICE PER PLAYER]")&amp;" a player. Happy to hold it for "&amp;F206&amp;"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LINK]")&amp;CHAR(10)&amp;CHAR(10)&amp;"Best,"&amp;CHAR(10)&amp;IF(AM206&lt;&gt;"",AM206,IF(Offer!$C$5&lt;&gt;"",Offer!$C$5,"[NAME]"))&amp;CHAR(10)&amp;"FC Urban"</f>
        <v/>
      </c>
      <c r="AL206" s="14">
        <f>IF(AH206="","No email yet",IF(ISNUMBER(SEARCH("[",AJ206)),"Fill placeholders",IF(ISNUMBER(AD206),"Ready to send","Ready · no fixed slot")))</f>
        <v/>
      </c>
      <c r="AO206" s="17" t="n"/>
      <c r="AP206" s="17" t="n"/>
    </row>
    <row r="207">
      <c r="A207" s="11" t="n">
        <v>205</v>
      </c>
      <c r="B207" s="11" t="n">
        <v>3</v>
      </c>
      <c r="C207" s="11" t="inlineStr">
        <is>
          <t>Fund / asset manager</t>
        </is>
      </c>
      <c r="D207" s="11" t="inlineStr">
        <is>
          <t>City of London</t>
        </is>
      </c>
      <c r="E207" s="11" t="inlineStr">
        <is>
          <t>Tompay Ltd</t>
        </is>
      </c>
      <c r="F207" s="11" t="inlineStr">
        <is>
          <t>Tompay</t>
        </is>
      </c>
      <c r="G207" s="12" t="inlineStr">
        <is>
          <t>https://www.tompayment.com</t>
        </is>
      </c>
      <c r="H207" s="11" t="inlineStr">
        <is>
          <t>info@tompayment.com</t>
        </is>
      </c>
      <c r="I207" s="11" t="inlineStr">
        <is>
          <t>general</t>
        </is>
      </c>
      <c r="J207" s="12" t="inlineStr">
        <is>
          <t>Open page</t>
        </is>
      </c>
      <c r="K207" s="11" t="inlineStr">
        <is>
          <t>12484741</t>
        </is>
      </c>
      <c r="L207" s="12" t="inlineStr">
        <is>
          <t>Open</t>
        </is>
      </c>
      <c r="M207" s="11" t="inlineStr">
        <is>
          <t>Full</t>
        </is>
      </c>
      <c r="N207" s="13" t="n">
        <v>43887</v>
      </c>
      <c r="O207" s="11" t="inlineStr">
        <is>
          <t>60 Cannon Street, London</t>
        </is>
      </c>
      <c r="P207" s="11" t="inlineStr">
        <is>
          <t>EC4N 6NP</t>
        </is>
      </c>
      <c r="Q207" s="11" t="inlineStr">
        <is>
          <t>No</t>
        </is>
      </c>
      <c r="W207" s="11" t="inlineStr">
        <is>
          <t>City of London School (EC4V 3AL)</t>
        </is>
      </c>
      <c r="X207" s="11" t="n">
        <v>8</v>
      </c>
      <c r="Y207" s="11" t="inlineStr">
        <is>
          <t>Marlborough Sports Garden (SE1 1SD) (15.2)</t>
        </is>
      </c>
      <c r="Z207" s="11" t="inlineStr">
        <is>
          <t>City of London School (EC4V 3AL)</t>
        </is>
      </c>
      <c r="AA207" s="11" t="n">
        <v>8</v>
      </c>
      <c r="AB207" s="14">
        <f>IFERROR(INDEX(Venues!$E$2:$E$17,MATCH(Z207,Venues!$A$2:$A$17,0)),"Not checked")</f>
        <v/>
      </c>
      <c r="AC207" s="14">
        <f>IFERROR(INDEX(Venues!$F$2:$F$17,MATCH(Z207,Venues!$A$2:$A$17,0)),0)</f>
        <v/>
      </c>
      <c r="AD207" s="15">
        <f>IFERROR(INDEX(Venues!$M$2:$M$17,MATCH(Z207,Venues!$A$2:$A$17,0)),"")</f>
        <v/>
      </c>
      <c r="AE207" s="14">
        <f>IFERROR(INDEX(Venues!$N$2:$N$17,MATCH(Z207,Venues!$A$2:$A$17,0)),"5-a-side")</f>
        <v/>
      </c>
      <c r="AF207" s="16">
        <f>IF(Offer!$C$4="","",Offer!$C$4)</f>
        <v/>
      </c>
      <c r="AG207" s="14">
        <f>Z207&amp;" ("&amp;AA207&amp;" min walk) · "&amp;IF(ISNUMBER(AD207),TEXT(AD207,"ddd d mmm, hh:mm"),"slot to confirm with venue")&amp;" · "&amp;AE207&amp;" · "&amp;IF(AF207&lt;&gt;"","£"&amp;TEXT(AF207,"0.00")&amp;" pp","price TBC")</f>
        <v/>
      </c>
      <c r="AH207" s="14">
        <f>IF(U207&lt;&gt;"",U207,IF(H207&lt;&gt;"",H207,""))</f>
        <v/>
      </c>
      <c r="AI207" s="14">
        <f>"After-work football for "&amp;F207&amp;" · "&amp;Z207&amp;", "&amp;AA207&amp;" min from your office"</f>
        <v/>
      </c>
      <c r="AJ207" s="14">
        <f>"Hi "&amp;IF(R207&lt;&gt;"",R207,F207&amp;" team")&amp;","&amp;CHAR(10)&amp;CHAR(10)&amp;"I'm "&amp;IF(AM207&lt;&gt;"",AM207,IF(Offer!$C$5&lt;&gt;"",Offer!$C$5,"[NAME]"))&amp;" from FC Urban. We organise after-work football for teams in the City and Canary Wharf."&amp;CHAR(10)&amp;CHAR(10)&amp;"We have a "&amp;AE207&amp;" pitch at "&amp;Z207&amp;", "&amp;IF(OR(AA207=8,AA207=11,AA207=18),"an ","a ")&amp;AA207&amp;"-minute walk from your "&amp;P207&amp;" office, "&amp;IF(ISNUMBER(AD207),"on "&amp;TEXT(AD207,"dddd d mmmm")&amp;" at "&amp;TEXT(AD207,"hh:mm"),"on a weekday evening that suits your team")&amp;". It's "&amp;IF(AF207&lt;&gt;"","£"&amp;IF(AF207=INT(AF207),TEXT(AF207,"0"),TEXT(AF207,"0.00")),"[PRICE PER PLAYER]")&amp;" a player and we handle the pitch booking, sign-ups and payments, so all it takes is one person sharing a link with the team."&amp;CHAR(10)&amp;CHAR(10)&amp;"It works well as a team social or "&amp;IF(ISNUMBER(SEARCH(LEFT(F207,1),"AEIOU")),"an ","a ")&amp;F207&amp;"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LINK]")&amp;CHAR(10)&amp;CHAR(10)&amp;"Best,"&amp;CHAR(10)&amp;IF(AM207&lt;&gt;"",AM207,IF(Offer!$C$5&lt;&gt;"",Offer!$C$5,"[NAME]"))&amp;CHAR(10)&amp;"FC Urban"</f>
        <v/>
      </c>
      <c r="AK207" s="14">
        <f>"Hi "&amp;IF(R207&lt;&gt;"",R207,F207&amp;" team")&amp;","&amp;CHAR(10)&amp;CHAR(10)&amp;"Just bumping this up. The "&amp;AE207&amp;" pitch at "&amp;Z207&amp;" is still free "&amp;IF(ISNUMBER(AD207),TEXT(AD207,"ddd d mmm")&amp;", "&amp;TEXT(AD207,"hh:mm"),"weekday evenings")&amp;", "&amp;IF(OR(AA207=8,AA207=11,AA207=18),"an ","a ")&amp;AA207&amp;"-minute walk from your office, "&amp;IF(AF207&lt;&gt;"","£"&amp;IF(AF207=INT(AF207),TEXT(AF207,"0"),TEXT(AF207,"0.00")),"[PRICE PER PLAYER]")&amp;" a player. Happy to hold it for "&amp;F207&amp;"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LINK]")&amp;CHAR(10)&amp;CHAR(10)&amp;"Best,"&amp;CHAR(10)&amp;IF(AM207&lt;&gt;"",AM207,IF(Offer!$C$5&lt;&gt;"",Offer!$C$5,"[NAME]"))&amp;CHAR(10)&amp;"FC Urban"</f>
        <v/>
      </c>
      <c r="AL207" s="14">
        <f>IF(AH207="","No email yet",IF(ISNUMBER(SEARCH("[",AJ207)),"Fill placeholders",IF(ISNUMBER(AD207),"Ready to send","Ready · no fixed slot")))</f>
        <v/>
      </c>
      <c r="AO207" s="17" t="n"/>
      <c r="AP207" s="17" t="n"/>
    </row>
    <row r="208">
      <c r="A208" s="11" t="n">
        <v>206</v>
      </c>
      <c r="B208" s="11" t="n">
        <v>3</v>
      </c>
      <c r="C208" s="11" t="inlineStr">
        <is>
          <t>Fund / asset manager</t>
        </is>
      </c>
      <c r="D208" s="11" t="inlineStr">
        <is>
          <t>City of London</t>
        </is>
      </c>
      <c r="E208" s="11" t="inlineStr">
        <is>
          <t>EBS Dealing Resources International Limited</t>
        </is>
      </c>
      <c r="F208" s="11" t="inlineStr">
        <is>
          <t>EBS Dealing Resources</t>
        </is>
      </c>
      <c r="G208" s="12" t="inlineStr">
        <is>
          <t>https://www.ebs.ltd.uk</t>
        </is>
      </c>
      <c r="H208" s="11" t="inlineStr">
        <is>
          <t>info@ebs.ltd.uk</t>
        </is>
      </c>
      <c r="I208" s="11" t="inlineStr">
        <is>
          <t>general</t>
        </is>
      </c>
      <c r="J208" s="12" t="inlineStr">
        <is>
          <t>Open page</t>
        </is>
      </c>
      <c r="K208" s="11" t="inlineStr">
        <is>
          <t>02669861</t>
        </is>
      </c>
      <c r="L208" s="12" t="inlineStr">
        <is>
          <t>Open</t>
        </is>
      </c>
      <c r="M208" s="11" t="inlineStr">
        <is>
          <t>Full</t>
        </is>
      </c>
      <c r="N208" s="13" t="n">
        <v>33582</v>
      </c>
      <c r="O208" s="11" t="inlineStr">
        <is>
          <t>London Fruit And Wool Exchange, 1 Duval Square, London</t>
        </is>
      </c>
      <c r="P208" s="11" t="inlineStr">
        <is>
          <t>E1   6PW</t>
        </is>
      </c>
      <c r="Q208" s="11" t="inlineStr">
        <is>
          <t>No</t>
        </is>
      </c>
      <c r="W208" s="11" t="inlineStr">
        <is>
          <t>Liverpool St - Attlee Centre</t>
        </is>
      </c>
      <c r="X208" s="11" t="n">
        <v>3</v>
      </c>
      <c r="Y208" s="11" t="inlineStr">
        <is>
          <t>Shoreditch Powerleague (8.1); Whitechapel (18.6)</t>
        </is>
      </c>
      <c r="Z208" s="11" t="inlineStr">
        <is>
          <t>Shoreditch Powerleague</t>
        </is>
      </c>
      <c r="AA208" s="11" t="n">
        <v>8</v>
      </c>
      <c r="AB208" s="14">
        <f>IFERROR(INDEX(Venues!$E$2:$E$17,MATCH(Z208,Venues!$A$2:$A$17,0)),"Not checked")</f>
        <v/>
      </c>
      <c r="AC208" s="14">
        <f>IFERROR(INDEX(Venues!$F$2:$F$17,MATCH(Z208,Venues!$A$2:$A$17,0)),0)</f>
        <v/>
      </c>
      <c r="AD208" s="15">
        <f>IFERROR(INDEX(Venues!$M$2:$M$17,MATCH(Z208,Venues!$A$2:$A$17,0)),"")</f>
        <v/>
      </c>
      <c r="AE208" s="14">
        <f>IFERROR(INDEX(Venues!$N$2:$N$17,MATCH(Z208,Venues!$A$2:$A$17,0)),"5-a-side")</f>
        <v/>
      </c>
      <c r="AF208" s="16">
        <f>IF(Offer!$C$4="","",Offer!$C$4)</f>
        <v/>
      </c>
      <c r="AG208" s="14">
        <f>Z208&amp;" ("&amp;AA208&amp;" min walk) · "&amp;IF(ISNUMBER(AD208),TEXT(AD208,"ddd d mmm, hh:mm"),"slot to confirm with venue")&amp;" · "&amp;AE208&amp;" · "&amp;IF(AF208&lt;&gt;"","£"&amp;TEXT(AF208,"0.00")&amp;" pp","price TBC")</f>
        <v/>
      </c>
      <c r="AH208" s="14">
        <f>IF(U208&lt;&gt;"",U208,IF(H208&lt;&gt;"",H208,""))</f>
        <v/>
      </c>
      <c r="AI208" s="14">
        <f>"After-work football for "&amp;F208&amp;" · "&amp;Z208&amp;", "&amp;AA208&amp;" min from your office"</f>
        <v/>
      </c>
      <c r="AJ208" s="14">
        <f>"Hi "&amp;IF(R208&lt;&gt;"",R208,F208&amp;" team")&amp;","&amp;CHAR(10)&amp;CHAR(10)&amp;"I'm "&amp;IF(AM208&lt;&gt;"",AM208,IF(Offer!$C$5&lt;&gt;"",Offer!$C$5,"[NAME]"))&amp;" from FC Urban. We organise after-work football for teams in the City and Canary Wharf."&amp;CHAR(10)&amp;CHAR(10)&amp;"We have a "&amp;AE208&amp;" pitch at "&amp;Z208&amp;", "&amp;IF(OR(AA208=8,AA208=11,AA208=18),"an ","a ")&amp;AA208&amp;"-minute walk from your "&amp;P208&amp;" office, "&amp;IF(ISNUMBER(AD208),"on "&amp;TEXT(AD208,"dddd d mmmm")&amp;" at "&amp;TEXT(AD208,"hh:mm"),"on a weekday evening that suits your team")&amp;". It's "&amp;IF(AF208&lt;&gt;"","£"&amp;IF(AF208=INT(AF208),TEXT(AF208,"0"),TEXT(AF208,"0.00")),"[PRICE PER PLAYER]")&amp;" a player and we handle the pitch booking, sign-ups and payments, so all it takes is one person sharing a link with the team."&amp;CHAR(10)&amp;CHAR(10)&amp;"It works well as a team social or "&amp;IF(ISNUMBER(SEARCH(LEFT(F208,1),"AEIOU")),"an ","a ")&amp;F208&amp;"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LINK]")&amp;CHAR(10)&amp;CHAR(10)&amp;"Best,"&amp;CHAR(10)&amp;IF(AM208&lt;&gt;"",AM208,IF(Offer!$C$5&lt;&gt;"",Offer!$C$5,"[NAME]"))&amp;CHAR(10)&amp;"FC Urban"</f>
        <v/>
      </c>
      <c r="AK208" s="14">
        <f>"Hi "&amp;IF(R208&lt;&gt;"",R208,F208&amp;" team")&amp;","&amp;CHAR(10)&amp;CHAR(10)&amp;"Just bumping this up. The "&amp;AE208&amp;" pitch at "&amp;Z208&amp;" is still free "&amp;IF(ISNUMBER(AD208),TEXT(AD208,"ddd d mmm")&amp;", "&amp;TEXT(AD208,"hh:mm"),"weekday evenings")&amp;", "&amp;IF(OR(AA208=8,AA208=11,AA208=18),"an ","a ")&amp;AA208&amp;"-minute walk from your office, "&amp;IF(AF208&lt;&gt;"","£"&amp;IF(AF208=INT(AF208),TEXT(AF208,"0"),TEXT(AF208,"0.00")),"[PRICE PER PLAYER]")&amp;" a player. Happy to hold it for "&amp;F208&amp;"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LINK]")&amp;CHAR(10)&amp;CHAR(10)&amp;"Best,"&amp;CHAR(10)&amp;IF(AM208&lt;&gt;"",AM208,IF(Offer!$C$5&lt;&gt;"",Offer!$C$5,"[NAME]"))&amp;CHAR(10)&amp;"FC Urban"</f>
        <v/>
      </c>
      <c r="AL208" s="14">
        <f>IF(AH208="","No email yet",IF(ISNUMBER(SEARCH("[",AJ208)),"Fill placeholders",IF(ISNUMBER(AD208),"Ready to send","Ready · no fixed slot")))</f>
        <v/>
      </c>
      <c r="AO208" s="17" t="n"/>
      <c r="AP208" s="17" t="n"/>
    </row>
    <row r="209">
      <c r="A209" s="11" t="n">
        <v>207</v>
      </c>
      <c r="B209" s="11" t="n">
        <v>3</v>
      </c>
      <c r="C209" s="11" t="inlineStr">
        <is>
          <t>Fund / asset manager</t>
        </is>
      </c>
      <c r="D209" s="11" t="inlineStr">
        <is>
          <t>City of London</t>
        </is>
      </c>
      <c r="E209" s="11" t="inlineStr">
        <is>
          <t>Osttra Sef Limited</t>
        </is>
      </c>
      <c r="F209" s="11" t="inlineStr">
        <is>
          <t>Osttra Sef</t>
        </is>
      </c>
      <c r="G209" s="12" t="inlineStr">
        <is>
          <t>https://osttra.com</t>
        </is>
      </c>
      <c r="H209" s="11" t="inlineStr">
        <is>
          <t>contactus@osttra.com</t>
        </is>
      </c>
      <c r="I209" s="11" t="inlineStr">
        <is>
          <t>named person</t>
        </is>
      </c>
      <c r="J209" s="12" t="inlineStr">
        <is>
          <t>Open page</t>
        </is>
      </c>
      <c r="K209" s="11" t="inlineStr">
        <is>
          <t>06292563</t>
        </is>
      </c>
      <c r="L209" s="12" t="inlineStr">
        <is>
          <t>Open</t>
        </is>
      </c>
      <c r="M209" s="11" t="inlineStr">
        <is>
          <t>Full</t>
        </is>
      </c>
      <c r="N209" s="13" t="n">
        <v>39259</v>
      </c>
      <c r="O209" s="11" t="inlineStr">
        <is>
          <t>London Fruit And Wool Exchange, 1 Duval Square, London</t>
        </is>
      </c>
      <c r="P209" s="11" t="inlineStr">
        <is>
          <t>E1   6PW</t>
        </is>
      </c>
      <c r="Q209" s="11" t="inlineStr">
        <is>
          <t>No</t>
        </is>
      </c>
      <c r="W209" s="11" t="inlineStr">
        <is>
          <t>Liverpool St - Attlee Centre</t>
        </is>
      </c>
      <c r="X209" s="11" t="n">
        <v>3</v>
      </c>
      <c r="Y209" s="11" t="inlineStr">
        <is>
          <t>Shoreditch Powerleague (8.1); Whitechapel (18.6)</t>
        </is>
      </c>
      <c r="Z209" s="11" t="inlineStr">
        <is>
          <t>Shoreditch Powerleague</t>
        </is>
      </c>
      <c r="AA209" s="11" t="n">
        <v>8</v>
      </c>
      <c r="AB209" s="14">
        <f>IFERROR(INDEX(Venues!$E$2:$E$17,MATCH(Z209,Venues!$A$2:$A$17,0)),"Not checked")</f>
        <v/>
      </c>
      <c r="AC209" s="14">
        <f>IFERROR(INDEX(Venues!$F$2:$F$17,MATCH(Z209,Venues!$A$2:$A$17,0)),0)</f>
        <v/>
      </c>
      <c r="AD209" s="15">
        <f>IFERROR(INDEX(Venues!$M$2:$M$17,MATCH(Z209,Venues!$A$2:$A$17,0)),"")</f>
        <v/>
      </c>
      <c r="AE209" s="14">
        <f>IFERROR(INDEX(Venues!$N$2:$N$17,MATCH(Z209,Venues!$A$2:$A$17,0)),"5-a-side")</f>
        <v/>
      </c>
      <c r="AF209" s="16">
        <f>IF(Offer!$C$4="","",Offer!$C$4)</f>
        <v/>
      </c>
      <c r="AG209" s="14">
        <f>Z209&amp;" ("&amp;AA209&amp;" min walk) · "&amp;IF(ISNUMBER(AD209),TEXT(AD209,"ddd d mmm, hh:mm"),"slot to confirm with venue")&amp;" · "&amp;AE209&amp;" · "&amp;IF(AF209&lt;&gt;"","£"&amp;TEXT(AF209,"0.00")&amp;" pp","price TBC")</f>
        <v/>
      </c>
      <c r="AH209" s="14">
        <f>IF(U209&lt;&gt;"",U209,IF(H209&lt;&gt;"",H209,""))</f>
        <v/>
      </c>
      <c r="AI209" s="14">
        <f>"After-work football for "&amp;F209&amp;" · "&amp;Z209&amp;", "&amp;AA209&amp;" min from your office"</f>
        <v/>
      </c>
      <c r="AJ209" s="14">
        <f>"Hi "&amp;IF(R209&lt;&gt;"",R209,F209&amp;" team")&amp;","&amp;CHAR(10)&amp;CHAR(10)&amp;"I'm "&amp;IF(AM209&lt;&gt;"",AM209,IF(Offer!$C$5&lt;&gt;"",Offer!$C$5,"[NAME]"))&amp;" from FC Urban. We organise after-work football for teams in the City and Canary Wharf."&amp;CHAR(10)&amp;CHAR(10)&amp;"We have a "&amp;AE209&amp;" pitch at "&amp;Z209&amp;", "&amp;IF(OR(AA209=8,AA209=11,AA209=18),"an ","a ")&amp;AA209&amp;"-minute walk from your "&amp;P209&amp;" office, "&amp;IF(ISNUMBER(AD209),"on "&amp;TEXT(AD209,"dddd d mmmm")&amp;" at "&amp;TEXT(AD209,"hh:mm"),"on a weekday evening that suits your team")&amp;". It's "&amp;IF(AF209&lt;&gt;"","£"&amp;IF(AF209=INT(AF209),TEXT(AF209,"0"),TEXT(AF209,"0.00")),"[PRICE PER PLAYER]")&amp;" a player and we handle the pitch booking, sign-ups and payments, so all it takes is one person sharing a link with the team."&amp;CHAR(10)&amp;CHAR(10)&amp;"It works well as a team social or "&amp;IF(ISNUMBER(SEARCH(LEFT(F209,1),"AEIOU")),"an ","a ")&amp;F209&amp;"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LINK]")&amp;CHAR(10)&amp;CHAR(10)&amp;"Best,"&amp;CHAR(10)&amp;IF(AM209&lt;&gt;"",AM209,IF(Offer!$C$5&lt;&gt;"",Offer!$C$5,"[NAME]"))&amp;CHAR(10)&amp;"FC Urban"</f>
        <v/>
      </c>
      <c r="AK209" s="14">
        <f>"Hi "&amp;IF(R209&lt;&gt;"",R209,F209&amp;" team")&amp;","&amp;CHAR(10)&amp;CHAR(10)&amp;"Just bumping this up. The "&amp;AE209&amp;" pitch at "&amp;Z209&amp;" is still free "&amp;IF(ISNUMBER(AD209),TEXT(AD209,"ddd d mmm")&amp;", "&amp;TEXT(AD209,"hh:mm"),"weekday evenings")&amp;", "&amp;IF(OR(AA209=8,AA209=11,AA209=18),"an ","a ")&amp;AA209&amp;"-minute walk from your office, "&amp;IF(AF209&lt;&gt;"","£"&amp;IF(AF209=INT(AF209),TEXT(AF209,"0"),TEXT(AF209,"0.00")),"[PRICE PER PLAYER]")&amp;" a player. Happy to hold it for "&amp;F209&amp;"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LINK]")&amp;CHAR(10)&amp;CHAR(10)&amp;"Best,"&amp;CHAR(10)&amp;IF(AM209&lt;&gt;"",AM209,IF(Offer!$C$5&lt;&gt;"",Offer!$C$5,"[NAME]"))&amp;CHAR(10)&amp;"FC Urban"</f>
        <v/>
      </c>
      <c r="AL209" s="14">
        <f>IF(AH209="","No email yet",IF(ISNUMBER(SEARCH("[",AJ209)),"Fill placeholders",IF(ISNUMBER(AD209),"Ready to send","Ready · no fixed slot")))</f>
        <v/>
      </c>
      <c r="AO209" s="17" t="n"/>
      <c r="AP209" s="17" t="n"/>
    </row>
    <row r="210">
      <c r="A210" s="11" t="n">
        <v>208</v>
      </c>
      <c r="B210" s="11" t="n">
        <v>3</v>
      </c>
      <c r="C210" s="11" t="inlineStr">
        <is>
          <t>Fund / asset manager</t>
        </is>
      </c>
      <c r="D210" s="11" t="inlineStr">
        <is>
          <t>City of London</t>
        </is>
      </c>
      <c r="E210" s="11" t="inlineStr">
        <is>
          <t>Stellex Capital Management UK LLP</t>
        </is>
      </c>
      <c r="F210" s="11" t="inlineStr">
        <is>
          <t>Stellex Capital Management</t>
        </is>
      </c>
      <c r="G210" s="12" t="inlineStr">
        <is>
          <t>https://stellex.co.uk</t>
        </is>
      </c>
      <c r="H210" s="11" t="inlineStr">
        <is>
          <t>sales@stellex.co.uk</t>
        </is>
      </c>
      <c r="I210" s="11" t="inlineStr">
        <is>
          <t>general</t>
        </is>
      </c>
      <c r="J210" s="12" t="inlineStr">
        <is>
          <t>Open page</t>
        </is>
      </c>
      <c r="K210" s="11" t="inlineStr">
        <is>
          <t>OC393743</t>
        </is>
      </c>
      <c r="L210" s="12" t="inlineStr">
        <is>
          <t>Open</t>
        </is>
      </c>
      <c r="M210" s="11" t="inlineStr">
        <is>
          <t>Full</t>
        </is>
      </c>
      <c r="N210" s="13" t="n">
        <v>41801</v>
      </c>
      <c r="O210" s="11" t="inlineStr">
        <is>
          <t>130 Wood Street, London</t>
        </is>
      </c>
      <c r="P210" s="11" t="inlineStr">
        <is>
          <t>EC2V 6DL</t>
        </is>
      </c>
      <c r="Q210" s="11" t="inlineStr">
        <is>
          <t>No</t>
        </is>
      </c>
      <c r="W210" s="11" t="inlineStr">
        <is>
          <t>City of London School (EC4V 3AL)</t>
        </is>
      </c>
      <c r="X210" s="11" t="n">
        <v>8</v>
      </c>
      <c r="Y210" s="11" t="n"/>
      <c r="Z210" s="11" t="inlineStr">
        <is>
          <t>City of London School (EC4V 3AL)</t>
        </is>
      </c>
      <c r="AA210" s="11" t="n">
        <v>8</v>
      </c>
      <c r="AB210" s="14">
        <f>IFERROR(INDEX(Venues!$E$2:$E$17,MATCH(Z210,Venues!$A$2:$A$17,0)),"Not checked")</f>
        <v/>
      </c>
      <c r="AC210" s="14">
        <f>IFERROR(INDEX(Venues!$F$2:$F$17,MATCH(Z210,Venues!$A$2:$A$17,0)),0)</f>
        <v/>
      </c>
      <c r="AD210" s="15">
        <f>IFERROR(INDEX(Venues!$M$2:$M$17,MATCH(Z210,Venues!$A$2:$A$17,0)),"")</f>
        <v/>
      </c>
      <c r="AE210" s="14">
        <f>IFERROR(INDEX(Venues!$N$2:$N$17,MATCH(Z210,Venues!$A$2:$A$17,0)),"5-a-side")</f>
        <v/>
      </c>
      <c r="AF210" s="16">
        <f>IF(Offer!$C$4="","",Offer!$C$4)</f>
        <v/>
      </c>
      <c r="AG210" s="14">
        <f>Z210&amp;" ("&amp;AA210&amp;" min walk) · "&amp;IF(ISNUMBER(AD210),TEXT(AD210,"ddd d mmm, hh:mm"),"slot to confirm with venue")&amp;" · "&amp;AE210&amp;" · "&amp;IF(AF210&lt;&gt;"","£"&amp;TEXT(AF210,"0.00")&amp;" pp","price TBC")</f>
        <v/>
      </c>
      <c r="AH210" s="14">
        <f>IF(U210&lt;&gt;"",U210,IF(H210&lt;&gt;"",H210,""))</f>
        <v/>
      </c>
      <c r="AI210" s="14">
        <f>"After-work football for "&amp;F210&amp;" · "&amp;Z210&amp;", "&amp;AA210&amp;" min from your office"</f>
        <v/>
      </c>
      <c r="AJ210" s="14">
        <f>"Hi "&amp;IF(R210&lt;&gt;"",R210,F210&amp;" team")&amp;","&amp;CHAR(10)&amp;CHAR(10)&amp;"I'm "&amp;IF(AM210&lt;&gt;"",AM210,IF(Offer!$C$5&lt;&gt;"",Offer!$C$5,"[NAME]"))&amp;" from FC Urban. We organise after-work football for teams in the City and Canary Wharf."&amp;CHAR(10)&amp;CHAR(10)&amp;"We have a "&amp;AE210&amp;" pitch at "&amp;Z210&amp;", "&amp;IF(OR(AA210=8,AA210=11,AA210=18),"an ","a ")&amp;AA210&amp;"-minute walk from your "&amp;P210&amp;" office, "&amp;IF(ISNUMBER(AD210),"on "&amp;TEXT(AD210,"dddd d mmmm")&amp;" at "&amp;TEXT(AD210,"hh:mm"),"on a weekday evening that suits your team")&amp;". It's "&amp;IF(AF210&lt;&gt;"","£"&amp;IF(AF210=INT(AF210),TEXT(AF210,"0"),TEXT(AF210,"0.00")),"[PRICE PER PLAYER]")&amp;" a player and we handle the pitch booking, sign-ups and payments, so all it takes is one person sharing a link with the team."&amp;CHAR(10)&amp;CHAR(10)&amp;"It works well as a team social or "&amp;IF(ISNUMBER(SEARCH(LEFT(F210,1),"AEIOU")),"an ","a ")&amp;F210&amp;"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LINK]")&amp;CHAR(10)&amp;CHAR(10)&amp;"Best,"&amp;CHAR(10)&amp;IF(AM210&lt;&gt;"",AM210,IF(Offer!$C$5&lt;&gt;"",Offer!$C$5,"[NAME]"))&amp;CHAR(10)&amp;"FC Urban"</f>
        <v/>
      </c>
      <c r="AK210" s="14">
        <f>"Hi "&amp;IF(R210&lt;&gt;"",R210,F210&amp;" team")&amp;","&amp;CHAR(10)&amp;CHAR(10)&amp;"Just bumping this up. The "&amp;AE210&amp;" pitch at "&amp;Z210&amp;" is still free "&amp;IF(ISNUMBER(AD210),TEXT(AD210,"ddd d mmm")&amp;", "&amp;TEXT(AD210,"hh:mm"),"weekday evenings")&amp;", "&amp;IF(OR(AA210=8,AA210=11,AA210=18),"an ","a ")&amp;AA210&amp;"-minute walk from your office, "&amp;IF(AF210&lt;&gt;"","£"&amp;IF(AF210=INT(AF210),TEXT(AF210,"0"),TEXT(AF210,"0.00")),"[PRICE PER PLAYER]")&amp;" a player. Happy to hold it for "&amp;F210&amp;"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LINK]")&amp;CHAR(10)&amp;CHAR(10)&amp;"Best,"&amp;CHAR(10)&amp;IF(AM210&lt;&gt;"",AM210,IF(Offer!$C$5&lt;&gt;"",Offer!$C$5,"[NAME]"))&amp;CHAR(10)&amp;"FC Urban"</f>
        <v/>
      </c>
      <c r="AL210" s="14">
        <f>IF(AH210="","No email yet",IF(ISNUMBER(SEARCH("[",AJ210)),"Fill placeholders",IF(ISNUMBER(AD210),"Ready to send","Ready · no fixed slot")))</f>
        <v/>
      </c>
      <c r="AO210" s="17" t="n"/>
      <c r="AP210" s="17" t="n"/>
    </row>
    <row r="211">
      <c r="A211" s="11" t="n">
        <v>209</v>
      </c>
      <c r="B211" s="11" t="n">
        <v>3</v>
      </c>
      <c r="C211" s="11" t="inlineStr">
        <is>
          <t>Fund / asset manager</t>
        </is>
      </c>
      <c r="D211" s="11" t="inlineStr">
        <is>
          <t>City of London</t>
        </is>
      </c>
      <c r="E211" s="11" t="inlineStr">
        <is>
          <t>Traiana Limited</t>
        </is>
      </c>
      <c r="F211" s="11" t="inlineStr">
        <is>
          <t>Traiana</t>
        </is>
      </c>
      <c r="G211" s="11" t="n"/>
      <c r="H211" s="11" t="inlineStr">
        <is>
          <t>support@traiana.com</t>
        </is>
      </c>
      <c r="I211" s="11" t="inlineStr">
        <is>
          <t>role (other)</t>
        </is>
      </c>
      <c r="J211" s="12" t="inlineStr">
        <is>
          <t>Open page</t>
        </is>
      </c>
      <c r="K211" s="11" t="inlineStr">
        <is>
          <t>04839268</t>
        </is>
      </c>
      <c r="L211" s="12" t="inlineStr">
        <is>
          <t>Open</t>
        </is>
      </c>
      <c r="M211" s="11" t="inlineStr">
        <is>
          <t>Full</t>
        </is>
      </c>
      <c r="N211" s="13" t="n">
        <v>37823</v>
      </c>
      <c r="O211" s="11" t="inlineStr">
        <is>
          <t>London Fruit And Wool Exchange, 1 Duval Square, London</t>
        </is>
      </c>
      <c r="P211" s="11" t="inlineStr">
        <is>
          <t>E1   6PW</t>
        </is>
      </c>
      <c r="Q211" s="11" t="inlineStr">
        <is>
          <t>No</t>
        </is>
      </c>
      <c r="W211" s="11" t="inlineStr">
        <is>
          <t>Liverpool St - Attlee Centre</t>
        </is>
      </c>
      <c r="X211" s="11" t="n">
        <v>3</v>
      </c>
      <c r="Y211" s="11" t="inlineStr">
        <is>
          <t>Shoreditch Powerleague (8.1); Whitechapel (18.6)</t>
        </is>
      </c>
      <c r="Z211" s="11" t="inlineStr">
        <is>
          <t>Shoreditch Powerleague</t>
        </is>
      </c>
      <c r="AA211" s="11" t="n">
        <v>8</v>
      </c>
      <c r="AB211" s="14">
        <f>IFERROR(INDEX(Venues!$E$2:$E$17,MATCH(Z211,Venues!$A$2:$A$17,0)),"Not checked")</f>
        <v/>
      </c>
      <c r="AC211" s="14">
        <f>IFERROR(INDEX(Venues!$F$2:$F$17,MATCH(Z211,Venues!$A$2:$A$17,0)),0)</f>
        <v/>
      </c>
      <c r="AD211" s="15">
        <f>IFERROR(INDEX(Venues!$M$2:$M$17,MATCH(Z211,Venues!$A$2:$A$17,0)),"")</f>
        <v/>
      </c>
      <c r="AE211" s="14">
        <f>IFERROR(INDEX(Venues!$N$2:$N$17,MATCH(Z211,Venues!$A$2:$A$17,0)),"5-a-side")</f>
        <v/>
      </c>
      <c r="AF211" s="16">
        <f>IF(Offer!$C$4="","",Offer!$C$4)</f>
        <v/>
      </c>
      <c r="AG211" s="14">
        <f>Z211&amp;" ("&amp;AA211&amp;" min walk) · "&amp;IF(ISNUMBER(AD211),TEXT(AD211,"ddd d mmm, hh:mm"),"slot to confirm with venue")&amp;" · "&amp;AE211&amp;" · "&amp;IF(AF211&lt;&gt;"","£"&amp;TEXT(AF211,"0.00")&amp;" pp","price TBC")</f>
        <v/>
      </c>
      <c r="AH211" s="14">
        <f>IF(U211&lt;&gt;"",U211,IF(H211&lt;&gt;"",H211,""))</f>
        <v/>
      </c>
      <c r="AI211" s="14">
        <f>"After-work football for "&amp;F211&amp;" · "&amp;Z211&amp;", "&amp;AA211&amp;" min from your office"</f>
        <v/>
      </c>
      <c r="AJ211" s="14">
        <f>"Hi "&amp;IF(R211&lt;&gt;"",R211,F211&amp;" team")&amp;","&amp;CHAR(10)&amp;CHAR(10)&amp;"I'm "&amp;IF(AM211&lt;&gt;"",AM211,IF(Offer!$C$5&lt;&gt;"",Offer!$C$5,"[NAME]"))&amp;" from FC Urban. We organise after-work football for teams in the City and Canary Wharf."&amp;CHAR(10)&amp;CHAR(10)&amp;"We have a "&amp;AE211&amp;" pitch at "&amp;Z211&amp;", "&amp;IF(OR(AA211=8,AA211=11,AA211=18),"an ","a ")&amp;AA211&amp;"-minute walk from your "&amp;P211&amp;" office, "&amp;IF(ISNUMBER(AD211),"on "&amp;TEXT(AD211,"dddd d mmmm")&amp;" at "&amp;TEXT(AD211,"hh:mm"),"on a weekday evening that suits your team")&amp;". It's "&amp;IF(AF211&lt;&gt;"","£"&amp;IF(AF211=INT(AF211),TEXT(AF211,"0"),TEXT(AF211,"0.00")),"[PRICE PER PLAYER]")&amp;" a player and we handle the pitch booking, sign-ups and payments, so all it takes is one person sharing a link with the team."&amp;CHAR(10)&amp;CHAR(10)&amp;"It works well as a team social or "&amp;IF(ISNUMBER(SEARCH(LEFT(F211,1),"AEIOU")),"an ","a ")&amp;F211&amp;"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LINK]")&amp;CHAR(10)&amp;CHAR(10)&amp;"Best,"&amp;CHAR(10)&amp;IF(AM211&lt;&gt;"",AM211,IF(Offer!$C$5&lt;&gt;"",Offer!$C$5,"[NAME]"))&amp;CHAR(10)&amp;"FC Urban"</f>
        <v/>
      </c>
      <c r="AK211" s="14">
        <f>"Hi "&amp;IF(R211&lt;&gt;"",R211,F211&amp;" team")&amp;","&amp;CHAR(10)&amp;CHAR(10)&amp;"Just bumping this up. The "&amp;AE211&amp;" pitch at "&amp;Z211&amp;" is still free "&amp;IF(ISNUMBER(AD211),TEXT(AD211,"ddd d mmm")&amp;", "&amp;TEXT(AD211,"hh:mm"),"weekday evenings")&amp;", "&amp;IF(OR(AA211=8,AA211=11,AA211=18),"an ","a ")&amp;AA211&amp;"-minute walk from your office, "&amp;IF(AF211&lt;&gt;"","£"&amp;IF(AF211=INT(AF211),TEXT(AF211,"0"),TEXT(AF211,"0.00")),"[PRICE PER PLAYER]")&amp;" a player. Happy to hold it for "&amp;F211&amp;"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LINK]")&amp;CHAR(10)&amp;CHAR(10)&amp;"Best,"&amp;CHAR(10)&amp;IF(AM211&lt;&gt;"",AM211,IF(Offer!$C$5&lt;&gt;"",Offer!$C$5,"[NAME]"))&amp;CHAR(10)&amp;"FC Urban"</f>
        <v/>
      </c>
      <c r="AL211" s="14">
        <f>IF(AH211="","No email yet",IF(ISNUMBER(SEARCH("[",AJ211)),"Fill placeholders",IF(ISNUMBER(AD211),"Ready to send","Ready · no fixed slot")))</f>
        <v/>
      </c>
      <c r="AO211" s="17" t="n"/>
      <c r="AP211" s="17" t="n"/>
    </row>
    <row r="212">
      <c r="A212" s="11" t="n">
        <v>210</v>
      </c>
      <c r="B212" s="11" t="n">
        <v>3</v>
      </c>
      <c r="C212" s="11" t="inlineStr">
        <is>
          <t>Fund / asset manager</t>
        </is>
      </c>
      <c r="D212" s="11" t="inlineStr">
        <is>
          <t>City of London</t>
        </is>
      </c>
      <c r="E212" s="11" t="inlineStr">
        <is>
          <t>Trg Management UK LLP</t>
        </is>
      </c>
      <c r="F212" s="11" t="inlineStr">
        <is>
          <t>Trg Management</t>
        </is>
      </c>
      <c r="G212" s="12" t="inlineStr">
        <is>
          <t>https://trg.com</t>
        </is>
      </c>
      <c r="H212" s="11" t="inlineStr">
        <is>
          <t>info@trg.com</t>
        </is>
      </c>
      <c r="I212" s="11" t="inlineStr">
        <is>
          <t>general</t>
        </is>
      </c>
      <c r="J212" s="12" t="inlineStr">
        <is>
          <t>Open page</t>
        </is>
      </c>
      <c r="K212" s="11" t="inlineStr">
        <is>
          <t>OC349549</t>
        </is>
      </c>
      <c r="L212" s="12" t="inlineStr">
        <is>
          <t>Open</t>
        </is>
      </c>
      <c r="M212" s="11" t="inlineStr">
        <is>
          <t>Full</t>
        </is>
      </c>
      <c r="N212" s="13" t="n">
        <v>40112</v>
      </c>
      <c r="O212" s="11" t="inlineStr">
        <is>
          <t>130 Wood Street, C/O Buzzacott Llp, 130 Wood Street, London</t>
        </is>
      </c>
      <c r="P212" s="11" t="inlineStr">
        <is>
          <t>EC2V 6DL</t>
        </is>
      </c>
      <c r="Q212" s="11" t="inlineStr">
        <is>
          <t>No</t>
        </is>
      </c>
      <c r="W212" s="11" t="inlineStr">
        <is>
          <t>City of London School (EC4V 3AL)</t>
        </is>
      </c>
      <c r="X212" s="11" t="n">
        <v>8</v>
      </c>
      <c r="Y212" s="11" t="n"/>
      <c r="Z212" s="11" t="inlineStr">
        <is>
          <t>City of London School (EC4V 3AL)</t>
        </is>
      </c>
      <c r="AA212" s="11" t="n">
        <v>8</v>
      </c>
      <c r="AB212" s="14">
        <f>IFERROR(INDEX(Venues!$E$2:$E$17,MATCH(Z212,Venues!$A$2:$A$17,0)),"Not checked")</f>
        <v/>
      </c>
      <c r="AC212" s="14">
        <f>IFERROR(INDEX(Venues!$F$2:$F$17,MATCH(Z212,Venues!$A$2:$A$17,0)),0)</f>
        <v/>
      </c>
      <c r="AD212" s="15">
        <f>IFERROR(INDEX(Venues!$M$2:$M$17,MATCH(Z212,Venues!$A$2:$A$17,0)),"")</f>
        <v/>
      </c>
      <c r="AE212" s="14">
        <f>IFERROR(INDEX(Venues!$N$2:$N$17,MATCH(Z212,Venues!$A$2:$A$17,0)),"5-a-side")</f>
        <v/>
      </c>
      <c r="AF212" s="16">
        <f>IF(Offer!$C$4="","",Offer!$C$4)</f>
        <v/>
      </c>
      <c r="AG212" s="14">
        <f>Z212&amp;" ("&amp;AA212&amp;" min walk) · "&amp;IF(ISNUMBER(AD212),TEXT(AD212,"ddd d mmm, hh:mm"),"slot to confirm with venue")&amp;" · "&amp;AE212&amp;" · "&amp;IF(AF212&lt;&gt;"","£"&amp;TEXT(AF212,"0.00")&amp;" pp","price TBC")</f>
        <v/>
      </c>
      <c r="AH212" s="14">
        <f>IF(U212&lt;&gt;"",U212,IF(H212&lt;&gt;"",H212,""))</f>
        <v/>
      </c>
      <c r="AI212" s="14">
        <f>"After-work football for "&amp;F212&amp;" · "&amp;Z212&amp;", "&amp;AA212&amp;" min from your office"</f>
        <v/>
      </c>
      <c r="AJ212" s="14">
        <f>"Hi "&amp;IF(R212&lt;&gt;"",R212,F212&amp;" team")&amp;","&amp;CHAR(10)&amp;CHAR(10)&amp;"I'm "&amp;IF(AM212&lt;&gt;"",AM212,IF(Offer!$C$5&lt;&gt;"",Offer!$C$5,"[NAME]"))&amp;" from FC Urban. We organise after-work football for teams in the City and Canary Wharf."&amp;CHAR(10)&amp;CHAR(10)&amp;"We have a "&amp;AE212&amp;" pitch at "&amp;Z212&amp;", "&amp;IF(OR(AA212=8,AA212=11,AA212=18),"an ","a ")&amp;AA212&amp;"-minute walk from your "&amp;P212&amp;" office, "&amp;IF(ISNUMBER(AD212),"on "&amp;TEXT(AD212,"dddd d mmmm")&amp;" at "&amp;TEXT(AD212,"hh:mm"),"on a weekday evening that suits your team")&amp;". It's "&amp;IF(AF212&lt;&gt;"","£"&amp;IF(AF212=INT(AF212),TEXT(AF212,"0"),TEXT(AF212,"0.00")),"[PRICE PER PLAYER]")&amp;" a player and we handle the pitch booking, sign-ups and payments, so all it takes is one person sharing a link with the team."&amp;CHAR(10)&amp;CHAR(10)&amp;"It works well as a team social or "&amp;IF(ISNUMBER(SEARCH(LEFT(F212,1),"AEIOU")),"an ","a ")&amp;F212&amp;"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LINK]")&amp;CHAR(10)&amp;CHAR(10)&amp;"Best,"&amp;CHAR(10)&amp;IF(AM212&lt;&gt;"",AM212,IF(Offer!$C$5&lt;&gt;"",Offer!$C$5,"[NAME]"))&amp;CHAR(10)&amp;"FC Urban"</f>
        <v/>
      </c>
      <c r="AK212" s="14">
        <f>"Hi "&amp;IF(R212&lt;&gt;"",R212,F212&amp;" team")&amp;","&amp;CHAR(10)&amp;CHAR(10)&amp;"Just bumping this up. The "&amp;AE212&amp;" pitch at "&amp;Z212&amp;" is still free "&amp;IF(ISNUMBER(AD212),TEXT(AD212,"ddd d mmm")&amp;", "&amp;TEXT(AD212,"hh:mm"),"weekday evenings")&amp;", "&amp;IF(OR(AA212=8,AA212=11,AA212=18),"an ","a ")&amp;AA212&amp;"-minute walk from your office, "&amp;IF(AF212&lt;&gt;"","£"&amp;IF(AF212=INT(AF212),TEXT(AF212,"0"),TEXT(AF212,"0.00")),"[PRICE PER PLAYER]")&amp;" a player. Happy to hold it for "&amp;F212&amp;"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LINK]")&amp;CHAR(10)&amp;CHAR(10)&amp;"Best,"&amp;CHAR(10)&amp;IF(AM212&lt;&gt;"",AM212,IF(Offer!$C$5&lt;&gt;"",Offer!$C$5,"[NAME]"))&amp;CHAR(10)&amp;"FC Urban"</f>
        <v/>
      </c>
      <c r="AL212" s="14">
        <f>IF(AH212="","No email yet",IF(ISNUMBER(SEARCH("[",AJ212)),"Fill placeholders",IF(ISNUMBER(AD212),"Ready to send","Ready · no fixed slot")))</f>
        <v/>
      </c>
      <c r="AO212" s="17" t="n"/>
      <c r="AP212" s="17" t="n"/>
    </row>
    <row r="213">
      <c r="A213" s="11" t="n">
        <v>211</v>
      </c>
      <c r="B213" s="11" t="n">
        <v>3</v>
      </c>
      <c r="C213" s="11" t="inlineStr">
        <is>
          <t>Fund / asset manager</t>
        </is>
      </c>
      <c r="D213" s="11" t="inlineStr">
        <is>
          <t>City of London</t>
        </is>
      </c>
      <c r="E213" s="11" t="inlineStr">
        <is>
          <t>Diagram Capital Ltd</t>
        </is>
      </c>
      <c r="F213" s="11" t="inlineStr">
        <is>
          <t>Diagram Capital</t>
        </is>
      </c>
      <c r="G213" s="12" t="inlineStr">
        <is>
          <t>https://www.diagramcapital.co.uk</t>
        </is>
      </c>
      <c r="H213" s="11" t="inlineStr">
        <is>
          <t>info@diagramcapital.co.uk</t>
        </is>
      </c>
      <c r="I213" s="11" t="inlineStr">
        <is>
          <t>general</t>
        </is>
      </c>
      <c r="J213" s="12" t="inlineStr">
        <is>
          <t>Open page</t>
        </is>
      </c>
      <c r="K213" s="11" t="inlineStr">
        <is>
          <t>10437925</t>
        </is>
      </c>
      <c r="L213" s="12" t="inlineStr">
        <is>
          <t>Open</t>
        </is>
      </c>
      <c r="M213" s="11" t="inlineStr">
        <is>
          <t>Full</t>
        </is>
      </c>
      <c r="N213" s="13" t="n">
        <v>42663</v>
      </c>
      <c r="O213" s="11" t="inlineStr">
        <is>
          <t>2 Crown Court, London</t>
        </is>
      </c>
      <c r="P213" s="11" t="inlineStr">
        <is>
          <t>EC2V 6JP</t>
        </is>
      </c>
      <c r="Q213" s="11" t="inlineStr">
        <is>
          <t>Yes</t>
        </is>
      </c>
      <c r="W213" s="11" t="inlineStr">
        <is>
          <t>City of London School (EC4V 3AL)</t>
        </is>
      </c>
      <c r="X213" s="11" t="n">
        <v>8</v>
      </c>
      <c r="Y213" s="11" t="inlineStr">
        <is>
          <t>Marlborough Sports Garden (SE1 1SD) (18.2)</t>
        </is>
      </c>
      <c r="Z213" s="11" t="inlineStr">
        <is>
          <t>City of London School (EC4V 3AL)</t>
        </is>
      </c>
      <c r="AA213" s="11" t="n">
        <v>8</v>
      </c>
      <c r="AB213" s="14">
        <f>IFERROR(INDEX(Venues!$E$2:$E$17,MATCH(Z213,Venues!$A$2:$A$17,0)),"Not checked")</f>
        <v/>
      </c>
      <c r="AC213" s="14">
        <f>IFERROR(INDEX(Venues!$F$2:$F$17,MATCH(Z213,Venues!$A$2:$A$17,0)),0)</f>
        <v/>
      </c>
      <c r="AD213" s="15">
        <f>IFERROR(INDEX(Venues!$M$2:$M$17,MATCH(Z213,Venues!$A$2:$A$17,0)),"")</f>
        <v/>
      </c>
      <c r="AE213" s="14">
        <f>IFERROR(INDEX(Venues!$N$2:$N$17,MATCH(Z213,Venues!$A$2:$A$17,0)),"5-a-side")</f>
        <v/>
      </c>
      <c r="AF213" s="16">
        <f>IF(Offer!$C$4="","",Offer!$C$4)</f>
        <v/>
      </c>
      <c r="AG213" s="14">
        <f>Z213&amp;" ("&amp;AA213&amp;" min walk) · "&amp;IF(ISNUMBER(AD213),TEXT(AD213,"ddd d mmm, hh:mm"),"slot to confirm with venue")&amp;" · "&amp;AE213&amp;" · "&amp;IF(AF213&lt;&gt;"","£"&amp;TEXT(AF213,"0.00")&amp;" pp","price TBC")</f>
        <v/>
      </c>
      <c r="AH213" s="14">
        <f>IF(U213&lt;&gt;"",U213,IF(H213&lt;&gt;"",H213,""))</f>
        <v/>
      </c>
      <c r="AI213" s="14">
        <f>"After-work football for "&amp;F213&amp;" · "&amp;Z213&amp;", "&amp;AA213&amp;" min from your office"</f>
        <v/>
      </c>
      <c r="AJ213" s="14">
        <f>"Hi "&amp;IF(R213&lt;&gt;"",R213,F213&amp;" team")&amp;","&amp;CHAR(10)&amp;CHAR(10)&amp;"I'm "&amp;IF(AM213&lt;&gt;"",AM213,IF(Offer!$C$5&lt;&gt;"",Offer!$C$5,"[NAME]"))&amp;" from FC Urban. We organise after-work football for teams in the City and Canary Wharf."&amp;CHAR(10)&amp;CHAR(10)&amp;"We have a "&amp;AE213&amp;" pitch at "&amp;Z213&amp;", "&amp;IF(OR(AA213=8,AA213=11,AA213=18),"an ","a ")&amp;AA213&amp;"-minute walk from your "&amp;P213&amp;" office, "&amp;IF(ISNUMBER(AD213),"on "&amp;TEXT(AD213,"dddd d mmmm")&amp;" at "&amp;TEXT(AD213,"hh:mm"),"on a weekday evening that suits your team")&amp;". It's "&amp;IF(AF213&lt;&gt;"","£"&amp;IF(AF213=INT(AF213),TEXT(AF213,"0"),TEXT(AF213,"0.00")),"[PRICE PER PLAYER]")&amp;" a player and we handle the pitch booking, sign-ups and payments, so all it takes is one person sharing a link with the team."&amp;CHAR(10)&amp;CHAR(10)&amp;"It works well as a team social or "&amp;IF(ISNUMBER(SEARCH(LEFT(F213,1),"AEIOU")),"an ","a ")&amp;F213&amp;"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LINK]")&amp;CHAR(10)&amp;CHAR(10)&amp;"Best,"&amp;CHAR(10)&amp;IF(AM213&lt;&gt;"",AM213,IF(Offer!$C$5&lt;&gt;"",Offer!$C$5,"[NAME]"))&amp;CHAR(10)&amp;"FC Urban"</f>
        <v/>
      </c>
      <c r="AK213" s="14">
        <f>"Hi "&amp;IF(R213&lt;&gt;"",R213,F213&amp;" team")&amp;","&amp;CHAR(10)&amp;CHAR(10)&amp;"Just bumping this up. The "&amp;AE213&amp;" pitch at "&amp;Z213&amp;" is still free "&amp;IF(ISNUMBER(AD213),TEXT(AD213,"ddd d mmm")&amp;", "&amp;TEXT(AD213,"hh:mm"),"weekday evenings")&amp;", "&amp;IF(OR(AA213=8,AA213=11,AA213=18),"an ","a ")&amp;AA213&amp;"-minute walk from your office, "&amp;IF(AF213&lt;&gt;"","£"&amp;IF(AF213=INT(AF213),TEXT(AF213,"0"),TEXT(AF213,"0.00")),"[PRICE PER PLAYER]")&amp;" a player. Happy to hold it for "&amp;F213&amp;"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LINK]")&amp;CHAR(10)&amp;CHAR(10)&amp;"Best,"&amp;CHAR(10)&amp;IF(AM213&lt;&gt;"",AM213,IF(Offer!$C$5&lt;&gt;"",Offer!$C$5,"[NAME]"))&amp;CHAR(10)&amp;"FC Urban"</f>
        <v/>
      </c>
      <c r="AL213" s="14">
        <f>IF(AH213="","No email yet",IF(ISNUMBER(SEARCH("[",AJ213)),"Fill placeholders",IF(ISNUMBER(AD213),"Ready to send","Ready · no fixed slot")))</f>
        <v/>
      </c>
      <c r="AO213" s="17" t="n"/>
      <c r="AP213" s="17" t="n"/>
    </row>
    <row r="214">
      <c r="A214" s="11" t="n">
        <v>212</v>
      </c>
      <c r="B214" s="11" t="n">
        <v>3</v>
      </c>
      <c r="C214" s="11" t="inlineStr">
        <is>
          <t>Fund / asset manager</t>
        </is>
      </c>
      <c r="D214" s="11" t="inlineStr">
        <is>
          <t>City of London</t>
        </is>
      </c>
      <c r="E214" s="11" t="inlineStr">
        <is>
          <t>The Entrepreneur's Investment Office Limited</t>
        </is>
      </c>
      <c r="F214" s="11" t="inlineStr">
        <is>
          <t>Entrepreneur's Investment Office</t>
        </is>
      </c>
      <c r="G214" s="12" t="inlineStr">
        <is>
          <t>https://www.entioffice.com</t>
        </is>
      </c>
      <c r="H214" s="11" t="inlineStr">
        <is>
          <t>info@entioffice.com</t>
        </is>
      </c>
      <c r="I214" s="11" t="inlineStr">
        <is>
          <t>general</t>
        </is>
      </c>
      <c r="J214" s="12" t="inlineStr">
        <is>
          <t>Open page</t>
        </is>
      </c>
      <c r="K214" s="11" t="inlineStr">
        <is>
          <t>10351774</t>
        </is>
      </c>
      <c r="L214" s="12" t="inlineStr">
        <is>
          <t>Open</t>
        </is>
      </c>
      <c r="M214" s="11" t="inlineStr">
        <is>
          <t>Full</t>
        </is>
      </c>
      <c r="N214" s="13" t="n">
        <v>42613</v>
      </c>
      <c r="O214" s="11" t="inlineStr">
        <is>
          <t>Unit 107, First Floor, 107-111 Fleet Street, London</t>
        </is>
      </c>
      <c r="P214" s="11" t="inlineStr">
        <is>
          <t>EC4A 2AB</t>
        </is>
      </c>
      <c r="Q214" s="11" t="inlineStr">
        <is>
          <t>Yes</t>
        </is>
      </c>
      <c r="W214" s="11" t="inlineStr">
        <is>
          <t>City of London School (EC4V 3AL)</t>
        </is>
      </c>
      <c r="X214" s="11" t="n">
        <v>9</v>
      </c>
      <c r="Y214" s="11" t="n"/>
      <c r="Z214" s="11" t="inlineStr">
        <is>
          <t>City of London School (EC4V 3AL)</t>
        </is>
      </c>
      <c r="AA214" s="11" t="n">
        <v>9</v>
      </c>
      <c r="AB214" s="14">
        <f>IFERROR(INDEX(Venues!$E$2:$E$17,MATCH(Z214,Venues!$A$2:$A$17,0)),"Not checked")</f>
        <v/>
      </c>
      <c r="AC214" s="14">
        <f>IFERROR(INDEX(Venues!$F$2:$F$17,MATCH(Z214,Venues!$A$2:$A$17,0)),0)</f>
        <v/>
      </c>
      <c r="AD214" s="15">
        <f>IFERROR(INDEX(Venues!$M$2:$M$17,MATCH(Z214,Venues!$A$2:$A$17,0)),"")</f>
        <v/>
      </c>
      <c r="AE214" s="14">
        <f>IFERROR(INDEX(Venues!$N$2:$N$17,MATCH(Z214,Venues!$A$2:$A$17,0)),"5-a-side")</f>
        <v/>
      </c>
      <c r="AF214" s="16">
        <f>IF(Offer!$C$4="","",Offer!$C$4)</f>
        <v/>
      </c>
      <c r="AG214" s="14">
        <f>Z214&amp;" ("&amp;AA214&amp;" min walk) · "&amp;IF(ISNUMBER(AD214),TEXT(AD214,"ddd d mmm, hh:mm"),"slot to confirm with venue")&amp;" · "&amp;AE214&amp;" · "&amp;IF(AF214&lt;&gt;"","£"&amp;TEXT(AF214,"0.00")&amp;" pp","price TBC")</f>
        <v/>
      </c>
      <c r="AH214" s="14">
        <f>IF(U214&lt;&gt;"",U214,IF(H214&lt;&gt;"",H214,""))</f>
        <v/>
      </c>
      <c r="AI214" s="14">
        <f>"After-work football for "&amp;F214&amp;" · "&amp;Z214&amp;", "&amp;AA214&amp;" min from your office"</f>
        <v/>
      </c>
      <c r="AJ214" s="14">
        <f>"Hi "&amp;IF(R214&lt;&gt;"",R214,F214&amp;" team")&amp;","&amp;CHAR(10)&amp;CHAR(10)&amp;"I'm "&amp;IF(AM214&lt;&gt;"",AM214,IF(Offer!$C$5&lt;&gt;"",Offer!$C$5,"[NAME]"))&amp;" from FC Urban. We organise after-work football for teams in the City and Canary Wharf."&amp;CHAR(10)&amp;CHAR(10)&amp;"We have a "&amp;AE214&amp;" pitch at "&amp;Z214&amp;", "&amp;IF(OR(AA214=8,AA214=11,AA214=18),"an ","a ")&amp;AA214&amp;"-minute walk from your "&amp;P214&amp;" office, "&amp;IF(ISNUMBER(AD214),"on "&amp;TEXT(AD214,"dddd d mmmm")&amp;" at "&amp;TEXT(AD214,"hh:mm"),"on a weekday evening that suits your team")&amp;". It's "&amp;IF(AF214&lt;&gt;"","£"&amp;IF(AF214=INT(AF214),TEXT(AF214,"0"),TEXT(AF214,"0.00")),"[PRICE PER PLAYER]")&amp;" a player and we handle the pitch booking, sign-ups and payments, so all it takes is one person sharing a link with the team."&amp;CHAR(10)&amp;CHAR(10)&amp;"It works well as a team social or "&amp;IF(ISNUMBER(SEARCH(LEFT(F214,1),"AEIOU")),"an ","a ")&amp;F214&amp;"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LINK]")&amp;CHAR(10)&amp;CHAR(10)&amp;"Best,"&amp;CHAR(10)&amp;IF(AM214&lt;&gt;"",AM214,IF(Offer!$C$5&lt;&gt;"",Offer!$C$5,"[NAME]"))&amp;CHAR(10)&amp;"FC Urban"</f>
        <v/>
      </c>
      <c r="AK214" s="14">
        <f>"Hi "&amp;IF(R214&lt;&gt;"",R214,F214&amp;" team")&amp;","&amp;CHAR(10)&amp;CHAR(10)&amp;"Just bumping this up. The "&amp;AE214&amp;" pitch at "&amp;Z214&amp;" is still free "&amp;IF(ISNUMBER(AD214),TEXT(AD214,"ddd d mmm")&amp;", "&amp;TEXT(AD214,"hh:mm"),"weekday evenings")&amp;", "&amp;IF(OR(AA214=8,AA214=11,AA214=18),"an ","a ")&amp;AA214&amp;"-minute walk from your office, "&amp;IF(AF214&lt;&gt;"","£"&amp;IF(AF214=INT(AF214),TEXT(AF214,"0"),TEXT(AF214,"0.00")),"[PRICE PER PLAYER]")&amp;" a player. Happy to hold it for "&amp;F214&amp;"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LINK]")&amp;CHAR(10)&amp;CHAR(10)&amp;"Best,"&amp;CHAR(10)&amp;IF(AM214&lt;&gt;"",AM214,IF(Offer!$C$5&lt;&gt;"",Offer!$C$5,"[NAME]"))&amp;CHAR(10)&amp;"FC Urban"</f>
        <v/>
      </c>
      <c r="AL214" s="14">
        <f>IF(AH214="","No email yet",IF(ISNUMBER(SEARCH("[",AJ214)),"Fill placeholders",IF(ISNUMBER(AD214),"Ready to send","Ready · no fixed slot")))</f>
        <v/>
      </c>
      <c r="AO214" s="17" t="n"/>
      <c r="AP214" s="17" t="n"/>
    </row>
    <row r="215">
      <c r="A215" s="11" t="n">
        <v>213</v>
      </c>
      <c r="B215" s="11" t="n">
        <v>3</v>
      </c>
      <c r="C215" s="11" t="inlineStr">
        <is>
          <t>Fund / asset manager</t>
        </is>
      </c>
      <c r="D215" s="11" t="inlineStr">
        <is>
          <t>City of London</t>
        </is>
      </c>
      <c r="E215" s="11" t="inlineStr">
        <is>
          <t>Floww Markets Limited</t>
        </is>
      </c>
      <c r="F215" s="11" t="inlineStr">
        <is>
          <t>Floww Markets</t>
        </is>
      </c>
      <c r="G215" s="12" t="inlineStr">
        <is>
          <t>https://floww.com</t>
        </is>
      </c>
      <c r="H215" s="11" t="inlineStr">
        <is>
          <t>info@floww.com</t>
        </is>
      </c>
      <c r="I215" s="11" t="inlineStr">
        <is>
          <t>general</t>
        </is>
      </c>
      <c r="J215" s="12" t="inlineStr">
        <is>
          <t>Open page</t>
        </is>
      </c>
      <c r="K215" s="11" t="inlineStr">
        <is>
          <t>14244727</t>
        </is>
      </c>
      <c r="L215" s="12" t="inlineStr">
        <is>
          <t>Open</t>
        </is>
      </c>
      <c r="M215" s="11" t="inlineStr">
        <is>
          <t>Full</t>
        </is>
      </c>
      <c r="N215" s="13" t="n">
        <v>44762</v>
      </c>
      <c r="O215" s="11" t="inlineStr">
        <is>
          <t>9Th Floor, 107 Cheapside, London</t>
        </is>
      </c>
      <c r="P215" s="11" t="inlineStr">
        <is>
          <t>EC2V 6DN</t>
        </is>
      </c>
      <c r="Q215" s="11" t="inlineStr">
        <is>
          <t>No</t>
        </is>
      </c>
      <c r="W215" s="11" t="inlineStr">
        <is>
          <t>City of London School (EC4V 3AL)</t>
        </is>
      </c>
      <c r="X215" s="11" t="n">
        <v>9</v>
      </c>
      <c r="Y215" s="11" t="n"/>
      <c r="Z215" s="11" t="inlineStr">
        <is>
          <t>City of London School (EC4V 3AL)</t>
        </is>
      </c>
      <c r="AA215" s="11" t="n">
        <v>9</v>
      </c>
      <c r="AB215" s="14">
        <f>IFERROR(INDEX(Venues!$E$2:$E$17,MATCH(Z215,Venues!$A$2:$A$17,0)),"Not checked")</f>
        <v/>
      </c>
      <c r="AC215" s="14">
        <f>IFERROR(INDEX(Venues!$F$2:$F$17,MATCH(Z215,Venues!$A$2:$A$17,0)),0)</f>
        <v/>
      </c>
      <c r="AD215" s="15">
        <f>IFERROR(INDEX(Venues!$M$2:$M$17,MATCH(Z215,Venues!$A$2:$A$17,0)),"")</f>
        <v/>
      </c>
      <c r="AE215" s="14">
        <f>IFERROR(INDEX(Venues!$N$2:$N$17,MATCH(Z215,Venues!$A$2:$A$17,0)),"5-a-side")</f>
        <v/>
      </c>
      <c r="AF215" s="16">
        <f>IF(Offer!$C$4="","",Offer!$C$4)</f>
        <v/>
      </c>
      <c r="AG215" s="14">
        <f>Z215&amp;" ("&amp;AA215&amp;" min walk) · "&amp;IF(ISNUMBER(AD215),TEXT(AD215,"ddd d mmm, hh:mm"),"slot to confirm with venue")&amp;" · "&amp;AE215&amp;" · "&amp;IF(AF215&lt;&gt;"","£"&amp;TEXT(AF215,"0.00")&amp;" pp","price TBC")</f>
        <v/>
      </c>
      <c r="AH215" s="14">
        <f>IF(U215&lt;&gt;"",U215,IF(H215&lt;&gt;"",H215,""))</f>
        <v/>
      </c>
      <c r="AI215" s="14">
        <f>"After-work football for "&amp;F215&amp;" · "&amp;Z215&amp;", "&amp;AA215&amp;" min from your office"</f>
        <v/>
      </c>
      <c r="AJ215" s="14">
        <f>"Hi "&amp;IF(R215&lt;&gt;"",R215,F215&amp;" team")&amp;","&amp;CHAR(10)&amp;CHAR(10)&amp;"I'm "&amp;IF(AM215&lt;&gt;"",AM215,IF(Offer!$C$5&lt;&gt;"",Offer!$C$5,"[NAME]"))&amp;" from FC Urban. We organise after-work football for teams in the City and Canary Wharf."&amp;CHAR(10)&amp;CHAR(10)&amp;"We have a "&amp;AE215&amp;" pitch at "&amp;Z215&amp;", "&amp;IF(OR(AA215=8,AA215=11,AA215=18),"an ","a ")&amp;AA215&amp;"-minute walk from your "&amp;P215&amp;" office, "&amp;IF(ISNUMBER(AD215),"on "&amp;TEXT(AD215,"dddd d mmmm")&amp;" at "&amp;TEXT(AD215,"hh:mm"),"on a weekday evening that suits your team")&amp;". It's "&amp;IF(AF215&lt;&gt;"","£"&amp;IF(AF215=INT(AF215),TEXT(AF215,"0"),TEXT(AF215,"0.00")),"[PRICE PER PLAYER]")&amp;" a player and we handle the pitch booking, sign-ups and payments, so all it takes is one person sharing a link with the team."&amp;CHAR(10)&amp;CHAR(10)&amp;"It works well as a team social or "&amp;IF(ISNUMBER(SEARCH(LEFT(F215,1),"AEIOU")),"an ","a ")&amp;F215&amp;"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LINK]")&amp;CHAR(10)&amp;CHAR(10)&amp;"Best,"&amp;CHAR(10)&amp;IF(AM215&lt;&gt;"",AM215,IF(Offer!$C$5&lt;&gt;"",Offer!$C$5,"[NAME]"))&amp;CHAR(10)&amp;"FC Urban"</f>
        <v/>
      </c>
      <c r="AK215" s="14">
        <f>"Hi "&amp;IF(R215&lt;&gt;"",R215,F215&amp;" team")&amp;","&amp;CHAR(10)&amp;CHAR(10)&amp;"Just bumping this up. The "&amp;AE215&amp;" pitch at "&amp;Z215&amp;" is still free "&amp;IF(ISNUMBER(AD215),TEXT(AD215,"ddd d mmm")&amp;", "&amp;TEXT(AD215,"hh:mm"),"weekday evenings")&amp;", "&amp;IF(OR(AA215=8,AA215=11,AA215=18),"an ","a ")&amp;AA215&amp;"-minute walk from your office, "&amp;IF(AF215&lt;&gt;"","£"&amp;IF(AF215=INT(AF215),TEXT(AF215,"0"),TEXT(AF215,"0.00")),"[PRICE PER PLAYER]")&amp;" a player. Happy to hold it for "&amp;F215&amp;"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LINK]")&amp;CHAR(10)&amp;CHAR(10)&amp;"Best,"&amp;CHAR(10)&amp;IF(AM215&lt;&gt;"",AM215,IF(Offer!$C$5&lt;&gt;"",Offer!$C$5,"[NAME]"))&amp;CHAR(10)&amp;"FC Urban"</f>
        <v/>
      </c>
      <c r="AL215" s="14">
        <f>IF(AH215="","No email yet",IF(ISNUMBER(SEARCH("[",AJ215)),"Fill placeholders",IF(ISNUMBER(AD215),"Ready to send","Ready · no fixed slot")))</f>
        <v/>
      </c>
      <c r="AO215" s="17" t="n"/>
      <c r="AP215" s="17" t="n"/>
    </row>
    <row r="216">
      <c r="A216" s="11" t="n">
        <v>214</v>
      </c>
      <c r="B216" s="11" t="n">
        <v>3</v>
      </c>
      <c r="C216" s="11" t="inlineStr">
        <is>
          <t>Insurance / broker</t>
        </is>
      </c>
      <c r="D216" s="11" t="inlineStr">
        <is>
          <t>City of London</t>
        </is>
      </c>
      <c r="E216" s="11" t="inlineStr">
        <is>
          <t>Rcc Insurance Brokers PLC</t>
        </is>
      </c>
      <c r="F216" s="11" t="inlineStr">
        <is>
          <t>Rcc Insurance Brokers</t>
        </is>
      </c>
      <c r="G216" s="12" t="inlineStr">
        <is>
          <t>https://forsale.dynadot.com</t>
        </is>
      </c>
      <c r="H216" s="11" t="n"/>
      <c r="I216" s="11" t="inlineStr">
        <is>
          <t>Not found</t>
        </is>
      </c>
      <c r="J216" s="11" t="n"/>
      <c r="K216" s="11" t="inlineStr">
        <is>
          <t>00832566</t>
        </is>
      </c>
      <c r="L216" s="12" t="inlineStr">
        <is>
          <t>Open</t>
        </is>
      </c>
      <c r="M216" s="11" t="inlineStr">
        <is>
          <t>Full</t>
        </is>
      </c>
      <c r="N216" s="13" t="n">
        <v>23739</v>
      </c>
      <c r="O216" s="11" t="inlineStr">
        <is>
          <t>Whitefriars House, 6 Carmelite Street, London</t>
        </is>
      </c>
      <c r="P216" s="11" t="inlineStr">
        <is>
          <t>EC4Y 0BS</t>
        </is>
      </c>
      <c r="Q216" s="11" t="inlineStr">
        <is>
          <t>Yes</t>
        </is>
      </c>
      <c r="W216" s="11" t="inlineStr">
        <is>
          <t>City of London School (EC4V 3AL)</t>
        </is>
      </c>
      <c r="X216" s="11" t="n">
        <v>9</v>
      </c>
      <c r="Y216" s="11" t="n"/>
      <c r="Z216" s="11" t="inlineStr">
        <is>
          <t>City of London School (EC4V 3AL)</t>
        </is>
      </c>
      <c r="AA216" s="11" t="n">
        <v>9</v>
      </c>
      <c r="AB216" s="14">
        <f>IFERROR(INDEX(Venues!$E$2:$E$17,MATCH(Z216,Venues!$A$2:$A$17,0)),"Not checked")</f>
        <v/>
      </c>
      <c r="AC216" s="14">
        <f>IFERROR(INDEX(Venues!$F$2:$F$17,MATCH(Z216,Venues!$A$2:$A$17,0)),0)</f>
        <v/>
      </c>
      <c r="AD216" s="15">
        <f>IFERROR(INDEX(Venues!$M$2:$M$17,MATCH(Z216,Venues!$A$2:$A$17,0)),"")</f>
        <v/>
      </c>
      <c r="AE216" s="14">
        <f>IFERROR(INDEX(Venues!$N$2:$N$17,MATCH(Z216,Venues!$A$2:$A$17,0)),"5-a-side")</f>
        <v/>
      </c>
      <c r="AF216" s="16">
        <f>IF(Offer!$C$4="","",Offer!$C$4)</f>
        <v/>
      </c>
      <c r="AG216" s="14">
        <f>Z216&amp;" ("&amp;AA216&amp;" min walk) · "&amp;IF(ISNUMBER(AD216),TEXT(AD216,"ddd d mmm, hh:mm"),"slot to confirm with venue")&amp;" · "&amp;AE216&amp;" · "&amp;IF(AF216&lt;&gt;"","£"&amp;TEXT(AF216,"0.00")&amp;" pp","price TBC")</f>
        <v/>
      </c>
      <c r="AH216" s="14">
        <f>IF(U216&lt;&gt;"",U216,IF(H216&lt;&gt;"",H216,""))</f>
        <v/>
      </c>
      <c r="AI216" s="14">
        <f>"After-work football for "&amp;F216&amp;" · "&amp;Z216&amp;", "&amp;AA216&amp;" min from your office"</f>
        <v/>
      </c>
      <c r="AJ216" s="14">
        <f>"Hi "&amp;IF(R216&lt;&gt;"",R216,F216&amp;" team")&amp;","&amp;CHAR(10)&amp;CHAR(10)&amp;"I'm "&amp;IF(AM216&lt;&gt;"",AM216,IF(Offer!$C$5&lt;&gt;"",Offer!$C$5,"[NAME]"))&amp;" from FC Urban. We organise after-work football for teams in the City and Canary Wharf."&amp;CHAR(10)&amp;CHAR(10)&amp;"We have a "&amp;AE216&amp;" pitch at "&amp;Z216&amp;", "&amp;IF(OR(AA216=8,AA216=11,AA216=18),"an ","a ")&amp;AA216&amp;"-minute walk from your "&amp;P216&amp;" office, "&amp;IF(ISNUMBER(AD216),"on "&amp;TEXT(AD216,"dddd d mmmm")&amp;" at "&amp;TEXT(AD216,"hh:mm"),"on a weekday evening that suits your team")&amp;". It's "&amp;IF(AF216&lt;&gt;"","£"&amp;IF(AF216=INT(AF216),TEXT(AF216,"0"),TEXT(AF216,"0.00")),"[PRICE PER PLAYER]")&amp;" a player and we handle the pitch booking, sign-ups and payments, so all it takes is one person sharing a link with the team."&amp;CHAR(10)&amp;CHAR(10)&amp;"It works well as a team social or "&amp;IF(ISNUMBER(SEARCH(LEFT(F216,1),"AEIOU")),"an ","a ")&amp;F216&amp;"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LINK]")&amp;CHAR(10)&amp;CHAR(10)&amp;"Best,"&amp;CHAR(10)&amp;IF(AM216&lt;&gt;"",AM216,IF(Offer!$C$5&lt;&gt;"",Offer!$C$5,"[NAME]"))&amp;CHAR(10)&amp;"FC Urban"</f>
        <v/>
      </c>
      <c r="AK216" s="14">
        <f>"Hi "&amp;IF(R216&lt;&gt;"",R216,F216&amp;" team")&amp;","&amp;CHAR(10)&amp;CHAR(10)&amp;"Just bumping this up. The "&amp;AE216&amp;" pitch at "&amp;Z216&amp;" is still free "&amp;IF(ISNUMBER(AD216),TEXT(AD216,"ddd d mmm")&amp;", "&amp;TEXT(AD216,"hh:mm"),"weekday evenings")&amp;", "&amp;IF(OR(AA216=8,AA216=11,AA216=18),"an ","a ")&amp;AA216&amp;"-minute walk from your office, "&amp;IF(AF216&lt;&gt;"","£"&amp;IF(AF216=INT(AF216),TEXT(AF216,"0"),TEXT(AF216,"0.00")),"[PRICE PER PLAYER]")&amp;" a player. Happy to hold it for "&amp;F216&amp;"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LINK]")&amp;CHAR(10)&amp;CHAR(10)&amp;"Best,"&amp;CHAR(10)&amp;IF(AM216&lt;&gt;"",AM216,IF(Offer!$C$5&lt;&gt;"",Offer!$C$5,"[NAME]"))&amp;CHAR(10)&amp;"FC Urban"</f>
        <v/>
      </c>
      <c r="AL216" s="14">
        <f>IF(AH216="","No email yet",IF(ISNUMBER(SEARCH("[",AJ216)),"Fill placeholders",IF(ISNUMBER(AD216),"Ready to send","Ready · no fixed slot")))</f>
        <v/>
      </c>
      <c r="AO216" s="17" t="n"/>
      <c r="AP216" s="17" t="n"/>
    </row>
    <row r="217">
      <c r="A217" s="11" t="n">
        <v>215</v>
      </c>
      <c r="B217" s="11" t="n">
        <v>3</v>
      </c>
      <c r="C217" s="11" t="inlineStr">
        <is>
          <t>Fund / asset manager</t>
        </is>
      </c>
      <c r="D217" s="11" t="inlineStr">
        <is>
          <t>City of London</t>
        </is>
      </c>
      <c r="E217" s="11" t="inlineStr">
        <is>
          <t>St Bride's Managers LLP</t>
        </is>
      </c>
      <c r="F217" s="11" t="inlineStr">
        <is>
          <t>St Bride's Managers</t>
        </is>
      </c>
      <c r="G217" s="12" t="inlineStr">
        <is>
          <t>https://www.stbridesmanagers.com</t>
        </is>
      </c>
      <c r="H217" s="11" t="inlineStr">
        <is>
          <t>info@stbridesmanagers.com</t>
        </is>
      </c>
      <c r="I217" s="11" t="inlineStr">
        <is>
          <t>general</t>
        </is>
      </c>
      <c r="J217" s="12" t="inlineStr">
        <is>
          <t>Open page</t>
        </is>
      </c>
      <c r="K217" s="11" t="inlineStr">
        <is>
          <t>OC350592</t>
        </is>
      </c>
      <c r="L217" s="12" t="inlineStr">
        <is>
          <t>Open</t>
        </is>
      </c>
      <c r="M217" s="11" t="inlineStr">
        <is>
          <t>Full</t>
        </is>
      </c>
      <c r="N217" s="13" t="n">
        <v>40151</v>
      </c>
      <c r="O217" s="11" t="inlineStr">
        <is>
          <t>5 St. Bride Street, London</t>
        </is>
      </c>
      <c r="P217" s="11" t="inlineStr">
        <is>
          <t>EC4A 4AS</t>
        </is>
      </c>
      <c r="Q217" s="11" t="inlineStr">
        <is>
          <t>No</t>
        </is>
      </c>
      <c r="W217" s="11" t="inlineStr">
        <is>
          <t>City of London School (EC4V 3AL)</t>
        </is>
      </c>
      <c r="X217" s="11" t="n">
        <v>9</v>
      </c>
      <c r="Y217" s="11" t="n"/>
      <c r="Z217" s="11" t="inlineStr">
        <is>
          <t>City of London School (EC4V 3AL)</t>
        </is>
      </c>
      <c r="AA217" s="11" t="n">
        <v>9</v>
      </c>
      <c r="AB217" s="14">
        <f>IFERROR(INDEX(Venues!$E$2:$E$17,MATCH(Z217,Venues!$A$2:$A$17,0)),"Not checked")</f>
        <v/>
      </c>
      <c r="AC217" s="14">
        <f>IFERROR(INDEX(Venues!$F$2:$F$17,MATCH(Z217,Venues!$A$2:$A$17,0)),0)</f>
        <v/>
      </c>
      <c r="AD217" s="15">
        <f>IFERROR(INDEX(Venues!$M$2:$M$17,MATCH(Z217,Venues!$A$2:$A$17,0)),"")</f>
        <v/>
      </c>
      <c r="AE217" s="14">
        <f>IFERROR(INDEX(Venues!$N$2:$N$17,MATCH(Z217,Venues!$A$2:$A$17,0)),"5-a-side")</f>
        <v/>
      </c>
      <c r="AF217" s="16">
        <f>IF(Offer!$C$4="","",Offer!$C$4)</f>
        <v/>
      </c>
      <c r="AG217" s="14">
        <f>Z217&amp;" ("&amp;AA217&amp;" min walk) · "&amp;IF(ISNUMBER(AD217),TEXT(AD217,"ddd d mmm, hh:mm"),"slot to confirm with venue")&amp;" · "&amp;AE217&amp;" · "&amp;IF(AF217&lt;&gt;"","£"&amp;TEXT(AF217,"0.00")&amp;" pp","price TBC")</f>
        <v/>
      </c>
      <c r="AH217" s="14">
        <f>IF(U217&lt;&gt;"",U217,IF(H217&lt;&gt;"",H217,""))</f>
        <v/>
      </c>
      <c r="AI217" s="14">
        <f>"After-work football for "&amp;F217&amp;" · "&amp;Z217&amp;", "&amp;AA217&amp;" min from your office"</f>
        <v/>
      </c>
      <c r="AJ217" s="14">
        <f>"Hi "&amp;IF(R217&lt;&gt;"",R217,F217&amp;" team")&amp;","&amp;CHAR(10)&amp;CHAR(10)&amp;"I'm "&amp;IF(AM217&lt;&gt;"",AM217,IF(Offer!$C$5&lt;&gt;"",Offer!$C$5,"[NAME]"))&amp;" from FC Urban. We organise after-work football for teams in the City and Canary Wharf."&amp;CHAR(10)&amp;CHAR(10)&amp;"We have a "&amp;AE217&amp;" pitch at "&amp;Z217&amp;", "&amp;IF(OR(AA217=8,AA217=11,AA217=18),"an ","a ")&amp;AA217&amp;"-minute walk from your "&amp;P217&amp;" office, "&amp;IF(ISNUMBER(AD217),"on "&amp;TEXT(AD217,"dddd d mmmm")&amp;" at "&amp;TEXT(AD217,"hh:mm"),"on a weekday evening that suits your team")&amp;". It's "&amp;IF(AF217&lt;&gt;"","£"&amp;IF(AF217=INT(AF217),TEXT(AF217,"0"),TEXT(AF217,"0.00")),"[PRICE PER PLAYER]")&amp;" a player and we handle the pitch booking, sign-ups and payments, so all it takes is one person sharing a link with the team."&amp;CHAR(10)&amp;CHAR(10)&amp;"It works well as a team social or "&amp;IF(ISNUMBER(SEARCH(LEFT(F217,1),"AEIOU")),"an ","a ")&amp;F217&amp;"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LINK]")&amp;CHAR(10)&amp;CHAR(10)&amp;"Best,"&amp;CHAR(10)&amp;IF(AM217&lt;&gt;"",AM217,IF(Offer!$C$5&lt;&gt;"",Offer!$C$5,"[NAME]"))&amp;CHAR(10)&amp;"FC Urban"</f>
        <v/>
      </c>
      <c r="AK217" s="14">
        <f>"Hi "&amp;IF(R217&lt;&gt;"",R217,F217&amp;" team")&amp;","&amp;CHAR(10)&amp;CHAR(10)&amp;"Just bumping this up. The "&amp;AE217&amp;" pitch at "&amp;Z217&amp;" is still free "&amp;IF(ISNUMBER(AD217),TEXT(AD217,"ddd d mmm")&amp;", "&amp;TEXT(AD217,"hh:mm"),"weekday evenings")&amp;", "&amp;IF(OR(AA217=8,AA217=11,AA217=18),"an ","a ")&amp;AA217&amp;"-minute walk from your office, "&amp;IF(AF217&lt;&gt;"","£"&amp;IF(AF217=INT(AF217),TEXT(AF217,"0"),TEXT(AF217,"0.00")),"[PRICE PER PLAYER]")&amp;" a player. Happy to hold it for "&amp;F217&amp;"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LINK]")&amp;CHAR(10)&amp;CHAR(10)&amp;"Best,"&amp;CHAR(10)&amp;IF(AM217&lt;&gt;"",AM217,IF(Offer!$C$5&lt;&gt;"",Offer!$C$5,"[NAME]"))&amp;CHAR(10)&amp;"FC Urban"</f>
        <v/>
      </c>
      <c r="AL217" s="14">
        <f>IF(AH217="","No email yet",IF(ISNUMBER(SEARCH("[",AJ217)),"Fill placeholders",IF(ISNUMBER(AD217),"Ready to send","Ready · no fixed slot")))</f>
        <v/>
      </c>
      <c r="AO217" s="17" t="n"/>
      <c r="AP217" s="17" t="n"/>
    </row>
    <row r="218">
      <c r="A218" s="11" t="n">
        <v>216</v>
      </c>
      <c r="B218" s="11" t="n">
        <v>3</v>
      </c>
      <c r="C218" s="11" t="inlineStr">
        <is>
          <t>Fund / asset manager</t>
        </is>
      </c>
      <c r="D218" s="11" t="inlineStr">
        <is>
          <t>City of London</t>
        </is>
      </c>
      <c r="E218" s="11" t="inlineStr">
        <is>
          <t>Natixis Investment Managers UK Limited</t>
        </is>
      </c>
      <c r="F218" s="11" t="inlineStr">
        <is>
          <t>Natixis Investment Managers</t>
        </is>
      </c>
      <c r="G218" s="12" t="inlineStr">
        <is>
          <t>https://www.im.natixis.com/en-gb</t>
        </is>
      </c>
      <c r="H218" s="11" t="inlineStr">
        <is>
          <t>ted.meyer@natixis.com</t>
        </is>
      </c>
      <c r="I218" s="11" t="inlineStr">
        <is>
          <t>named person</t>
        </is>
      </c>
      <c r="J218" s="12" t="inlineStr">
        <is>
          <t>Open page</t>
        </is>
      </c>
      <c r="K218" s="11" t="inlineStr">
        <is>
          <t>03680538</t>
        </is>
      </c>
      <c r="L218" s="12" t="inlineStr">
        <is>
          <t>Open</t>
        </is>
      </c>
      <c r="M218" s="11" t="inlineStr">
        <is>
          <t>Full</t>
        </is>
      </c>
      <c r="N218" s="13" t="n">
        <v>36137</v>
      </c>
      <c r="O218" s="11" t="inlineStr">
        <is>
          <t>Level 4 Cannon Bridge House, 25 Dowgate Hill, London</t>
        </is>
      </c>
      <c r="P218" s="11" t="inlineStr">
        <is>
          <t>EC4R 2YA</t>
        </is>
      </c>
      <c r="Q218" s="11" t="inlineStr">
        <is>
          <t>Yes</t>
        </is>
      </c>
      <c r="W218" s="11" t="inlineStr">
        <is>
          <t>City of London School (EC4V 3AL)</t>
        </is>
      </c>
      <c r="X218" s="11" t="n">
        <v>10</v>
      </c>
      <c r="Y218" s="11" t="inlineStr">
        <is>
          <t>Marlborough Sports Garden (SE1 1SD) (13.4)</t>
        </is>
      </c>
      <c r="Z218" s="11" t="inlineStr">
        <is>
          <t>City of London School (EC4V 3AL)</t>
        </is>
      </c>
      <c r="AA218" s="11" t="n">
        <v>10</v>
      </c>
      <c r="AB218" s="14">
        <f>IFERROR(INDEX(Venues!$E$2:$E$17,MATCH(Z218,Venues!$A$2:$A$17,0)),"Not checked")</f>
        <v/>
      </c>
      <c r="AC218" s="14">
        <f>IFERROR(INDEX(Venues!$F$2:$F$17,MATCH(Z218,Venues!$A$2:$A$17,0)),0)</f>
        <v/>
      </c>
      <c r="AD218" s="15">
        <f>IFERROR(INDEX(Venues!$M$2:$M$17,MATCH(Z218,Venues!$A$2:$A$17,0)),"")</f>
        <v/>
      </c>
      <c r="AE218" s="14">
        <f>IFERROR(INDEX(Venues!$N$2:$N$17,MATCH(Z218,Venues!$A$2:$A$17,0)),"5-a-side")</f>
        <v/>
      </c>
      <c r="AF218" s="16">
        <f>IF(Offer!$C$4="","",Offer!$C$4)</f>
        <v/>
      </c>
      <c r="AG218" s="14">
        <f>Z218&amp;" ("&amp;AA218&amp;" min walk) · "&amp;IF(ISNUMBER(AD218),TEXT(AD218,"ddd d mmm, hh:mm"),"slot to confirm with venue")&amp;" · "&amp;AE218&amp;" · "&amp;IF(AF218&lt;&gt;"","£"&amp;TEXT(AF218,"0.00")&amp;" pp","price TBC")</f>
        <v/>
      </c>
      <c r="AH218" s="14">
        <f>IF(U218&lt;&gt;"",U218,IF(H218&lt;&gt;"",H218,""))</f>
        <v/>
      </c>
      <c r="AI218" s="14">
        <f>"After-work football for "&amp;F218&amp;" · "&amp;Z218&amp;", "&amp;AA218&amp;" min from your office"</f>
        <v/>
      </c>
      <c r="AJ218" s="14">
        <f>"Hi "&amp;IF(R218&lt;&gt;"",R218,F218&amp;" team")&amp;","&amp;CHAR(10)&amp;CHAR(10)&amp;"I'm "&amp;IF(AM218&lt;&gt;"",AM218,IF(Offer!$C$5&lt;&gt;"",Offer!$C$5,"[NAME]"))&amp;" from FC Urban. We organise after-work football for teams in the City and Canary Wharf."&amp;CHAR(10)&amp;CHAR(10)&amp;"We have a "&amp;AE218&amp;" pitch at "&amp;Z218&amp;", "&amp;IF(OR(AA218=8,AA218=11,AA218=18),"an ","a ")&amp;AA218&amp;"-minute walk from your "&amp;P218&amp;" office, "&amp;IF(ISNUMBER(AD218),"on "&amp;TEXT(AD218,"dddd d mmmm")&amp;" at "&amp;TEXT(AD218,"hh:mm"),"on a weekday evening that suits your team")&amp;". It's "&amp;IF(AF218&lt;&gt;"","£"&amp;IF(AF218=INT(AF218),TEXT(AF218,"0"),TEXT(AF218,"0.00")),"[PRICE PER PLAYER]")&amp;" a player and we handle the pitch booking, sign-ups and payments, so all it takes is one person sharing a link with the team."&amp;CHAR(10)&amp;CHAR(10)&amp;"It works well as a team social or "&amp;IF(ISNUMBER(SEARCH(LEFT(F218,1),"AEIOU")),"an ","a ")&amp;F218&amp;"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LINK]")&amp;CHAR(10)&amp;CHAR(10)&amp;"Best,"&amp;CHAR(10)&amp;IF(AM218&lt;&gt;"",AM218,IF(Offer!$C$5&lt;&gt;"",Offer!$C$5,"[NAME]"))&amp;CHAR(10)&amp;"FC Urban"</f>
        <v/>
      </c>
      <c r="AK218" s="14">
        <f>"Hi "&amp;IF(R218&lt;&gt;"",R218,F218&amp;" team")&amp;","&amp;CHAR(10)&amp;CHAR(10)&amp;"Just bumping this up. The "&amp;AE218&amp;" pitch at "&amp;Z218&amp;" is still free "&amp;IF(ISNUMBER(AD218),TEXT(AD218,"ddd d mmm")&amp;", "&amp;TEXT(AD218,"hh:mm"),"weekday evenings")&amp;", "&amp;IF(OR(AA218=8,AA218=11,AA218=18),"an ","a ")&amp;AA218&amp;"-minute walk from your office, "&amp;IF(AF218&lt;&gt;"","£"&amp;IF(AF218=INT(AF218),TEXT(AF218,"0"),TEXT(AF218,"0.00")),"[PRICE PER PLAYER]")&amp;" a player. Happy to hold it for "&amp;F218&amp;"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LINK]")&amp;CHAR(10)&amp;CHAR(10)&amp;"Best,"&amp;CHAR(10)&amp;IF(AM218&lt;&gt;"",AM218,IF(Offer!$C$5&lt;&gt;"",Offer!$C$5,"[NAME]"))&amp;CHAR(10)&amp;"FC Urban"</f>
        <v/>
      </c>
      <c r="AL218" s="14">
        <f>IF(AH218="","No email yet",IF(ISNUMBER(SEARCH("[",AJ218)),"Fill placeholders",IF(ISNUMBER(AD218),"Ready to send","Ready · no fixed slot")))</f>
        <v/>
      </c>
      <c r="AO218" s="17" t="n"/>
      <c r="AP218" s="17" t="n"/>
    </row>
    <row r="219">
      <c r="A219" s="11" t="n">
        <v>217</v>
      </c>
      <c r="B219" s="11" t="n">
        <v>3</v>
      </c>
      <c r="C219" s="11" t="inlineStr">
        <is>
          <t>Fund / asset manager</t>
        </is>
      </c>
      <c r="D219" s="11" t="inlineStr">
        <is>
          <t>City of London</t>
        </is>
      </c>
      <c r="E219" s="11" t="inlineStr">
        <is>
          <t>Hedge Funds Investment Management Limited</t>
        </is>
      </c>
      <c r="F219" s="11" t="inlineStr">
        <is>
          <t>Hedge Funds Investment Management</t>
        </is>
      </c>
      <c r="G219" s="12" t="inlineStr">
        <is>
          <t>https://www.names.co.uk</t>
        </is>
      </c>
      <c r="H219" s="11" t="inlineStr">
        <is>
          <t>support@names.co.uk</t>
        </is>
      </c>
      <c r="I219" s="11" t="inlineStr">
        <is>
          <t>role (other)</t>
        </is>
      </c>
      <c r="J219" s="12" t="inlineStr">
        <is>
          <t>Open page</t>
        </is>
      </c>
      <c r="K219" s="11" t="inlineStr">
        <is>
          <t>03591241</t>
        </is>
      </c>
      <c r="L219" s="12" t="inlineStr">
        <is>
          <t>Open</t>
        </is>
      </c>
      <c r="M219" s="11" t="inlineStr">
        <is>
          <t>Medium</t>
        </is>
      </c>
      <c r="N219" s="13" t="n">
        <v>35977</v>
      </c>
      <c r="O219" s="11" t="inlineStr">
        <is>
          <t>30 Crown Place, London</t>
        </is>
      </c>
      <c r="P219" s="11" t="inlineStr">
        <is>
          <t>EC2A 4ES</t>
        </is>
      </c>
      <c r="Q219" s="11" t="inlineStr">
        <is>
          <t>No</t>
        </is>
      </c>
      <c r="W219" s="11" t="inlineStr">
        <is>
          <t>Shoreditch Powerleague</t>
        </is>
      </c>
      <c r="X219" s="11" t="n">
        <v>10</v>
      </c>
      <c r="Y219" s="11" t="inlineStr">
        <is>
          <t>Liverpool St - Attlee Centre (12.6); Finsbury Leisure Centre (EC1V 3PU) (16.6)</t>
        </is>
      </c>
      <c r="Z219" s="11" t="inlineStr">
        <is>
          <t>Shoreditch Powerleague</t>
        </is>
      </c>
      <c r="AA219" s="11" t="n">
        <v>10</v>
      </c>
      <c r="AB219" s="14">
        <f>IFERROR(INDEX(Venues!$E$2:$E$17,MATCH(Z219,Venues!$A$2:$A$17,0)),"Not checked")</f>
        <v/>
      </c>
      <c r="AC219" s="14">
        <f>IFERROR(INDEX(Venues!$F$2:$F$17,MATCH(Z219,Venues!$A$2:$A$17,0)),0)</f>
        <v/>
      </c>
      <c r="AD219" s="15">
        <f>IFERROR(INDEX(Venues!$M$2:$M$17,MATCH(Z219,Venues!$A$2:$A$17,0)),"")</f>
        <v/>
      </c>
      <c r="AE219" s="14">
        <f>IFERROR(INDEX(Venues!$N$2:$N$17,MATCH(Z219,Venues!$A$2:$A$17,0)),"5-a-side")</f>
        <v/>
      </c>
      <c r="AF219" s="16">
        <f>IF(Offer!$C$4="","",Offer!$C$4)</f>
        <v/>
      </c>
      <c r="AG219" s="14">
        <f>Z219&amp;" ("&amp;AA219&amp;" min walk) · "&amp;IF(ISNUMBER(AD219),TEXT(AD219,"ddd d mmm, hh:mm"),"slot to confirm with venue")&amp;" · "&amp;AE219&amp;" · "&amp;IF(AF219&lt;&gt;"","£"&amp;TEXT(AF219,"0.00")&amp;" pp","price TBC")</f>
        <v/>
      </c>
      <c r="AH219" s="14">
        <f>IF(U219&lt;&gt;"",U219,IF(H219&lt;&gt;"",H219,""))</f>
        <v/>
      </c>
      <c r="AI219" s="14">
        <f>"After-work football for "&amp;F219&amp;" · "&amp;Z219&amp;", "&amp;AA219&amp;" min from your office"</f>
        <v/>
      </c>
      <c r="AJ219" s="14">
        <f>"Hi "&amp;IF(R219&lt;&gt;"",R219,F219&amp;" team")&amp;","&amp;CHAR(10)&amp;CHAR(10)&amp;"I'm "&amp;IF(AM219&lt;&gt;"",AM219,IF(Offer!$C$5&lt;&gt;"",Offer!$C$5,"[NAME]"))&amp;" from FC Urban. We organise after-work football for teams in the City and Canary Wharf."&amp;CHAR(10)&amp;CHAR(10)&amp;"We have a "&amp;AE219&amp;" pitch at "&amp;Z219&amp;", "&amp;IF(OR(AA219=8,AA219=11,AA219=18),"an ","a ")&amp;AA219&amp;"-minute walk from your "&amp;P219&amp;" office, "&amp;IF(ISNUMBER(AD219),"on "&amp;TEXT(AD219,"dddd d mmmm")&amp;" at "&amp;TEXT(AD219,"hh:mm"),"on a weekday evening that suits your team")&amp;". It's "&amp;IF(AF219&lt;&gt;"","£"&amp;IF(AF219=INT(AF219),TEXT(AF219,"0"),TEXT(AF219,"0.00")),"[PRICE PER PLAYER]")&amp;" a player and we handle the pitch booking, sign-ups and payments, so all it takes is one person sharing a link with the team."&amp;CHAR(10)&amp;CHAR(10)&amp;"It works well as a team social or "&amp;IF(ISNUMBER(SEARCH(LEFT(F219,1),"AEIOU")),"an ","a ")&amp;F219&amp;"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LINK]")&amp;CHAR(10)&amp;CHAR(10)&amp;"Best,"&amp;CHAR(10)&amp;IF(AM219&lt;&gt;"",AM219,IF(Offer!$C$5&lt;&gt;"",Offer!$C$5,"[NAME]"))&amp;CHAR(10)&amp;"FC Urban"</f>
        <v/>
      </c>
      <c r="AK219" s="14">
        <f>"Hi "&amp;IF(R219&lt;&gt;"",R219,F219&amp;" team")&amp;","&amp;CHAR(10)&amp;CHAR(10)&amp;"Just bumping this up. The "&amp;AE219&amp;" pitch at "&amp;Z219&amp;" is still free "&amp;IF(ISNUMBER(AD219),TEXT(AD219,"ddd d mmm")&amp;", "&amp;TEXT(AD219,"hh:mm"),"weekday evenings")&amp;", "&amp;IF(OR(AA219=8,AA219=11,AA219=18),"an ","a ")&amp;AA219&amp;"-minute walk from your office, "&amp;IF(AF219&lt;&gt;"","£"&amp;IF(AF219=INT(AF219),TEXT(AF219,"0"),TEXT(AF219,"0.00")),"[PRICE PER PLAYER]")&amp;" a player. Happy to hold it for "&amp;F219&amp;"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LINK]")&amp;CHAR(10)&amp;CHAR(10)&amp;"Best,"&amp;CHAR(10)&amp;IF(AM219&lt;&gt;"",AM219,IF(Offer!$C$5&lt;&gt;"",Offer!$C$5,"[NAME]"))&amp;CHAR(10)&amp;"FC Urban"</f>
        <v/>
      </c>
      <c r="AL219" s="14">
        <f>IF(AH219="","No email yet",IF(ISNUMBER(SEARCH("[",AJ219)),"Fill placeholders",IF(ISNUMBER(AD219),"Ready to send","Ready · no fixed slot")))</f>
        <v/>
      </c>
      <c r="AO219" s="17" t="n"/>
      <c r="AP219" s="17" t="n"/>
    </row>
    <row r="220">
      <c r="A220" s="11" t="n">
        <v>218</v>
      </c>
      <c r="B220" s="11" t="n">
        <v>3</v>
      </c>
      <c r="C220" s="11" t="inlineStr">
        <is>
          <t>Fund / asset manager</t>
        </is>
      </c>
      <c r="D220" s="11" t="inlineStr">
        <is>
          <t>City of London</t>
        </is>
      </c>
      <c r="E220" s="11" t="inlineStr">
        <is>
          <t>Amicus Capital Consulting LLP</t>
        </is>
      </c>
      <c r="F220" s="11" t="inlineStr">
        <is>
          <t>Amicus Capital Consulting</t>
        </is>
      </c>
      <c r="G220" s="11" t="n"/>
      <c r="H220" s="11" t="inlineStr">
        <is>
          <t>info@amicuscapital.com</t>
        </is>
      </c>
      <c r="I220" s="11" t="inlineStr">
        <is>
          <t>general</t>
        </is>
      </c>
      <c r="J220" s="12" t="inlineStr">
        <is>
          <t>Open page</t>
        </is>
      </c>
      <c r="K220" s="11" t="inlineStr">
        <is>
          <t>OC369335</t>
        </is>
      </c>
      <c r="L220" s="12" t="inlineStr">
        <is>
          <t>Open</t>
        </is>
      </c>
      <c r="M220" s="11" t="inlineStr">
        <is>
          <t>Full</t>
        </is>
      </c>
      <c r="N220" s="13" t="n">
        <v>40847</v>
      </c>
      <c r="O220" s="11" t="inlineStr">
        <is>
          <t>30 Crown Place, London</t>
        </is>
      </c>
      <c r="P220" s="11" t="inlineStr">
        <is>
          <t>EC2A 4EB</t>
        </is>
      </c>
      <c r="Q220" s="11" t="inlineStr">
        <is>
          <t>No</t>
        </is>
      </c>
      <c r="W220" s="11" t="inlineStr">
        <is>
          <t>Shoreditch Powerleague</t>
        </is>
      </c>
      <c r="X220" s="11" t="n">
        <v>10</v>
      </c>
      <c r="Y220" s="11" t="inlineStr">
        <is>
          <t>Liverpool St - Attlee Centre (12.6); Finsbury Leisure Centre (EC1V 3PU) (16.6)</t>
        </is>
      </c>
      <c r="Z220" s="11" t="inlineStr">
        <is>
          <t>Shoreditch Powerleague</t>
        </is>
      </c>
      <c r="AA220" s="11" t="n">
        <v>10</v>
      </c>
      <c r="AB220" s="14">
        <f>IFERROR(INDEX(Venues!$E$2:$E$17,MATCH(Z220,Venues!$A$2:$A$17,0)),"Not checked")</f>
        <v/>
      </c>
      <c r="AC220" s="14">
        <f>IFERROR(INDEX(Venues!$F$2:$F$17,MATCH(Z220,Venues!$A$2:$A$17,0)),0)</f>
        <v/>
      </c>
      <c r="AD220" s="15">
        <f>IFERROR(INDEX(Venues!$M$2:$M$17,MATCH(Z220,Venues!$A$2:$A$17,0)),"")</f>
        <v/>
      </c>
      <c r="AE220" s="14">
        <f>IFERROR(INDEX(Venues!$N$2:$N$17,MATCH(Z220,Venues!$A$2:$A$17,0)),"5-a-side")</f>
        <v/>
      </c>
      <c r="AF220" s="16">
        <f>IF(Offer!$C$4="","",Offer!$C$4)</f>
        <v/>
      </c>
      <c r="AG220" s="14">
        <f>Z220&amp;" ("&amp;AA220&amp;" min walk) · "&amp;IF(ISNUMBER(AD220),TEXT(AD220,"ddd d mmm, hh:mm"),"slot to confirm with venue")&amp;" · "&amp;AE220&amp;" · "&amp;IF(AF220&lt;&gt;"","£"&amp;TEXT(AF220,"0.00")&amp;" pp","price TBC")</f>
        <v/>
      </c>
      <c r="AH220" s="14">
        <f>IF(U220&lt;&gt;"",U220,IF(H220&lt;&gt;"",H220,""))</f>
        <v/>
      </c>
      <c r="AI220" s="14">
        <f>"After-work football for "&amp;F220&amp;" · "&amp;Z220&amp;", "&amp;AA220&amp;" min from your office"</f>
        <v/>
      </c>
      <c r="AJ220" s="14">
        <f>"Hi "&amp;IF(R220&lt;&gt;"",R220,F220&amp;" team")&amp;","&amp;CHAR(10)&amp;CHAR(10)&amp;"I'm "&amp;IF(AM220&lt;&gt;"",AM220,IF(Offer!$C$5&lt;&gt;"",Offer!$C$5,"[NAME]"))&amp;" from FC Urban. We organise after-work football for teams in the City and Canary Wharf."&amp;CHAR(10)&amp;CHAR(10)&amp;"We have a "&amp;AE220&amp;" pitch at "&amp;Z220&amp;", "&amp;IF(OR(AA220=8,AA220=11,AA220=18),"an ","a ")&amp;AA220&amp;"-minute walk from your "&amp;P220&amp;" office, "&amp;IF(ISNUMBER(AD220),"on "&amp;TEXT(AD220,"dddd d mmmm")&amp;" at "&amp;TEXT(AD220,"hh:mm"),"on a weekday evening that suits your team")&amp;". It's "&amp;IF(AF220&lt;&gt;"","£"&amp;IF(AF220=INT(AF220),TEXT(AF220,"0"),TEXT(AF220,"0.00")),"[PRICE PER PLAYER]")&amp;" a player and we handle the pitch booking, sign-ups and payments, so all it takes is one person sharing a link with the team."&amp;CHAR(10)&amp;CHAR(10)&amp;"It works well as a team social or "&amp;IF(ISNUMBER(SEARCH(LEFT(F220,1),"AEIOU")),"an ","a ")&amp;F220&amp;"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LINK]")&amp;CHAR(10)&amp;CHAR(10)&amp;"Best,"&amp;CHAR(10)&amp;IF(AM220&lt;&gt;"",AM220,IF(Offer!$C$5&lt;&gt;"",Offer!$C$5,"[NAME]"))&amp;CHAR(10)&amp;"FC Urban"</f>
        <v/>
      </c>
      <c r="AK220" s="14">
        <f>"Hi "&amp;IF(R220&lt;&gt;"",R220,F220&amp;" team")&amp;","&amp;CHAR(10)&amp;CHAR(10)&amp;"Just bumping this up. The "&amp;AE220&amp;" pitch at "&amp;Z220&amp;" is still free "&amp;IF(ISNUMBER(AD220),TEXT(AD220,"ddd d mmm")&amp;", "&amp;TEXT(AD220,"hh:mm"),"weekday evenings")&amp;", "&amp;IF(OR(AA220=8,AA220=11,AA220=18),"an ","a ")&amp;AA220&amp;"-minute walk from your office, "&amp;IF(AF220&lt;&gt;"","£"&amp;IF(AF220=INT(AF220),TEXT(AF220,"0"),TEXT(AF220,"0.00")),"[PRICE PER PLAYER]")&amp;" a player. Happy to hold it for "&amp;F220&amp;"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LINK]")&amp;CHAR(10)&amp;CHAR(10)&amp;"Best,"&amp;CHAR(10)&amp;IF(AM220&lt;&gt;"",AM220,IF(Offer!$C$5&lt;&gt;"",Offer!$C$5,"[NAME]"))&amp;CHAR(10)&amp;"FC Urban"</f>
        <v/>
      </c>
      <c r="AL220" s="14">
        <f>IF(AH220="","No email yet",IF(ISNUMBER(SEARCH("[",AJ220)),"Fill placeholders",IF(ISNUMBER(AD220),"Ready to send","Ready · no fixed slot")))</f>
        <v/>
      </c>
      <c r="AO220" s="17" t="n"/>
      <c r="AP220" s="17" t="n"/>
    </row>
    <row r="221">
      <c r="A221" s="11" t="n">
        <v>219</v>
      </c>
      <c r="B221" s="11" t="n">
        <v>3</v>
      </c>
      <c r="C221" s="11" t="inlineStr">
        <is>
          <t>Fund / asset manager</t>
        </is>
      </c>
      <c r="D221" s="11" t="inlineStr">
        <is>
          <t>City of London</t>
        </is>
      </c>
      <c r="E221" s="11" t="inlineStr">
        <is>
          <t>Socii Capital LLP</t>
        </is>
      </c>
      <c r="F221" s="11" t="inlineStr">
        <is>
          <t>Socii Capital</t>
        </is>
      </c>
      <c r="G221" s="12" t="inlineStr">
        <is>
          <t>https://sociicapital.com</t>
        </is>
      </c>
      <c r="H221" s="11" t="inlineStr">
        <is>
          <t>team@sociicapital.com</t>
        </is>
      </c>
      <c r="I221" s="11" t="inlineStr">
        <is>
          <t>general</t>
        </is>
      </c>
      <c r="J221" s="12" t="inlineStr">
        <is>
          <t>Open page</t>
        </is>
      </c>
      <c r="K221" s="11" t="inlineStr">
        <is>
          <t>OC414735</t>
        </is>
      </c>
      <c r="L221" s="12" t="inlineStr">
        <is>
          <t>Open</t>
        </is>
      </c>
      <c r="M221" s="11" t="inlineStr">
        <is>
          <t>Full</t>
        </is>
      </c>
      <c r="N221" s="13" t="n">
        <v>42696</v>
      </c>
      <c r="O221" s="11" t="inlineStr">
        <is>
          <t>3Rd Floor, 86 - 90 Paul Street, London</t>
        </is>
      </c>
      <c r="P221" s="11" t="inlineStr">
        <is>
          <t>EC2A 4NE</t>
        </is>
      </c>
      <c r="Q221" s="11" t="inlineStr">
        <is>
          <t>No</t>
        </is>
      </c>
      <c r="W221" s="11" t="inlineStr">
        <is>
          <t>Shoreditch Powerleague</t>
        </is>
      </c>
      <c r="X221" s="11" t="n">
        <v>10</v>
      </c>
      <c r="Y221" s="11" t="inlineStr">
        <is>
          <t>Finsbury Leisure Centre (EC1V 3PU) (13); Shoreditch Rooftop (15.7)</t>
        </is>
      </c>
      <c r="Z221" s="11" t="inlineStr">
        <is>
          <t>Shoreditch Powerleague</t>
        </is>
      </c>
      <c r="AA221" s="11" t="n">
        <v>10</v>
      </c>
      <c r="AB221" s="14">
        <f>IFERROR(INDEX(Venues!$E$2:$E$17,MATCH(Z221,Venues!$A$2:$A$17,0)),"Not checked")</f>
        <v/>
      </c>
      <c r="AC221" s="14">
        <f>IFERROR(INDEX(Venues!$F$2:$F$17,MATCH(Z221,Venues!$A$2:$A$17,0)),0)</f>
        <v/>
      </c>
      <c r="AD221" s="15">
        <f>IFERROR(INDEX(Venues!$M$2:$M$17,MATCH(Z221,Venues!$A$2:$A$17,0)),"")</f>
        <v/>
      </c>
      <c r="AE221" s="14">
        <f>IFERROR(INDEX(Venues!$N$2:$N$17,MATCH(Z221,Venues!$A$2:$A$17,0)),"5-a-side")</f>
        <v/>
      </c>
      <c r="AF221" s="16">
        <f>IF(Offer!$C$4="","",Offer!$C$4)</f>
        <v/>
      </c>
      <c r="AG221" s="14">
        <f>Z221&amp;" ("&amp;AA221&amp;" min walk) · "&amp;IF(ISNUMBER(AD221),TEXT(AD221,"ddd d mmm, hh:mm"),"slot to confirm with venue")&amp;" · "&amp;AE221&amp;" · "&amp;IF(AF221&lt;&gt;"","£"&amp;TEXT(AF221,"0.00")&amp;" pp","price TBC")</f>
        <v/>
      </c>
      <c r="AH221" s="14">
        <f>IF(U221&lt;&gt;"",U221,IF(H221&lt;&gt;"",H221,""))</f>
        <v/>
      </c>
      <c r="AI221" s="14">
        <f>"After-work football for "&amp;F221&amp;" · "&amp;Z221&amp;", "&amp;AA221&amp;" min from your office"</f>
        <v/>
      </c>
      <c r="AJ221" s="14">
        <f>"Hi "&amp;IF(R221&lt;&gt;"",R221,F221&amp;" team")&amp;","&amp;CHAR(10)&amp;CHAR(10)&amp;"I'm "&amp;IF(AM221&lt;&gt;"",AM221,IF(Offer!$C$5&lt;&gt;"",Offer!$C$5,"[NAME]"))&amp;" from FC Urban. We organise after-work football for teams in the City and Canary Wharf."&amp;CHAR(10)&amp;CHAR(10)&amp;"We have a "&amp;AE221&amp;" pitch at "&amp;Z221&amp;", "&amp;IF(OR(AA221=8,AA221=11,AA221=18),"an ","a ")&amp;AA221&amp;"-minute walk from your "&amp;P221&amp;" office, "&amp;IF(ISNUMBER(AD221),"on "&amp;TEXT(AD221,"dddd d mmmm")&amp;" at "&amp;TEXT(AD221,"hh:mm"),"on a weekday evening that suits your team")&amp;". It's "&amp;IF(AF221&lt;&gt;"","£"&amp;IF(AF221=INT(AF221),TEXT(AF221,"0"),TEXT(AF221,"0.00")),"[PRICE PER PLAYER]")&amp;" a player and we handle the pitch booking, sign-ups and payments, so all it takes is one person sharing a link with the team."&amp;CHAR(10)&amp;CHAR(10)&amp;"It works well as a team social or "&amp;IF(ISNUMBER(SEARCH(LEFT(F221,1),"AEIOU")),"an ","a ")&amp;F221&amp;"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LINK]")&amp;CHAR(10)&amp;CHAR(10)&amp;"Best,"&amp;CHAR(10)&amp;IF(AM221&lt;&gt;"",AM221,IF(Offer!$C$5&lt;&gt;"",Offer!$C$5,"[NAME]"))&amp;CHAR(10)&amp;"FC Urban"</f>
        <v/>
      </c>
      <c r="AK221" s="14">
        <f>"Hi "&amp;IF(R221&lt;&gt;"",R221,F221&amp;" team")&amp;","&amp;CHAR(10)&amp;CHAR(10)&amp;"Just bumping this up. The "&amp;AE221&amp;" pitch at "&amp;Z221&amp;" is still free "&amp;IF(ISNUMBER(AD221),TEXT(AD221,"ddd d mmm")&amp;", "&amp;TEXT(AD221,"hh:mm"),"weekday evenings")&amp;", "&amp;IF(OR(AA221=8,AA221=11,AA221=18),"an ","a ")&amp;AA221&amp;"-minute walk from your office, "&amp;IF(AF221&lt;&gt;"","£"&amp;IF(AF221=INT(AF221),TEXT(AF221,"0"),TEXT(AF221,"0.00")),"[PRICE PER PLAYER]")&amp;" a player. Happy to hold it for "&amp;F221&amp;"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LINK]")&amp;CHAR(10)&amp;CHAR(10)&amp;"Best,"&amp;CHAR(10)&amp;IF(AM221&lt;&gt;"",AM221,IF(Offer!$C$5&lt;&gt;"",Offer!$C$5,"[NAME]"))&amp;CHAR(10)&amp;"FC Urban"</f>
        <v/>
      </c>
      <c r="AL221" s="14">
        <f>IF(AH221="","No email yet",IF(ISNUMBER(SEARCH("[",AJ221)),"Fill placeholders",IF(ISNUMBER(AD221),"Ready to send","Ready · no fixed slot")))</f>
        <v/>
      </c>
      <c r="AO221" s="17" t="n"/>
      <c r="AP221" s="17" t="n"/>
    </row>
    <row r="222">
      <c r="A222" s="11" t="n">
        <v>220</v>
      </c>
      <c r="B222" s="11" t="n">
        <v>3</v>
      </c>
      <c r="C222" s="11" t="inlineStr">
        <is>
          <t>Insurance / broker</t>
        </is>
      </c>
      <c r="D222" s="11" t="inlineStr">
        <is>
          <t>City of London</t>
        </is>
      </c>
      <c r="E222" s="11" t="inlineStr">
        <is>
          <t>Integralife UK Limited</t>
        </is>
      </c>
      <c r="F222" s="11" t="inlineStr">
        <is>
          <t>Integralife</t>
        </is>
      </c>
      <c r="G222" s="11" t="n"/>
      <c r="H222" s="11" t="n"/>
      <c r="I222" s="11" t="inlineStr">
        <is>
          <t>Not found</t>
        </is>
      </c>
      <c r="J222" s="11" t="n"/>
      <c r="K222" s="11" t="inlineStr">
        <is>
          <t>00798365</t>
        </is>
      </c>
      <c r="L222" s="12" t="inlineStr">
        <is>
          <t>Open</t>
        </is>
      </c>
      <c r="M222" s="11" t="inlineStr">
        <is>
          <t>Full</t>
        </is>
      </c>
      <c r="N222" s="13" t="n">
        <v>23462</v>
      </c>
      <c r="O222" s="11" t="inlineStr">
        <is>
          <t>4Th Floor, 2 Gresham Street, London</t>
        </is>
      </c>
      <c r="P222" s="11" t="inlineStr">
        <is>
          <t>EC2V 7AD</t>
        </is>
      </c>
      <c r="Q222" s="11" t="inlineStr">
        <is>
          <t>No</t>
        </is>
      </c>
      <c r="W222" s="11" t="inlineStr">
        <is>
          <t>City of London School (EC4V 3AL)</t>
        </is>
      </c>
      <c r="X222" s="11" t="n">
        <v>10</v>
      </c>
      <c r="Y222" s="11" t="inlineStr">
        <is>
          <t>Finsbury Leisure Centre (EC1V 3PU) (18.1)</t>
        </is>
      </c>
      <c r="Z222" s="11" t="inlineStr">
        <is>
          <t>City of London School (EC4V 3AL)</t>
        </is>
      </c>
      <c r="AA222" s="11" t="n">
        <v>10</v>
      </c>
      <c r="AB222" s="14">
        <f>IFERROR(INDEX(Venues!$E$2:$E$17,MATCH(Z222,Venues!$A$2:$A$17,0)),"Not checked")</f>
        <v/>
      </c>
      <c r="AC222" s="14">
        <f>IFERROR(INDEX(Venues!$F$2:$F$17,MATCH(Z222,Venues!$A$2:$A$17,0)),0)</f>
        <v/>
      </c>
      <c r="AD222" s="15">
        <f>IFERROR(INDEX(Venues!$M$2:$M$17,MATCH(Z222,Venues!$A$2:$A$17,0)),"")</f>
        <v/>
      </c>
      <c r="AE222" s="14">
        <f>IFERROR(INDEX(Venues!$N$2:$N$17,MATCH(Z222,Venues!$A$2:$A$17,0)),"5-a-side")</f>
        <v/>
      </c>
      <c r="AF222" s="16">
        <f>IF(Offer!$C$4="","",Offer!$C$4)</f>
        <v/>
      </c>
      <c r="AG222" s="14">
        <f>Z222&amp;" ("&amp;AA222&amp;" min walk) · "&amp;IF(ISNUMBER(AD222),TEXT(AD222,"ddd d mmm, hh:mm"),"slot to confirm with venue")&amp;" · "&amp;AE222&amp;" · "&amp;IF(AF222&lt;&gt;"","£"&amp;TEXT(AF222,"0.00")&amp;" pp","price TBC")</f>
        <v/>
      </c>
      <c r="AH222" s="14">
        <f>IF(U222&lt;&gt;"",U222,IF(H222&lt;&gt;"",H222,""))</f>
        <v/>
      </c>
      <c r="AI222" s="14">
        <f>"After-work football for "&amp;F222&amp;" · "&amp;Z222&amp;", "&amp;AA222&amp;" min from your office"</f>
        <v/>
      </c>
      <c r="AJ222" s="14">
        <f>"Hi "&amp;IF(R222&lt;&gt;"",R222,F222&amp;" team")&amp;","&amp;CHAR(10)&amp;CHAR(10)&amp;"I'm "&amp;IF(AM222&lt;&gt;"",AM222,IF(Offer!$C$5&lt;&gt;"",Offer!$C$5,"[NAME]"))&amp;" from FC Urban. We organise after-work football for teams in the City and Canary Wharf."&amp;CHAR(10)&amp;CHAR(10)&amp;"We have a "&amp;AE222&amp;" pitch at "&amp;Z222&amp;", "&amp;IF(OR(AA222=8,AA222=11,AA222=18),"an ","a ")&amp;AA222&amp;"-minute walk from your "&amp;P222&amp;" office, "&amp;IF(ISNUMBER(AD222),"on "&amp;TEXT(AD222,"dddd d mmmm")&amp;" at "&amp;TEXT(AD222,"hh:mm"),"on a weekday evening that suits your team")&amp;". It's "&amp;IF(AF222&lt;&gt;"","£"&amp;IF(AF222=INT(AF222),TEXT(AF222,"0"),TEXT(AF222,"0.00")),"[PRICE PER PLAYER]")&amp;" a player and we handle the pitch booking, sign-ups and payments, so all it takes is one person sharing a link with the team."&amp;CHAR(10)&amp;CHAR(10)&amp;"It works well as a team social or "&amp;IF(ISNUMBER(SEARCH(LEFT(F222,1),"AEIOU")),"an ","a ")&amp;F222&amp;"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LINK]")&amp;CHAR(10)&amp;CHAR(10)&amp;"Best,"&amp;CHAR(10)&amp;IF(AM222&lt;&gt;"",AM222,IF(Offer!$C$5&lt;&gt;"",Offer!$C$5,"[NAME]"))&amp;CHAR(10)&amp;"FC Urban"</f>
        <v/>
      </c>
      <c r="AK222" s="14">
        <f>"Hi "&amp;IF(R222&lt;&gt;"",R222,F222&amp;" team")&amp;","&amp;CHAR(10)&amp;CHAR(10)&amp;"Just bumping this up. The "&amp;AE222&amp;" pitch at "&amp;Z222&amp;" is still free "&amp;IF(ISNUMBER(AD222),TEXT(AD222,"ddd d mmm")&amp;", "&amp;TEXT(AD222,"hh:mm"),"weekday evenings")&amp;", "&amp;IF(OR(AA222=8,AA222=11,AA222=18),"an ","a ")&amp;AA222&amp;"-minute walk from your office, "&amp;IF(AF222&lt;&gt;"","£"&amp;IF(AF222=INT(AF222),TEXT(AF222,"0"),TEXT(AF222,"0.00")),"[PRICE PER PLAYER]")&amp;" a player. Happy to hold it for "&amp;F222&amp;"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LINK]")&amp;CHAR(10)&amp;CHAR(10)&amp;"Best,"&amp;CHAR(10)&amp;IF(AM222&lt;&gt;"",AM222,IF(Offer!$C$5&lt;&gt;"",Offer!$C$5,"[NAME]"))&amp;CHAR(10)&amp;"FC Urban"</f>
        <v/>
      </c>
      <c r="AL222" s="14">
        <f>IF(AH222="","No email yet",IF(ISNUMBER(SEARCH("[",AJ222)),"Fill placeholders",IF(ISNUMBER(AD222),"Ready to send","Ready · no fixed slot")))</f>
        <v/>
      </c>
      <c r="AO222" s="17" t="n"/>
      <c r="AP222" s="17" t="n"/>
    </row>
    <row r="223">
      <c r="A223" s="11" t="n">
        <v>221</v>
      </c>
      <c r="B223" s="11" t="n">
        <v>3</v>
      </c>
      <c r="C223" s="11" t="inlineStr">
        <is>
          <t>Advisory / accountancy</t>
        </is>
      </c>
      <c r="D223" s="11" t="inlineStr">
        <is>
          <t>City of London</t>
        </is>
      </c>
      <c r="E223" s="11" t="inlineStr">
        <is>
          <t>RSM UK Restructuring Advisory LLP</t>
        </is>
      </c>
      <c r="F223" s="11" t="inlineStr">
        <is>
          <t>RSM UK Restructuring Advisory</t>
        </is>
      </c>
      <c r="G223" s="12" t="inlineStr">
        <is>
          <t>https://www.rsmuk.com</t>
        </is>
      </c>
      <c r="H223" s="11" t="n"/>
      <c r="I223" s="11" t="inlineStr">
        <is>
          <t>Not found</t>
        </is>
      </c>
      <c r="J223" s="11" t="n"/>
      <c r="K223" s="11" t="inlineStr">
        <is>
          <t>OC325349</t>
        </is>
      </c>
      <c r="L223" s="12" t="inlineStr">
        <is>
          <t>Open</t>
        </is>
      </c>
      <c r="M223" s="11" t="inlineStr">
        <is>
          <t>Full</t>
        </is>
      </c>
      <c r="N223" s="13" t="n">
        <v>39097</v>
      </c>
      <c r="O223" s="11" t="inlineStr">
        <is>
          <t>6Th Floor, 25 Farringdon Street, London</t>
        </is>
      </c>
      <c r="P223" s="11" t="inlineStr">
        <is>
          <t>EC4A 4AB</t>
        </is>
      </c>
      <c r="Q223" s="11" t="inlineStr">
        <is>
          <t>No</t>
        </is>
      </c>
      <c r="W223" s="11" t="inlineStr">
        <is>
          <t>City of London School (EC4V 3AL)</t>
        </is>
      </c>
      <c r="X223" s="11" t="n">
        <v>10</v>
      </c>
      <c r="Y223" s="11" t="n"/>
      <c r="Z223" s="11" t="inlineStr">
        <is>
          <t>City of London School (EC4V 3AL)</t>
        </is>
      </c>
      <c r="AA223" s="11" t="n">
        <v>10</v>
      </c>
      <c r="AB223" s="14">
        <f>IFERROR(INDEX(Venues!$E$2:$E$17,MATCH(Z223,Venues!$A$2:$A$17,0)),"Not checked")</f>
        <v/>
      </c>
      <c r="AC223" s="14">
        <f>IFERROR(INDEX(Venues!$F$2:$F$17,MATCH(Z223,Venues!$A$2:$A$17,0)),0)</f>
        <v/>
      </c>
      <c r="AD223" s="15">
        <f>IFERROR(INDEX(Venues!$M$2:$M$17,MATCH(Z223,Venues!$A$2:$A$17,0)),"")</f>
        <v/>
      </c>
      <c r="AE223" s="14">
        <f>IFERROR(INDEX(Venues!$N$2:$N$17,MATCH(Z223,Venues!$A$2:$A$17,0)),"5-a-side")</f>
        <v/>
      </c>
      <c r="AF223" s="16">
        <f>IF(Offer!$C$4="","",Offer!$C$4)</f>
        <v/>
      </c>
      <c r="AG223" s="14">
        <f>Z223&amp;" ("&amp;AA223&amp;" min walk) · "&amp;IF(ISNUMBER(AD223),TEXT(AD223,"ddd d mmm, hh:mm"),"slot to confirm with venue")&amp;" · "&amp;AE223&amp;" · "&amp;IF(AF223&lt;&gt;"","£"&amp;TEXT(AF223,"0.00")&amp;" pp","price TBC")</f>
        <v/>
      </c>
      <c r="AH223" s="14">
        <f>IF(U223&lt;&gt;"",U223,IF(H223&lt;&gt;"",H223,""))</f>
        <v/>
      </c>
      <c r="AI223" s="14">
        <f>"After-work football for "&amp;F223&amp;" · "&amp;Z223&amp;", "&amp;AA223&amp;" min from your office"</f>
        <v/>
      </c>
      <c r="AJ223" s="14">
        <f>"Hi "&amp;IF(R223&lt;&gt;"",R223,F223&amp;" team")&amp;","&amp;CHAR(10)&amp;CHAR(10)&amp;"I'm "&amp;IF(AM223&lt;&gt;"",AM223,IF(Offer!$C$5&lt;&gt;"",Offer!$C$5,"[NAME]"))&amp;" from FC Urban. We organise after-work football for teams in the City and Canary Wharf."&amp;CHAR(10)&amp;CHAR(10)&amp;"We have a "&amp;AE223&amp;" pitch at "&amp;Z223&amp;", "&amp;IF(OR(AA223=8,AA223=11,AA223=18),"an ","a ")&amp;AA223&amp;"-minute walk from your "&amp;P223&amp;" office, "&amp;IF(ISNUMBER(AD223),"on "&amp;TEXT(AD223,"dddd d mmmm")&amp;" at "&amp;TEXT(AD223,"hh:mm"),"on a weekday evening that suits your team")&amp;". It's "&amp;IF(AF223&lt;&gt;"","£"&amp;IF(AF223=INT(AF223),TEXT(AF223,"0"),TEXT(AF223,"0.00")),"[PRICE PER PLAYER]")&amp;" a player and we handle the pitch booking, sign-ups and payments, so all it takes is one person sharing a link with the team."&amp;CHAR(10)&amp;CHAR(10)&amp;"It works well as a team social or "&amp;IF(ISNUMBER(SEARCH(LEFT(F223,1),"AEIOU")),"an ","a ")&amp;F223&amp;"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LINK]")&amp;CHAR(10)&amp;CHAR(10)&amp;"Best,"&amp;CHAR(10)&amp;IF(AM223&lt;&gt;"",AM223,IF(Offer!$C$5&lt;&gt;"",Offer!$C$5,"[NAME]"))&amp;CHAR(10)&amp;"FC Urban"</f>
        <v/>
      </c>
      <c r="AK223" s="14">
        <f>"Hi "&amp;IF(R223&lt;&gt;"",R223,F223&amp;" team")&amp;","&amp;CHAR(10)&amp;CHAR(10)&amp;"Just bumping this up. The "&amp;AE223&amp;" pitch at "&amp;Z223&amp;" is still free "&amp;IF(ISNUMBER(AD223),TEXT(AD223,"ddd d mmm")&amp;", "&amp;TEXT(AD223,"hh:mm"),"weekday evenings")&amp;", "&amp;IF(OR(AA223=8,AA223=11,AA223=18),"an ","a ")&amp;AA223&amp;"-minute walk from your office, "&amp;IF(AF223&lt;&gt;"","£"&amp;IF(AF223=INT(AF223),TEXT(AF223,"0"),TEXT(AF223,"0.00")),"[PRICE PER PLAYER]")&amp;" a player. Happy to hold it for "&amp;F223&amp;"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LINK]")&amp;CHAR(10)&amp;CHAR(10)&amp;"Best,"&amp;CHAR(10)&amp;IF(AM223&lt;&gt;"",AM223,IF(Offer!$C$5&lt;&gt;"",Offer!$C$5,"[NAME]"))&amp;CHAR(10)&amp;"FC Urban"</f>
        <v/>
      </c>
      <c r="AL223" s="14">
        <f>IF(AH223="","No email yet",IF(ISNUMBER(SEARCH("[",AJ223)),"Fill placeholders",IF(ISNUMBER(AD223),"Ready to send","Ready · no fixed slot")))</f>
        <v/>
      </c>
      <c r="AO223" s="17" t="n"/>
      <c r="AP223" s="17" t="n"/>
    </row>
    <row r="224">
      <c r="A224" s="11" t="n">
        <v>222</v>
      </c>
      <c r="B224" s="11" t="n">
        <v>3</v>
      </c>
      <c r="C224" s="11" t="inlineStr">
        <is>
          <t>Advisory / accountancy</t>
        </is>
      </c>
      <c r="D224" s="11" t="inlineStr">
        <is>
          <t>City of London</t>
        </is>
      </c>
      <c r="E224" s="11" t="inlineStr">
        <is>
          <t>S&amp;W Partners LLP</t>
        </is>
      </c>
      <c r="F224" s="11" t="inlineStr">
        <is>
          <t>S&amp;W Partners</t>
        </is>
      </c>
      <c r="G224" s="12" t="inlineStr">
        <is>
          <t>https://www.swgroup.com</t>
        </is>
      </c>
      <c r="H224" s="11" t="inlineStr">
        <is>
          <t>olivier.pecon@swgroup.com</t>
        </is>
      </c>
      <c r="I224" s="11" t="inlineStr">
        <is>
          <t>named person</t>
        </is>
      </c>
      <c r="J224" s="12" t="inlineStr">
        <is>
          <t>Open page</t>
        </is>
      </c>
      <c r="K224" s="11" t="inlineStr">
        <is>
          <t>OC369631</t>
        </is>
      </c>
      <c r="L224" s="12" t="inlineStr">
        <is>
          <t>Open</t>
        </is>
      </c>
      <c r="M224" s="11" t="inlineStr">
        <is>
          <t>Full</t>
        </is>
      </c>
      <c r="N224" s="13" t="n">
        <v>40856</v>
      </c>
      <c r="O224" s="11" t="inlineStr">
        <is>
          <t>45 Gresham Street, London</t>
        </is>
      </c>
      <c r="P224" s="11" t="inlineStr">
        <is>
          <t>EC2V 7BG</t>
        </is>
      </c>
      <c r="Q224" s="11" t="inlineStr">
        <is>
          <t>No</t>
        </is>
      </c>
      <c r="W224" s="11" t="inlineStr">
        <is>
          <t>City of London School (EC4V 3AL)</t>
        </is>
      </c>
      <c r="X224" s="11" t="n">
        <v>10</v>
      </c>
      <c r="Y224" s="11" t="inlineStr">
        <is>
          <t>Finsbury Leisure Centre (EC1V 3PU) (18.4)</t>
        </is>
      </c>
      <c r="Z224" s="11" t="inlineStr">
        <is>
          <t>City of London School (EC4V 3AL)</t>
        </is>
      </c>
      <c r="AA224" s="11" t="n">
        <v>10</v>
      </c>
      <c r="AB224" s="14">
        <f>IFERROR(INDEX(Venues!$E$2:$E$17,MATCH(Z224,Venues!$A$2:$A$17,0)),"Not checked")</f>
        <v/>
      </c>
      <c r="AC224" s="14">
        <f>IFERROR(INDEX(Venues!$F$2:$F$17,MATCH(Z224,Venues!$A$2:$A$17,0)),0)</f>
        <v/>
      </c>
      <c r="AD224" s="15">
        <f>IFERROR(INDEX(Venues!$M$2:$M$17,MATCH(Z224,Venues!$A$2:$A$17,0)),"")</f>
        <v/>
      </c>
      <c r="AE224" s="14">
        <f>IFERROR(INDEX(Venues!$N$2:$N$17,MATCH(Z224,Venues!$A$2:$A$17,0)),"5-a-side")</f>
        <v/>
      </c>
      <c r="AF224" s="16">
        <f>IF(Offer!$C$4="","",Offer!$C$4)</f>
        <v/>
      </c>
      <c r="AG224" s="14">
        <f>Z224&amp;" ("&amp;AA224&amp;" min walk) · "&amp;IF(ISNUMBER(AD224),TEXT(AD224,"ddd d mmm, hh:mm"),"slot to confirm with venue")&amp;" · "&amp;AE224&amp;" · "&amp;IF(AF224&lt;&gt;"","£"&amp;TEXT(AF224,"0.00")&amp;" pp","price TBC")</f>
        <v/>
      </c>
      <c r="AH224" s="14">
        <f>IF(U224&lt;&gt;"",U224,IF(H224&lt;&gt;"",H224,""))</f>
        <v/>
      </c>
      <c r="AI224" s="14">
        <f>"After-work football for "&amp;F224&amp;" · "&amp;Z224&amp;", "&amp;AA224&amp;" min from your office"</f>
        <v/>
      </c>
      <c r="AJ224" s="14">
        <f>"Hi "&amp;IF(R224&lt;&gt;"",R224,F224&amp;" team")&amp;","&amp;CHAR(10)&amp;CHAR(10)&amp;"I'm "&amp;IF(AM224&lt;&gt;"",AM224,IF(Offer!$C$5&lt;&gt;"",Offer!$C$5,"[NAME]"))&amp;" from FC Urban. We organise after-work football for teams in the City and Canary Wharf."&amp;CHAR(10)&amp;CHAR(10)&amp;"We have a "&amp;AE224&amp;" pitch at "&amp;Z224&amp;", "&amp;IF(OR(AA224=8,AA224=11,AA224=18),"an ","a ")&amp;AA224&amp;"-minute walk from your "&amp;P224&amp;" office, "&amp;IF(ISNUMBER(AD224),"on "&amp;TEXT(AD224,"dddd d mmmm")&amp;" at "&amp;TEXT(AD224,"hh:mm"),"on a weekday evening that suits your team")&amp;". It's "&amp;IF(AF224&lt;&gt;"","£"&amp;IF(AF224=INT(AF224),TEXT(AF224,"0"),TEXT(AF224,"0.00")),"[PRICE PER PLAYER]")&amp;" a player and we handle the pitch booking, sign-ups and payments, so all it takes is one person sharing a link with the team."&amp;CHAR(10)&amp;CHAR(10)&amp;"It works well as a team social or "&amp;IF(ISNUMBER(SEARCH(LEFT(F224,1),"AEIOU")),"an ","a ")&amp;F224&amp;"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LINK]")&amp;CHAR(10)&amp;CHAR(10)&amp;"Best,"&amp;CHAR(10)&amp;IF(AM224&lt;&gt;"",AM224,IF(Offer!$C$5&lt;&gt;"",Offer!$C$5,"[NAME]"))&amp;CHAR(10)&amp;"FC Urban"</f>
        <v/>
      </c>
      <c r="AK224" s="14">
        <f>"Hi "&amp;IF(R224&lt;&gt;"",R224,F224&amp;" team")&amp;","&amp;CHAR(10)&amp;CHAR(10)&amp;"Just bumping this up. The "&amp;AE224&amp;" pitch at "&amp;Z224&amp;" is still free "&amp;IF(ISNUMBER(AD224),TEXT(AD224,"ddd d mmm")&amp;", "&amp;TEXT(AD224,"hh:mm"),"weekday evenings")&amp;", "&amp;IF(OR(AA224=8,AA224=11,AA224=18),"an ","a ")&amp;AA224&amp;"-minute walk from your office, "&amp;IF(AF224&lt;&gt;"","£"&amp;IF(AF224=INT(AF224),TEXT(AF224,"0"),TEXT(AF224,"0.00")),"[PRICE PER PLAYER]")&amp;" a player. Happy to hold it for "&amp;F224&amp;"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LINK]")&amp;CHAR(10)&amp;CHAR(10)&amp;"Best,"&amp;CHAR(10)&amp;IF(AM224&lt;&gt;"",AM224,IF(Offer!$C$5&lt;&gt;"",Offer!$C$5,"[NAME]"))&amp;CHAR(10)&amp;"FC Urban"</f>
        <v/>
      </c>
      <c r="AL224" s="14">
        <f>IF(AH224="","No email yet",IF(ISNUMBER(SEARCH("[",AJ224)),"Fill placeholders",IF(ISNUMBER(AD224),"Ready to send","Ready · no fixed slot")))</f>
        <v/>
      </c>
      <c r="AO224" s="17" t="n"/>
      <c r="AP224" s="17" t="n"/>
    </row>
    <row r="225">
      <c r="A225" s="11" t="n">
        <v>223</v>
      </c>
      <c r="B225" s="11" t="n">
        <v>3</v>
      </c>
      <c r="C225" s="11" t="inlineStr">
        <is>
          <t>Insurance / broker</t>
        </is>
      </c>
      <c r="D225" s="11" t="inlineStr">
        <is>
          <t>City of London</t>
        </is>
      </c>
      <c r="E225" s="11" t="inlineStr">
        <is>
          <t>Evelyn Partners Investment Management Services Limited</t>
        </is>
      </c>
      <c r="F225" s="11" t="inlineStr">
        <is>
          <t>Evelyn Partners Investment Management</t>
        </is>
      </c>
      <c r="G225" s="12" t="inlineStr">
        <is>
          <t>https://www.evelyn.com</t>
        </is>
      </c>
      <c r="H225" s="11" t="inlineStr">
        <is>
          <t>niraj.vyas@evelyn.com</t>
        </is>
      </c>
      <c r="I225" s="11" t="inlineStr">
        <is>
          <t>named person</t>
        </is>
      </c>
      <c r="J225" s="12" t="inlineStr">
        <is>
          <t>Open page</t>
        </is>
      </c>
      <c r="K225" s="11" t="inlineStr">
        <is>
          <t>02830297</t>
        </is>
      </c>
      <c r="L225" s="12" t="inlineStr">
        <is>
          <t>Open</t>
        </is>
      </c>
      <c r="M225" s="11" t="inlineStr">
        <is>
          <t>Full</t>
        </is>
      </c>
      <c r="N225" s="13" t="n">
        <v>34144</v>
      </c>
      <c r="O225" s="11" t="inlineStr">
        <is>
          <t>45 Gresham Street, London</t>
        </is>
      </c>
      <c r="P225" s="11" t="inlineStr">
        <is>
          <t>EC2V 7BG</t>
        </is>
      </c>
      <c r="Q225" s="11" t="inlineStr">
        <is>
          <t>No</t>
        </is>
      </c>
      <c r="W225" s="11" t="inlineStr">
        <is>
          <t>City of London School (EC4V 3AL)</t>
        </is>
      </c>
      <c r="X225" s="11" t="n">
        <v>10</v>
      </c>
      <c r="Y225" s="11" t="inlineStr">
        <is>
          <t>Finsbury Leisure Centre (EC1V 3PU) (18.4)</t>
        </is>
      </c>
      <c r="Z225" s="11" t="inlineStr">
        <is>
          <t>City of London School (EC4V 3AL)</t>
        </is>
      </c>
      <c r="AA225" s="11" t="n">
        <v>10</v>
      </c>
      <c r="AB225" s="14">
        <f>IFERROR(INDEX(Venues!$E$2:$E$17,MATCH(Z225,Venues!$A$2:$A$17,0)),"Not checked")</f>
        <v/>
      </c>
      <c r="AC225" s="14">
        <f>IFERROR(INDEX(Venues!$F$2:$F$17,MATCH(Z225,Venues!$A$2:$A$17,0)),0)</f>
        <v/>
      </c>
      <c r="AD225" s="15">
        <f>IFERROR(INDEX(Venues!$M$2:$M$17,MATCH(Z225,Venues!$A$2:$A$17,0)),"")</f>
        <v/>
      </c>
      <c r="AE225" s="14">
        <f>IFERROR(INDEX(Venues!$N$2:$N$17,MATCH(Z225,Venues!$A$2:$A$17,0)),"5-a-side")</f>
        <v/>
      </c>
      <c r="AF225" s="16">
        <f>IF(Offer!$C$4="","",Offer!$C$4)</f>
        <v/>
      </c>
      <c r="AG225" s="14">
        <f>Z225&amp;" ("&amp;AA225&amp;" min walk) · "&amp;IF(ISNUMBER(AD225),TEXT(AD225,"ddd d mmm, hh:mm"),"slot to confirm with venue")&amp;" · "&amp;AE225&amp;" · "&amp;IF(AF225&lt;&gt;"","£"&amp;TEXT(AF225,"0.00")&amp;" pp","price TBC")</f>
        <v/>
      </c>
      <c r="AH225" s="14">
        <f>IF(U225&lt;&gt;"",U225,IF(H225&lt;&gt;"",H225,""))</f>
        <v/>
      </c>
      <c r="AI225" s="14">
        <f>"After-work football for "&amp;F225&amp;" · "&amp;Z225&amp;", "&amp;AA225&amp;" min from your office"</f>
        <v/>
      </c>
      <c r="AJ225" s="14">
        <f>"Hi "&amp;IF(R225&lt;&gt;"",R225,F225&amp;" team")&amp;","&amp;CHAR(10)&amp;CHAR(10)&amp;"I'm "&amp;IF(AM225&lt;&gt;"",AM225,IF(Offer!$C$5&lt;&gt;"",Offer!$C$5,"[NAME]"))&amp;" from FC Urban. We organise after-work football for teams in the City and Canary Wharf."&amp;CHAR(10)&amp;CHAR(10)&amp;"We have a "&amp;AE225&amp;" pitch at "&amp;Z225&amp;", "&amp;IF(OR(AA225=8,AA225=11,AA225=18),"an ","a ")&amp;AA225&amp;"-minute walk from your "&amp;P225&amp;" office, "&amp;IF(ISNUMBER(AD225),"on "&amp;TEXT(AD225,"dddd d mmmm")&amp;" at "&amp;TEXT(AD225,"hh:mm"),"on a weekday evening that suits your team")&amp;". It's "&amp;IF(AF225&lt;&gt;"","£"&amp;IF(AF225=INT(AF225),TEXT(AF225,"0"),TEXT(AF225,"0.00")),"[PRICE PER PLAYER]")&amp;" a player and we handle the pitch booking, sign-ups and payments, so all it takes is one person sharing a link with the team."&amp;CHAR(10)&amp;CHAR(10)&amp;"It works well as a team social or "&amp;IF(ISNUMBER(SEARCH(LEFT(F225,1),"AEIOU")),"an ","a ")&amp;F225&amp;"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LINK]")&amp;CHAR(10)&amp;CHAR(10)&amp;"Best,"&amp;CHAR(10)&amp;IF(AM225&lt;&gt;"",AM225,IF(Offer!$C$5&lt;&gt;"",Offer!$C$5,"[NAME]"))&amp;CHAR(10)&amp;"FC Urban"</f>
        <v/>
      </c>
      <c r="AK225" s="14">
        <f>"Hi "&amp;IF(R225&lt;&gt;"",R225,F225&amp;" team")&amp;","&amp;CHAR(10)&amp;CHAR(10)&amp;"Just bumping this up. The "&amp;AE225&amp;" pitch at "&amp;Z225&amp;" is still free "&amp;IF(ISNUMBER(AD225),TEXT(AD225,"ddd d mmm")&amp;", "&amp;TEXT(AD225,"hh:mm"),"weekday evenings")&amp;", "&amp;IF(OR(AA225=8,AA225=11,AA225=18),"an ","a ")&amp;AA225&amp;"-minute walk from your office, "&amp;IF(AF225&lt;&gt;"","£"&amp;IF(AF225=INT(AF225),TEXT(AF225,"0"),TEXT(AF225,"0.00")),"[PRICE PER PLAYER]")&amp;" a player. Happy to hold it for "&amp;F225&amp;"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LINK]")&amp;CHAR(10)&amp;CHAR(10)&amp;"Best,"&amp;CHAR(10)&amp;IF(AM225&lt;&gt;"",AM225,IF(Offer!$C$5&lt;&gt;"",Offer!$C$5,"[NAME]"))&amp;CHAR(10)&amp;"FC Urban"</f>
        <v/>
      </c>
      <c r="AL225" s="14">
        <f>IF(AH225="","No email yet",IF(ISNUMBER(SEARCH("[",AJ225)),"Fill placeholders",IF(ISNUMBER(AD225),"Ready to send","Ready · no fixed slot")))</f>
        <v/>
      </c>
      <c r="AO225" s="17" t="n"/>
      <c r="AP225" s="17" t="n"/>
    </row>
    <row r="226">
      <c r="A226" s="11" t="n">
        <v>224</v>
      </c>
      <c r="B226" s="11" t="n">
        <v>3</v>
      </c>
      <c r="C226" s="11" t="inlineStr">
        <is>
          <t>Fund / asset manager</t>
        </is>
      </c>
      <c r="D226" s="11" t="inlineStr">
        <is>
          <t>City of London</t>
        </is>
      </c>
      <c r="E226" s="11" t="inlineStr">
        <is>
          <t>Ardea Investment Management (UK) Limited</t>
        </is>
      </c>
      <c r="F226" s="11" t="inlineStr">
        <is>
          <t>Ardea Investment Management</t>
        </is>
      </c>
      <c r="G226" s="12" t="inlineStr">
        <is>
          <t>https://www.ardea.com.au</t>
        </is>
      </c>
      <c r="H226" s="11" t="inlineStr">
        <is>
          <t>info@ardea.com.au</t>
        </is>
      </c>
      <c r="I226" s="11" t="inlineStr">
        <is>
          <t>general</t>
        </is>
      </c>
      <c r="J226" s="12" t="inlineStr">
        <is>
          <t>Open page</t>
        </is>
      </c>
      <c r="K226" s="11" t="inlineStr">
        <is>
          <t>13043903</t>
        </is>
      </c>
      <c r="L226" s="12" t="inlineStr">
        <is>
          <t>Open</t>
        </is>
      </c>
      <c r="M226" s="11" t="inlineStr">
        <is>
          <t>Full</t>
        </is>
      </c>
      <c r="N226" s="13" t="n">
        <v>44160</v>
      </c>
      <c r="O226" s="11" t="inlineStr">
        <is>
          <t>Level 1, 1 Gresham Street, London</t>
        </is>
      </c>
      <c r="P226" s="11" t="inlineStr">
        <is>
          <t>EC2V 7BX</t>
        </is>
      </c>
      <c r="Q226" s="11" t="inlineStr">
        <is>
          <t>Yes</t>
        </is>
      </c>
      <c r="W226" s="11" t="inlineStr">
        <is>
          <t>City of London School (EC4V 3AL)</t>
        </is>
      </c>
      <c r="X226" s="11" t="n">
        <v>10</v>
      </c>
      <c r="Y226" s="11" t="inlineStr">
        <is>
          <t>Finsbury Leisure Centre (EC1V 3PU) (17.7)</t>
        </is>
      </c>
      <c r="Z226" s="11" t="inlineStr">
        <is>
          <t>City of London School (EC4V 3AL)</t>
        </is>
      </c>
      <c r="AA226" s="11" t="n">
        <v>10</v>
      </c>
      <c r="AB226" s="14">
        <f>IFERROR(INDEX(Venues!$E$2:$E$17,MATCH(Z226,Venues!$A$2:$A$17,0)),"Not checked")</f>
        <v/>
      </c>
      <c r="AC226" s="14">
        <f>IFERROR(INDEX(Venues!$F$2:$F$17,MATCH(Z226,Venues!$A$2:$A$17,0)),0)</f>
        <v/>
      </c>
      <c r="AD226" s="15">
        <f>IFERROR(INDEX(Venues!$M$2:$M$17,MATCH(Z226,Venues!$A$2:$A$17,0)),"")</f>
        <v/>
      </c>
      <c r="AE226" s="14">
        <f>IFERROR(INDEX(Venues!$N$2:$N$17,MATCH(Z226,Venues!$A$2:$A$17,0)),"5-a-side")</f>
        <v/>
      </c>
      <c r="AF226" s="16">
        <f>IF(Offer!$C$4="","",Offer!$C$4)</f>
        <v/>
      </c>
      <c r="AG226" s="14">
        <f>Z226&amp;" ("&amp;AA226&amp;" min walk) · "&amp;IF(ISNUMBER(AD226),TEXT(AD226,"ddd d mmm, hh:mm"),"slot to confirm with venue")&amp;" · "&amp;AE226&amp;" · "&amp;IF(AF226&lt;&gt;"","£"&amp;TEXT(AF226,"0.00")&amp;" pp","price TBC")</f>
        <v/>
      </c>
      <c r="AH226" s="14">
        <f>IF(U226&lt;&gt;"",U226,IF(H226&lt;&gt;"",H226,""))</f>
        <v/>
      </c>
      <c r="AI226" s="14">
        <f>"After-work football for "&amp;F226&amp;" · "&amp;Z226&amp;", "&amp;AA226&amp;" min from your office"</f>
        <v/>
      </c>
      <c r="AJ226" s="14">
        <f>"Hi "&amp;IF(R226&lt;&gt;"",R226,F226&amp;" team")&amp;","&amp;CHAR(10)&amp;CHAR(10)&amp;"I'm "&amp;IF(AM226&lt;&gt;"",AM226,IF(Offer!$C$5&lt;&gt;"",Offer!$C$5,"[NAME]"))&amp;" from FC Urban. We organise after-work football for teams in the City and Canary Wharf."&amp;CHAR(10)&amp;CHAR(10)&amp;"We have a "&amp;AE226&amp;" pitch at "&amp;Z226&amp;", "&amp;IF(OR(AA226=8,AA226=11,AA226=18),"an ","a ")&amp;AA226&amp;"-minute walk from your "&amp;P226&amp;" office, "&amp;IF(ISNUMBER(AD226),"on "&amp;TEXT(AD226,"dddd d mmmm")&amp;" at "&amp;TEXT(AD226,"hh:mm"),"on a weekday evening that suits your team")&amp;". It's "&amp;IF(AF226&lt;&gt;"","£"&amp;IF(AF226=INT(AF226),TEXT(AF226,"0"),TEXT(AF226,"0.00")),"[PRICE PER PLAYER]")&amp;" a player and we handle the pitch booking, sign-ups and payments, so all it takes is one person sharing a link with the team."&amp;CHAR(10)&amp;CHAR(10)&amp;"It works well as a team social or "&amp;IF(ISNUMBER(SEARCH(LEFT(F226,1),"AEIOU")),"an ","a ")&amp;F226&amp;"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LINK]")&amp;CHAR(10)&amp;CHAR(10)&amp;"Best,"&amp;CHAR(10)&amp;IF(AM226&lt;&gt;"",AM226,IF(Offer!$C$5&lt;&gt;"",Offer!$C$5,"[NAME]"))&amp;CHAR(10)&amp;"FC Urban"</f>
        <v/>
      </c>
      <c r="AK226" s="14">
        <f>"Hi "&amp;IF(R226&lt;&gt;"",R226,F226&amp;" team")&amp;","&amp;CHAR(10)&amp;CHAR(10)&amp;"Just bumping this up. The "&amp;AE226&amp;" pitch at "&amp;Z226&amp;" is still free "&amp;IF(ISNUMBER(AD226),TEXT(AD226,"ddd d mmm")&amp;", "&amp;TEXT(AD226,"hh:mm"),"weekday evenings")&amp;", "&amp;IF(OR(AA226=8,AA226=11,AA226=18),"an ","a ")&amp;AA226&amp;"-minute walk from your office, "&amp;IF(AF226&lt;&gt;"","£"&amp;IF(AF226=INT(AF226),TEXT(AF226,"0"),TEXT(AF226,"0.00")),"[PRICE PER PLAYER]")&amp;" a player. Happy to hold it for "&amp;F226&amp;"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LINK]")&amp;CHAR(10)&amp;CHAR(10)&amp;"Best,"&amp;CHAR(10)&amp;IF(AM226&lt;&gt;"",AM226,IF(Offer!$C$5&lt;&gt;"",Offer!$C$5,"[NAME]"))&amp;CHAR(10)&amp;"FC Urban"</f>
        <v/>
      </c>
      <c r="AL226" s="14">
        <f>IF(AH226="","No email yet",IF(ISNUMBER(SEARCH("[",AJ226)),"Fill placeholders",IF(ISNUMBER(AD226),"Ready to send","Ready · no fixed slot")))</f>
        <v/>
      </c>
      <c r="AO226" s="17" t="n"/>
      <c r="AP226" s="17" t="n"/>
    </row>
    <row r="227">
      <c r="A227" s="11" t="n">
        <v>225</v>
      </c>
      <c r="B227" s="11" t="n">
        <v>3</v>
      </c>
      <c r="C227" s="11" t="inlineStr">
        <is>
          <t>Fund / asset manager</t>
        </is>
      </c>
      <c r="D227" s="11" t="inlineStr">
        <is>
          <t>City of London</t>
        </is>
      </c>
      <c r="E227" s="11" t="inlineStr">
        <is>
          <t>Pyrford International Limited</t>
        </is>
      </c>
      <c r="F227" s="11" t="inlineStr">
        <is>
          <t>Pyrford</t>
        </is>
      </c>
      <c r="G227" s="12" t="inlineStr">
        <is>
          <t>https://www.columbiathreadneedle.com</t>
        </is>
      </c>
      <c r="H227" s="11" t="inlineStr">
        <is>
          <t>gbi_emea_cpo@columbiathreadneedle.com</t>
        </is>
      </c>
      <c r="I227" s="11" t="inlineStr">
        <is>
          <t>role (other)</t>
        </is>
      </c>
      <c r="J227" s="12" t="inlineStr">
        <is>
          <t>Open page</t>
        </is>
      </c>
      <c r="K227" s="11" t="inlineStr">
        <is>
          <t>02096061</t>
        </is>
      </c>
      <c r="L227" s="12" t="inlineStr">
        <is>
          <t>Open</t>
        </is>
      </c>
      <c r="M227" s="11" t="inlineStr">
        <is>
          <t>Full</t>
        </is>
      </c>
      <c r="N227" s="13" t="n">
        <v>31811</v>
      </c>
      <c r="O227" s="11" t="inlineStr">
        <is>
          <t>Cannon Place, 78, Cannon Street, London</t>
        </is>
      </c>
      <c r="P227" s="11" t="inlineStr">
        <is>
          <t>EC4N 6AG</t>
        </is>
      </c>
      <c r="Q227" s="11" t="inlineStr">
        <is>
          <t>No</t>
        </is>
      </c>
      <c r="W227" s="11" t="inlineStr">
        <is>
          <t>City of London School (EC4V 3AL)</t>
        </is>
      </c>
      <c r="X227" s="11" t="n">
        <v>10</v>
      </c>
      <c r="Y227" s="11" t="inlineStr">
        <is>
          <t>Marlborough Sports Garden (SE1 1SD) (14.7)</t>
        </is>
      </c>
      <c r="Z227" s="11" t="inlineStr">
        <is>
          <t>City of London School (EC4V 3AL)</t>
        </is>
      </c>
      <c r="AA227" s="11" t="n">
        <v>10</v>
      </c>
      <c r="AB227" s="14">
        <f>IFERROR(INDEX(Venues!$E$2:$E$17,MATCH(Z227,Venues!$A$2:$A$17,0)),"Not checked")</f>
        <v/>
      </c>
      <c r="AC227" s="14">
        <f>IFERROR(INDEX(Venues!$F$2:$F$17,MATCH(Z227,Venues!$A$2:$A$17,0)),0)</f>
        <v/>
      </c>
      <c r="AD227" s="15">
        <f>IFERROR(INDEX(Venues!$M$2:$M$17,MATCH(Z227,Venues!$A$2:$A$17,0)),"")</f>
        <v/>
      </c>
      <c r="AE227" s="14">
        <f>IFERROR(INDEX(Venues!$N$2:$N$17,MATCH(Z227,Venues!$A$2:$A$17,0)),"5-a-side")</f>
        <v/>
      </c>
      <c r="AF227" s="16">
        <f>IF(Offer!$C$4="","",Offer!$C$4)</f>
        <v/>
      </c>
      <c r="AG227" s="14">
        <f>Z227&amp;" ("&amp;AA227&amp;" min walk) · "&amp;IF(ISNUMBER(AD227),TEXT(AD227,"ddd d mmm, hh:mm"),"slot to confirm with venue")&amp;" · "&amp;AE227&amp;" · "&amp;IF(AF227&lt;&gt;"","£"&amp;TEXT(AF227,"0.00")&amp;" pp","price TBC")</f>
        <v/>
      </c>
      <c r="AH227" s="14">
        <f>IF(U227&lt;&gt;"",U227,IF(H227&lt;&gt;"",H227,""))</f>
        <v/>
      </c>
      <c r="AI227" s="14">
        <f>"After-work football for "&amp;F227&amp;" · "&amp;Z227&amp;", "&amp;AA227&amp;" min from your office"</f>
        <v/>
      </c>
      <c r="AJ227" s="14">
        <f>"Hi "&amp;IF(R227&lt;&gt;"",R227,F227&amp;" team")&amp;","&amp;CHAR(10)&amp;CHAR(10)&amp;"I'm "&amp;IF(AM227&lt;&gt;"",AM227,IF(Offer!$C$5&lt;&gt;"",Offer!$C$5,"[NAME]"))&amp;" from FC Urban. We organise after-work football for teams in the City and Canary Wharf."&amp;CHAR(10)&amp;CHAR(10)&amp;"We have a "&amp;AE227&amp;" pitch at "&amp;Z227&amp;", "&amp;IF(OR(AA227=8,AA227=11,AA227=18),"an ","a ")&amp;AA227&amp;"-minute walk from your "&amp;P227&amp;" office, "&amp;IF(ISNUMBER(AD227),"on "&amp;TEXT(AD227,"dddd d mmmm")&amp;" at "&amp;TEXT(AD227,"hh:mm"),"on a weekday evening that suits your team")&amp;". It's "&amp;IF(AF227&lt;&gt;"","£"&amp;IF(AF227=INT(AF227),TEXT(AF227,"0"),TEXT(AF227,"0.00")),"[PRICE PER PLAYER]")&amp;" a player and we handle the pitch booking, sign-ups and payments, so all it takes is one person sharing a link with the team."&amp;CHAR(10)&amp;CHAR(10)&amp;"It works well as a team social or "&amp;IF(ISNUMBER(SEARCH(LEFT(F227,1),"AEIOU")),"an ","a ")&amp;F227&amp;"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LINK]")&amp;CHAR(10)&amp;CHAR(10)&amp;"Best,"&amp;CHAR(10)&amp;IF(AM227&lt;&gt;"",AM227,IF(Offer!$C$5&lt;&gt;"",Offer!$C$5,"[NAME]"))&amp;CHAR(10)&amp;"FC Urban"</f>
        <v/>
      </c>
      <c r="AK227" s="14">
        <f>"Hi "&amp;IF(R227&lt;&gt;"",R227,F227&amp;" team")&amp;","&amp;CHAR(10)&amp;CHAR(10)&amp;"Just bumping this up. The "&amp;AE227&amp;" pitch at "&amp;Z227&amp;" is still free "&amp;IF(ISNUMBER(AD227),TEXT(AD227,"ddd d mmm")&amp;", "&amp;TEXT(AD227,"hh:mm"),"weekday evenings")&amp;", "&amp;IF(OR(AA227=8,AA227=11,AA227=18),"an ","a ")&amp;AA227&amp;"-minute walk from your office, "&amp;IF(AF227&lt;&gt;"","£"&amp;IF(AF227=INT(AF227),TEXT(AF227,"0"),TEXT(AF227,"0.00")),"[PRICE PER PLAYER]")&amp;" a player. Happy to hold it for "&amp;F227&amp;"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LINK]")&amp;CHAR(10)&amp;CHAR(10)&amp;"Best,"&amp;CHAR(10)&amp;IF(AM227&lt;&gt;"",AM227,IF(Offer!$C$5&lt;&gt;"",Offer!$C$5,"[NAME]"))&amp;CHAR(10)&amp;"FC Urban"</f>
        <v/>
      </c>
      <c r="AL227" s="14">
        <f>IF(AH227="","No email yet",IF(ISNUMBER(SEARCH("[",AJ227)),"Fill placeholders",IF(ISNUMBER(AD227),"Ready to send","Ready · no fixed slot")))</f>
        <v/>
      </c>
      <c r="AO227" s="17" t="n"/>
      <c r="AP227" s="17" t="n"/>
    </row>
    <row r="228">
      <c r="A228" s="11" t="n">
        <v>226</v>
      </c>
      <c r="B228" s="11" t="n">
        <v>3</v>
      </c>
      <c r="C228" s="11" t="inlineStr">
        <is>
          <t>Fund / asset manager</t>
        </is>
      </c>
      <c r="D228" s="11" t="inlineStr">
        <is>
          <t>City of London</t>
        </is>
      </c>
      <c r="E228" s="11" t="inlineStr">
        <is>
          <t>Threadneedle Asset Management Limited</t>
        </is>
      </c>
      <c r="F228" s="11" t="inlineStr">
        <is>
          <t>Threadneedle Asset Management</t>
        </is>
      </c>
      <c r="G228" s="12" t="inlineStr">
        <is>
          <t>https://www.columbiathreadneedle.com</t>
        </is>
      </c>
      <c r="H228" s="11" t="inlineStr">
        <is>
          <t>gbi_emea_cpo@columbiathreadneedle.com</t>
        </is>
      </c>
      <c r="I228" s="11" t="inlineStr">
        <is>
          <t>role (other)</t>
        </is>
      </c>
      <c r="J228" s="12" t="inlineStr">
        <is>
          <t>Open page</t>
        </is>
      </c>
      <c r="K228" s="11" t="inlineStr">
        <is>
          <t>00573204</t>
        </is>
      </c>
      <c r="L228" s="12" t="inlineStr">
        <is>
          <t>Open</t>
        </is>
      </c>
      <c r="M228" s="11" t="inlineStr">
        <is>
          <t>Full</t>
        </is>
      </c>
      <c r="N228" s="13" t="n">
        <v>20750</v>
      </c>
      <c r="O228" s="11" t="inlineStr">
        <is>
          <t>Cannon Place, 78 Cannon Street, London</t>
        </is>
      </c>
      <c r="P228" s="11" t="inlineStr">
        <is>
          <t>EC4N 6AG</t>
        </is>
      </c>
      <c r="Q228" s="11" t="inlineStr">
        <is>
          <t>No</t>
        </is>
      </c>
      <c r="W228" s="11" t="inlineStr">
        <is>
          <t>City of London School (EC4V 3AL)</t>
        </is>
      </c>
      <c r="X228" s="11" t="n">
        <v>10</v>
      </c>
      <c r="Y228" s="11" t="inlineStr">
        <is>
          <t>Marlborough Sports Garden (SE1 1SD) (14.7)</t>
        </is>
      </c>
      <c r="Z228" s="11" t="inlineStr">
        <is>
          <t>City of London School (EC4V 3AL)</t>
        </is>
      </c>
      <c r="AA228" s="11" t="n">
        <v>10</v>
      </c>
      <c r="AB228" s="14">
        <f>IFERROR(INDEX(Venues!$E$2:$E$17,MATCH(Z228,Venues!$A$2:$A$17,0)),"Not checked")</f>
        <v/>
      </c>
      <c r="AC228" s="14">
        <f>IFERROR(INDEX(Venues!$F$2:$F$17,MATCH(Z228,Venues!$A$2:$A$17,0)),0)</f>
        <v/>
      </c>
      <c r="AD228" s="15">
        <f>IFERROR(INDEX(Venues!$M$2:$M$17,MATCH(Z228,Venues!$A$2:$A$17,0)),"")</f>
        <v/>
      </c>
      <c r="AE228" s="14">
        <f>IFERROR(INDEX(Venues!$N$2:$N$17,MATCH(Z228,Venues!$A$2:$A$17,0)),"5-a-side")</f>
        <v/>
      </c>
      <c r="AF228" s="16">
        <f>IF(Offer!$C$4="","",Offer!$C$4)</f>
        <v/>
      </c>
      <c r="AG228" s="14">
        <f>Z228&amp;" ("&amp;AA228&amp;" min walk) · "&amp;IF(ISNUMBER(AD228),TEXT(AD228,"ddd d mmm, hh:mm"),"slot to confirm with venue")&amp;" · "&amp;AE228&amp;" · "&amp;IF(AF228&lt;&gt;"","£"&amp;TEXT(AF228,"0.00")&amp;" pp","price TBC")</f>
        <v/>
      </c>
      <c r="AH228" s="14">
        <f>IF(U228&lt;&gt;"",U228,IF(H228&lt;&gt;"",H228,""))</f>
        <v/>
      </c>
      <c r="AI228" s="14">
        <f>"After-work football for "&amp;F228&amp;" · "&amp;Z228&amp;", "&amp;AA228&amp;" min from your office"</f>
        <v/>
      </c>
      <c r="AJ228" s="14">
        <f>"Hi "&amp;IF(R228&lt;&gt;"",R228,F228&amp;" team")&amp;","&amp;CHAR(10)&amp;CHAR(10)&amp;"I'm "&amp;IF(AM228&lt;&gt;"",AM228,IF(Offer!$C$5&lt;&gt;"",Offer!$C$5,"[NAME]"))&amp;" from FC Urban. We organise after-work football for teams in the City and Canary Wharf."&amp;CHAR(10)&amp;CHAR(10)&amp;"We have a "&amp;AE228&amp;" pitch at "&amp;Z228&amp;", "&amp;IF(OR(AA228=8,AA228=11,AA228=18),"an ","a ")&amp;AA228&amp;"-minute walk from your "&amp;P228&amp;" office, "&amp;IF(ISNUMBER(AD228),"on "&amp;TEXT(AD228,"dddd d mmmm")&amp;" at "&amp;TEXT(AD228,"hh:mm"),"on a weekday evening that suits your team")&amp;". It's "&amp;IF(AF228&lt;&gt;"","£"&amp;IF(AF228=INT(AF228),TEXT(AF228,"0"),TEXT(AF228,"0.00")),"[PRICE PER PLAYER]")&amp;" a player and we handle the pitch booking, sign-ups and payments, so all it takes is one person sharing a link with the team."&amp;CHAR(10)&amp;CHAR(10)&amp;"It works well as a team social or "&amp;IF(ISNUMBER(SEARCH(LEFT(F228,1),"AEIOU")),"an ","a ")&amp;F228&amp;"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LINK]")&amp;CHAR(10)&amp;CHAR(10)&amp;"Best,"&amp;CHAR(10)&amp;IF(AM228&lt;&gt;"",AM228,IF(Offer!$C$5&lt;&gt;"",Offer!$C$5,"[NAME]"))&amp;CHAR(10)&amp;"FC Urban"</f>
        <v/>
      </c>
      <c r="AK228" s="14">
        <f>"Hi "&amp;IF(R228&lt;&gt;"",R228,F228&amp;" team")&amp;","&amp;CHAR(10)&amp;CHAR(10)&amp;"Just bumping this up. The "&amp;AE228&amp;" pitch at "&amp;Z228&amp;" is still free "&amp;IF(ISNUMBER(AD228),TEXT(AD228,"ddd d mmm")&amp;", "&amp;TEXT(AD228,"hh:mm"),"weekday evenings")&amp;", "&amp;IF(OR(AA228=8,AA228=11,AA228=18),"an ","a ")&amp;AA228&amp;"-minute walk from your office, "&amp;IF(AF228&lt;&gt;"","£"&amp;IF(AF228=INT(AF228),TEXT(AF228,"0"),TEXT(AF228,"0.00")),"[PRICE PER PLAYER]")&amp;" a player. Happy to hold it for "&amp;F228&amp;"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LINK]")&amp;CHAR(10)&amp;CHAR(10)&amp;"Best,"&amp;CHAR(10)&amp;IF(AM228&lt;&gt;"",AM228,IF(Offer!$C$5&lt;&gt;"",Offer!$C$5,"[NAME]"))&amp;CHAR(10)&amp;"FC Urban"</f>
        <v/>
      </c>
      <c r="AL228" s="14">
        <f>IF(AH228="","No email yet",IF(ISNUMBER(SEARCH("[",AJ228)),"Fill placeholders",IF(ISNUMBER(AD228),"Ready to send","Ready · no fixed slot")))</f>
        <v/>
      </c>
      <c r="AO228" s="17" t="n"/>
      <c r="AP228" s="17" t="n"/>
    </row>
    <row r="229">
      <c r="A229" s="11" t="n">
        <v>227</v>
      </c>
      <c r="B229" s="11" t="n">
        <v>3</v>
      </c>
      <c r="C229" s="11" t="inlineStr">
        <is>
          <t>Insurance / broker</t>
        </is>
      </c>
      <c r="D229" s="11" t="inlineStr">
        <is>
          <t>City of London</t>
        </is>
      </c>
      <c r="E229" s="11" t="inlineStr">
        <is>
          <t>Hsf Health Plan Limited</t>
        </is>
      </c>
      <c r="F229" s="11" t="inlineStr">
        <is>
          <t>Hsf Health Plan</t>
        </is>
      </c>
      <c r="G229" s="12" t="inlineStr">
        <is>
          <t>https://www.hsf.co.uk</t>
        </is>
      </c>
      <c r="H229" s="11" t="n"/>
      <c r="I229" s="11" t="inlineStr">
        <is>
          <t>Not found</t>
        </is>
      </c>
      <c r="J229" s="11" t="n"/>
      <c r="K229" s="11" t="inlineStr">
        <is>
          <t>00030869</t>
        </is>
      </c>
      <c r="L229" s="12" t="inlineStr">
        <is>
          <t>Open</t>
        </is>
      </c>
      <c r="M229" s="11" t="inlineStr">
        <is>
          <t>Full</t>
        </is>
      </c>
      <c r="N229" s="13" t="n">
        <v>-3601</v>
      </c>
      <c r="O229" s="11" t="inlineStr">
        <is>
          <t>24 Upper Ground, London</t>
        </is>
      </c>
      <c r="P229" s="11" t="inlineStr">
        <is>
          <t>SE1 9PD</t>
        </is>
      </c>
      <c r="Q229" s="11" t="inlineStr">
        <is>
          <t>No</t>
        </is>
      </c>
      <c r="W229" s="11" t="inlineStr">
        <is>
          <t>City of London School (EC4V 3AL)</t>
        </is>
      </c>
      <c r="X229" s="11" t="n">
        <v>10</v>
      </c>
      <c r="Y229" s="11" t="inlineStr">
        <is>
          <t>Borough Academy (14.9); Marlborough Sports Garden (SE1 1SD) (17.7)</t>
        </is>
      </c>
      <c r="Z229" s="11" t="inlineStr">
        <is>
          <t>City of London School (EC4V 3AL)</t>
        </is>
      </c>
      <c r="AA229" s="11" t="n">
        <v>10</v>
      </c>
      <c r="AB229" s="14">
        <f>IFERROR(INDEX(Venues!$E$2:$E$17,MATCH(Z229,Venues!$A$2:$A$17,0)),"Not checked")</f>
        <v/>
      </c>
      <c r="AC229" s="14">
        <f>IFERROR(INDEX(Venues!$F$2:$F$17,MATCH(Z229,Venues!$A$2:$A$17,0)),0)</f>
        <v/>
      </c>
      <c r="AD229" s="15">
        <f>IFERROR(INDEX(Venues!$M$2:$M$17,MATCH(Z229,Venues!$A$2:$A$17,0)),"")</f>
        <v/>
      </c>
      <c r="AE229" s="14">
        <f>IFERROR(INDEX(Venues!$N$2:$N$17,MATCH(Z229,Venues!$A$2:$A$17,0)),"5-a-side")</f>
        <v/>
      </c>
      <c r="AF229" s="16">
        <f>IF(Offer!$C$4="","",Offer!$C$4)</f>
        <v/>
      </c>
      <c r="AG229" s="14">
        <f>Z229&amp;" ("&amp;AA229&amp;" min walk) · "&amp;IF(ISNUMBER(AD229),TEXT(AD229,"ddd d mmm, hh:mm"),"slot to confirm with venue")&amp;" · "&amp;AE229&amp;" · "&amp;IF(AF229&lt;&gt;"","£"&amp;TEXT(AF229,"0.00")&amp;" pp","price TBC")</f>
        <v/>
      </c>
      <c r="AH229" s="14">
        <f>IF(U229&lt;&gt;"",U229,IF(H229&lt;&gt;"",H229,""))</f>
        <v/>
      </c>
      <c r="AI229" s="14">
        <f>"After-work football for "&amp;F229&amp;" · "&amp;Z229&amp;", "&amp;AA229&amp;" min from your office"</f>
        <v/>
      </c>
      <c r="AJ229" s="14">
        <f>"Hi "&amp;IF(R229&lt;&gt;"",R229,F229&amp;" team")&amp;","&amp;CHAR(10)&amp;CHAR(10)&amp;"I'm "&amp;IF(AM229&lt;&gt;"",AM229,IF(Offer!$C$5&lt;&gt;"",Offer!$C$5,"[NAME]"))&amp;" from FC Urban. We organise after-work football for teams in the City and Canary Wharf."&amp;CHAR(10)&amp;CHAR(10)&amp;"We have a "&amp;AE229&amp;" pitch at "&amp;Z229&amp;", "&amp;IF(OR(AA229=8,AA229=11,AA229=18),"an ","a ")&amp;AA229&amp;"-minute walk from your "&amp;P229&amp;" office, "&amp;IF(ISNUMBER(AD229),"on "&amp;TEXT(AD229,"dddd d mmmm")&amp;" at "&amp;TEXT(AD229,"hh:mm"),"on a weekday evening that suits your team")&amp;". It's "&amp;IF(AF229&lt;&gt;"","£"&amp;IF(AF229=INT(AF229),TEXT(AF229,"0"),TEXT(AF229,"0.00")),"[PRICE PER PLAYER]")&amp;" a player and we handle the pitch booking, sign-ups and payments, so all it takes is one person sharing a link with the team."&amp;CHAR(10)&amp;CHAR(10)&amp;"It works well as a team social or "&amp;IF(ISNUMBER(SEARCH(LEFT(F229,1),"AEIOU")),"an ","a ")&amp;F229&amp;"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LINK]")&amp;CHAR(10)&amp;CHAR(10)&amp;"Best,"&amp;CHAR(10)&amp;IF(AM229&lt;&gt;"",AM229,IF(Offer!$C$5&lt;&gt;"",Offer!$C$5,"[NAME]"))&amp;CHAR(10)&amp;"FC Urban"</f>
        <v/>
      </c>
      <c r="AK229" s="14">
        <f>"Hi "&amp;IF(R229&lt;&gt;"",R229,F229&amp;" team")&amp;","&amp;CHAR(10)&amp;CHAR(10)&amp;"Just bumping this up. The "&amp;AE229&amp;" pitch at "&amp;Z229&amp;" is still free "&amp;IF(ISNUMBER(AD229),TEXT(AD229,"ddd d mmm")&amp;", "&amp;TEXT(AD229,"hh:mm"),"weekday evenings")&amp;", "&amp;IF(OR(AA229=8,AA229=11,AA229=18),"an ","a ")&amp;AA229&amp;"-minute walk from your office, "&amp;IF(AF229&lt;&gt;"","£"&amp;IF(AF229=INT(AF229),TEXT(AF229,"0"),TEXT(AF229,"0.00")),"[PRICE PER PLAYER]")&amp;" a player. Happy to hold it for "&amp;F229&amp;"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LINK]")&amp;CHAR(10)&amp;CHAR(10)&amp;"Best,"&amp;CHAR(10)&amp;IF(AM229&lt;&gt;"",AM229,IF(Offer!$C$5&lt;&gt;"",Offer!$C$5,"[NAME]"))&amp;CHAR(10)&amp;"FC Urban"</f>
        <v/>
      </c>
      <c r="AL229" s="14">
        <f>IF(AH229="","No email yet",IF(ISNUMBER(SEARCH("[",AJ229)),"Fill placeholders",IF(ISNUMBER(AD229),"Ready to send","Ready · no fixed slot")))</f>
        <v/>
      </c>
      <c r="AO229" s="17" t="n"/>
      <c r="AP229" s="17" t="n"/>
    </row>
    <row r="230">
      <c r="A230" s="11" t="n">
        <v>228</v>
      </c>
      <c r="B230" s="11" t="n">
        <v>3</v>
      </c>
      <c r="C230" s="11" t="inlineStr">
        <is>
          <t>Insurance / broker</t>
        </is>
      </c>
      <c r="D230" s="11" t="inlineStr">
        <is>
          <t>City of London</t>
        </is>
      </c>
      <c r="E230" s="11" t="inlineStr">
        <is>
          <t>Anchorman Insurance Consultants Limited</t>
        </is>
      </c>
      <c r="F230" s="11" t="inlineStr">
        <is>
          <t>Anchorman Insurance Consultants</t>
        </is>
      </c>
      <c r="G230" s="12" t="inlineStr">
        <is>
          <t>https://www.anchormaninsurance.co.uk</t>
        </is>
      </c>
      <c r="H230" s="11" t="inlineStr">
        <is>
          <t>info@anchormaninsurance.co.uk</t>
        </is>
      </c>
      <c r="I230" s="11" t="inlineStr">
        <is>
          <t>general</t>
        </is>
      </c>
      <c r="J230" s="12" t="inlineStr">
        <is>
          <t>Open page</t>
        </is>
      </c>
      <c r="K230" s="11" t="inlineStr">
        <is>
          <t>03631690</t>
        </is>
      </c>
      <c r="L230" s="12" t="inlineStr">
        <is>
          <t>Open</t>
        </is>
      </c>
      <c r="M230" s="11" t="inlineStr">
        <is>
          <t>Full</t>
        </is>
      </c>
      <c r="N230" s="13" t="n">
        <v>36053</v>
      </c>
      <c r="O230" s="11" t="inlineStr">
        <is>
          <t>Gallagher, The Walbrook Building, 25 Walbrook, London</t>
        </is>
      </c>
      <c r="P230" s="11" t="inlineStr">
        <is>
          <t>EC4N 8AW</t>
        </is>
      </c>
      <c r="Q230" s="11" t="inlineStr">
        <is>
          <t>No</t>
        </is>
      </c>
      <c r="W230" s="11" t="inlineStr">
        <is>
          <t>City of London School (EC4V 3AL)</t>
        </is>
      </c>
      <c r="X230" s="11" t="n">
        <v>10</v>
      </c>
      <c r="Y230" s="11" t="inlineStr">
        <is>
          <t>Marlborough Sports Garden (SE1 1SD) (15.8)</t>
        </is>
      </c>
      <c r="Z230" s="11" t="inlineStr">
        <is>
          <t>City of London School (EC4V 3AL)</t>
        </is>
      </c>
      <c r="AA230" s="11" t="n">
        <v>10</v>
      </c>
      <c r="AB230" s="14">
        <f>IFERROR(INDEX(Venues!$E$2:$E$17,MATCH(Z230,Venues!$A$2:$A$17,0)),"Not checked")</f>
        <v/>
      </c>
      <c r="AC230" s="14">
        <f>IFERROR(INDEX(Venues!$F$2:$F$17,MATCH(Z230,Venues!$A$2:$A$17,0)),0)</f>
        <v/>
      </c>
      <c r="AD230" s="15">
        <f>IFERROR(INDEX(Venues!$M$2:$M$17,MATCH(Z230,Venues!$A$2:$A$17,0)),"")</f>
        <v/>
      </c>
      <c r="AE230" s="14">
        <f>IFERROR(INDEX(Venues!$N$2:$N$17,MATCH(Z230,Venues!$A$2:$A$17,0)),"5-a-side")</f>
        <v/>
      </c>
      <c r="AF230" s="16">
        <f>IF(Offer!$C$4="","",Offer!$C$4)</f>
        <v/>
      </c>
      <c r="AG230" s="14">
        <f>Z230&amp;" ("&amp;AA230&amp;" min walk) · "&amp;IF(ISNUMBER(AD230),TEXT(AD230,"ddd d mmm, hh:mm"),"slot to confirm with venue")&amp;" · "&amp;AE230&amp;" · "&amp;IF(AF230&lt;&gt;"","£"&amp;TEXT(AF230,"0.00")&amp;" pp","price TBC")</f>
        <v/>
      </c>
      <c r="AH230" s="14">
        <f>IF(U230&lt;&gt;"",U230,IF(H230&lt;&gt;"",H230,""))</f>
        <v/>
      </c>
      <c r="AI230" s="14">
        <f>"After-work football for "&amp;F230&amp;" · "&amp;Z230&amp;", "&amp;AA230&amp;" min from your office"</f>
        <v/>
      </c>
      <c r="AJ230" s="14">
        <f>"Hi "&amp;IF(R230&lt;&gt;"",R230,F230&amp;" team")&amp;","&amp;CHAR(10)&amp;CHAR(10)&amp;"I'm "&amp;IF(AM230&lt;&gt;"",AM230,IF(Offer!$C$5&lt;&gt;"",Offer!$C$5,"[NAME]"))&amp;" from FC Urban. We organise after-work football for teams in the City and Canary Wharf."&amp;CHAR(10)&amp;CHAR(10)&amp;"We have a "&amp;AE230&amp;" pitch at "&amp;Z230&amp;", "&amp;IF(OR(AA230=8,AA230=11,AA230=18),"an ","a ")&amp;AA230&amp;"-minute walk from your "&amp;P230&amp;" office, "&amp;IF(ISNUMBER(AD230),"on "&amp;TEXT(AD230,"dddd d mmmm")&amp;" at "&amp;TEXT(AD230,"hh:mm"),"on a weekday evening that suits your team")&amp;". It's "&amp;IF(AF230&lt;&gt;"","£"&amp;IF(AF230=INT(AF230),TEXT(AF230,"0"),TEXT(AF230,"0.00")),"[PRICE PER PLAYER]")&amp;" a player and we handle the pitch booking, sign-ups and payments, so all it takes is one person sharing a link with the team."&amp;CHAR(10)&amp;CHAR(10)&amp;"It works well as a team social or "&amp;IF(ISNUMBER(SEARCH(LEFT(F230,1),"AEIOU")),"an ","a ")&amp;F230&amp;"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LINK]")&amp;CHAR(10)&amp;CHAR(10)&amp;"Best,"&amp;CHAR(10)&amp;IF(AM230&lt;&gt;"",AM230,IF(Offer!$C$5&lt;&gt;"",Offer!$C$5,"[NAME]"))&amp;CHAR(10)&amp;"FC Urban"</f>
        <v/>
      </c>
      <c r="AK230" s="14">
        <f>"Hi "&amp;IF(R230&lt;&gt;"",R230,F230&amp;" team")&amp;","&amp;CHAR(10)&amp;CHAR(10)&amp;"Just bumping this up. The "&amp;AE230&amp;" pitch at "&amp;Z230&amp;" is still free "&amp;IF(ISNUMBER(AD230),TEXT(AD230,"ddd d mmm")&amp;", "&amp;TEXT(AD230,"hh:mm"),"weekday evenings")&amp;", "&amp;IF(OR(AA230=8,AA230=11,AA230=18),"an ","a ")&amp;AA230&amp;"-minute walk from your office, "&amp;IF(AF230&lt;&gt;"","£"&amp;IF(AF230=INT(AF230),TEXT(AF230,"0"),TEXT(AF230,"0.00")),"[PRICE PER PLAYER]")&amp;" a player. Happy to hold it for "&amp;F230&amp;"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LINK]")&amp;CHAR(10)&amp;CHAR(10)&amp;"Best,"&amp;CHAR(10)&amp;IF(AM230&lt;&gt;"",AM230,IF(Offer!$C$5&lt;&gt;"",Offer!$C$5,"[NAME]"))&amp;CHAR(10)&amp;"FC Urban"</f>
        <v/>
      </c>
      <c r="AL230" s="14">
        <f>IF(AH230="","No email yet",IF(ISNUMBER(SEARCH("[",AJ230)),"Fill placeholders",IF(ISNUMBER(AD230),"Ready to send","Ready · no fixed slot")))</f>
        <v/>
      </c>
      <c r="AO230" s="17" t="n"/>
      <c r="AP230" s="17" t="n"/>
    </row>
    <row r="231">
      <c r="A231" s="11" t="n">
        <v>229</v>
      </c>
      <c r="B231" s="11" t="n">
        <v>3</v>
      </c>
      <c r="C231" s="11" t="inlineStr">
        <is>
          <t>Insurance / broker</t>
        </is>
      </c>
      <c r="D231" s="11" t="inlineStr">
        <is>
          <t>City of London</t>
        </is>
      </c>
      <c r="E231" s="11" t="inlineStr">
        <is>
          <t>Assuredpartners London Limited</t>
        </is>
      </c>
      <c r="F231" s="11" t="inlineStr">
        <is>
          <t>Assuredpartners London</t>
        </is>
      </c>
      <c r="G231" s="12" t="inlineStr">
        <is>
          <t>https://www.assuredpartners.com</t>
        </is>
      </c>
      <c r="H231" s="11" t="inlineStr">
        <is>
          <t>enquiries@assuredpartners.co.uk</t>
        </is>
      </c>
      <c r="I231" s="11" t="inlineStr">
        <is>
          <t>general</t>
        </is>
      </c>
      <c r="J231" s="12" t="inlineStr">
        <is>
          <t>Open page</t>
        </is>
      </c>
      <c r="K231" s="11" t="inlineStr">
        <is>
          <t>04152499</t>
        </is>
      </c>
      <c r="L231" s="12" t="inlineStr">
        <is>
          <t>Open</t>
        </is>
      </c>
      <c r="M231" s="11" t="inlineStr">
        <is>
          <t>Full</t>
        </is>
      </c>
      <c r="N231" s="13" t="n">
        <v>36923</v>
      </c>
      <c r="O231" s="11" t="inlineStr">
        <is>
          <t>Gallagher The Walbrook Building,, 25 Walbrook, London</t>
        </is>
      </c>
      <c r="P231" s="11" t="inlineStr">
        <is>
          <t>EC4N 8AW</t>
        </is>
      </c>
      <c r="Q231" s="11" t="inlineStr">
        <is>
          <t>Yes</t>
        </is>
      </c>
      <c r="W231" s="11" t="inlineStr">
        <is>
          <t>City of London School (EC4V 3AL)</t>
        </is>
      </c>
      <c r="X231" s="11" t="n">
        <v>10</v>
      </c>
      <c r="Y231" s="11" t="inlineStr">
        <is>
          <t>Marlborough Sports Garden (SE1 1SD) (15.8)</t>
        </is>
      </c>
      <c r="Z231" s="11" t="inlineStr">
        <is>
          <t>City of London School (EC4V 3AL)</t>
        </is>
      </c>
      <c r="AA231" s="11" t="n">
        <v>10</v>
      </c>
      <c r="AB231" s="14">
        <f>IFERROR(INDEX(Venues!$E$2:$E$17,MATCH(Z231,Venues!$A$2:$A$17,0)),"Not checked")</f>
        <v/>
      </c>
      <c r="AC231" s="14">
        <f>IFERROR(INDEX(Venues!$F$2:$F$17,MATCH(Z231,Venues!$A$2:$A$17,0)),0)</f>
        <v/>
      </c>
      <c r="AD231" s="15">
        <f>IFERROR(INDEX(Venues!$M$2:$M$17,MATCH(Z231,Venues!$A$2:$A$17,0)),"")</f>
        <v/>
      </c>
      <c r="AE231" s="14">
        <f>IFERROR(INDEX(Venues!$N$2:$N$17,MATCH(Z231,Venues!$A$2:$A$17,0)),"5-a-side")</f>
        <v/>
      </c>
      <c r="AF231" s="16">
        <f>IF(Offer!$C$4="","",Offer!$C$4)</f>
        <v/>
      </c>
      <c r="AG231" s="14">
        <f>Z231&amp;" ("&amp;AA231&amp;" min walk) · "&amp;IF(ISNUMBER(AD231),TEXT(AD231,"ddd d mmm, hh:mm"),"slot to confirm with venue")&amp;" · "&amp;AE231&amp;" · "&amp;IF(AF231&lt;&gt;"","£"&amp;TEXT(AF231,"0.00")&amp;" pp","price TBC")</f>
        <v/>
      </c>
      <c r="AH231" s="14">
        <f>IF(U231&lt;&gt;"",U231,IF(H231&lt;&gt;"",H231,""))</f>
        <v/>
      </c>
      <c r="AI231" s="14">
        <f>"After-work football for "&amp;F231&amp;" · "&amp;Z231&amp;", "&amp;AA231&amp;" min from your office"</f>
        <v/>
      </c>
      <c r="AJ231" s="14">
        <f>"Hi "&amp;IF(R231&lt;&gt;"",R231,F231&amp;" team")&amp;","&amp;CHAR(10)&amp;CHAR(10)&amp;"I'm "&amp;IF(AM231&lt;&gt;"",AM231,IF(Offer!$C$5&lt;&gt;"",Offer!$C$5,"[NAME]"))&amp;" from FC Urban. We organise after-work football for teams in the City and Canary Wharf."&amp;CHAR(10)&amp;CHAR(10)&amp;"We have a "&amp;AE231&amp;" pitch at "&amp;Z231&amp;", "&amp;IF(OR(AA231=8,AA231=11,AA231=18),"an ","a ")&amp;AA231&amp;"-minute walk from your "&amp;P231&amp;" office, "&amp;IF(ISNUMBER(AD231),"on "&amp;TEXT(AD231,"dddd d mmmm")&amp;" at "&amp;TEXT(AD231,"hh:mm"),"on a weekday evening that suits your team")&amp;". It's "&amp;IF(AF231&lt;&gt;"","£"&amp;IF(AF231=INT(AF231),TEXT(AF231,"0"),TEXT(AF231,"0.00")),"[PRICE PER PLAYER]")&amp;" a player and we handle the pitch booking, sign-ups and payments, so all it takes is one person sharing a link with the team."&amp;CHAR(10)&amp;CHAR(10)&amp;"It works well as a team social or "&amp;IF(ISNUMBER(SEARCH(LEFT(F231,1),"AEIOU")),"an ","a ")&amp;F231&amp;"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LINK]")&amp;CHAR(10)&amp;CHAR(10)&amp;"Best,"&amp;CHAR(10)&amp;IF(AM231&lt;&gt;"",AM231,IF(Offer!$C$5&lt;&gt;"",Offer!$C$5,"[NAME]"))&amp;CHAR(10)&amp;"FC Urban"</f>
        <v/>
      </c>
      <c r="AK231" s="14">
        <f>"Hi "&amp;IF(R231&lt;&gt;"",R231,F231&amp;" team")&amp;","&amp;CHAR(10)&amp;CHAR(10)&amp;"Just bumping this up. The "&amp;AE231&amp;" pitch at "&amp;Z231&amp;" is still free "&amp;IF(ISNUMBER(AD231),TEXT(AD231,"ddd d mmm")&amp;", "&amp;TEXT(AD231,"hh:mm"),"weekday evenings")&amp;", "&amp;IF(OR(AA231=8,AA231=11,AA231=18),"an ","a ")&amp;AA231&amp;"-minute walk from your office, "&amp;IF(AF231&lt;&gt;"","£"&amp;IF(AF231=INT(AF231),TEXT(AF231,"0"),TEXT(AF231,"0.00")),"[PRICE PER PLAYER]")&amp;" a player. Happy to hold it for "&amp;F231&amp;"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LINK]")&amp;CHAR(10)&amp;CHAR(10)&amp;"Best,"&amp;CHAR(10)&amp;IF(AM231&lt;&gt;"",AM231,IF(Offer!$C$5&lt;&gt;"",Offer!$C$5,"[NAME]"))&amp;CHAR(10)&amp;"FC Urban"</f>
        <v/>
      </c>
      <c r="AL231" s="14">
        <f>IF(AH231="","No email yet",IF(ISNUMBER(SEARCH("[",AJ231)),"Fill placeholders",IF(ISNUMBER(AD231),"Ready to send","Ready · no fixed slot")))</f>
        <v/>
      </c>
      <c r="AO231" s="17" t="n"/>
      <c r="AP231" s="17" t="n"/>
    </row>
    <row r="232">
      <c r="A232" s="11" t="n">
        <v>230</v>
      </c>
      <c r="B232" s="11" t="n">
        <v>3</v>
      </c>
      <c r="C232" s="11" t="inlineStr">
        <is>
          <t>Insurance / broker</t>
        </is>
      </c>
      <c r="D232" s="11" t="inlineStr">
        <is>
          <t>City of London</t>
        </is>
      </c>
      <c r="E232" s="11" t="inlineStr">
        <is>
          <t>Evolin Broking Limited</t>
        </is>
      </c>
      <c r="F232" s="11" t="inlineStr">
        <is>
          <t>Evolin Broking</t>
        </is>
      </c>
      <c r="G232" s="12" t="inlineStr">
        <is>
          <t>https://www.evolin.com</t>
        </is>
      </c>
      <c r="H232" s="11" t="inlineStr">
        <is>
          <t>enquiries@evolinbroking.com</t>
        </is>
      </c>
      <c r="I232" s="11" t="inlineStr">
        <is>
          <t>general</t>
        </is>
      </c>
      <c r="J232" s="12" t="inlineStr">
        <is>
          <t>Open page</t>
        </is>
      </c>
      <c r="K232" s="11" t="inlineStr">
        <is>
          <t>04031704</t>
        </is>
      </c>
      <c r="L232" s="12" t="inlineStr">
        <is>
          <t>Open</t>
        </is>
      </c>
      <c r="M232" s="11" t="inlineStr">
        <is>
          <t>Full</t>
        </is>
      </c>
      <c r="N232" s="13" t="n">
        <v>36718</v>
      </c>
      <c r="O232" s="11" t="inlineStr">
        <is>
          <t>Gallagher, The Walbrook Building, 25 Walbrook, London</t>
        </is>
      </c>
      <c r="P232" s="11" t="inlineStr">
        <is>
          <t>EC4N 8AW</t>
        </is>
      </c>
      <c r="Q232" s="11" t="inlineStr">
        <is>
          <t>No</t>
        </is>
      </c>
      <c r="W232" s="11" t="inlineStr">
        <is>
          <t>City of London School (EC4V 3AL)</t>
        </is>
      </c>
      <c r="X232" s="11" t="n">
        <v>10</v>
      </c>
      <c r="Y232" s="11" t="inlineStr">
        <is>
          <t>Marlborough Sports Garden (SE1 1SD) (15.8)</t>
        </is>
      </c>
      <c r="Z232" s="11" t="inlineStr">
        <is>
          <t>City of London School (EC4V 3AL)</t>
        </is>
      </c>
      <c r="AA232" s="11" t="n">
        <v>10</v>
      </c>
      <c r="AB232" s="14">
        <f>IFERROR(INDEX(Venues!$E$2:$E$17,MATCH(Z232,Venues!$A$2:$A$17,0)),"Not checked")</f>
        <v/>
      </c>
      <c r="AC232" s="14">
        <f>IFERROR(INDEX(Venues!$F$2:$F$17,MATCH(Z232,Venues!$A$2:$A$17,0)),0)</f>
        <v/>
      </c>
      <c r="AD232" s="15">
        <f>IFERROR(INDEX(Venues!$M$2:$M$17,MATCH(Z232,Venues!$A$2:$A$17,0)),"")</f>
        <v/>
      </c>
      <c r="AE232" s="14">
        <f>IFERROR(INDEX(Venues!$N$2:$N$17,MATCH(Z232,Venues!$A$2:$A$17,0)),"5-a-side")</f>
        <v/>
      </c>
      <c r="AF232" s="16">
        <f>IF(Offer!$C$4="","",Offer!$C$4)</f>
        <v/>
      </c>
      <c r="AG232" s="14">
        <f>Z232&amp;" ("&amp;AA232&amp;" min walk) · "&amp;IF(ISNUMBER(AD232),TEXT(AD232,"ddd d mmm, hh:mm"),"slot to confirm with venue")&amp;" · "&amp;AE232&amp;" · "&amp;IF(AF232&lt;&gt;"","£"&amp;TEXT(AF232,"0.00")&amp;" pp","price TBC")</f>
        <v/>
      </c>
      <c r="AH232" s="14">
        <f>IF(U232&lt;&gt;"",U232,IF(H232&lt;&gt;"",H232,""))</f>
        <v/>
      </c>
      <c r="AI232" s="14">
        <f>"After-work football for "&amp;F232&amp;" · "&amp;Z232&amp;", "&amp;AA232&amp;" min from your office"</f>
        <v/>
      </c>
      <c r="AJ232" s="14">
        <f>"Hi "&amp;IF(R232&lt;&gt;"",R232,F232&amp;" team")&amp;","&amp;CHAR(10)&amp;CHAR(10)&amp;"I'm "&amp;IF(AM232&lt;&gt;"",AM232,IF(Offer!$C$5&lt;&gt;"",Offer!$C$5,"[NAME]"))&amp;" from FC Urban. We organise after-work football for teams in the City and Canary Wharf."&amp;CHAR(10)&amp;CHAR(10)&amp;"We have a "&amp;AE232&amp;" pitch at "&amp;Z232&amp;", "&amp;IF(OR(AA232=8,AA232=11,AA232=18),"an ","a ")&amp;AA232&amp;"-minute walk from your "&amp;P232&amp;" office, "&amp;IF(ISNUMBER(AD232),"on "&amp;TEXT(AD232,"dddd d mmmm")&amp;" at "&amp;TEXT(AD232,"hh:mm"),"on a weekday evening that suits your team")&amp;". It's "&amp;IF(AF232&lt;&gt;"","£"&amp;IF(AF232=INT(AF232),TEXT(AF232,"0"),TEXT(AF232,"0.00")),"[PRICE PER PLAYER]")&amp;" a player and we handle the pitch booking, sign-ups and payments, so all it takes is one person sharing a link with the team."&amp;CHAR(10)&amp;CHAR(10)&amp;"It works well as a team social or "&amp;IF(ISNUMBER(SEARCH(LEFT(F232,1),"AEIOU")),"an ","a ")&amp;F232&amp;"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LINK]")&amp;CHAR(10)&amp;CHAR(10)&amp;"Best,"&amp;CHAR(10)&amp;IF(AM232&lt;&gt;"",AM232,IF(Offer!$C$5&lt;&gt;"",Offer!$C$5,"[NAME]"))&amp;CHAR(10)&amp;"FC Urban"</f>
        <v/>
      </c>
      <c r="AK232" s="14">
        <f>"Hi "&amp;IF(R232&lt;&gt;"",R232,F232&amp;" team")&amp;","&amp;CHAR(10)&amp;CHAR(10)&amp;"Just bumping this up. The "&amp;AE232&amp;" pitch at "&amp;Z232&amp;" is still free "&amp;IF(ISNUMBER(AD232),TEXT(AD232,"ddd d mmm")&amp;", "&amp;TEXT(AD232,"hh:mm"),"weekday evenings")&amp;", "&amp;IF(OR(AA232=8,AA232=11,AA232=18),"an ","a ")&amp;AA232&amp;"-minute walk from your office, "&amp;IF(AF232&lt;&gt;"","£"&amp;IF(AF232=INT(AF232),TEXT(AF232,"0"),TEXT(AF232,"0.00")),"[PRICE PER PLAYER]")&amp;" a player. Happy to hold it for "&amp;F232&amp;"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LINK]")&amp;CHAR(10)&amp;CHAR(10)&amp;"Best,"&amp;CHAR(10)&amp;IF(AM232&lt;&gt;"",AM232,IF(Offer!$C$5&lt;&gt;"",Offer!$C$5,"[NAME]"))&amp;CHAR(10)&amp;"FC Urban"</f>
        <v/>
      </c>
      <c r="AL232" s="14">
        <f>IF(AH232="","No email yet",IF(ISNUMBER(SEARCH("[",AJ232)),"Fill placeholders",IF(ISNUMBER(AD232),"Ready to send","Ready · no fixed slot")))</f>
        <v/>
      </c>
      <c r="AO232" s="17" t="n"/>
      <c r="AP232" s="17" t="n"/>
    </row>
    <row r="233">
      <c r="A233" s="11" t="n">
        <v>231</v>
      </c>
      <c r="B233" s="11" t="n">
        <v>3</v>
      </c>
      <c r="C233" s="11" t="inlineStr">
        <is>
          <t>Fund / asset manager</t>
        </is>
      </c>
      <c r="D233" s="11" t="inlineStr">
        <is>
          <t>City of London</t>
        </is>
      </c>
      <c r="E233" s="11" t="inlineStr">
        <is>
          <t>Continuum Advisory Partners Limited</t>
        </is>
      </c>
      <c r="F233" s="11" t="inlineStr">
        <is>
          <t>Continuum Advisory Partners</t>
        </is>
      </c>
      <c r="G233" s="12" t="inlineStr">
        <is>
          <t>https://continuumadvisory.com</t>
        </is>
      </c>
      <c r="H233" s="11" t="inlineStr">
        <is>
          <t>info@continuumadvisory.com</t>
        </is>
      </c>
      <c r="I233" s="11" t="inlineStr">
        <is>
          <t>general</t>
        </is>
      </c>
      <c r="J233" s="12" t="inlineStr">
        <is>
          <t>Open page</t>
        </is>
      </c>
      <c r="K233" s="11" t="inlineStr">
        <is>
          <t>14189636</t>
        </is>
      </c>
      <c r="L233" s="12" t="inlineStr">
        <is>
          <t>Open</t>
        </is>
      </c>
      <c r="M233" s="11" t="inlineStr">
        <is>
          <t>Full</t>
        </is>
      </c>
      <c r="N233" s="13" t="n">
        <v>44734</v>
      </c>
      <c r="O233" s="11" t="inlineStr">
        <is>
          <t>Becket House, 36, Old Jewry, London</t>
        </is>
      </c>
      <c r="P233" s="11" t="inlineStr">
        <is>
          <t>EC2R 8DD</t>
        </is>
      </c>
      <c r="Q233" s="11" t="inlineStr">
        <is>
          <t>Yes</t>
        </is>
      </c>
      <c r="W233" s="11" t="inlineStr">
        <is>
          <t>City of London School (EC4V 3AL)</t>
        </is>
      </c>
      <c r="X233" s="11" t="n">
        <v>10</v>
      </c>
      <c r="Y233" s="11" t="inlineStr">
        <is>
          <t>Marlborough Sports Garden (SE1 1SD) (18.9)</t>
        </is>
      </c>
      <c r="Z233" s="11" t="inlineStr">
        <is>
          <t>City of London School (EC4V 3AL)</t>
        </is>
      </c>
      <c r="AA233" s="11" t="n">
        <v>10</v>
      </c>
      <c r="AB233" s="14">
        <f>IFERROR(INDEX(Venues!$E$2:$E$17,MATCH(Z233,Venues!$A$2:$A$17,0)),"Not checked")</f>
        <v/>
      </c>
      <c r="AC233" s="14">
        <f>IFERROR(INDEX(Venues!$F$2:$F$17,MATCH(Z233,Venues!$A$2:$A$17,0)),0)</f>
        <v/>
      </c>
      <c r="AD233" s="15">
        <f>IFERROR(INDEX(Venues!$M$2:$M$17,MATCH(Z233,Venues!$A$2:$A$17,0)),"")</f>
        <v/>
      </c>
      <c r="AE233" s="14">
        <f>IFERROR(INDEX(Venues!$N$2:$N$17,MATCH(Z233,Venues!$A$2:$A$17,0)),"5-a-side")</f>
        <v/>
      </c>
      <c r="AF233" s="16">
        <f>IF(Offer!$C$4="","",Offer!$C$4)</f>
        <v/>
      </c>
      <c r="AG233" s="14">
        <f>Z233&amp;" ("&amp;AA233&amp;" min walk) · "&amp;IF(ISNUMBER(AD233),TEXT(AD233,"ddd d mmm, hh:mm"),"slot to confirm with venue")&amp;" · "&amp;AE233&amp;" · "&amp;IF(AF233&lt;&gt;"","£"&amp;TEXT(AF233,"0.00")&amp;" pp","price TBC")</f>
        <v/>
      </c>
      <c r="AH233" s="14">
        <f>IF(U233&lt;&gt;"",U233,IF(H233&lt;&gt;"",H233,""))</f>
        <v/>
      </c>
      <c r="AI233" s="14">
        <f>"After-work football for "&amp;F233&amp;" · "&amp;Z233&amp;", "&amp;AA233&amp;" min from your office"</f>
        <v/>
      </c>
      <c r="AJ233" s="14">
        <f>"Hi "&amp;IF(R233&lt;&gt;"",R233,F233&amp;" team")&amp;","&amp;CHAR(10)&amp;CHAR(10)&amp;"I'm "&amp;IF(AM233&lt;&gt;"",AM233,IF(Offer!$C$5&lt;&gt;"",Offer!$C$5,"[NAME]"))&amp;" from FC Urban. We organise after-work football for teams in the City and Canary Wharf."&amp;CHAR(10)&amp;CHAR(10)&amp;"We have a "&amp;AE233&amp;" pitch at "&amp;Z233&amp;", "&amp;IF(OR(AA233=8,AA233=11,AA233=18),"an ","a ")&amp;AA233&amp;"-minute walk from your "&amp;P233&amp;" office, "&amp;IF(ISNUMBER(AD233),"on "&amp;TEXT(AD233,"dddd d mmmm")&amp;" at "&amp;TEXT(AD233,"hh:mm"),"on a weekday evening that suits your team")&amp;". It's "&amp;IF(AF233&lt;&gt;"","£"&amp;IF(AF233=INT(AF233),TEXT(AF233,"0"),TEXT(AF233,"0.00")),"[PRICE PER PLAYER]")&amp;" a player and we handle the pitch booking, sign-ups and payments, so all it takes is one person sharing a link with the team."&amp;CHAR(10)&amp;CHAR(10)&amp;"It works well as a team social or "&amp;IF(ISNUMBER(SEARCH(LEFT(F233,1),"AEIOU")),"an ","a ")&amp;F233&amp;"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LINK]")&amp;CHAR(10)&amp;CHAR(10)&amp;"Best,"&amp;CHAR(10)&amp;IF(AM233&lt;&gt;"",AM233,IF(Offer!$C$5&lt;&gt;"",Offer!$C$5,"[NAME]"))&amp;CHAR(10)&amp;"FC Urban"</f>
        <v/>
      </c>
      <c r="AK233" s="14">
        <f>"Hi "&amp;IF(R233&lt;&gt;"",R233,F233&amp;" team")&amp;","&amp;CHAR(10)&amp;CHAR(10)&amp;"Just bumping this up. The "&amp;AE233&amp;" pitch at "&amp;Z233&amp;" is still free "&amp;IF(ISNUMBER(AD233),TEXT(AD233,"ddd d mmm")&amp;", "&amp;TEXT(AD233,"hh:mm"),"weekday evenings")&amp;", "&amp;IF(OR(AA233=8,AA233=11,AA233=18),"an ","a ")&amp;AA233&amp;"-minute walk from your office, "&amp;IF(AF233&lt;&gt;"","£"&amp;IF(AF233=INT(AF233),TEXT(AF233,"0"),TEXT(AF233,"0.00")),"[PRICE PER PLAYER]")&amp;" a player. Happy to hold it for "&amp;F233&amp;"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LINK]")&amp;CHAR(10)&amp;CHAR(10)&amp;"Best,"&amp;CHAR(10)&amp;IF(AM233&lt;&gt;"",AM233,IF(Offer!$C$5&lt;&gt;"",Offer!$C$5,"[NAME]"))&amp;CHAR(10)&amp;"FC Urban"</f>
        <v/>
      </c>
      <c r="AL233" s="14">
        <f>IF(AH233="","No email yet",IF(ISNUMBER(SEARCH("[",AJ233)),"Fill placeholders",IF(ISNUMBER(AD233),"Ready to send","Ready · no fixed slot")))</f>
        <v/>
      </c>
      <c r="AO233" s="17" t="n"/>
      <c r="AP233" s="17" t="n"/>
    </row>
    <row r="234">
      <c r="A234" s="11" t="n">
        <v>232</v>
      </c>
      <c r="B234" s="11" t="n">
        <v>3</v>
      </c>
      <c r="C234" s="11" t="inlineStr">
        <is>
          <t>Fund / asset manager</t>
        </is>
      </c>
      <c r="D234" s="11" t="inlineStr">
        <is>
          <t>City of London</t>
        </is>
      </c>
      <c r="E234" s="11" t="inlineStr">
        <is>
          <t>London LGPS CIV Limited</t>
        </is>
      </c>
      <c r="F234" s="11" t="inlineStr">
        <is>
          <t>London LGPS CIV</t>
        </is>
      </c>
      <c r="G234" s="12" t="inlineStr">
        <is>
          <t>https://londonciv.org.uk</t>
        </is>
      </c>
      <c r="H234" s="11" t="inlineStr">
        <is>
          <t>info@londonciv.org.uk</t>
        </is>
      </c>
      <c r="I234" s="11" t="inlineStr">
        <is>
          <t>general</t>
        </is>
      </c>
      <c r="J234" s="12" t="inlineStr">
        <is>
          <t>Open page</t>
        </is>
      </c>
      <c r="K234" s="11" t="inlineStr">
        <is>
          <t>09136445</t>
        </is>
      </c>
      <c r="L234" s="12" t="inlineStr">
        <is>
          <t>Open</t>
        </is>
      </c>
      <c r="M234" s="11" t="inlineStr">
        <is>
          <t>Full</t>
        </is>
      </c>
      <c r="N234" s="13" t="n">
        <v>41837</v>
      </c>
      <c r="O234" s="11" t="inlineStr">
        <is>
          <t>4Th Floor, 22, Lavington Street, London</t>
        </is>
      </c>
      <c r="P234" s="11" t="inlineStr">
        <is>
          <t>SE1 0NZ</t>
        </is>
      </c>
      <c r="Q234" s="11" t="inlineStr">
        <is>
          <t>No</t>
        </is>
      </c>
      <c r="W234" s="11" t="inlineStr">
        <is>
          <t>Borough Academy</t>
        </is>
      </c>
      <c r="X234" s="11" t="n">
        <v>7</v>
      </c>
      <c r="Y234" s="11" t="inlineStr">
        <is>
          <t>Marlborough Sports Garden (SE1 1SD) (8.1); City of London School (EC4V 3AL) (10.5)</t>
        </is>
      </c>
      <c r="Z234" s="11" t="inlineStr">
        <is>
          <t>City of London School (EC4V 3AL)</t>
        </is>
      </c>
      <c r="AA234" s="11" t="n">
        <v>10</v>
      </c>
      <c r="AB234" s="14">
        <f>IFERROR(INDEX(Venues!$E$2:$E$17,MATCH(Z234,Venues!$A$2:$A$17,0)),"Not checked")</f>
        <v/>
      </c>
      <c r="AC234" s="14">
        <f>IFERROR(INDEX(Venues!$F$2:$F$17,MATCH(Z234,Venues!$A$2:$A$17,0)),0)</f>
        <v/>
      </c>
      <c r="AD234" s="15">
        <f>IFERROR(INDEX(Venues!$M$2:$M$17,MATCH(Z234,Venues!$A$2:$A$17,0)),"")</f>
        <v/>
      </c>
      <c r="AE234" s="14">
        <f>IFERROR(INDEX(Venues!$N$2:$N$17,MATCH(Z234,Venues!$A$2:$A$17,0)),"5-a-side")</f>
        <v/>
      </c>
      <c r="AF234" s="16">
        <f>IF(Offer!$C$4="","",Offer!$C$4)</f>
        <v/>
      </c>
      <c r="AG234" s="14">
        <f>Z234&amp;" ("&amp;AA234&amp;" min walk) · "&amp;IF(ISNUMBER(AD234),TEXT(AD234,"ddd d mmm, hh:mm"),"slot to confirm with venue")&amp;" · "&amp;AE234&amp;" · "&amp;IF(AF234&lt;&gt;"","£"&amp;TEXT(AF234,"0.00")&amp;" pp","price TBC")</f>
        <v/>
      </c>
      <c r="AH234" s="14">
        <f>IF(U234&lt;&gt;"",U234,IF(H234&lt;&gt;"",H234,""))</f>
        <v/>
      </c>
      <c r="AI234" s="14">
        <f>"After-work football for "&amp;F234&amp;" · "&amp;Z234&amp;", "&amp;AA234&amp;" min from your office"</f>
        <v/>
      </c>
      <c r="AJ234" s="14">
        <f>"Hi "&amp;IF(R234&lt;&gt;"",R234,F234&amp;" team")&amp;","&amp;CHAR(10)&amp;CHAR(10)&amp;"I'm "&amp;IF(AM234&lt;&gt;"",AM234,IF(Offer!$C$5&lt;&gt;"",Offer!$C$5,"[NAME]"))&amp;" from FC Urban. We organise after-work football for teams in the City and Canary Wharf."&amp;CHAR(10)&amp;CHAR(10)&amp;"We have a "&amp;AE234&amp;" pitch at "&amp;Z234&amp;", "&amp;IF(OR(AA234=8,AA234=11,AA234=18),"an ","a ")&amp;AA234&amp;"-minute walk from your "&amp;P234&amp;" office, "&amp;IF(ISNUMBER(AD234),"on "&amp;TEXT(AD234,"dddd d mmmm")&amp;" at "&amp;TEXT(AD234,"hh:mm"),"on a weekday evening that suits your team")&amp;". It's "&amp;IF(AF234&lt;&gt;"","£"&amp;IF(AF234=INT(AF234),TEXT(AF234,"0"),TEXT(AF234,"0.00")),"[PRICE PER PLAYER]")&amp;" a player and we handle the pitch booking, sign-ups and payments, so all it takes is one person sharing a link with the team."&amp;CHAR(10)&amp;CHAR(10)&amp;"It works well as a team social or "&amp;IF(ISNUMBER(SEARCH(LEFT(F234,1),"AEIOU")),"an ","a ")&amp;F234&amp;"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LINK]")&amp;CHAR(10)&amp;CHAR(10)&amp;"Best,"&amp;CHAR(10)&amp;IF(AM234&lt;&gt;"",AM234,IF(Offer!$C$5&lt;&gt;"",Offer!$C$5,"[NAME]"))&amp;CHAR(10)&amp;"FC Urban"</f>
        <v/>
      </c>
      <c r="AK234" s="14">
        <f>"Hi "&amp;IF(R234&lt;&gt;"",R234,F234&amp;" team")&amp;","&amp;CHAR(10)&amp;CHAR(10)&amp;"Just bumping this up. The "&amp;AE234&amp;" pitch at "&amp;Z234&amp;" is still free "&amp;IF(ISNUMBER(AD234),TEXT(AD234,"ddd d mmm")&amp;", "&amp;TEXT(AD234,"hh:mm"),"weekday evenings")&amp;", "&amp;IF(OR(AA234=8,AA234=11,AA234=18),"an ","a ")&amp;AA234&amp;"-minute walk from your office, "&amp;IF(AF234&lt;&gt;"","£"&amp;IF(AF234=INT(AF234),TEXT(AF234,"0"),TEXT(AF234,"0.00")),"[PRICE PER PLAYER]")&amp;" a player. Happy to hold it for "&amp;F234&amp;"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LINK]")&amp;CHAR(10)&amp;CHAR(10)&amp;"Best,"&amp;CHAR(10)&amp;IF(AM234&lt;&gt;"",AM234,IF(Offer!$C$5&lt;&gt;"",Offer!$C$5,"[NAME]"))&amp;CHAR(10)&amp;"FC Urban"</f>
        <v/>
      </c>
      <c r="AL234" s="14">
        <f>IF(AH234="","No email yet",IF(ISNUMBER(SEARCH("[",AJ234)),"Fill placeholders",IF(ISNUMBER(AD234),"Ready to send","Ready · no fixed slot")))</f>
        <v/>
      </c>
      <c r="AO234" s="17" t="n"/>
      <c r="AP234" s="17" t="n"/>
    </row>
    <row r="235">
      <c r="A235" s="11" t="n">
        <v>233</v>
      </c>
      <c r="B235" s="11" t="n">
        <v>3</v>
      </c>
      <c r="C235" s="11" t="inlineStr">
        <is>
          <t>Insurance / broker</t>
        </is>
      </c>
      <c r="D235" s="11" t="inlineStr">
        <is>
          <t>City of London</t>
        </is>
      </c>
      <c r="E235" s="11" t="inlineStr">
        <is>
          <t>Gm Insurance Brokers Limited</t>
        </is>
      </c>
      <c r="F235" s="11" t="inlineStr">
        <is>
          <t>Gm Insurance Brokers</t>
        </is>
      </c>
      <c r="G235" s="11" t="n"/>
      <c r="H235" s="11" t="n"/>
      <c r="I235" s="11" t="inlineStr">
        <is>
          <t>Not found</t>
        </is>
      </c>
      <c r="J235" s="11" t="n"/>
      <c r="K235" s="11" t="inlineStr">
        <is>
          <t>05058019</t>
        </is>
      </c>
      <c r="L235" s="12" t="inlineStr">
        <is>
          <t>Open</t>
        </is>
      </c>
      <c r="M235" s="11" t="inlineStr">
        <is>
          <t>Full</t>
        </is>
      </c>
      <c r="N235" s="13" t="n">
        <v>38044</v>
      </c>
      <c r="O235" s="11" t="inlineStr">
        <is>
          <t>Gallagher, The Walbrook Building, 25 Walbrook, London</t>
        </is>
      </c>
      <c r="P235" s="11" t="inlineStr">
        <is>
          <t>EC4N 8AW</t>
        </is>
      </c>
      <c r="Q235" s="11" t="inlineStr">
        <is>
          <t>No</t>
        </is>
      </c>
      <c r="W235" s="11" t="inlineStr">
        <is>
          <t>City of London School (EC4V 3AL)</t>
        </is>
      </c>
      <c r="X235" s="11" t="n">
        <v>10</v>
      </c>
      <c r="Y235" s="11" t="inlineStr">
        <is>
          <t>Marlborough Sports Garden (SE1 1SD) (15.8)</t>
        </is>
      </c>
      <c r="Z235" s="11" t="inlineStr">
        <is>
          <t>City of London School (EC4V 3AL)</t>
        </is>
      </c>
      <c r="AA235" s="11" t="n">
        <v>10</v>
      </c>
      <c r="AB235" s="14">
        <f>IFERROR(INDEX(Venues!$E$2:$E$17,MATCH(Z235,Venues!$A$2:$A$17,0)),"Not checked")</f>
        <v/>
      </c>
      <c r="AC235" s="14">
        <f>IFERROR(INDEX(Venues!$F$2:$F$17,MATCH(Z235,Venues!$A$2:$A$17,0)),0)</f>
        <v/>
      </c>
      <c r="AD235" s="15">
        <f>IFERROR(INDEX(Venues!$M$2:$M$17,MATCH(Z235,Venues!$A$2:$A$17,0)),"")</f>
        <v/>
      </c>
      <c r="AE235" s="14">
        <f>IFERROR(INDEX(Venues!$N$2:$N$17,MATCH(Z235,Venues!$A$2:$A$17,0)),"5-a-side")</f>
        <v/>
      </c>
      <c r="AF235" s="16">
        <f>IF(Offer!$C$4="","",Offer!$C$4)</f>
        <v/>
      </c>
      <c r="AG235" s="14">
        <f>Z235&amp;" ("&amp;AA235&amp;" min walk) · "&amp;IF(ISNUMBER(AD235),TEXT(AD235,"ddd d mmm, hh:mm"),"slot to confirm with venue")&amp;" · "&amp;AE235&amp;" · "&amp;IF(AF235&lt;&gt;"","£"&amp;TEXT(AF235,"0.00")&amp;" pp","price TBC")</f>
        <v/>
      </c>
      <c r="AH235" s="14">
        <f>IF(U235&lt;&gt;"",U235,IF(H235&lt;&gt;"",H235,""))</f>
        <v/>
      </c>
      <c r="AI235" s="14">
        <f>"After-work football for "&amp;F235&amp;" · "&amp;Z235&amp;", "&amp;AA235&amp;" min from your office"</f>
        <v/>
      </c>
      <c r="AJ235" s="14">
        <f>"Hi "&amp;IF(R235&lt;&gt;"",R235,F235&amp;" team")&amp;","&amp;CHAR(10)&amp;CHAR(10)&amp;"I'm "&amp;IF(AM235&lt;&gt;"",AM235,IF(Offer!$C$5&lt;&gt;"",Offer!$C$5,"[NAME]"))&amp;" from FC Urban. We organise after-work football for teams in the City and Canary Wharf."&amp;CHAR(10)&amp;CHAR(10)&amp;"We have a "&amp;AE235&amp;" pitch at "&amp;Z235&amp;", "&amp;IF(OR(AA235=8,AA235=11,AA235=18),"an ","a ")&amp;AA235&amp;"-minute walk from your "&amp;P235&amp;" office, "&amp;IF(ISNUMBER(AD235),"on "&amp;TEXT(AD235,"dddd d mmmm")&amp;" at "&amp;TEXT(AD235,"hh:mm"),"on a weekday evening that suits your team")&amp;". It's "&amp;IF(AF235&lt;&gt;"","£"&amp;IF(AF235=INT(AF235),TEXT(AF235,"0"),TEXT(AF235,"0.00")),"[PRICE PER PLAYER]")&amp;" a player and we handle the pitch booking, sign-ups and payments, so all it takes is one person sharing a link with the team."&amp;CHAR(10)&amp;CHAR(10)&amp;"It works well as a team social or "&amp;IF(ISNUMBER(SEARCH(LEFT(F235,1),"AEIOU")),"an ","a ")&amp;F235&amp;"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LINK]")&amp;CHAR(10)&amp;CHAR(10)&amp;"Best,"&amp;CHAR(10)&amp;IF(AM235&lt;&gt;"",AM235,IF(Offer!$C$5&lt;&gt;"",Offer!$C$5,"[NAME]"))&amp;CHAR(10)&amp;"FC Urban"</f>
        <v/>
      </c>
      <c r="AK235" s="14">
        <f>"Hi "&amp;IF(R235&lt;&gt;"",R235,F235&amp;" team")&amp;","&amp;CHAR(10)&amp;CHAR(10)&amp;"Just bumping this up. The "&amp;AE235&amp;" pitch at "&amp;Z235&amp;" is still free "&amp;IF(ISNUMBER(AD235),TEXT(AD235,"ddd d mmm")&amp;", "&amp;TEXT(AD235,"hh:mm"),"weekday evenings")&amp;", "&amp;IF(OR(AA235=8,AA235=11,AA235=18),"an ","a ")&amp;AA235&amp;"-minute walk from your office, "&amp;IF(AF235&lt;&gt;"","£"&amp;IF(AF235=INT(AF235),TEXT(AF235,"0"),TEXT(AF235,"0.00")),"[PRICE PER PLAYER]")&amp;" a player. Happy to hold it for "&amp;F235&amp;"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LINK]")&amp;CHAR(10)&amp;CHAR(10)&amp;"Best,"&amp;CHAR(10)&amp;IF(AM235&lt;&gt;"",AM235,IF(Offer!$C$5&lt;&gt;"",Offer!$C$5,"[NAME]"))&amp;CHAR(10)&amp;"FC Urban"</f>
        <v/>
      </c>
      <c r="AL235" s="14">
        <f>IF(AH235="","No email yet",IF(ISNUMBER(SEARCH("[",AJ235)),"Fill placeholders",IF(ISNUMBER(AD235),"Ready to send","Ready · no fixed slot")))</f>
        <v/>
      </c>
      <c r="AO235" s="17" t="n"/>
      <c r="AP235" s="17" t="n"/>
    </row>
    <row r="236">
      <c r="A236" s="11" t="n">
        <v>234</v>
      </c>
      <c r="B236" s="11" t="n">
        <v>3</v>
      </c>
      <c r="C236" s="11" t="inlineStr">
        <is>
          <t>Insurance / broker</t>
        </is>
      </c>
      <c r="D236" s="11" t="inlineStr">
        <is>
          <t>City of London</t>
        </is>
      </c>
      <c r="E236" s="11" t="inlineStr">
        <is>
          <t>Cobalt Underwriting Services Limited</t>
        </is>
      </c>
      <c r="F236" s="11" t="inlineStr">
        <is>
          <t>Cobalt Underwriting</t>
        </is>
      </c>
      <c r="G236" s="12" t="inlineStr">
        <is>
          <t>https://cobaltuw.com</t>
        </is>
      </c>
      <c r="H236" s="11" t="inlineStr">
        <is>
          <t>enquiry@cobaltuw.com</t>
        </is>
      </c>
      <c r="I236" s="11" t="inlineStr">
        <is>
          <t>named person</t>
        </is>
      </c>
      <c r="J236" s="12" t="inlineStr">
        <is>
          <t>Open page</t>
        </is>
      </c>
      <c r="K236" s="11" t="inlineStr">
        <is>
          <t>07979365</t>
        </is>
      </c>
      <c r="L236" s="12" t="inlineStr">
        <is>
          <t>Open</t>
        </is>
      </c>
      <c r="M236" s="11" t="inlineStr">
        <is>
          <t>Full</t>
        </is>
      </c>
      <c r="N236" s="13" t="n">
        <v>40975</v>
      </c>
      <c r="O236" s="11" t="inlineStr">
        <is>
          <t>9 Bonhill Street, London</t>
        </is>
      </c>
      <c r="P236" s="11" t="inlineStr">
        <is>
          <t>EC2A 4DJ</t>
        </is>
      </c>
      <c r="Q236" s="11" t="inlineStr">
        <is>
          <t>No</t>
        </is>
      </c>
      <c r="W236" s="11" t="inlineStr">
        <is>
          <t>Shoreditch Powerleague</t>
        </is>
      </c>
      <c r="X236" s="11" t="n">
        <v>11</v>
      </c>
      <c r="Y236" s="11" t="inlineStr">
        <is>
          <t>Finsbury Leisure Centre (EC1V 3PU) (13); Liverpool St - Attlee Centre (16.1)</t>
        </is>
      </c>
      <c r="Z236" s="11" t="inlineStr">
        <is>
          <t>Shoreditch Powerleague</t>
        </is>
      </c>
      <c r="AA236" s="11" t="n">
        <v>11</v>
      </c>
      <c r="AB236" s="14">
        <f>IFERROR(INDEX(Venues!$E$2:$E$17,MATCH(Z236,Venues!$A$2:$A$17,0)),"Not checked")</f>
        <v/>
      </c>
      <c r="AC236" s="14">
        <f>IFERROR(INDEX(Venues!$F$2:$F$17,MATCH(Z236,Venues!$A$2:$A$17,0)),0)</f>
        <v/>
      </c>
      <c r="AD236" s="15">
        <f>IFERROR(INDEX(Venues!$M$2:$M$17,MATCH(Z236,Venues!$A$2:$A$17,0)),"")</f>
        <v/>
      </c>
      <c r="AE236" s="14">
        <f>IFERROR(INDEX(Venues!$N$2:$N$17,MATCH(Z236,Venues!$A$2:$A$17,0)),"5-a-side")</f>
        <v/>
      </c>
      <c r="AF236" s="16">
        <f>IF(Offer!$C$4="","",Offer!$C$4)</f>
        <v/>
      </c>
      <c r="AG236" s="14">
        <f>Z236&amp;" ("&amp;AA236&amp;" min walk) · "&amp;IF(ISNUMBER(AD236),TEXT(AD236,"ddd d mmm, hh:mm"),"slot to confirm with venue")&amp;" · "&amp;AE236&amp;" · "&amp;IF(AF236&lt;&gt;"","£"&amp;TEXT(AF236,"0.00")&amp;" pp","price TBC")</f>
        <v/>
      </c>
      <c r="AH236" s="14">
        <f>IF(U236&lt;&gt;"",U236,IF(H236&lt;&gt;"",H236,""))</f>
        <v/>
      </c>
      <c r="AI236" s="14">
        <f>"After-work football for "&amp;F236&amp;" · "&amp;Z236&amp;", "&amp;AA236&amp;" min from your office"</f>
        <v/>
      </c>
      <c r="AJ236" s="14">
        <f>"Hi "&amp;IF(R236&lt;&gt;"",R236,F236&amp;" team")&amp;","&amp;CHAR(10)&amp;CHAR(10)&amp;"I'm "&amp;IF(AM236&lt;&gt;"",AM236,IF(Offer!$C$5&lt;&gt;"",Offer!$C$5,"[NAME]"))&amp;" from FC Urban. We organise after-work football for teams in the City and Canary Wharf."&amp;CHAR(10)&amp;CHAR(10)&amp;"We have a "&amp;AE236&amp;" pitch at "&amp;Z236&amp;", "&amp;IF(OR(AA236=8,AA236=11,AA236=18),"an ","a ")&amp;AA236&amp;"-minute walk from your "&amp;P236&amp;" office, "&amp;IF(ISNUMBER(AD236),"on "&amp;TEXT(AD236,"dddd d mmmm")&amp;" at "&amp;TEXT(AD236,"hh:mm"),"on a weekday evening that suits your team")&amp;". It's "&amp;IF(AF236&lt;&gt;"","£"&amp;IF(AF236=INT(AF236),TEXT(AF236,"0"),TEXT(AF236,"0.00")),"[PRICE PER PLAYER]")&amp;" a player and we handle the pitch booking, sign-ups and payments, so all it takes is one person sharing a link with the team."&amp;CHAR(10)&amp;CHAR(10)&amp;"It works well as a team social or "&amp;IF(ISNUMBER(SEARCH(LEFT(F236,1),"AEIOU")),"an ","a ")&amp;F236&amp;"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LINK]")&amp;CHAR(10)&amp;CHAR(10)&amp;"Best,"&amp;CHAR(10)&amp;IF(AM236&lt;&gt;"",AM236,IF(Offer!$C$5&lt;&gt;"",Offer!$C$5,"[NAME]"))&amp;CHAR(10)&amp;"FC Urban"</f>
        <v/>
      </c>
      <c r="AK236" s="14">
        <f>"Hi "&amp;IF(R236&lt;&gt;"",R236,F236&amp;" team")&amp;","&amp;CHAR(10)&amp;CHAR(10)&amp;"Just bumping this up. The "&amp;AE236&amp;" pitch at "&amp;Z236&amp;" is still free "&amp;IF(ISNUMBER(AD236),TEXT(AD236,"ddd d mmm")&amp;", "&amp;TEXT(AD236,"hh:mm"),"weekday evenings")&amp;", "&amp;IF(OR(AA236=8,AA236=11,AA236=18),"an ","a ")&amp;AA236&amp;"-minute walk from your office, "&amp;IF(AF236&lt;&gt;"","£"&amp;IF(AF236=INT(AF236),TEXT(AF236,"0"),TEXT(AF236,"0.00")),"[PRICE PER PLAYER]")&amp;" a player. Happy to hold it for "&amp;F236&amp;"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LINK]")&amp;CHAR(10)&amp;CHAR(10)&amp;"Best,"&amp;CHAR(10)&amp;IF(AM236&lt;&gt;"",AM236,IF(Offer!$C$5&lt;&gt;"",Offer!$C$5,"[NAME]"))&amp;CHAR(10)&amp;"FC Urban"</f>
        <v/>
      </c>
      <c r="AL236" s="14">
        <f>IF(AH236="","No email yet",IF(ISNUMBER(SEARCH("[",AJ236)),"Fill placeholders",IF(ISNUMBER(AD236),"Ready to send","Ready · no fixed slot")))</f>
        <v/>
      </c>
      <c r="AO236" s="17" t="n"/>
      <c r="AP236" s="17" t="n"/>
    </row>
    <row r="237">
      <c r="A237" s="11" t="n">
        <v>235</v>
      </c>
      <c r="B237" s="11" t="n">
        <v>3</v>
      </c>
      <c r="C237" s="11" t="inlineStr">
        <is>
          <t>Fund / asset manager</t>
        </is>
      </c>
      <c r="D237" s="11" t="inlineStr">
        <is>
          <t>City of London</t>
        </is>
      </c>
      <c r="E237" s="11" t="inlineStr">
        <is>
          <t>Icap Global Derivatives Limited</t>
        </is>
      </c>
      <c r="F237" s="11" t="inlineStr">
        <is>
          <t>TP ICAP</t>
        </is>
      </c>
      <c r="G237" s="12" t="inlineStr">
        <is>
          <t>https://tpicap.com</t>
        </is>
      </c>
      <c r="H237" s="11" t="inlineStr">
        <is>
          <t>sefexecution.specialists@us.icap.com</t>
        </is>
      </c>
      <c r="I237" s="11" t="inlineStr">
        <is>
          <t>named person</t>
        </is>
      </c>
      <c r="J237" s="12" t="inlineStr">
        <is>
          <t>Open page</t>
        </is>
      </c>
      <c r="K237" s="11" t="inlineStr">
        <is>
          <t>03635229</t>
        </is>
      </c>
      <c r="L237" s="12" t="inlineStr">
        <is>
          <t>Open</t>
        </is>
      </c>
      <c r="M237" s="11" t="inlineStr">
        <is>
          <t>Full</t>
        </is>
      </c>
      <c r="N237" s="13" t="n">
        <v>36059</v>
      </c>
      <c r="O237" s="11" t="inlineStr">
        <is>
          <t>135 Bishopsgate, London</t>
        </is>
      </c>
      <c r="P237" s="11" t="inlineStr">
        <is>
          <t>EC2M 3TP</t>
        </is>
      </c>
      <c r="Q237" s="11" t="inlineStr">
        <is>
          <t>No</t>
        </is>
      </c>
      <c r="W237" s="11" t="inlineStr">
        <is>
          <t>Liverpool St - Attlee Centre</t>
        </is>
      </c>
      <c r="X237" s="11" t="n">
        <v>8</v>
      </c>
      <c r="Y237" s="11" t="inlineStr">
        <is>
          <t>Shoreditch Powerleague (10.7)</t>
        </is>
      </c>
      <c r="Z237" s="11" t="inlineStr">
        <is>
          <t>Shoreditch Powerleague</t>
        </is>
      </c>
      <c r="AA237" s="11" t="n">
        <v>11</v>
      </c>
      <c r="AB237" s="14">
        <f>IFERROR(INDEX(Venues!$E$2:$E$17,MATCH(Z237,Venues!$A$2:$A$17,0)),"Not checked")</f>
        <v/>
      </c>
      <c r="AC237" s="14">
        <f>IFERROR(INDEX(Venues!$F$2:$F$17,MATCH(Z237,Venues!$A$2:$A$17,0)),0)</f>
        <v/>
      </c>
      <c r="AD237" s="15">
        <f>IFERROR(INDEX(Venues!$M$2:$M$17,MATCH(Z237,Venues!$A$2:$A$17,0)),"")</f>
        <v/>
      </c>
      <c r="AE237" s="14">
        <f>IFERROR(INDEX(Venues!$N$2:$N$17,MATCH(Z237,Venues!$A$2:$A$17,0)),"5-a-side")</f>
        <v/>
      </c>
      <c r="AF237" s="16">
        <f>IF(Offer!$C$4="","",Offer!$C$4)</f>
        <v/>
      </c>
      <c r="AG237" s="14">
        <f>Z237&amp;" ("&amp;AA237&amp;" min walk) · "&amp;IF(ISNUMBER(AD237),TEXT(AD237,"ddd d mmm, hh:mm"),"slot to confirm with venue")&amp;" · "&amp;AE237&amp;" · "&amp;IF(AF237&lt;&gt;"","£"&amp;TEXT(AF237,"0.00")&amp;" pp","price TBC")</f>
        <v/>
      </c>
      <c r="AH237" s="14">
        <f>IF(U237&lt;&gt;"",U237,IF(H237&lt;&gt;"",H237,""))</f>
        <v/>
      </c>
      <c r="AI237" s="14">
        <f>"After-work football for "&amp;F237&amp;" · "&amp;Z237&amp;", "&amp;AA237&amp;" min from your office"</f>
        <v/>
      </c>
      <c r="AJ237" s="14">
        <f>"Hi "&amp;IF(R237&lt;&gt;"",R237,F237&amp;" team")&amp;","&amp;CHAR(10)&amp;CHAR(10)&amp;"I'm "&amp;IF(AM237&lt;&gt;"",AM237,IF(Offer!$C$5&lt;&gt;"",Offer!$C$5,"[NAME]"))&amp;" from FC Urban. We organise after-work football for teams in the City and Canary Wharf."&amp;CHAR(10)&amp;CHAR(10)&amp;"We have a "&amp;AE237&amp;" pitch at "&amp;Z237&amp;", "&amp;IF(OR(AA237=8,AA237=11,AA237=18),"an ","a ")&amp;AA237&amp;"-minute walk from your "&amp;P237&amp;" office, "&amp;IF(ISNUMBER(AD237),"on "&amp;TEXT(AD237,"dddd d mmmm")&amp;" at "&amp;TEXT(AD237,"hh:mm"),"on a weekday evening that suits your team")&amp;". It's "&amp;IF(AF237&lt;&gt;"","£"&amp;IF(AF237=INT(AF237),TEXT(AF237,"0"),TEXT(AF237,"0.00")),"[PRICE PER PLAYER]")&amp;" a player and we handle the pitch booking, sign-ups and payments, so all it takes is one person sharing a link with the team."&amp;CHAR(10)&amp;CHAR(10)&amp;"It works well as a team social or "&amp;IF(ISNUMBER(SEARCH(LEFT(F237,1),"AEIOU")),"an ","a ")&amp;F237&amp;"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LINK]")&amp;CHAR(10)&amp;CHAR(10)&amp;"Best,"&amp;CHAR(10)&amp;IF(AM237&lt;&gt;"",AM237,IF(Offer!$C$5&lt;&gt;"",Offer!$C$5,"[NAME]"))&amp;CHAR(10)&amp;"FC Urban"</f>
        <v/>
      </c>
      <c r="AK237" s="14">
        <f>"Hi "&amp;IF(R237&lt;&gt;"",R237,F237&amp;" team")&amp;","&amp;CHAR(10)&amp;CHAR(10)&amp;"Just bumping this up. The "&amp;AE237&amp;" pitch at "&amp;Z237&amp;" is still free "&amp;IF(ISNUMBER(AD237),TEXT(AD237,"ddd d mmm")&amp;", "&amp;TEXT(AD237,"hh:mm"),"weekday evenings")&amp;", "&amp;IF(OR(AA237=8,AA237=11,AA237=18),"an ","a ")&amp;AA237&amp;"-minute walk from your office, "&amp;IF(AF237&lt;&gt;"","£"&amp;IF(AF237=INT(AF237),TEXT(AF237,"0"),TEXT(AF237,"0.00")),"[PRICE PER PLAYER]")&amp;" a player. Happy to hold it for "&amp;F237&amp;"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LINK]")&amp;CHAR(10)&amp;CHAR(10)&amp;"Best,"&amp;CHAR(10)&amp;IF(AM237&lt;&gt;"",AM237,IF(Offer!$C$5&lt;&gt;"",Offer!$C$5,"[NAME]"))&amp;CHAR(10)&amp;"FC Urban"</f>
        <v/>
      </c>
      <c r="AL237" s="14">
        <f>IF(AH237="","No email yet",IF(ISNUMBER(SEARCH("[",AJ237)),"Fill placeholders",IF(ISNUMBER(AD237),"Ready to send","Ready · no fixed slot")))</f>
        <v/>
      </c>
      <c r="AO237" s="17" t="n"/>
      <c r="AP237" s="17" t="n"/>
    </row>
    <row r="238">
      <c r="A238" s="11" t="n">
        <v>236</v>
      </c>
      <c r="B238" s="11" t="n">
        <v>3</v>
      </c>
      <c r="C238" s="11" t="inlineStr">
        <is>
          <t>Fund / asset manager</t>
        </is>
      </c>
      <c r="D238" s="11" t="inlineStr">
        <is>
          <t>City of London</t>
        </is>
      </c>
      <c r="E238" s="11" t="inlineStr">
        <is>
          <t>Louis Capital Markets UK LLP</t>
        </is>
      </c>
      <c r="F238" s="11" t="inlineStr">
        <is>
          <t>Louis Capital Markets</t>
        </is>
      </c>
      <c r="G238" s="12" t="inlineStr">
        <is>
          <t>https://www.louiscapital.com</t>
        </is>
      </c>
      <c r="H238" s="11" t="inlineStr">
        <is>
          <t>contact@louiscapital.com</t>
        </is>
      </c>
      <c r="I238" s="11" t="inlineStr">
        <is>
          <t>general</t>
        </is>
      </c>
      <c r="J238" s="12" t="inlineStr">
        <is>
          <t>Open page</t>
        </is>
      </c>
      <c r="K238" s="11" t="inlineStr">
        <is>
          <t>OC305139</t>
        </is>
      </c>
      <c r="L238" s="12" t="inlineStr">
        <is>
          <t>Open</t>
        </is>
      </c>
      <c r="M238" s="11" t="inlineStr">
        <is>
          <t>Full</t>
        </is>
      </c>
      <c r="N238" s="13" t="n">
        <v>37823</v>
      </c>
      <c r="O238" s="11" t="inlineStr">
        <is>
          <t>135 Bishopsgate, London</t>
        </is>
      </c>
      <c r="P238" s="11" t="inlineStr">
        <is>
          <t>EC2M 3TP</t>
        </is>
      </c>
      <c r="Q238" s="11" t="inlineStr">
        <is>
          <t>No</t>
        </is>
      </c>
      <c r="W238" s="11" t="inlineStr">
        <is>
          <t>Liverpool St - Attlee Centre</t>
        </is>
      </c>
      <c r="X238" s="11" t="n">
        <v>8</v>
      </c>
      <c r="Y238" s="11" t="inlineStr">
        <is>
          <t>Shoreditch Powerleague (10.7)</t>
        </is>
      </c>
      <c r="Z238" s="11" t="inlineStr">
        <is>
          <t>Shoreditch Powerleague</t>
        </is>
      </c>
      <c r="AA238" s="11" t="n">
        <v>11</v>
      </c>
      <c r="AB238" s="14">
        <f>IFERROR(INDEX(Venues!$E$2:$E$17,MATCH(Z238,Venues!$A$2:$A$17,0)),"Not checked")</f>
        <v/>
      </c>
      <c r="AC238" s="14">
        <f>IFERROR(INDEX(Venues!$F$2:$F$17,MATCH(Z238,Venues!$A$2:$A$17,0)),0)</f>
        <v/>
      </c>
      <c r="AD238" s="15">
        <f>IFERROR(INDEX(Venues!$M$2:$M$17,MATCH(Z238,Venues!$A$2:$A$17,0)),"")</f>
        <v/>
      </c>
      <c r="AE238" s="14">
        <f>IFERROR(INDEX(Venues!$N$2:$N$17,MATCH(Z238,Venues!$A$2:$A$17,0)),"5-a-side")</f>
        <v/>
      </c>
      <c r="AF238" s="16">
        <f>IF(Offer!$C$4="","",Offer!$C$4)</f>
        <v/>
      </c>
      <c r="AG238" s="14">
        <f>Z238&amp;" ("&amp;AA238&amp;" min walk) · "&amp;IF(ISNUMBER(AD238),TEXT(AD238,"ddd d mmm, hh:mm"),"slot to confirm with venue")&amp;" · "&amp;AE238&amp;" · "&amp;IF(AF238&lt;&gt;"","£"&amp;TEXT(AF238,"0.00")&amp;" pp","price TBC")</f>
        <v/>
      </c>
      <c r="AH238" s="14">
        <f>IF(U238&lt;&gt;"",U238,IF(H238&lt;&gt;"",H238,""))</f>
        <v/>
      </c>
      <c r="AI238" s="14">
        <f>"After-work football for "&amp;F238&amp;" · "&amp;Z238&amp;", "&amp;AA238&amp;" min from your office"</f>
        <v/>
      </c>
      <c r="AJ238" s="14">
        <f>"Hi "&amp;IF(R238&lt;&gt;"",R238,F238&amp;" team")&amp;","&amp;CHAR(10)&amp;CHAR(10)&amp;"I'm "&amp;IF(AM238&lt;&gt;"",AM238,IF(Offer!$C$5&lt;&gt;"",Offer!$C$5,"[NAME]"))&amp;" from FC Urban. We organise after-work football for teams in the City and Canary Wharf."&amp;CHAR(10)&amp;CHAR(10)&amp;"We have a "&amp;AE238&amp;" pitch at "&amp;Z238&amp;", "&amp;IF(OR(AA238=8,AA238=11,AA238=18),"an ","a ")&amp;AA238&amp;"-minute walk from your "&amp;P238&amp;" office, "&amp;IF(ISNUMBER(AD238),"on "&amp;TEXT(AD238,"dddd d mmmm")&amp;" at "&amp;TEXT(AD238,"hh:mm"),"on a weekday evening that suits your team")&amp;". It's "&amp;IF(AF238&lt;&gt;"","£"&amp;IF(AF238=INT(AF238),TEXT(AF238,"0"),TEXT(AF238,"0.00")),"[PRICE PER PLAYER]")&amp;" a player and we handle the pitch booking, sign-ups and payments, so all it takes is one person sharing a link with the team."&amp;CHAR(10)&amp;CHAR(10)&amp;"It works well as a team social or "&amp;IF(ISNUMBER(SEARCH(LEFT(F238,1),"AEIOU")),"an ","a ")&amp;F238&amp;"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LINK]")&amp;CHAR(10)&amp;CHAR(10)&amp;"Best,"&amp;CHAR(10)&amp;IF(AM238&lt;&gt;"",AM238,IF(Offer!$C$5&lt;&gt;"",Offer!$C$5,"[NAME]"))&amp;CHAR(10)&amp;"FC Urban"</f>
        <v/>
      </c>
      <c r="AK238" s="14">
        <f>"Hi "&amp;IF(R238&lt;&gt;"",R238,F238&amp;" team")&amp;","&amp;CHAR(10)&amp;CHAR(10)&amp;"Just bumping this up. The "&amp;AE238&amp;" pitch at "&amp;Z238&amp;" is still free "&amp;IF(ISNUMBER(AD238),TEXT(AD238,"ddd d mmm")&amp;", "&amp;TEXT(AD238,"hh:mm"),"weekday evenings")&amp;", "&amp;IF(OR(AA238=8,AA238=11,AA238=18),"an ","a ")&amp;AA238&amp;"-minute walk from your office, "&amp;IF(AF238&lt;&gt;"","£"&amp;IF(AF238=INT(AF238),TEXT(AF238,"0"),TEXT(AF238,"0.00")),"[PRICE PER PLAYER]")&amp;" a player. Happy to hold it for "&amp;F238&amp;"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LINK]")&amp;CHAR(10)&amp;CHAR(10)&amp;"Best,"&amp;CHAR(10)&amp;IF(AM238&lt;&gt;"",AM238,IF(Offer!$C$5&lt;&gt;"",Offer!$C$5,"[NAME]"))&amp;CHAR(10)&amp;"FC Urban"</f>
        <v/>
      </c>
      <c r="AL238" s="14">
        <f>IF(AH238="","No email yet",IF(ISNUMBER(SEARCH("[",AJ238)),"Fill placeholders",IF(ISNUMBER(AD238),"Ready to send","Ready · no fixed slot")))</f>
        <v/>
      </c>
      <c r="AO238" s="17" t="n"/>
      <c r="AP238" s="17" t="n"/>
    </row>
    <row r="239">
      <c r="A239" s="11" t="n">
        <v>237</v>
      </c>
      <c r="B239" s="11" t="n">
        <v>3</v>
      </c>
      <c r="C239" s="11" t="inlineStr">
        <is>
          <t>Fund / asset manager</t>
        </is>
      </c>
      <c r="D239" s="11" t="inlineStr">
        <is>
          <t>City of London</t>
        </is>
      </c>
      <c r="E239" s="11" t="inlineStr">
        <is>
          <t>Vantage Capital Markets LLP</t>
        </is>
      </c>
      <c r="F239" s="11" t="inlineStr">
        <is>
          <t>Vantage Capital Markets</t>
        </is>
      </c>
      <c r="G239" s="12" t="inlineStr">
        <is>
          <t>https://www.vantage.com</t>
        </is>
      </c>
      <c r="H239" s="11" t="inlineStr">
        <is>
          <t>consumer.marketing@vantage.com</t>
        </is>
      </c>
      <c r="I239" s="11" t="inlineStr">
        <is>
          <t>named person</t>
        </is>
      </c>
      <c r="J239" s="12" t="inlineStr">
        <is>
          <t>Open page</t>
        </is>
      </c>
      <c r="K239" s="11" t="inlineStr">
        <is>
          <t>OC308882</t>
        </is>
      </c>
      <c r="L239" s="12" t="inlineStr">
        <is>
          <t>Open</t>
        </is>
      </c>
      <c r="M239" s="11" t="inlineStr">
        <is>
          <t>Full</t>
        </is>
      </c>
      <c r="N239" s="13" t="n">
        <v>38208</v>
      </c>
      <c r="O239" s="11" t="inlineStr">
        <is>
          <t>135 Bishopsgate, London</t>
        </is>
      </c>
      <c r="P239" s="11" t="inlineStr">
        <is>
          <t>EC2M 3TP</t>
        </is>
      </c>
      <c r="Q239" s="11" t="inlineStr">
        <is>
          <t>Yes</t>
        </is>
      </c>
      <c r="W239" s="11" t="inlineStr">
        <is>
          <t>Liverpool St - Attlee Centre</t>
        </is>
      </c>
      <c r="X239" s="11" t="n">
        <v>8</v>
      </c>
      <c r="Y239" s="11" t="inlineStr">
        <is>
          <t>Shoreditch Powerleague (10.7)</t>
        </is>
      </c>
      <c r="Z239" s="11" t="inlineStr">
        <is>
          <t>Shoreditch Powerleague</t>
        </is>
      </c>
      <c r="AA239" s="11" t="n">
        <v>11</v>
      </c>
      <c r="AB239" s="14">
        <f>IFERROR(INDEX(Venues!$E$2:$E$17,MATCH(Z239,Venues!$A$2:$A$17,0)),"Not checked")</f>
        <v/>
      </c>
      <c r="AC239" s="14">
        <f>IFERROR(INDEX(Venues!$F$2:$F$17,MATCH(Z239,Venues!$A$2:$A$17,0)),0)</f>
        <v/>
      </c>
      <c r="AD239" s="15">
        <f>IFERROR(INDEX(Venues!$M$2:$M$17,MATCH(Z239,Venues!$A$2:$A$17,0)),"")</f>
        <v/>
      </c>
      <c r="AE239" s="14">
        <f>IFERROR(INDEX(Venues!$N$2:$N$17,MATCH(Z239,Venues!$A$2:$A$17,0)),"5-a-side")</f>
        <v/>
      </c>
      <c r="AF239" s="16">
        <f>IF(Offer!$C$4="","",Offer!$C$4)</f>
        <v/>
      </c>
      <c r="AG239" s="14">
        <f>Z239&amp;" ("&amp;AA239&amp;" min walk) · "&amp;IF(ISNUMBER(AD239),TEXT(AD239,"ddd d mmm, hh:mm"),"slot to confirm with venue")&amp;" · "&amp;AE239&amp;" · "&amp;IF(AF239&lt;&gt;"","£"&amp;TEXT(AF239,"0.00")&amp;" pp","price TBC")</f>
        <v/>
      </c>
      <c r="AH239" s="14">
        <f>IF(U239&lt;&gt;"",U239,IF(H239&lt;&gt;"",H239,""))</f>
        <v/>
      </c>
      <c r="AI239" s="14">
        <f>"After-work football for "&amp;F239&amp;" · "&amp;Z239&amp;", "&amp;AA239&amp;" min from your office"</f>
        <v/>
      </c>
      <c r="AJ239" s="14">
        <f>"Hi "&amp;IF(R239&lt;&gt;"",R239,F239&amp;" team")&amp;","&amp;CHAR(10)&amp;CHAR(10)&amp;"I'm "&amp;IF(AM239&lt;&gt;"",AM239,IF(Offer!$C$5&lt;&gt;"",Offer!$C$5,"[NAME]"))&amp;" from FC Urban. We organise after-work football for teams in the City and Canary Wharf."&amp;CHAR(10)&amp;CHAR(10)&amp;"We have a "&amp;AE239&amp;" pitch at "&amp;Z239&amp;", "&amp;IF(OR(AA239=8,AA239=11,AA239=18),"an ","a ")&amp;AA239&amp;"-minute walk from your "&amp;P239&amp;" office, "&amp;IF(ISNUMBER(AD239),"on "&amp;TEXT(AD239,"dddd d mmmm")&amp;" at "&amp;TEXT(AD239,"hh:mm"),"on a weekday evening that suits your team")&amp;". It's "&amp;IF(AF239&lt;&gt;"","£"&amp;IF(AF239=INT(AF239),TEXT(AF239,"0"),TEXT(AF239,"0.00")),"[PRICE PER PLAYER]")&amp;" a player and we handle the pitch booking, sign-ups and payments, so all it takes is one person sharing a link with the team."&amp;CHAR(10)&amp;CHAR(10)&amp;"It works well as a team social or "&amp;IF(ISNUMBER(SEARCH(LEFT(F239,1),"AEIOU")),"an ","a ")&amp;F239&amp;"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LINK]")&amp;CHAR(10)&amp;CHAR(10)&amp;"Best,"&amp;CHAR(10)&amp;IF(AM239&lt;&gt;"",AM239,IF(Offer!$C$5&lt;&gt;"",Offer!$C$5,"[NAME]"))&amp;CHAR(10)&amp;"FC Urban"</f>
        <v/>
      </c>
      <c r="AK239" s="14">
        <f>"Hi "&amp;IF(R239&lt;&gt;"",R239,F239&amp;" team")&amp;","&amp;CHAR(10)&amp;CHAR(10)&amp;"Just bumping this up. The "&amp;AE239&amp;" pitch at "&amp;Z239&amp;" is still free "&amp;IF(ISNUMBER(AD239),TEXT(AD239,"ddd d mmm")&amp;", "&amp;TEXT(AD239,"hh:mm"),"weekday evenings")&amp;", "&amp;IF(OR(AA239=8,AA239=11,AA239=18),"an ","a ")&amp;AA239&amp;"-minute walk from your office, "&amp;IF(AF239&lt;&gt;"","£"&amp;IF(AF239=INT(AF239),TEXT(AF239,"0"),TEXT(AF239,"0.00")),"[PRICE PER PLAYER]")&amp;" a player. Happy to hold it for "&amp;F239&amp;"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LINK]")&amp;CHAR(10)&amp;CHAR(10)&amp;"Best,"&amp;CHAR(10)&amp;IF(AM239&lt;&gt;"",AM239,IF(Offer!$C$5&lt;&gt;"",Offer!$C$5,"[NAME]"))&amp;CHAR(10)&amp;"FC Urban"</f>
        <v/>
      </c>
      <c r="AL239" s="14">
        <f>IF(AH239="","No email yet",IF(ISNUMBER(SEARCH("[",AJ239)),"Fill placeholders",IF(ISNUMBER(AD239),"Ready to send","Ready · no fixed slot")))</f>
        <v/>
      </c>
      <c r="AO239" s="17" t="n"/>
      <c r="AP239" s="17" t="n"/>
    </row>
    <row r="240">
      <c r="A240" s="11" t="n">
        <v>238</v>
      </c>
      <c r="B240" s="11" t="n">
        <v>3</v>
      </c>
      <c r="C240" s="11" t="inlineStr">
        <is>
          <t>Fund / asset manager</t>
        </is>
      </c>
      <c r="D240" s="11" t="inlineStr">
        <is>
          <t>City of London</t>
        </is>
      </c>
      <c r="E240" s="11" t="inlineStr">
        <is>
          <t>Helford Capital Partners LLP</t>
        </is>
      </c>
      <c r="F240" s="11" t="inlineStr">
        <is>
          <t>Helford Capital Partners</t>
        </is>
      </c>
      <c r="G240" s="12" t="inlineStr">
        <is>
          <t>https://www.helfordcapitalpartners.com</t>
        </is>
      </c>
      <c r="H240" s="11" t="inlineStr">
        <is>
          <t>info@helfordcapitalpartners.com</t>
        </is>
      </c>
      <c r="I240" s="11" t="inlineStr">
        <is>
          <t>general</t>
        </is>
      </c>
      <c r="J240" s="12" t="inlineStr">
        <is>
          <t>Open page</t>
        </is>
      </c>
      <c r="K240" s="11" t="inlineStr">
        <is>
          <t>OC374783</t>
        </is>
      </c>
      <c r="L240" s="12" t="inlineStr">
        <is>
          <t>Open</t>
        </is>
      </c>
      <c r="M240" s="11" t="inlineStr">
        <is>
          <t>Medium</t>
        </is>
      </c>
      <c r="N240" s="13" t="n">
        <v>41026</v>
      </c>
      <c r="O240" s="11" t="inlineStr">
        <is>
          <t>128 City Road, London</t>
        </is>
      </c>
      <c r="P240" s="11" t="inlineStr">
        <is>
          <t>EC1V 2NX</t>
        </is>
      </c>
      <c r="Q240" s="11" t="inlineStr">
        <is>
          <t>No</t>
        </is>
      </c>
      <c r="W240" s="11" t="inlineStr">
        <is>
          <t>Finsbury Leisure Centre (EC1V 3PU)</t>
        </is>
      </c>
      <c r="X240" s="11" t="n">
        <v>7</v>
      </c>
      <c r="Y240" s="11" t="inlineStr">
        <is>
          <t>Old St - Moreland Primary School (10.8); Shoreditch Rooftop (14)</t>
        </is>
      </c>
      <c r="Z240" s="11" t="inlineStr">
        <is>
          <t>Old St - Moreland Primary School</t>
        </is>
      </c>
      <c r="AA240" s="11" t="n">
        <v>11</v>
      </c>
      <c r="AB240" s="14">
        <f>IFERROR(INDEX(Venues!$E$2:$E$17,MATCH(Z240,Venues!$A$2:$A$17,0)),"Not checked")</f>
        <v/>
      </c>
      <c r="AC240" s="14">
        <f>IFERROR(INDEX(Venues!$F$2:$F$17,MATCH(Z240,Venues!$A$2:$A$17,0)),0)</f>
        <v/>
      </c>
      <c r="AD240" s="15">
        <f>IFERROR(INDEX(Venues!$M$2:$M$17,MATCH(Z240,Venues!$A$2:$A$17,0)),"")</f>
        <v/>
      </c>
      <c r="AE240" s="14">
        <f>IFERROR(INDEX(Venues!$N$2:$N$17,MATCH(Z240,Venues!$A$2:$A$17,0)),"5-a-side")</f>
        <v/>
      </c>
      <c r="AF240" s="16">
        <f>IF(Offer!$C$4="","",Offer!$C$4)</f>
        <v/>
      </c>
      <c r="AG240" s="14">
        <f>Z240&amp;" ("&amp;AA240&amp;" min walk) · "&amp;IF(ISNUMBER(AD240),TEXT(AD240,"ddd d mmm, hh:mm"),"slot to confirm with venue")&amp;" · "&amp;AE240&amp;" · "&amp;IF(AF240&lt;&gt;"","£"&amp;TEXT(AF240,"0.00")&amp;" pp","price TBC")</f>
        <v/>
      </c>
      <c r="AH240" s="14">
        <f>IF(U240&lt;&gt;"",U240,IF(H240&lt;&gt;"",H240,""))</f>
        <v/>
      </c>
      <c r="AI240" s="14">
        <f>"After-work football for "&amp;F240&amp;" · "&amp;Z240&amp;", "&amp;AA240&amp;" min from your office"</f>
        <v/>
      </c>
      <c r="AJ240" s="14">
        <f>"Hi "&amp;IF(R240&lt;&gt;"",R240,F240&amp;" team")&amp;","&amp;CHAR(10)&amp;CHAR(10)&amp;"I'm "&amp;IF(AM240&lt;&gt;"",AM240,IF(Offer!$C$5&lt;&gt;"",Offer!$C$5,"[NAME]"))&amp;" from FC Urban. We organise after-work football for teams in the City and Canary Wharf."&amp;CHAR(10)&amp;CHAR(10)&amp;"We have a "&amp;AE240&amp;" pitch at "&amp;Z240&amp;", "&amp;IF(OR(AA240=8,AA240=11,AA240=18),"an ","a ")&amp;AA240&amp;"-minute walk from your "&amp;P240&amp;" office, "&amp;IF(ISNUMBER(AD240),"on "&amp;TEXT(AD240,"dddd d mmmm")&amp;" at "&amp;TEXT(AD240,"hh:mm"),"on a weekday evening that suits your team")&amp;". It's "&amp;IF(AF240&lt;&gt;"","£"&amp;IF(AF240=INT(AF240),TEXT(AF240,"0"),TEXT(AF240,"0.00")),"[PRICE PER PLAYER]")&amp;" a player and we handle the pitch booking, sign-ups and payments, so all it takes is one person sharing a link with the team."&amp;CHAR(10)&amp;CHAR(10)&amp;"It works well as a team social or "&amp;IF(ISNUMBER(SEARCH(LEFT(F240,1),"AEIOU")),"an ","a ")&amp;F240&amp;"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LINK]")&amp;CHAR(10)&amp;CHAR(10)&amp;"Best,"&amp;CHAR(10)&amp;IF(AM240&lt;&gt;"",AM240,IF(Offer!$C$5&lt;&gt;"",Offer!$C$5,"[NAME]"))&amp;CHAR(10)&amp;"FC Urban"</f>
        <v/>
      </c>
      <c r="AK240" s="14">
        <f>"Hi "&amp;IF(R240&lt;&gt;"",R240,F240&amp;" team")&amp;","&amp;CHAR(10)&amp;CHAR(10)&amp;"Just bumping this up. The "&amp;AE240&amp;" pitch at "&amp;Z240&amp;" is still free "&amp;IF(ISNUMBER(AD240),TEXT(AD240,"ddd d mmm")&amp;", "&amp;TEXT(AD240,"hh:mm"),"weekday evenings")&amp;", "&amp;IF(OR(AA240=8,AA240=11,AA240=18),"an ","a ")&amp;AA240&amp;"-minute walk from your office, "&amp;IF(AF240&lt;&gt;"","£"&amp;IF(AF240=INT(AF240),TEXT(AF240,"0"),TEXT(AF240,"0.00")),"[PRICE PER PLAYER]")&amp;" a player. Happy to hold it for "&amp;F240&amp;"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LINK]")&amp;CHAR(10)&amp;CHAR(10)&amp;"Best,"&amp;CHAR(10)&amp;IF(AM240&lt;&gt;"",AM240,IF(Offer!$C$5&lt;&gt;"",Offer!$C$5,"[NAME]"))&amp;CHAR(10)&amp;"FC Urban"</f>
        <v/>
      </c>
      <c r="AL240" s="14">
        <f>IF(AH240="","No email yet",IF(ISNUMBER(SEARCH("[",AJ240)),"Fill placeholders",IF(ISNUMBER(AD240),"Ready to send","Ready · no fixed slot")))</f>
        <v/>
      </c>
      <c r="AO240" s="17" t="n"/>
      <c r="AP240" s="17" t="n"/>
    </row>
    <row r="241">
      <c r="A241" s="11" t="n">
        <v>239</v>
      </c>
      <c r="B241" s="11" t="n">
        <v>3</v>
      </c>
      <c r="C241" s="11" t="inlineStr">
        <is>
          <t>Fund / asset manager</t>
        </is>
      </c>
      <c r="D241" s="11" t="inlineStr">
        <is>
          <t>City of London</t>
        </is>
      </c>
      <c r="E241" s="11" t="inlineStr">
        <is>
          <t>Global Insight Solutions Limited</t>
        </is>
      </c>
      <c r="F241" s="11" t="inlineStr">
        <is>
          <t>Global Insight Solutions</t>
        </is>
      </c>
      <c r="G241" s="12" t="inlineStr">
        <is>
          <t>https://insightsolutions.com</t>
        </is>
      </c>
      <c r="H241" s="11" t="inlineStr">
        <is>
          <t>contact@insightsolutions.com</t>
        </is>
      </c>
      <c r="I241" s="11" t="inlineStr">
        <is>
          <t>general</t>
        </is>
      </c>
      <c r="J241" s="12" t="inlineStr">
        <is>
          <t>Open page</t>
        </is>
      </c>
      <c r="K241" s="11" t="inlineStr">
        <is>
          <t>15446806</t>
        </is>
      </c>
      <c r="L241" s="12" t="inlineStr">
        <is>
          <t>Open</t>
        </is>
      </c>
      <c r="M241" s="11" t="inlineStr">
        <is>
          <t>Full</t>
        </is>
      </c>
      <c r="N241" s="13" t="n">
        <v>45318</v>
      </c>
      <c r="O241" s="11" t="inlineStr">
        <is>
          <t>128 City Road, London</t>
        </is>
      </c>
      <c r="P241" s="11" t="inlineStr">
        <is>
          <t>EC1V 2NX</t>
        </is>
      </c>
      <c r="Q241" s="11" t="inlineStr">
        <is>
          <t>No</t>
        </is>
      </c>
      <c r="W241" s="11" t="inlineStr">
        <is>
          <t>Finsbury Leisure Centre (EC1V 3PU)</t>
        </is>
      </c>
      <c r="X241" s="11" t="n">
        <v>7</v>
      </c>
      <c r="Y241" s="11" t="inlineStr">
        <is>
          <t>Old St - Moreland Primary School (10.8); Shoreditch Rooftop (14)</t>
        </is>
      </c>
      <c r="Z241" s="11" t="inlineStr">
        <is>
          <t>Old St - Moreland Primary School</t>
        </is>
      </c>
      <c r="AA241" s="11" t="n">
        <v>11</v>
      </c>
      <c r="AB241" s="14">
        <f>IFERROR(INDEX(Venues!$E$2:$E$17,MATCH(Z241,Venues!$A$2:$A$17,0)),"Not checked")</f>
        <v/>
      </c>
      <c r="AC241" s="14">
        <f>IFERROR(INDEX(Venues!$F$2:$F$17,MATCH(Z241,Venues!$A$2:$A$17,0)),0)</f>
        <v/>
      </c>
      <c r="AD241" s="15">
        <f>IFERROR(INDEX(Venues!$M$2:$M$17,MATCH(Z241,Venues!$A$2:$A$17,0)),"")</f>
        <v/>
      </c>
      <c r="AE241" s="14">
        <f>IFERROR(INDEX(Venues!$N$2:$N$17,MATCH(Z241,Venues!$A$2:$A$17,0)),"5-a-side")</f>
        <v/>
      </c>
      <c r="AF241" s="16">
        <f>IF(Offer!$C$4="","",Offer!$C$4)</f>
        <v/>
      </c>
      <c r="AG241" s="14">
        <f>Z241&amp;" ("&amp;AA241&amp;" min walk) · "&amp;IF(ISNUMBER(AD241),TEXT(AD241,"ddd d mmm, hh:mm"),"slot to confirm with venue")&amp;" · "&amp;AE241&amp;" · "&amp;IF(AF241&lt;&gt;"","£"&amp;TEXT(AF241,"0.00")&amp;" pp","price TBC")</f>
        <v/>
      </c>
      <c r="AH241" s="14">
        <f>IF(U241&lt;&gt;"",U241,IF(H241&lt;&gt;"",H241,""))</f>
        <v/>
      </c>
      <c r="AI241" s="14">
        <f>"After-work football for "&amp;F241&amp;" · "&amp;Z241&amp;", "&amp;AA241&amp;" min from your office"</f>
        <v/>
      </c>
      <c r="AJ241" s="14">
        <f>"Hi "&amp;IF(R241&lt;&gt;"",R241,F241&amp;" team")&amp;","&amp;CHAR(10)&amp;CHAR(10)&amp;"I'm "&amp;IF(AM241&lt;&gt;"",AM241,IF(Offer!$C$5&lt;&gt;"",Offer!$C$5,"[NAME]"))&amp;" from FC Urban. We organise after-work football for teams in the City and Canary Wharf."&amp;CHAR(10)&amp;CHAR(10)&amp;"We have a "&amp;AE241&amp;" pitch at "&amp;Z241&amp;", "&amp;IF(OR(AA241=8,AA241=11,AA241=18),"an ","a ")&amp;AA241&amp;"-minute walk from your "&amp;P241&amp;" office, "&amp;IF(ISNUMBER(AD241),"on "&amp;TEXT(AD241,"dddd d mmmm")&amp;" at "&amp;TEXT(AD241,"hh:mm"),"on a weekday evening that suits your team")&amp;". It's "&amp;IF(AF241&lt;&gt;"","£"&amp;IF(AF241=INT(AF241),TEXT(AF241,"0"),TEXT(AF241,"0.00")),"[PRICE PER PLAYER]")&amp;" a player and we handle the pitch booking, sign-ups and payments, so all it takes is one person sharing a link with the team."&amp;CHAR(10)&amp;CHAR(10)&amp;"It works well as a team social or "&amp;IF(ISNUMBER(SEARCH(LEFT(F241,1),"AEIOU")),"an ","a ")&amp;F241&amp;"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LINK]")&amp;CHAR(10)&amp;CHAR(10)&amp;"Best,"&amp;CHAR(10)&amp;IF(AM241&lt;&gt;"",AM241,IF(Offer!$C$5&lt;&gt;"",Offer!$C$5,"[NAME]"))&amp;CHAR(10)&amp;"FC Urban"</f>
        <v/>
      </c>
      <c r="AK241" s="14">
        <f>"Hi "&amp;IF(R241&lt;&gt;"",R241,F241&amp;" team")&amp;","&amp;CHAR(10)&amp;CHAR(10)&amp;"Just bumping this up. The "&amp;AE241&amp;" pitch at "&amp;Z241&amp;" is still free "&amp;IF(ISNUMBER(AD241),TEXT(AD241,"ddd d mmm")&amp;", "&amp;TEXT(AD241,"hh:mm"),"weekday evenings")&amp;", "&amp;IF(OR(AA241=8,AA241=11,AA241=18),"an ","a ")&amp;AA241&amp;"-minute walk from your office, "&amp;IF(AF241&lt;&gt;"","£"&amp;IF(AF241=INT(AF241),TEXT(AF241,"0"),TEXT(AF241,"0.00")),"[PRICE PER PLAYER]")&amp;" a player. Happy to hold it for "&amp;F241&amp;"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LINK]")&amp;CHAR(10)&amp;CHAR(10)&amp;"Best,"&amp;CHAR(10)&amp;IF(AM241&lt;&gt;"",AM241,IF(Offer!$C$5&lt;&gt;"",Offer!$C$5,"[NAME]"))&amp;CHAR(10)&amp;"FC Urban"</f>
        <v/>
      </c>
      <c r="AL241" s="14">
        <f>IF(AH241="","No email yet",IF(ISNUMBER(SEARCH("[",AJ241)),"Fill placeholders",IF(ISNUMBER(AD241),"Ready to send","Ready · no fixed slot")))</f>
        <v/>
      </c>
      <c r="AO241" s="17" t="n"/>
      <c r="AP241" s="17" t="n"/>
    </row>
    <row r="242">
      <c r="A242" s="11" t="n">
        <v>240</v>
      </c>
      <c r="B242" s="11" t="n">
        <v>3</v>
      </c>
      <c r="C242" s="11" t="inlineStr">
        <is>
          <t>Fund / asset manager</t>
        </is>
      </c>
      <c r="D242" s="11" t="inlineStr">
        <is>
          <t>City of London</t>
        </is>
      </c>
      <c r="E242" s="11" t="inlineStr">
        <is>
          <t>LBV Asset Management LLP</t>
        </is>
      </c>
      <c r="F242" s="11" t="inlineStr">
        <is>
          <t>LBV Asset Management</t>
        </is>
      </c>
      <c r="G242" s="12" t="inlineStr">
        <is>
          <t>https://www.lbv.co.uk</t>
        </is>
      </c>
      <c r="H242" s="11" t="inlineStr">
        <is>
          <t>voice@lbv.co.uk</t>
        </is>
      </c>
      <c r="I242" s="11" t="inlineStr">
        <is>
          <t>named person</t>
        </is>
      </c>
      <c r="J242" s="12" t="inlineStr">
        <is>
          <t>Open page</t>
        </is>
      </c>
      <c r="K242" s="11" t="inlineStr">
        <is>
          <t>OC335914</t>
        </is>
      </c>
      <c r="L242" s="12" t="inlineStr">
        <is>
          <t>Open</t>
        </is>
      </c>
      <c r="M242" s="11" t="inlineStr">
        <is>
          <t>Full</t>
        </is>
      </c>
      <c r="N242" s="13" t="n">
        <v>39532</v>
      </c>
      <c r="O242" s="11" t="inlineStr">
        <is>
          <t>124 City Road, London</t>
        </is>
      </c>
      <c r="P242" s="11" t="inlineStr">
        <is>
          <t>EC1V 2NX</t>
        </is>
      </c>
      <c r="Q242" s="11" t="inlineStr">
        <is>
          <t>No</t>
        </is>
      </c>
      <c r="W242" s="11" t="inlineStr">
        <is>
          <t>Finsbury Leisure Centre (EC1V 3PU)</t>
        </is>
      </c>
      <c r="X242" s="11" t="n">
        <v>7</v>
      </c>
      <c r="Y242" s="11" t="inlineStr">
        <is>
          <t>Old St - Moreland Primary School (10.8); Shoreditch Rooftop (14)</t>
        </is>
      </c>
      <c r="Z242" s="11" t="inlineStr">
        <is>
          <t>Old St - Moreland Primary School</t>
        </is>
      </c>
      <c r="AA242" s="11" t="n">
        <v>11</v>
      </c>
      <c r="AB242" s="14">
        <f>IFERROR(INDEX(Venues!$E$2:$E$17,MATCH(Z242,Venues!$A$2:$A$17,0)),"Not checked")</f>
        <v/>
      </c>
      <c r="AC242" s="14">
        <f>IFERROR(INDEX(Venues!$F$2:$F$17,MATCH(Z242,Venues!$A$2:$A$17,0)),0)</f>
        <v/>
      </c>
      <c r="AD242" s="15">
        <f>IFERROR(INDEX(Venues!$M$2:$M$17,MATCH(Z242,Venues!$A$2:$A$17,0)),"")</f>
        <v/>
      </c>
      <c r="AE242" s="14">
        <f>IFERROR(INDEX(Venues!$N$2:$N$17,MATCH(Z242,Venues!$A$2:$A$17,0)),"5-a-side")</f>
        <v/>
      </c>
      <c r="AF242" s="16">
        <f>IF(Offer!$C$4="","",Offer!$C$4)</f>
        <v/>
      </c>
      <c r="AG242" s="14">
        <f>Z242&amp;" ("&amp;AA242&amp;" min walk) · "&amp;IF(ISNUMBER(AD242),TEXT(AD242,"ddd d mmm, hh:mm"),"slot to confirm with venue")&amp;" · "&amp;AE242&amp;" · "&amp;IF(AF242&lt;&gt;"","£"&amp;TEXT(AF242,"0.00")&amp;" pp","price TBC")</f>
        <v/>
      </c>
      <c r="AH242" s="14">
        <f>IF(U242&lt;&gt;"",U242,IF(H242&lt;&gt;"",H242,""))</f>
        <v/>
      </c>
      <c r="AI242" s="14">
        <f>"After-work football for "&amp;F242&amp;" · "&amp;Z242&amp;", "&amp;AA242&amp;" min from your office"</f>
        <v/>
      </c>
      <c r="AJ242" s="14">
        <f>"Hi "&amp;IF(R242&lt;&gt;"",R242,F242&amp;" team")&amp;","&amp;CHAR(10)&amp;CHAR(10)&amp;"I'm "&amp;IF(AM242&lt;&gt;"",AM242,IF(Offer!$C$5&lt;&gt;"",Offer!$C$5,"[NAME]"))&amp;" from FC Urban. We organise after-work football for teams in the City and Canary Wharf."&amp;CHAR(10)&amp;CHAR(10)&amp;"We have a "&amp;AE242&amp;" pitch at "&amp;Z242&amp;", "&amp;IF(OR(AA242=8,AA242=11,AA242=18),"an ","a ")&amp;AA242&amp;"-minute walk from your "&amp;P242&amp;" office, "&amp;IF(ISNUMBER(AD242),"on "&amp;TEXT(AD242,"dddd d mmmm")&amp;" at "&amp;TEXT(AD242,"hh:mm"),"on a weekday evening that suits your team")&amp;". It's "&amp;IF(AF242&lt;&gt;"","£"&amp;IF(AF242=INT(AF242),TEXT(AF242,"0"),TEXT(AF242,"0.00")),"[PRICE PER PLAYER]")&amp;" a player and we handle the pitch booking, sign-ups and payments, so all it takes is one person sharing a link with the team."&amp;CHAR(10)&amp;CHAR(10)&amp;"It works well as a team social or "&amp;IF(ISNUMBER(SEARCH(LEFT(F242,1),"AEIOU")),"an ","a ")&amp;F242&amp;"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LINK]")&amp;CHAR(10)&amp;CHAR(10)&amp;"Best,"&amp;CHAR(10)&amp;IF(AM242&lt;&gt;"",AM242,IF(Offer!$C$5&lt;&gt;"",Offer!$C$5,"[NAME]"))&amp;CHAR(10)&amp;"FC Urban"</f>
        <v/>
      </c>
      <c r="AK242" s="14">
        <f>"Hi "&amp;IF(R242&lt;&gt;"",R242,F242&amp;" team")&amp;","&amp;CHAR(10)&amp;CHAR(10)&amp;"Just bumping this up. The "&amp;AE242&amp;" pitch at "&amp;Z242&amp;" is still free "&amp;IF(ISNUMBER(AD242),TEXT(AD242,"ddd d mmm")&amp;", "&amp;TEXT(AD242,"hh:mm"),"weekday evenings")&amp;", "&amp;IF(OR(AA242=8,AA242=11,AA242=18),"an ","a ")&amp;AA242&amp;"-minute walk from your office, "&amp;IF(AF242&lt;&gt;"","£"&amp;IF(AF242=INT(AF242),TEXT(AF242,"0"),TEXT(AF242,"0.00")),"[PRICE PER PLAYER]")&amp;" a player. Happy to hold it for "&amp;F242&amp;"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LINK]")&amp;CHAR(10)&amp;CHAR(10)&amp;"Best,"&amp;CHAR(10)&amp;IF(AM242&lt;&gt;"",AM242,IF(Offer!$C$5&lt;&gt;"",Offer!$C$5,"[NAME]"))&amp;CHAR(10)&amp;"FC Urban"</f>
        <v/>
      </c>
      <c r="AL242" s="14">
        <f>IF(AH242="","No email yet",IF(ISNUMBER(SEARCH("[",AJ242)),"Fill placeholders",IF(ISNUMBER(AD242),"Ready to send","Ready · no fixed slot")))</f>
        <v/>
      </c>
      <c r="AO242" s="17" t="n"/>
      <c r="AP242" s="17" t="n"/>
    </row>
    <row r="243">
      <c r="A243" s="11" t="n">
        <v>241</v>
      </c>
      <c r="B243" s="11" t="n">
        <v>3</v>
      </c>
      <c r="C243" s="11" t="inlineStr">
        <is>
          <t>Fund / asset manager</t>
        </is>
      </c>
      <c r="D243" s="11" t="inlineStr">
        <is>
          <t>City of London</t>
        </is>
      </c>
      <c r="E243" s="11" t="inlineStr">
        <is>
          <t>Verso Investment Management LLP</t>
        </is>
      </c>
      <c r="F243" s="11" t="inlineStr">
        <is>
          <t>Verso Investment Management</t>
        </is>
      </c>
      <c r="G243" s="12" t="inlineStr">
        <is>
          <t>https://www.verso.com</t>
        </is>
      </c>
      <c r="H243" s="11" t="inlineStr">
        <is>
          <t>info@versoim.com</t>
        </is>
      </c>
      <c r="I243" s="11" t="inlineStr">
        <is>
          <t>general</t>
        </is>
      </c>
      <c r="J243" s="12" t="inlineStr">
        <is>
          <t>Open page</t>
        </is>
      </c>
      <c r="K243" s="11" t="inlineStr">
        <is>
          <t>OC351100</t>
        </is>
      </c>
      <c r="L243" s="12" t="inlineStr">
        <is>
          <t>Open</t>
        </is>
      </c>
      <c r="M243" s="11" t="inlineStr">
        <is>
          <t>Full</t>
        </is>
      </c>
      <c r="N243" s="13" t="n">
        <v>40170</v>
      </c>
      <c r="O243" s="11" t="inlineStr">
        <is>
          <t>Cannon Place, 78 Cannon Street, London</t>
        </is>
      </c>
      <c r="P243" s="11" t="inlineStr">
        <is>
          <t>EC4N 6HL</t>
        </is>
      </c>
      <c r="Q243" s="11" t="inlineStr">
        <is>
          <t>No</t>
        </is>
      </c>
      <c r="W243" s="11" t="inlineStr">
        <is>
          <t>City of London School (EC4V 3AL)</t>
        </is>
      </c>
      <c r="X243" s="11" t="n">
        <v>11</v>
      </c>
      <c r="Y243" s="11" t="inlineStr">
        <is>
          <t>Marlborough Sports Garden (SE1 1SD) (14.7)</t>
        </is>
      </c>
      <c r="Z243" s="11" t="inlineStr">
        <is>
          <t>City of London School (EC4V 3AL)</t>
        </is>
      </c>
      <c r="AA243" s="11" t="n">
        <v>11</v>
      </c>
      <c r="AB243" s="14">
        <f>IFERROR(INDEX(Venues!$E$2:$E$17,MATCH(Z243,Venues!$A$2:$A$17,0)),"Not checked")</f>
        <v/>
      </c>
      <c r="AC243" s="14">
        <f>IFERROR(INDEX(Venues!$F$2:$F$17,MATCH(Z243,Venues!$A$2:$A$17,0)),0)</f>
        <v/>
      </c>
      <c r="AD243" s="15">
        <f>IFERROR(INDEX(Venues!$M$2:$M$17,MATCH(Z243,Venues!$A$2:$A$17,0)),"")</f>
        <v/>
      </c>
      <c r="AE243" s="14">
        <f>IFERROR(INDEX(Venues!$N$2:$N$17,MATCH(Z243,Venues!$A$2:$A$17,0)),"5-a-side")</f>
        <v/>
      </c>
      <c r="AF243" s="16">
        <f>IF(Offer!$C$4="","",Offer!$C$4)</f>
        <v/>
      </c>
      <c r="AG243" s="14">
        <f>Z243&amp;" ("&amp;AA243&amp;" min walk) · "&amp;IF(ISNUMBER(AD243),TEXT(AD243,"ddd d mmm, hh:mm"),"slot to confirm with venue")&amp;" · "&amp;AE243&amp;" · "&amp;IF(AF243&lt;&gt;"","£"&amp;TEXT(AF243,"0.00")&amp;" pp","price TBC")</f>
        <v/>
      </c>
      <c r="AH243" s="14">
        <f>IF(U243&lt;&gt;"",U243,IF(H243&lt;&gt;"",H243,""))</f>
        <v/>
      </c>
      <c r="AI243" s="14">
        <f>"After-work football for "&amp;F243&amp;" · "&amp;Z243&amp;", "&amp;AA243&amp;" min from your office"</f>
        <v/>
      </c>
      <c r="AJ243" s="14">
        <f>"Hi "&amp;IF(R243&lt;&gt;"",R243,F243&amp;" team")&amp;","&amp;CHAR(10)&amp;CHAR(10)&amp;"I'm "&amp;IF(AM243&lt;&gt;"",AM243,IF(Offer!$C$5&lt;&gt;"",Offer!$C$5,"[NAME]"))&amp;" from FC Urban. We organise after-work football for teams in the City and Canary Wharf."&amp;CHAR(10)&amp;CHAR(10)&amp;"We have a "&amp;AE243&amp;" pitch at "&amp;Z243&amp;", "&amp;IF(OR(AA243=8,AA243=11,AA243=18),"an ","a ")&amp;AA243&amp;"-minute walk from your "&amp;P243&amp;" office, "&amp;IF(ISNUMBER(AD243),"on "&amp;TEXT(AD243,"dddd d mmmm")&amp;" at "&amp;TEXT(AD243,"hh:mm"),"on a weekday evening that suits your team")&amp;". It's "&amp;IF(AF243&lt;&gt;"","£"&amp;IF(AF243=INT(AF243),TEXT(AF243,"0"),TEXT(AF243,"0.00")),"[PRICE PER PLAYER]")&amp;" a player and we handle the pitch booking, sign-ups and payments, so all it takes is one person sharing a link with the team."&amp;CHAR(10)&amp;CHAR(10)&amp;"It works well as a team social or "&amp;IF(ISNUMBER(SEARCH(LEFT(F243,1),"AEIOU")),"an ","a ")&amp;F243&amp;"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LINK]")&amp;CHAR(10)&amp;CHAR(10)&amp;"Best,"&amp;CHAR(10)&amp;IF(AM243&lt;&gt;"",AM243,IF(Offer!$C$5&lt;&gt;"",Offer!$C$5,"[NAME]"))&amp;CHAR(10)&amp;"FC Urban"</f>
        <v/>
      </c>
      <c r="AK243" s="14">
        <f>"Hi "&amp;IF(R243&lt;&gt;"",R243,F243&amp;" team")&amp;","&amp;CHAR(10)&amp;CHAR(10)&amp;"Just bumping this up. The "&amp;AE243&amp;" pitch at "&amp;Z243&amp;" is still free "&amp;IF(ISNUMBER(AD243),TEXT(AD243,"ddd d mmm")&amp;", "&amp;TEXT(AD243,"hh:mm"),"weekday evenings")&amp;", "&amp;IF(OR(AA243=8,AA243=11,AA243=18),"an ","a ")&amp;AA243&amp;"-minute walk from your office, "&amp;IF(AF243&lt;&gt;"","£"&amp;IF(AF243=INT(AF243),TEXT(AF243,"0"),TEXT(AF243,"0.00")),"[PRICE PER PLAYER]")&amp;" a player. Happy to hold it for "&amp;F243&amp;"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LINK]")&amp;CHAR(10)&amp;CHAR(10)&amp;"Best,"&amp;CHAR(10)&amp;IF(AM243&lt;&gt;"",AM243,IF(Offer!$C$5&lt;&gt;"",Offer!$C$5,"[NAME]"))&amp;CHAR(10)&amp;"FC Urban"</f>
        <v/>
      </c>
      <c r="AL243" s="14">
        <f>IF(AH243="","No email yet",IF(ISNUMBER(SEARCH("[",AJ243)),"Fill placeholders",IF(ISNUMBER(AD243),"Ready to send","Ready · no fixed slot")))</f>
        <v/>
      </c>
      <c r="AO243" s="17" t="n"/>
      <c r="AP243" s="17" t="n"/>
    </row>
    <row r="244">
      <c r="A244" s="11" t="n">
        <v>242</v>
      </c>
      <c r="B244" s="11" t="n">
        <v>3</v>
      </c>
      <c r="C244" s="11" t="inlineStr">
        <is>
          <t>Insurance / broker</t>
        </is>
      </c>
      <c r="D244" s="11" t="inlineStr">
        <is>
          <t>City of London</t>
        </is>
      </c>
      <c r="E244" s="11" t="inlineStr">
        <is>
          <t>Municipal Mutual Insurance Limited</t>
        </is>
      </c>
      <c r="F244" s="11" t="inlineStr">
        <is>
          <t>Municipal Mutual Insurance</t>
        </is>
      </c>
      <c r="G244" s="12" t="inlineStr">
        <is>
          <t>https://www.mminsurance.co.uk</t>
        </is>
      </c>
      <c r="H244" s="11" t="inlineStr">
        <is>
          <t>enquiries@mminsurance.co.uk</t>
        </is>
      </c>
      <c r="I244" s="11" t="inlineStr">
        <is>
          <t>general</t>
        </is>
      </c>
      <c r="J244" s="12" t="inlineStr">
        <is>
          <t>Open page</t>
        </is>
      </c>
      <c r="K244" s="11" t="inlineStr">
        <is>
          <t>00076678</t>
        </is>
      </c>
      <c r="L244" s="12" t="inlineStr">
        <is>
          <t>Open</t>
        </is>
      </c>
      <c r="M244" s="11" t="inlineStr">
        <is>
          <t>Full</t>
        </is>
      </c>
      <c r="N244" s="13" t="n">
        <v>1168</v>
      </c>
      <c r="O244" s="11" t="inlineStr">
        <is>
          <t>11 Ironmonger Lane, London</t>
        </is>
      </c>
      <c r="P244" s="11" t="inlineStr">
        <is>
          <t>EC2V 8EY</t>
        </is>
      </c>
      <c r="Q244" s="11" t="inlineStr">
        <is>
          <t>No</t>
        </is>
      </c>
      <c r="W244" s="11" t="inlineStr">
        <is>
          <t>City of London School (EC4V 3AL)</t>
        </is>
      </c>
      <c r="X244" s="11" t="n">
        <v>11</v>
      </c>
      <c r="Y244" s="11" t="n"/>
      <c r="Z244" s="11" t="inlineStr">
        <is>
          <t>City of London School (EC4V 3AL)</t>
        </is>
      </c>
      <c r="AA244" s="11" t="n">
        <v>11</v>
      </c>
      <c r="AB244" s="14">
        <f>IFERROR(INDEX(Venues!$E$2:$E$17,MATCH(Z244,Venues!$A$2:$A$17,0)),"Not checked")</f>
        <v/>
      </c>
      <c r="AC244" s="14">
        <f>IFERROR(INDEX(Venues!$F$2:$F$17,MATCH(Z244,Venues!$A$2:$A$17,0)),0)</f>
        <v/>
      </c>
      <c r="AD244" s="15">
        <f>IFERROR(INDEX(Venues!$M$2:$M$17,MATCH(Z244,Venues!$A$2:$A$17,0)),"")</f>
        <v/>
      </c>
      <c r="AE244" s="14">
        <f>IFERROR(INDEX(Venues!$N$2:$N$17,MATCH(Z244,Venues!$A$2:$A$17,0)),"5-a-side")</f>
        <v/>
      </c>
      <c r="AF244" s="16">
        <f>IF(Offer!$C$4="","",Offer!$C$4)</f>
        <v/>
      </c>
      <c r="AG244" s="14">
        <f>Z244&amp;" ("&amp;AA244&amp;" min walk) · "&amp;IF(ISNUMBER(AD244),TEXT(AD244,"ddd d mmm, hh:mm"),"slot to confirm with venue")&amp;" · "&amp;AE244&amp;" · "&amp;IF(AF244&lt;&gt;"","£"&amp;TEXT(AF244,"0.00")&amp;" pp","price TBC")</f>
        <v/>
      </c>
      <c r="AH244" s="14">
        <f>IF(U244&lt;&gt;"",U244,IF(H244&lt;&gt;"",H244,""))</f>
        <v/>
      </c>
      <c r="AI244" s="14">
        <f>"After-work football for "&amp;F244&amp;" · "&amp;Z244&amp;", "&amp;AA244&amp;" min from your office"</f>
        <v/>
      </c>
      <c r="AJ244" s="14">
        <f>"Hi "&amp;IF(R244&lt;&gt;"",R244,F244&amp;" team")&amp;","&amp;CHAR(10)&amp;CHAR(10)&amp;"I'm "&amp;IF(AM244&lt;&gt;"",AM244,IF(Offer!$C$5&lt;&gt;"",Offer!$C$5,"[NAME]"))&amp;" from FC Urban. We organise after-work football for teams in the City and Canary Wharf."&amp;CHAR(10)&amp;CHAR(10)&amp;"We have a "&amp;AE244&amp;" pitch at "&amp;Z244&amp;", "&amp;IF(OR(AA244=8,AA244=11,AA244=18),"an ","a ")&amp;AA244&amp;"-minute walk from your "&amp;P244&amp;" office, "&amp;IF(ISNUMBER(AD244),"on "&amp;TEXT(AD244,"dddd d mmmm")&amp;" at "&amp;TEXT(AD244,"hh:mm"),"on a weekday evening that suits your team")&amp;". It's "&amp;IF(AF244&lt;&gt;"","£"&amp;IF(AF244=INT(AF244),TEXT(AF244,"0"),TEXT(AF244,"0.00")),"[PRICE PER PLAYER]")&amp;" a player and we handle the pitch booking, sign-ups and payments, so all it takes is one person sharing a link with the team."&amp;CHAR(10)&amp;CHAR(10)&amp;"It works well as a team social or "&amp;IF(ISNUMBER(SEARCH(LEFT(F244,1),"AEIOU")),"an ","a ")&amp;F244&amp;"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LINK]")&amp;CHAR(10)&amp;CHAR(10)&amp;"Best,"&amp;CHAR(10)&amp;IF(AM244&lt;&gt;"",AM244,IF(Offer!$C$5&lt;&gt;"",Offer!$C$5,"[NAME]"))&amp;CHAR(10)&amp;"FC Urban"</f>
        <v/>
      </c>
      <c r="AK244" s="14">
        <f>"Hi "&amp;IF(R244&lt;&gt;"",R244,F244&amp;" team")&amp;","&amp;CHAR(10)&amp;CHAR(10)&amp;"Just bumping this up. The "&amp;AE244&amp;" pitch at "&amp;Z244&amp;" is still free "&amp;IF(ISNUMBER(AD244),TEXT(AD244,"ddd d mmm")&amp;", "&amp;TEXT(AD244,"hh:mm"),"weekday evenings")&amp;", "&amp;IF(OR(AA244=8,AA244=11,AA244=18),"an ","a ")&amp;AA244&amp;"-minute walk from your office, "&amp;IF(AF244&lt;&gt;"","£"&amp;IF(AF244=INT(AF244),TEXT(AF244,"0"),TEXT(AF244,"0.00")),"[PRICE PER PLAYER]")&amp;" a player. Happy to hold it for "&amp;F244&amp;"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LINK]")&amp;CHAR(10)&amp;CHAR(10)&amp;"Best,"&amp;CHAR(10)&amp;IF(AM244&lt;&gt;"",AM244,IF(Offer!$C$5&lt;&gt;"",Offer!$C$5,"[NAME]"))&amp;CHAR(10)&amp;"FC Urban"</f>
        <v/>
      </c>
      <c r="AL244" s="14">
        <f>IF(AH244="","No email yet",IF(ISNUMBER(SEARCH("[",AJ244)),"Fill placeholders",IF(ISNUMBER(AD244),"Ready to send","Ready · no fixed slot")))</f>
        <v/>
      </c>
      <c r="AO244" s="17" t="n"/>
      <c r="AP244" s="17" t="n"/>
    </row>
    <row r="245">
      <c r="A245" s="11" t="n">
        <v>243</v>
      </c>
      <c r="B245" s="11" t="n">
        <v>3</v>
      </c>
      <c r="C245" s="11" t="inlineStr">
        <is>
          <t>Fund / asset manager</t>
        </is>
      </c>
      <c r="D245" s="11" t="inlineStr">
        <is>
          <t>City of London</t>
        </is>
      </c>
      <c r="E245" s="11" t="inlineStr">
        <is>
          <t>Cg Asset Management Limited</t>
        </is>
      </c>
      <c r="F245" s="11" t="inlineStr">
        <is>
          <t>Cg Asset Management</t>
        </is>
      </c>
      <c r="G245" s="12" t="inlineStr">
        <is>
          <t>https://www.cgasset.com</t>
        </is>
      </c>
      <c r="H245" s="11" t="inlineStr">
        <is>
          <t>info@cgasset.com</t>
        </is>
      </c>
      <c r="I245" s="11" t="inlineStr">
        <is>
          <t>general</t>
        </is>
      </c>
      <c r="J245" s="12" t="inlineStr">
        <is>
          <t>Open page</t>
        </is>
      </c>
      <c r="K245" s="11" t="inlineStr">
        <is>
          <t>04056163</t>
        </is>
      </c>
      <c r="L245" s="12" t="inlineStr">
        <is>
          <t>Open</t>
        </is>
      </c>
      <c r="M245" s="11" t="inlineStr">
        <is>
          <t>Full</t>
        </is>
      </c>
      <c r="N245" s="13" t="n">
        <v>36759</v>
      </c>
      <c r="O245" s="11" t="inlineStr">
        <is>
          <t>20 King Street, London</t>
        </is>
      </c>
      <c r="P245" s="11" t="inlineStr">
        <is>
          <t>EC2V 8EG</t>
        </is>
      </c>
      <c r="Q245" s="11" t="inlineStr">
        <is>
          <t>Yes</t>
        </is>
      </c>
      <c r="W245" s="11" t="inlineStr">
        <is>
          <t>City of London School (EC4V 3AL)</t>
        </is>
      </c>
      <c r="X245" s="11" t="n">
        <v>11</v>
      </c>
      <c r="Y245" s="11" t="n"/>
      <c r="Z245" s="11" t="inlineStr">
        <is>
          <t>City of London School (EC4V 3AL)</t>
        </is>
      </c>
      <c r="AA245" s="11" t="n">
        <v>11</v>
      </c>
      <c r="AB245" s="14">
        <f>IFERROR(INDEX(Venues!$E$2:$E$17,MATCH(Z245,Venues!$A$2:$A$17,0)),"Not checked")</f>
        <v/>
      </c>
      <c r="AC245" s="14">
        <f>IFERROR(INDEX(Venues!$F$2:$F$17,MATCH(Z245,Venues!$A$2:$A$17,0)),0)</f>
        <v/>
      </c>
      <c r="AD245" s="15">
        <f>IFERROR(INDEX(Venues!$M$2:$M$17,MATCH(Z245,Venues!$A$2:$A$17,0)),"")</f>
        <v/>
      </c>
      <c r="AE245" s="14">
        <f>IFERROR(INDEX(Venues!$N$2:$N$17,MATCH(Z245,Venues!$A$2:$A$17,0)),"5-a-side")</f>
        <v/>
      </c>
      <c r="AF245" s="16">
        <f>IF(Offer!$C$4="","",Offer!$C$4)</f>
        <v/>
      </c>
      <c r="AG245" s="14">
        <f>Z245&amp;" ("&amp;AA245&amp;" min walk) · "&amp;IF(ISNUMBER(AD245),TEXT(AD245,"ddd d mmm, hh:mm"),"slot to confirm with venue")&amp;" · "&amp;AE245&amp;" · "&amp;IF(AF245&lt;&gt;"","£"&amp;TEXT(AF245,"0.00")&amp;" pp","price TBC")</f>
        <v/>
      </c>
      <c r="AH245" s="14">
        <f>IF(U245&lt;&gt;"",U245,IF(H245&lt;&gt;"",H245,""))</f>
        <v/>
      </c>
      <c r="AI245" s="14">
        <f>"After-work football for "&amp;F245&amp;" · "&amp;Z245&amp;", "&amp;AA245&amp;" min from your office"</f>
        <v/>
      </c>
      <c r="AJ245" s="14">
        <f>"Hi "&amp;IF(R245&lt;&gt;"",R245,F245&amp;" team")&amp;","&amp;CHAR(10)&amp;CHAR(10)&amp;"I'm "&amp;IF(AM245&lt;&gt;"",AM245,IF(Offer!$C$5&lt;&gt;"",Offer!$C$5,"[NAME]"))&amp;" from FC Urban. We organise after-work football for teams in the City and Canary Wharf."&amp;CHAR(10)&amp;CHAR(10)&amp;"We have a "&amp;AE245&amp;" pitch at "&amp;Z245&amp;", "&amp;IF(OR(AA245=8,AA245=11,AA245=18),"an ","a ")&amp;AA245&amp;"-minute walk from your "&amp;P245&amp;" office, "&amp;IF(ISNUMBER(AD245),"on "&amp;TEXT(AD245,"dddd d mmmm")&amp;" at "&amp;TEXT(AD245,"hh:mm"),"on a weekday evening that suits your team")&amp;". It's "&amp;IF(AF245&lt;&gt;"","£"&amp;IF(AF245=INT(AF245),TEXT(AF245,"0"),TEXT(AF245,"0.00")),"[PRICE PER PLAYER]")&amp;" a player and we handle the pitch booking, sign-ups and payments, so all it takes is one person sharing a link with the team."&amp;CHAR(10)&amp;CHAR(10)&amp;"It works well as a team social or "&amp;IF(ISNUMBER(SEARCH(LEFT(F245,1),"AEIOU")),"an ","a ")&amp;F245&amp;"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LINK]")&amp;CHAR(10)&amp;CHAR(10)&amp;"Best,"&amp;CHAR(10)&amp;IF(AM245&lt;&gt;"",AM245,IF(Offer!$C$5&lt;&gt;"",Offer!$C$5,"[NAME]"))&amp;CHAR(10)&amp;"FC Urban"</f>
        <v/>
      </c>
      <c r="AK245" s="14">
        <f>"Hi "&amp;IF(R245&lt;&gt;"",R245,F245&amp;" team")&amp;","&amp;CHAR(10)&amp;CHAR(10)&amp;"Just bumping this up. The "&amp;AE245&amp;" pitch at "&amp;Z245&amp;" is still free "&amp;IF(ISNUMBER(AD245),TEXT(AD245,"ddd d mmm")&amp;", "&amp;TEXT(AD245,"hh:mm"),"weekday evenings")&amp;", "&amp;IF(OR(AA245=8,AA245=11,AA245=18),"an ","a ")&amp;AA245&amp;"-minute walk from your office, "&amp;IF(AF245&lt;&gt;"","£"&amp;IF(AF245=INT(AF245),TEXT(AF245,"0"),TEXT(AF245,"0.00")),"[PRICE PER PLAYER]")&amp;" a player. Happy to hold it for "&amp;F245&amp;"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LINK]")&amp;CHAR(10)&amp;CHAR(10)&amp;"Best,"&amp;CHAR(10)&amp;IF(AM245&lt;&gt;"",AM245,IF(Offer!$C$5&lt;&gt;"",Offer!$C$5,"[NAME]"))&amp;CHAR(10)&amp;"FC Urban"</f>
        <v/>
      </c>
      <c r="AL245" s="14">
        <f>IF(AH245="","No email yet",IF(ISNUMBER(SEARCH("[",AJ245)),"Fill placeholders",IF(ISNUMBER(AD245),"Ready to send","Ready · no fixed slot")))</f>
        <v/>
      </c>
      <c r="AO245" s="17" t="n"/>
      <c r="AP245" s="17" t="n"/>
    </row>
    <row r="246">
      <c r="A246" s="11" t="n">
        <v>244</v>
      </c>
      <c r="B246" s="11" t="n">
        <v>3</v>
      </c>
      <c r="C246" s="11" t="inlineStr">
        <is>
          <t>Fund / asset manager</t>
        </is>
      </c>
      <c r="D246" s="11" t="inlineStr">
        <is>
          <t>City of London</t>
        </is>
      </c>
      <c r="E246" s="11" t="inlineStr">
        <is>
          <t>Altitude Investment Management PLC</t>
        </is>
      </c>
      <c r="F246" s="11" t="inlineStr">
        <is>
          <t>Altitude Investment Management</t>
        </is>
      </c>
      <c r="G246" s="12" t="inlineStr">
        <is>
          <t>https://www.altitude.com</t>
        </is>
      </c>
      <c r="H246" s="11" t="inlineStr">
        <is>
          <t>info@altitudein.com</t>
        </is>
      </c>
      <c r="I246" s="11" t="inlineStr">
        <is>
          <t>general</t>
        </is>
      </c>
      <c r="J246" s="12" t="inlineStr">
        <is>
          <t>Open page</t>
        </is>
      </c>
      <c r="K246" s="11" t="inlineStr">
        <is>
          <t>11971482</t>
        </is>
      </c>
      <c r="L246" s="12" t="inlineStr">
        <is>
          <t>Open</t>
        </is>
      </c>
      <c r="M246" s="11" t="inlineStr">
        <is>
          <t>Full</t>
        </is>
      </c>
      <c r="N246" s="13" t="n">
        <v>43585</v>
      </c>
      <c r="O246" s="11" t="inlineStr">
        <is>
          <t>10 Noble Street, Alder Castle 10 Noble Street, Alder Castle, London</t>
        </is>
      </c>
      <c r="P246" s="11" t="inlineStr">
        <is>
          <t>EC2V 7JX</t>
        </is>
      </c>
      <c r="Q246" s="11" t="inlineStr">
        <is>
          <t>Yes</t>
        </is>
      </c>
      <c r="W246" s="11" t="inlineStr">
        <is>
          <t>City of London School (EC4V 3AL)</t>
        </is>
      </c>
      <c r="X246" s="11" t="n">
        <v>11</v>
      </c>
      <c r="Y246" s="11" t="inlineStr">
        <is>
          <t>Finsbury Leisure Centre (EC1V 3PU) (17)</t>
        </is>
      </c>
      <c r="Z246" s="11" t="inlineStr">
        <is>
          <t>City of London School (EC4V 3AL)</t>
        </is>
      </c>
      <c r="AA246" s="11" t="n">
        <v>11</v>
      </c>
      <c r="AB246" s="14">
        <f>IFERROR(INDEX(Venues!$E$2:$E$17,MATCH(Z246,Venues!$A$2:$A$17,0)),"Not checked")</f>
        <v/>
      </c>
      <c r="AC246" s="14">
        <f>IFERROR(INDEX(Venues!$F$2:$F$17,MATCH(Z246,Venues!$A$2:$A$17,0)),0)</f>
        <v/>
      </c>
      <c r="AD246" s="15">
        <f>IFERROR(INDEX(Venues!$M$2:$M$17,MATCH(Z246,Venues!$A$2:$A$17,0)),"")</f>
        <v/>
      </c>
      <c r="AE246" s="14">
        <f>IFERROR(INDEX(Venues!$N$2:$N$17,MATCH(Z246,Venues!$A$2:$A$17,0)),"5-a-side")</f>
        <v/>
      </c>
      <c r="AF246" s="16">
        <f>IF(Offer!$C$4="","",Offer!$C$4)</f>
        <v/>
      </c>
      <c r="AG246" s="14">
        <f>Z246&amp;" ("&amp;AA246&amp;" min walk) · "&amp;IF(ISNUMBER(AD246),TEXT(AD246,"ddd d mmm, hh:mm"),"slot to confirm with venue")&amp;" · "&amp;AE246&amp;" · "&amp;IF(AF246&lt;&gt;"","£"&amp;TEXT(AF246,"0.00")&amp;" pp","price TBC")</f>
        <v/>
      </c>
      <c r="AH246" s="14">
        <f>IF(U246&lt;&gt;"",U246,IF(H246&lt;&gt;"",H246,""))</f>
        <v/>
      </c>
      <c r="AI246" s="14">
        <f>"After-work football for "&amp;F246&amp;" · "&amp;Z246&amp;", "&amp;AA246&amp;" min from your office"</f>
        <v/>
      </c>
      <c r="AJ246" s="14">
        <f>"Hi "&amp;IF(R246&lt;&gt;"",R246,F246&amp;" team")&amp;","&amp;CHAR(10)&amp;CHAR(10)&amp;"I'm "&amp;IF(AM246&lt;&gt;"",AM246,IF(Offer!$C$5&lt;&gt;"",Offer!$C$5,"[NAME]"))&amp;" from FC Urban. We organise after-work football for teams in the City and Canary Wharf."&amp;CHAR(10)&amp;CHAR(10)&amp;"We have a "&amp;AE246&amp;" pitch at "&amp;Z246&amp;", "&amp;IF(OR(AA246=8,AA246=11,AA246=18),"an ","a ")&amp;AA246&amp;"-minute walk from your "&amp;P246&amp;" office, "&amp;IF(ISNUMBER(AD246),"on "&amp;TEXT(AD246,"dddd d mmmm")&amp;" at "&amp;TEXT(AD246,"hh:mm"),"on a weekday evening that suits your team")&amp;". It's "&amp;IF(AF246&lt;&gt;"","£"&amp;IF(AF246=INT(AF246),TEXT(AF246,"0"),TEXT(AF246,"0.00")),"[PRICE PER PLAYER]")&amp;" a player and we handle the pitch booking, sign-ups and payments, so all it takes is one person sharing a link with the team."&amp;CHAR(10)&amp;CHAR(10)&amp;"It works well as a team social or "&amp;IF(ISNUMBER(SEARCH(LEFT(F246,1),"AEIOU")),"an ","a ")&amp;F246&amp;"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LINK]")&amp;CHAR(10)&amp;CHAR(10)&amp;"Best,"&amp;CHAR(10)&amp;IF(AM246&lt;&gt;"",AM246,IF(Offer!$C$5&lt;&gt;"",Offer!$C$5,"[NAME]"))&amp;CHAR(10)&amp;"FC Urban"</f>
        <v/>
      </c>
      <c r="AK246" s="14">
        <f>"Hi "&amp;IF(R246&lt;&gt;"",R246,F246&amp;" team")&amp;","&amp;CHAR(10)&amp;CHAR(10)&amp;"Just bumping this up. The "&amp;AE246&amp;" pitch at "&amp;Z246&amp;" is still free "&amp;IF(ISNUMBER(AD246),TEXT(AD246,"ddd d mmm")&amp;", "&amp;TEXT(AD246,"hh:mm"),"weekday evenings")&amp;", "&amp;IF(OR(AA246=8,AA246=11,AA246=18),"an ","a ")&amp;AA246&amp;"-minute walk from your office, "&amp;IF(AF246&lt;&gt;"","£"&amp;IF(AF246=INT(AF246),TEXT(AF246,"0"),TEXT(AF246,"0.00")),"[PRICE PER PLAYER]")&amp;" a player. Happy to hold it for "&amp;F246&amp;"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LINK]")&amp;CHAR(10)&amp;CHAR(10)&amp;"Best,"&amp;CHAR(10)&amp;IF(AM246&lt;&gt;"",AM246,IF(Offer!$C$5&lt;&gt;"",Offer!$C$5,"[NAME]"))&amp;CHAR(10)&amp;"FC Urban"</f>
        <v/>
      </c>
      <c r="AL246" s="14">
        <f>IF(AH246="","No email yet",IF(ISNUMBER(SEARCH("[",AJ246)),"Fill placeholders",IF(ISNUMBER(AD246),"Ready to send","Ready · no fixed slot")))</f>
        <v/>
      </c>
      <c r="AO246" s="17" t="n"/>
      <c r="AP246" s="17" t="n"/>
    </row>
    <row r="247">
      <c r="A247" s="11" t="n">
        <v>245</v>
      </c>
      <c r="B247" s="11" t="n">
        <v>3</v>
      </c>
      <c r="C247" s="11" t="inlineStr">
        <is>
          <t>Fund / asset manager</t>
        </is>
      </c>
      <c r="D247" s="11" t="inlineStr">
        <is>
          <t>City of London</t>
        </is>
      </c>
      <c r="E247" s="11" t="inlineStr">
        <is>
          <t>Quantile Technologies Limited</t>
        </is>
      </c>
      <c r="F247" s="11" t="inlineStr">
        <is>
          <t>Quantile Technologies</t>
        </is>
      </c>
      <c r="G247" s="11" t="n"/>
      <c r="H247" s="11" t="inlineStr">
        <is>
          <t>info@quantiletechnologies.com</t>
        </is>
      </c>
      <c r="I247" s="11" t="inlineStr">
        <is>
          <t>general</t>
        </is>
      </c>
      <c r="J247" s="12" t="inlineStr">
        <is>
          <t>Open page</t>
        </is>
      </c>
      <c r="K247" s="11" t="inlineStr">
        <is>
          <t>09622720</t>
        </is>
      </c>
      <c r="L247" s="12" t="inlineStr">
        <is>
          <t>Open</t>
        </is>
      </c>
      <c r="M247" s="11" t="inlineStr">
        <is>
          <t>Full</t>
        </is>
      </c>
      <c r="N247" s="13" t="n">
        <v>42159</v>
      </c>
      <c r="O247" s="11" t="inlineStr">
        <is>
          <t>27 Bush Lane, London</t>
        </is>
      </c>
      <c r="P247" s="11" t="inlineStr">
        <is>
          <t>EC4R 0AN</t>
        </is>
      </c>
      <c r="Q247" s="11" t="inlineStr">
        <is>
          <t>Yes</t>
        </is>
      </c>
      <c r="W247" s="11" t="inlineStr">
        <is>
          <t>City of London School (EC4V 3AL)</t>
        </is>
      </c>
      <c r="X247" s="11" t="n">
        <v>11</v>
      </c>
      <c r="Y247" s="11" t="inlineStr">
        <is>
          <t>Marlborough Sports Garden (SE1 1SD) (13.8)</t>
        </is>
      </c>
      <c r="Z247" s="11" t="inlineStr">
        <is>
          <t>City of London School (EC4V 3AL)</t>
        </is>
      </c>
      <c r="AA247" s="11" t="n">
        <v>11</v>
      </c>
      <c r="AB247" s="14">
        <f>IFERROR(INDEX(Venues!$E$2:$E$17,MATCH(Z247,Venues!$A$2:$A$17,0)),"Not checked")</f>
        <v/>
      </c>
      <c r="AC247" s="14">
        <f>IFERROR(INDEX(Venues!$F$2:$F$17,MATCH(Z247,Venues!$A$2:$A$17,0)),0)</f>
        <v/>
      </c>
      <c r="AD247" s="15">
        <f>IFERROR(INDEX(Venues!$M$2:$M$17,MATCH(Z247,Venues!$A$2:$A$17,0)),"")</f>
        <v/>
      </c>
      <c r="AE247" s="14">
        <f>IFERROR(INDEX(Venues!$N$2:$N$17,MATCH(Z247,Venues!$A$2:$A$17,0)),"5-a-side")</f>
        <v/>
      </c>
      <c r="AF247" s="16">
        <f>IF(Offer!$C$4="","",Offer!$C$4)</f>
        <v/>
      </c>
      <c r="AG247" s="14">
        <f>Z247&amp;" ("&amp;AA247&amp;" min walk) · "&amp;IF(ISNUMBER(AD247),TEXT(AD247,"ddd d mmm, hh:mm"),"slot to confirm with venue")&amp;" · "&amp;AE247&amp;" · "&amp;IF(AF247&lt;&gt;"","£"&amp;TEXT(AF247,"0.00")&amp;" pp","price TBC")</f>
        <v/>
      </c>
      <c r="AH247" s="14">
        <f>IF(U247&lt;&gt;"",U247,IF(H247&lt;&gt;"",H247,""))</f>
        <v/>
      </c>
      <c r="AI247" s="14">
        <f>"After-work football for "&amp;F247&amp;" · "&amp;Z247&amp;", "&amp;AA247&amp;" min from your office"</f>
        <v/>
      </c>
      <c r="AJ247" s="14">
        <f>"Hi "&amp;IF(R247&lt;&gt;"",R247,F247&amp;" team")&amp;","&amp;CHAR(10)&amp;CHAR(10)&amp;"I'm "&amp;IF(AM247&lt;&gt;"",AM247,IF(Offer!$C$5&lt;&gt;"",Offer!$C$5,"[NAME]"))&amp;" from FC Urban. We organise after-work football for teams in the City and Canary Wharf."&amp;CHAR(10)&amp;CHAR(10)&amp;"We have a "&amp;AE247&amp;" pitch at "&amp;Z247&amp;", "&amp;IF(OR(AA247=8,AA247=11,AA247=18),"an ","a ")&amp;AA247&amp;"-minute walk from your "&amp;P247&amp;" office, "&amp;IF(ISNUMBER(AD247),"on "&amp;TEXT(AD247,"dddd d mmmm")&amp;" at "&amp;TEXT(AD247,"hh:mm"),"on a weekday evening that suits your team")&amp;". It's "&amp;IF(AF247&lt;&gt;"","£"&amp;IF(AF247=INT(AF247),TEXT(AF247,"0"),TEXT(AF247,"0.00")),"[PRICE PER PLAYER]")&amp;" a player and we handle the pitch booking, sign-ups and payments, so all it takes is one person sharing a link with the team."&amp;CHAR(10)&amp;CHAR(10)&amp;"It works well as a team social or "&amp;IF(ISNUMBER(SEARCH(LEFT(F247,1),"AEIOU")),"an ","a ")&amp;F247&amp;"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LINK]")&amp;CHAR(10)&amp;CHAR(10)&amp;"Best,"&amp;CHAR(10)&amp;IF(AM247&lt;&gt;"",AM247,IF(Offer!$C$5&lt;&gt;"",Offer!$C$5,"[NAME]"))&amp;CHAR(10)&amp;"FC Urban"</f>
        <v/>
      </c>
      <c r="AK247" s="14">
        <f>"Hi "&amp;IF(R247&lt;&gt;"",R247,F247&amp;" team")&amp;","&amp;CHAR(10)&amp;CHAR(10)&amp;"Just bumping this up. The "&amp;AE247&amp;" pitch at "&amp;Z247&amp;" is still free "&amp;IF(ISNUMBER(AD247),TEXT(AD247,"ddd d mmm")&amp;", "&amp;TEXT(AD247,"hh:mm"),"weekday evenings")&amp;", "&amp;IF(OR(AA247=8,AA247=11,AA247=18),"an ","a ")&amp;AA247&amp;"-minute walk from your office, "&amp;IF(AF247&lt;&gt;"","£"&amp;IF(AF247=INT(AF247),TEXT(AF247,"0"),TEXT(AF247,"0.00")),"[PRICE PER PLAYER]")&amp;" a player. Happy to hold it for "&amp;F247&amp;"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LINK]")&amp;CHAR(10)&amp;CHAR(10)&amp;"Best,"&amp;CHAR(10)&amp;IF(AM247&lt;&gt;"",AM247,IF(Offer!$C$5&lt;&gt;"",Offer!$C$5,"[NAME]"))&amp;CHAR(10)&amp;"FC Urban"</f>
        <v/>
      </c>
      <c r="AL247" s="14">
        <f>IF(AH247="","No email yet",IF(ISNUMBER(SEARCH("[",AJ247)),"Fill placeholders",IF(ISNUMBER(AD247),"Ready to send","Ready · no fixed slot")))</f>
        <v/>
      </c>
      <c r="AO247" s="17" t="n"/>
      <c r="AP247" s="17" t="n"/>
    </row>
    <row r="248">
      <c r="A248" s="11" t="n">
        <v>246</v>
      </c>
      <c r="B248" s="11" t="n">
        <v>3</v>
      </c>
      <c r="C248" s="11" t="inlineStr">
        <is>
          <t>Insurance / broker</t>
        </is>
      </c>
      <c r="D248" s="11" t="inlineStr">
        <is>
          <t>City of London</t>
        </is>
      </c>
      <c r="E248" s="11" t="inlineStr">
        <is>
          <t>Broadstone Financial Solutions Limited</t>
        </is>
      </c>
      <c r="F248" s="11" t="inlineStr">
        <is>
          <t>Broadstone Financial Solutions</t>
        </is>
      </c>
      <c r="G248" s="11" t="n"/>
      <c r="H248" s="11" t="inlineStr">
        <is>
          <t>info@broadstone.co.uk</t>
        </is>
      </c>
      <c r="I248" s="11" t="inlineStr">
        <is>
          <t>general</t>
        </is>
      </c>
      <c r="J248" s="12" t="inlineStr">
        <is>
          <t>Open page</t>
        </is>
      </c>
      <c r="K248" s="11" t="inlineStr">
        <is>
          <t>02131269</t>
        </is>
      </c>
      <c r="L248" s="12" t="inlineStr">
        <is>
          <t>Open</t>
        </is>
      </c>
      <c r="M248" s="11" t="inlineStr">
        <is>
          <t>Full</t>
        </is>
      </c>
      <c r="N248" s="13" t="n">
        <v>31910</v>
      </c>
      <c r="O248" s="11" t="inlineStr">
        <is>
          <t>100 Wood Street, London</t>
        </is>
      </c>
      <c r="P248" s="11" t="inlineStr">
        <is>
          <t>EC2V 7AN</t>
        </is>
      </c>
      <c r="Q248" s="11" t="inlineStr">
        <is>
          <t>No</t>
        </is>
      </c>
      <c r="W248" s="11" t="inlineStr">
        <is>
          <t>City of London School (EC4V 3AL)</t>
        </is>
      </c>
      <c r="X248" s="11" t="n">
        <v>11</v>
      </c>
      <c r="Y248" s="11" t="inlineStr">
        <is>
          <t>Finsbury Leisure Centre (EC1V 3PU) (17.6)</t>
        </is>
      </c>
      <c r="Z248" s="11" t="inlineStr">
        <is>
          <t>City of London School (EC4V 3AL)</t>
        </is>
      </c>
      <c r="AA248" s="11" t="n">
        <v>11</v>
      </c>
      <c r="AB248" s="14">
        <f>IFERROR(INDEX(Venues!$E$2:$E$17,MATCH(Z248,Venues!$A$2:$A$17,0)),"Not checked")</f>
        <v/>
      </c>
      <c r="AC248" s="14">
        <f>IFERROR(INDEX(Venues!$F$2:$F$17,MATCH(Z248,Venues!$A$2:$A$17,0)),0)</f>
        <v/>
      </c>
      <c r="AD248" s="15">
        <f>IFERROR(INDEX(Venues!$M$2:$M$17,MATCH(Z248,Venues!$A$2:$A$17,0)),"")</f>
        <v/>
      </c>
      <c r="AE248" s="14">
        <f>IFERROR(INDEX(Venues!$N$2:$N$17,MATCH(Z248,Venues!$A$2:$A$17,0)),"5-a-side")</f>
        <v/>
      </c>
      <c r="AF248" s="16">
        <f>IF(Offer!$C$4="","",Offer!$C$4)</f>
        <v/>
      </c>
      <c r="AG248" s="14">
        <f>Z248&amp;" ("&amp;AA248&amp;" min walk) · "&amp;IF(ISNUMBER(AD248),TEXT(AD248,"ddd d mmm, hh:mm"),"slot to confirm with venue")&amp;" · "&amp;AE248&amp;" · "&amp;IF(AF248&lt;&gt;"","£"&amp;TEXT(AF248,"0.00")&amp;" pp","price TBC")</f>
        <v/>
      </c>
      <c r="AH248" s="14">
        <f>IF(U248&lt;&gt;"",U248,IF(H248&lt;&gt;"",H248,""))</f>
        <v/>
      </c>
      <c r="AI248" s="14">
        <f>"After-work football for "&amp;F248&amp;" · "&amp;Z248&amp;", "&amp;AA248&amp;" min from your office"</f>
        <v/>
      </c>
      <c r="AJ248" s="14">
        <f>"Hi "&amp;IF(R248&lt;&gt;"",R248,F248&amp;" team")&amp;","&amp;CHAR(10)&amp;CHAR(10)&amp;"I'm "&amp;IF(AM248&lt;&gt;"",AM248,IF(Offer!$C$5&lt;&gt;"",Offer!$C$5,"[NAME]"))&amp;" from FC Urban. We organise after-work football for teams in the City and Canary Wharf."&amp;CHAR(10)&amp;CHAR(10)&amp;"We have a "&amp;AE248&amp;" pitch at "&amp;Z248&amp;", "&amp;IF(OR(AA248=8,AA248=11,AA248=18),"an ","a ")&amp;AA248&amp;"-minute walk from your "&amp;P248&amp;" office, "&amp;IF(ISNUMBER(AD248),"on "&amp;TEXT(AD248,"dddd d mmmm")&amp;" at "&amp;TEXT(AD248,"hh:mm"),"on a weekday evening that suits your team")&amp;". It's "&amp;IF(AF248&lt;&gt;"","£"&amp;IF(AF248=INT(AF248),TEXT(AF248,"0"),TEXT(AF248,"0.00")),"[PRICE PER PLAYER]")&amp;" a player and we handle the pitch booking, sign-ups and payments, so all it takes is one person sharing a link with the team."&amp;CHAR(10)&amp;CHAR(10)&amp;"It works well as a team social or "&amp;IF(ISNUMBER(SEARCH(LEFT(F248,1),"AEIOU")),"an ","a ")&amp;F248&amp;"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LINK]")&amp;CHAR(10)&amp;CHAR(10)&amp;"Best,"&amp;CHAR(10)&amp;IF(AM248&lt;&gt;"",AM248,IF(Offer!$C$5&lt;&gt;"",Offer!$C$5,"[NAME]"))&amp;CHAR(10)&amp;"FC Urban"</f>
        <v/>
      </c>
      <c r="AK248" s="14">
        <f>"Hi "&amp;IF(R248&lt;&gt;"",R248,F248&amp;" team")&amp;","&amp;CHAR(10)&amp;CHAR(10)&amp;"Just bumping this up. The "&amp;AE248&amp;" pitch at "&amp;Z248&amp;" is still free "&amp;IF(ISNUMBER(AD248),TEXT(AD248,"ddd d mmm")&amp;", "&amp;TEXT(AD248,"hh:mm"),"weekday evenings")&amp;", "&amp;IF(OR(AA248=8,AA248=11,AA248=18),"an ","a ")&amp;AA248&amp;"-minute walk from your office, "&amp;IF(AF248&lt;&gt;"","£"&amp;IF(AF248=INT(AF248),TEXT(AF248,"0"),TEXT(AF248,"0.00")),"[PRICE PER PLAYER]")&amp;" a player. Happy to hold it for "&amp;F248&amp;"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LINK]")&amp;CHAR(10)&amp;CHAR(10)&amp;"Best,"&amp;CHAR(10)&amp;IF(AM248&lt;&gt;"",AM248,IF(Offer!$C$5&lt;&gt;"",Offer!$C$5,"[NAME]"))&amp;CHAR(10)&amp;"FC Urban"</f>
        <v/>
      </c>
      <c r="AL248" s="14">
        <f>IF(AH248="","No email yet",IF(ISNUMBER(SEARCH("[",AJ248)),"Fill placeholders",IF(ISNUMBER(AD248),"Ready to send","Ready · no fixed slot")))</f>
        <v/>
      </c>
      <c r="AO248" s="17" t="n"/>
      <c r="AP248" s="17" t="n"/>
    </row>
    <row r="249">
      <c r="A249" s="11" t="n">
        <v>247</v>
      </c>
      <c r="B249" s="11" t="n">
        <v>3</v>
      </c>
      <c r="C249" s="11" t="inlineStr">
        <is>
          <t>Fund / asset manager</t>
        </is>
      </c>
      <c r="D249" s="11" t="inlineStr">
        <is>
          <t>City of London</t>
        </is>
      </c>
      <c r="E249" s="11" t="inlineStr">
        <is>
          <t>Freetrade Limited</t>
        </is>
      </c>
      <c r="F249" s="11" t="inlineStr">
        <is>
          <t>Freetrade</t>
        </is>
      </c>
      <c r="G249" s="12" t="inlineStr">
        <is>
          <t>https://freetrade.io</t>
        </is>
      </c>
      <c r="H249" s="11" t="inlineStr">
        <is>
          <t>hello@freetrade.io</t>
        </is>
      </c>
      <c r="I249" s="11" t="inlineStr">
        <is>
          <t>general</t>
        </is>
      </c>
      <c r="J249" s="12" t="inlineStr">
        <is>
          <t>Open page</t>
        </is>
      </c>
      <c r="K249" s="11" t="inlineStr">
        <is>
          <t>09797821</t>
        </is>
      </c>
      <c r="L249" s="12" t="inlineStr">
        <is>
          <t>Open</t>
        </is>
      </c>
      <c r="M249" s="11" t="inlineStr">
        <is>
          <t>Full</t>
        </is>
      </c>
      <c r="N249" s="13" t="n">
        <v>42275</v>
      </c>
      <c r="O249" s="11" t="inlineStr">
        <is>
          <t>145 City Road, London</t>
        </is>
      </c>
      <c r="P249" s="11" t="inlineStr">
        <is>
          <t>EC1V 1AZ</t>
        </is>
      </c>
      <c r="Q249" s="11" t="inlineStr">
        <is>
          <t>Yes</t>
        </is>
      </c>
      <c r="W249" s="11" t="inlineStr">
        <is>
          <t>Finsbury Leisure Centre (EC1V 3PU)</t>
        </is>
      </c>
      <c r="X249" s="11" t="n">
        <v>8</v>
      </c>
      <c r="Y249" s="11" t="inlineStr">
        <is>
          <t>Old St - Moreland Primary School (11.3); Shoreditch Rooftop (13.5)</t>
        </is>
      </c>
      <c r="Z249" s="11" t="inlineStr">
        <is>
          <t>Old St - Moreland Primary School</t>
        </is>
      </c>
      <c r="AA249" s="11" t="n">
        <v>11</v>
      </c>
      <c r="AB249" s="14">
        <f>IFERROR(INDEX(Venues!$E$2:$E$17,MATCH(Z249,Venues!$A$2:$A$17,0)),"Not checked")</f>
        <v/>
      </c>
      <c r="AC249" s="14">
        <f>IFERROR(INDEX(Venues!$F$2:$F$17,MATCH(Z249,Venues!$A$2:$A$17,0)),0)</f>
        <v/>
      </c>
      <c r="AD249" s="15">
        <f>IFERROR(INDEX(Venues!$M$2:$M$17,MATCH(Z249,Venues!$A$2:$A$17,0)),"")</f>
        <v/>
      </c>
      <c r="AE249" s="14">
        <f>IFERROR(INDEX(Venues!$N$2:$N$17,MATCH(Z249,Venues!$A$2:$A$17,0)),"5-a-side")</f>
        <v/>
      </c>
      <c r="AF249" s="16">
        <f>IF(Offer!$C$4="","",Offer!$C$4)</f>
        <v/>
      </c>
      <c r="AG249" s="14">
        <f>Z249&amp;" ("&amp;AA249&amp;" min walk) · "&amp;IF(ISNUMBER(AD249),TEXT(AD249,"ddd d mmm, hh:mm"),"slot to confirm with venue")&amp;" · "&amp;AE249&amp;" · "&amp;IF(AF249&lt;&gt;"","£"&amp;TEXT(AF249,"0.00")&amp;" pp","price TBC")</f>
        <v/>
      </c>
      <c r="AH249" s="14">
        <f>IF(U249&lt;&gt;"",U249,IF(H249&lt;&gt;"",H249,""))</f>
        <v/>
      </c>
      <c r="AI249" s="14">
        <f>"After-work football for "&amp;F249&amp;" · "&amp;Z249&amp;", "&amp;AA249&amp;" min from your office"</f>
        <v/>
      </c>
      <c r="AJ249" s="14">
        <f>"Hi "&amp;IF(R249&lt;&gt;"",R249,F249&amp;" team")&amp;","&amp;CHAR(10)&amp;CHAR(10)&amp;"I'm "&amp;IF(AM249&lt;&gt;"",AM249,IF(Offer!$C$5&lt;&gt;"",Offer!$C$5,"[NAME]"))&amp;" from FC Urban. We organise after-work football for teams in the City and Canary Wharf."&amp;CHAR(10)&amp;CHAR(10)&amp;"We have a "&amp;AE249&amp;" pitch at "&amp;Z249&amp;", "&amp;IF(OR(AA249=8,AA249=11,AA249=18),"an ","a ")&amp;AA249&amp;"-minute walk from your "&amp;P249&amp;" office, "&amp;IF(ISNUMBER(AD249),"on "&amp;TEXT(AD249,"dddd d mmmm")&amp;" at "&amp;TEXT(AD249,"hh:mm"),"on a weekday evening that suits your team")&amp;". It's "&amp;IF(AF249&lt;&gt;"","£"&amp;IF(AF249=INT(AF249),TEXT(AF249,"0"),TEXT(AF249,"0.00")),"[PRICE PER PLAYER]")&amp;" a player and we handle the pitch booking, sign-ups and payments, so all it takes is one person sharing a link with the team."&amp;CHAR(10)&amp;CHAR(10)&amp;"It works well as a team social or "&amp;IF(ISNUMBER(SEARCH(LEFT(F249,1),"AEIOU")),"an ","a ")&amp;F249&amp;"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LINK]")&amp;CHAR(10)&amp;CHAR(10)&amp;"Best,"&amp;CHAR(10)&amp;IF(AM249&lt;&gt;"",AM249,IF(Offer!$C$5&lt;&gt;"",Offer!$C$5,"[NAME]"))&amp;CHAR(10)&amp;"FC Urban"</f>
        <v/>
      </c>
      <c r="AK249" s="14">
        <f>"Hi "&amp;IF(R249&lt;&gt;"",R249,F249&amp;" team")&amp;","&amp;CHAR(10)&amp;CHAR(10)&amp;"Just bumping this up. The "&amp;AE249&amp;" pitch at "&amp;Z249&amp;" is still free "&amp;IF(ISNUMBER(AD249),TEXT(AD249,"ddd d mmm")&amp;", "&amp;TEXT(AD249,"hh:mm"),"weekday evenings")&amp;", "&amp;IF(OR(AA249=8,AA249=11,AA249=18),"an ","a ")&amp;AA249&amp;"-minute walk from your office, "&amp;IF(AF249&lt;&gt;"","£"&amp;IF(AF249=INT(AF249),TEXT(AF249,"0"),TEXT(AF249,"0.00")),"[PRICE PER PLAYER]")&amp;" a player. Happy to hold it for "&amp;F249&amp;"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LINK]")&amp;CHAR(10)&amp;CHAR(10)&amp;"Best,"&amp;CHAR(10)&amp;IF(AM249&lt;&gt;"",AM249,IF(Offer!$C$5&lt;&gt;"",Offer!$C$5,"[NAME]"))&amp;CHAR(10)&amp;"FC Urban"</f>
        <v/>
      </c>
      <c r="AL249" s="14">
        <f>IF(AH249="","No email yet",IF(ISNUMBER(SEARCH("[",AJ249)),"Fill placeholders",IF(ISNUMBER(AD249),"Ready to send","Ready · no fixed slot")))</f>
        <v/>
      </c>
      <c r="AO249" s="17" t="n"/>
      <c r="AP249" s="17" t="n"/>
    </row>
    <row r="250">
      <c r="A250" s="11" t="n">
        <v>248</v>
      </c>
      <c r="B250" s="11" t="n">
        <v>3</v>
      </c>
      <c r="C250" s="11" t="inlineStr">
        <is>
          <t>Fund / asset manager</t>
        </is>
      </c>
      <c r="D250" s="11" t="inlineStr">
        <is>
          <t>City of London</t>
        </is>
      </c>
      <c r="E250" s="11" t="inlineStr">
        <is>
          <t>Laven Advisors LLP</t>
        </is>
      </c>
      <c r="F250" s="11" t="inlineStr">
        <is>
          <t>Laven Advisors</t>
        </is>
      </c>
      <c r="G250" s="12" t="inlineStr">
        <is>
          <t>https://laven.com</t>
        </is>
      </c>
      <c r="H250" s="11" t="inlineStr">
        <is>
          <t>info@laven.com</t>
        </is>
      </c>
      <c r="I250" s="11" t="inlineStr">
        <is>
          <t>general</t>
        </is>
      </c>
      <c r="J250" s="12" t="inlineStr">
        <is>
          <t>Open page</t>
        </is>
      </c>
      <c r="K250" s="11" t="inlineStr">
        <is>
          <t>OC312558</t>
        </is>
      </c>
      <c r="L250" s="12" t="inlineStr">
        <is>
          <t>Open</t>
        </is>
      </c>
      <c r="M250" s="11" t="inlineStr">
        <is>
          <t>Full</t>
        </is>
      </c>
      <c r="N250" s="13" t="n">
        <v>38446</v>
      </c>
      <c r="O250" s="11" t="inlineStr">
        <is>
          <t>11 Old Jewry, London</t>
        </is>
      </c>
      <c r="P250" s="11" t="inlineStr">
        <is>
          <t>EC2R 8DU</t>
        </is>
      </c>
      <c r="Q250" s="11" t="inlineStr">
        <is>
          <t>No</t>
        </is>
      </c>
      <c r="W250" s="11" t="inlineStr">
        <is>
          <t>City of London School (EC4V 3AL)</t>
        </is>
      </c>
      <c r="X250" s="11" t="n">
        <v>12</v>
      </c>
      <c r="Y250" s="11" t="n"/>
      <c r="Z250" s="11" t="inlineStr">
        <is>
          <t>City of London School (EC4V 3AL)</t>
        </is>
      </c>
      <c r="AA250" s="11" t="n">
        <v>12</v>
      </c>
      <c r="AB250" s="14">
        <f>IFERROR(INDEX(Venues!$E$2:$E$17,MATCH(Z250,Venues!$A$2:$A$17,0)),"Not checked")</f>
        <v/>
      </c>
      <c r="AC250" s="14">
        <f>IFERROR(INDEX(Venues!$F$2:$F$17,MATCH(Z250,Venues!$A$2:$A$17,0)),0)</f>
        <v/>
      </c>
      <c r="AD250" s="15">
        <f>IFERROR(INDEX(Venues!$M$2:$M$17,MATCH(Z250,Venues!$A$2:$A$17,0)),"")</f>
        <v/>
      </c>
      <c r="AE250" s="14">
        <f>IFERROR(INDEX(Venues!$N$2:$N$17,MATCH(Z250,Venues!$A$2:$A$17,0)),"5-a-side")</f>
        <v/>
      </c>
      <c r="AF250" s="16">
        <f>IF(Offer!$C$4="","",Offer!$C$4)</f>
        <v/>
      </c>
      <c r="AG250" s="14">
        <f>Z250&amp;" ("&amp;AA250&amp;" min walk) · "&amp;IF(ISNUMBER(AD250),TEXT(AD250,"ddd d mmm, hh:mm"),"slot to confirm with venue")&amp;" · "&amp;AE250&amp;" · "&amp;IF(AF250&lt;&gt;"","£"&amp;TEXT(AF250,"0.00")&amp;" pp","price TBC")</f>
        <v/>
      </c>
      <c r="AH250" s="14">
        <f>IF(U250&lt;&gt;"",U250,IF(H250&lt;&gt;"",H250,""))</f>
        <v/>
      </c>
      <c r="AI250" s="14">
        <f>"After-work football for "&amp;F250&amp;" · "&amp;Z250&amp;", "&amp;AA250&amp;" min from your office"</f>
        <v/>
      </c>
      <c r="AJ250" s="14">
        <f>"Hi "&amp;IF(R250&lt;&gt;"",R250,F250&amp;" team")&amp;","&amp;CHAR(10)&amp;CHAR(10)&amp;"I'm "&amp;IF(AM250&lt;&gt;"",AM250,IF(Offer!$C$5&lt;&gt;"",Offer!$C$5,"[NAME]"))&amp;" from FC Urban. We organise after-work football for teams in the City and Canary Wharf."&amp;CHAR(10)&amp;CHAR(10)&amp;"We have a "&amp;AE250&amp;" pitch at "&amp;Z250&amp;", "&amp;IF(OR(AA250=8,AA250=11,AA250=18),"an ","a ")&amp;AA250&amp;"-minute walk from your "&amp;P250&amp;" office, "&amp;IF(ISNUMBER(AD250),"on "&amp;TEXT(AD250,"dddd d mmmm")&amp;" at "&amp;TEXT(AD250,"hh:mm"),"on a weekday evening that suits your team")&amp;". It's "&amp;IF(AF250&lt;&gt;"","£"&amp;IF(AF250=INT(AF250),TEXT(AF250,"0"),TEXT(AF250,"0.00")),"[PRICE PER PLAYER]")&amp;" a player and we handle the pitch booking, sign-ups and payments, so all it takes is one person sharing a link with the team."&amp;CHAR(10)&amp;CHAR(10)&amp;"It works well as a team social or "&amp;IF(ISNUMBER(SEARCH(LEFT(F250,1),"AEIOU")),"an ","a ")&amp;F250&amp;"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LINK]")&amp;CHAR(10)&amp;CHAR(10)&amp;"Best,"&amp;CHAR(10)&amp;IF(AM250&lt;&gt;"",AM250,IF(Offer!$C$5&lt;&gt;"",Offer!$C$5,"[NAME]"))&amp;CHAR(10)&amp;"FC Urban"</f>
        <v/>
      </c>
      <c r="AK250" s="14">
        <f>"Hi "&amp;IF(R250&lt;&gt;"",R250,F250&amp;" team")&amp;","&amp;CHAR(10)&amp;CHAR(10)&amp;"Just bumping this up. The "&amp;AE250&amp;" pitch at "&amp;Z250&amp;" is still free "&amp;IF(ISNUMBER(AD250),TEXT(AD250,"ddd d mmm")&amp;", "&amp;TEXT(AD250,"hh:mm"),"weekday evenings")&amp;", "&amp;IF(OR(AA250=8,AA250=11,AA250=18),"an ","a ")&amp;AA250&amp;"-minute walk from your office, "&amp;IF(AF250&lt;&gt;"","£"&amp;IF(AF250=INT(AF250),TEXT(AF250,"0"),TEXT(AF250,"0.00")),"[PRICE PER PLAYER]")&amp;" a player. Happy to hold it for "&amp;F250&amp;"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LINK]")&amp;CHAR(10)&amp;CHAR(10)&amp;"Best,"&amp;CHAR(10)&amp;IF(AM250&lt;&gt;"",AM250,IF(Offer!$C$5&lt;&gt;"",Offer!$C$5,"[NAME]"))&amp;CHAR(10)&amp;"FC Urban"</f>
        <v/>
      </c>
      <c r="AL250" s="14">
        <f>IF(AH250="","No email yet",IF(ISNUMBER(SEARCH("[",AJ250)),"Fill placeholders",IF(ISNUMBER(AD250),"Ready to send","Ready · no fixed slot")))</f>
        <v/>
      </c>
      <c r="AO250" s="17" t="n"/>
      <c r="AP250" s="17" t="n"/>
    </row>
    <row r="251">
      <c r="A251" s="11" t="n">
        <v>249</v>
      </c>
      <c r="B251" s="11" t="n">
        <v>3</v>
      </c>
      <c r="C251" s="11" t="inlineStr">
        <is>
          <t>Fund / asset manager</t>
        </is>
      </c>
      <c r="D251" s="11" t="inlineStr">
        <is>
          <t>City of London</t>
        </is>
      </c>
      <c r="E251" s="11" t="inlineStr">
        <is>
          <t>Lumen Asset Management Limited</t>
        </is>
      </c>
      <c r="F251" s="11" t="inlineStr">
        <is>
          <t>Lumen Asset Management</t>
        </is>
      </c>
      <c r="G251" s="12" t="inlineStr">
        <is>
          <t>https://www.lumen.com</t>
        </is>
      </c>
      <c r="H251" s="11" t="inlineStr">
        <is>
          <t>investor.relations@lumen.com</t>
        </is>
      </c>
      <c r="I251" s="11" t="inlineStr">
        <is>
          <t>general</t>
        </is>
      </c>
      <c r="J251" s="12" t="inlineStr">
        <is>
          <t>Open page</t>
        </is>
      </c>
      <c r="K251" s="11" t="inlineStr">
        <is>
          <t>11880792</t>
        </is>
      </c>
      <c r="L251" s="12" t="inlineStr">
        <is>
          <t>Open</t>
        </is>
      </c>
      <c r="M251" s="11" t="inlineStr">
        <is>
          <t>Full</t>
        </is>
      </c>
      <c r="N251" s="13" t="n">
        <v>43537</v>
      </c>
      <c r="O251" s="11" t="inlineStr">
        <is>
          <t>7Th Floor (North), 11 Old Jewry, London</t>
        </is>
      </c>
      <c r="P251" s="11" t="inlineStr">
        <is>
          <t>EC2R 8DU</t>
        </is>
      </c>
      <c r="Q251" s="11" t="inlineStr">
        <is>
          <t>Yes</t>
        </is>
      </c>
      <c r="W251" s="11" t="inlineStr">
        <is>
          <t>City of London School (EC4V 3AL)</t>
        </is>
      </c>
      <c r="X251" s="11" t="n">
        <v>12</v>
      </c>
      <c r="Y251" s="11" t="n"/>
      <c r="Z251" s="11" t="inlineStr">
        <is>
          <t>City of London School (EC4V 3AL)</t>
        </is>
      </c>
      <c r="AA251" s="11" t="n">
        <v>12</v>
      </c>
      <c r="AB251" s="14">
        <f>IFERROR(INDEX(Venues!$E$2:$E$17,MATCH(Z251,Venues!$A$2:$A$17,0)),"Not checked")</f>
        <v/>
      </c>
      <c r="AC251" s="14">
        <f>IFERROR(INDEX(Venues!$F$2:$F$17,MATCH(Z251,Venues!$A$2:$A$17,0)),0)</f>
        <v/>
      </c>
      <c r="AD251" s="15">
        <f>IFERROR(INDEX(Venues!$M$2:$M$17,MATCH(Z251,Venues!$A$2:$A$17,0)),"")</f>
        <v/>
      </c>
      <c r="AE251" s="14">
        <f>IFERROR(INDEX(Venues!$N$2:$N$17,MATCH(Z251,Venues!$A$2:$A$17,0)),"5-a-side")</f>
        <v/>
      </c>
      <c r="AF251" s="16">
        <f>IF(Offer!$C$4="","",Offer!$C$4)</f>
        <v/>
      </c>
      <c r="AG251" s="14">
        <f>Z251&amp;" ("&amp;AA251&amp;" min walk) · "&amp;IF(ISNUMBER(AD251),TEXT(AD251,"ddd d mmm, hh:mm"),"slot to confirm with venue")&amp;" · "&amp;AE251&amp;" · "&amp;IF(AF251&lt;&gt;"","£"&amp;TEXT(AF251,"0.00")&amp;" pp","price TBC")</f>
        <v/>
      </c>
      <c r="AH251" s="14">
        <f>IF(U251&lt;&gt;"",U251,IF(H251&lt;&gt;"",H251,""))</f>
        <v/>
      </c>
      <c r="AI251" s="14">
        <f>"After-work football for "&amp;F251&amp;" · "&amp;Z251&amp;", "&amp;AA251&amp;" min from your office"</f>
        <v/>
      </c>
      <c r="AJ251" s="14">
        <f>"Hi "&amp;IF(R251&lt;&gt;"",R251,F251&amp;" team")&amp;","&amp;CHAR(10)&amp;CHAR(10)&amp;"I'm "&amp;IF(AM251&lt;&gt;"",AM251,IF(Offer!$C$5&lt;&gt;"",Offer!$C$5,"[NAME]"))&amp;" from FC Urban. We organise after-work football for teams in the City and Canary Wharf."&amp;CHAR(10)&amp;CHAR(10)&amp;"We have a "&amp;AE251&amp;" pitch at "&amp;Z251&amp;", "&amp;IF(OR(AA251=8,AA251=11,AA251=18),"an ","a ")&amp;AA251&amp;"-minute walk from your "&amp;P251&amp;" office, "&amp;IF(ISNUMBER(AD251),"on "&amp;TEXT(AD251,"dddd d mmmm")&amp;" at "&amp;TEXT(AD251,"hh:mm"),"on a weekday evening that suits your team")&amp;". It's "&amp;IF(AF251&lt;&gt;"","£"&amp;IF(AF251=INT(AF251),TEXT(AF251,"0"),TEXT(AF251,"0.00")),"[PRICE PER PLAYER]")&amp;" a player and we handle the pitch booking, sign-ups and payments, so all it takes is one person sharing a link with the team."&amp;CHAR(10)&amp;CHAR(10)&amp;"It works well as a team social or "&amp;IF(ISNUMBER(SEARCH(LEFT(F251,1),"AEIOU")),"an ","a ")&amp;F251&amp;"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LINK]")&amp;CHAR(10)&amp;CHAR(10)&amp;"Best,"&amp;CHAR(10)&amp;IF(AM251&lt;&gt;"",AM251,IF(Offer!$C$5&lt;&gt;"",Offer!$C$5,"[NAME]"))&amp;CHAR(10)&amp;"FC Urban"</f>
        <v/>
      </c>
      <c r="AK251" s="14">
        <f>"Hi "&amp;IF(R251&lt;&gt;"",R251,F251&amp;" team")&amp;","&amp;CHAR(10)&amp;CHAR(10)&amp;"Just bumping this up. The "&amp;AE251&amp;" pitch at "&amp;Z251&amp;" is still free "&amp;IF(ISNUMBER(AD251),TEXT(AD251,"ddd d mmm")&amp;", "&amp;TEXT(AD251,"hh:mm"),"weekday evenings")&amp;", "&amp;IF(OR(AA251=8,AA251=11,AA251=18),"an ","a ")&amp;AA251&amp;"-minute walk from your office, "&amp;IF(AF251&lt;&gt;"","£"&amp;IF(AF251=INT(AF251),TEXT(AF251,"0"),TEXT(AF251,"0.00")),"[PRICE PER PLAYER]")&amp;" a player. Happy to hold it for "&amp;F251&amp;"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LINK]")&amp;CHAR(10)&amp;CHAR(10)&amp;"Best,"&amp;CHAR(10)&amp;IF(AM251&lt;&gt;"",AM251,IF(Offer!$C$5&lt;&gt;"",Offer!$C$5,"[NAME]"))&amp;CHAR(10)&amp;"FC Urban"</f>
        <v/>
      </c>
      <c r="AL251" s="14">
        <f>IF(AH251="","No email yet",IF(ISNUMBER(SEARCH("[",AJ251)),"Fill placeholders",IF(ISNUMBER(AD251),"Ready to send","Ready · no fixed slot")))</f>
        <v/>
      </c>
      <c r="AO251" s="17" t="n"/>
      <c r="AP251" s="17" t="n"/>
    </row>
    <row r="252">
      <c r="A252" s="11" t="n">
        <v>250</v>
      </c>
      <c r="B252" s="11" t="n">
        <v>3</v>
      </c>
      <c r="C252" s="11" t="inlineStr">
        <is>
          <t>Fund / asset manager</t>
        </is>
      </c>
      <c r="D252" s="11" t="inlineStr">
        <is>
          <t>City of London</t>
        </is>
      </c>
      <c r="E252" s="11" t="inlineStr">
        <is>
          <t>Jones Lang Lasalle Corporate Finance Limited</t>
        </is>
      </c>
      <c r="F252" s="11" t="inlineStr">
        <is>
          <t>Jones Lang Lasalle Corporate Finance</t>
        </is>
      </c>
      <c r="G252" s="12" t="inlineStr">
        <is>
          <t>https://www.jll.com</t>
        </is>
      </c>
      <c r="H252" s="11" t="inlineStr">
        <is>
          <t>jllinvestorrelations@jll.com</t>
        </is>
      </c>
      <c r="I252" s="11" t="inlineStr">
        <is>
          <t>named person</t>
        </is>
      </c>
      <c r="J252" s="12" t="inlineStr">
        <is>
          <t>Open page</t>
        </is>
      </c>
      <c r="K252" s="11" t="inlineStr">
        <is>
          <t>01144849</t>
        </is>
      </c>
      <c r="L252" s="12" t="inlineStr">
        <is>
          <t>Open</t>
        </is>
      </c>
      <c r="M252" s="11" t="inlineStr">
        <is>
          <t>Full</t>
        </is>
      </c>
      <c r="N252" s="13" t="n">
        <v>26980</v>
      </c>
      <c r="O252" s="11" t="inlineStr">
        <is>
          <t>1 Broadgate, London</t>
        </is>
      </c>
      <c r="P252" s="11" t="inlineStr">
        <is>
          <t>EC2M 2QS</t>
        </is>
      </c>
      <c r="Q252" s="11" t="inlineStr">
        <is>
          <t>Yes</t>
        </is>
      </c>
      <c r="W252" s="11" t="inlineStr">
        <is>
          <t>Liverpool St - Attlee Centre</t>
        </is>
      </c>
      <c r="X252" s="11" t="n">
        <v>12</v>
      </c>
      <c r="Y252" s="11" t="inlineStr">
        <is>
          <t>Shoreditch Powerleague (11.6); Finsbury Leisure Centre (EC1V 3PU) (18.8)</t>
        </is>
      </c>
      <c r="Z252" s="11" t="inlineStr">
        <is>
          <t>Shoreditch Powerleague</t>
        </is>
      </c>
      <c r="AA252" s="11" t="n">
        <v>12</v>
      </c>
      <c r="AB252" s="14">
        <f>IFERROR(INDEX(Venues!$E$2:$E$17,MATCH(Z252,Venues!$A$2:$A$17,0)),"Not checked")</f>
        <v/>
      </c>
      <c r="AC252" s="14">
        <f>IFERROR(INDEX(Venues!$F$2:$F$17,MATCH(Z252,Venues!$A$2:$A$17,0)),0)</f>
        <v/>
      </c>
      <c r="AD252" s="15">
        <f>IFERROR(INDEX(Venues!$M$2:$M$17,MATCH(Z252,Venues!$A$2:$A$17,0)),"")</f>
        <v/>
      </c>
      <c r="AE252" s="14">
        <f>IFERROR(INDEX(Venues!$N$2:$N$17,MATCH(Z252,Venues!$A$2:$A$17,0)),"5-a-side")</f>
        <v/>
      </c>
      <c r="AF252" s="16">
        <f>IF(Offer!$C$4="","",Offer!$C$4)</f>
        <v/>
      </c>
      <c r="AG252" s="14">
        <f>Z252&amp;" ("&amp;AA252&amp;" min walk) · "&amp;IF(ISNUMBER(AD252),TEXT(AD252,"ddd d mmm, hh:mm"),"slot to confirm with venue")&amp;" · "&amp;AE252&amp;" · "&amp;IF(AF252&lt;&gt;"","£"&amp;TEXT(AF252,"0.00")&amp;" pp","price TBC")</f>
        <v/>
      </c>
      <c r="AH252" s="14">
        <f>IF(U252&lt;&gt;"",U252,IF(H252&lt;&gt;"",H252,""))</f>
        <v/>
      </c>
      <c r="AI252" s="14">
        <f>"After-work football for "&amp;F252&amp;" · "&amp;Z252&amp;", "&amp;AA252&amp;" min from your office"</f>
        <v/>
      </c>
      <c r="AJ252" s="14">
        <f>"Hi "&amp;IF(R252&lt;&gt;"",R252,F252&amp;" team")&amp;","&amp;CHAR(10)&amp;CHAR(10)&amp;"I'm "&amp;IF(AM252&lt;&gt;"",AM252,IF(Offer!$C$5&lt;&gt;"",Offer!$C$5,"[NAME]"))&amp;" from FC Urban. We organise after-work football for teams in the City and Canary Wharf."&amp;CHAR(10)&amp;CHAR(10)&amp;"We have a "&amp;AE252&amp;" pitch at "&amp;Z252&amp;", "&amp;IF(OR(AA252=8,AA252=11,AA252=18),"an ","a ")&amp;AA252&amp;"-minute walk from your "&amp;P252&amp;" office, "&amp;IF(ISNUMBER(AD252),"on "&amp;TEXT(AD252,"dddd d mmmm")&amp;" at "&amp;TEXT(AD252,"hh:mm"),"on a weekday evening that suits your team")&amp;". It's "&amp;IF(AF252&lt;&gt;"","£"&amp;IF(AF252=INT(AF252),TEXT(AF252,"0"),TEXT(AF252,"0.00")),"[PRICE PER PLAYER]")&amp;" a player and we handle the pitch booking, sign-ups and payments, so all it takes is one person sharing a link with the team."&amp;CHAR(10)&amp;CHAR(10)&amp;"It works well as a team social or "&amp;IF(ISNUMBER(SEARCH(LEFT(F252,1),"AEIOU")),"an ","a ")&amp;F252&amp;"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LINK]")&amp;CHAR(10)&amp;CHAR(10)&amp;"Best,"&amp;CHAR(10)&amp;IF(AM252&lt;&gt;"",AM252,IF(Offer!$C$5&lt;&gt;"",Offer!$C$5,"[NAME]"))&amp;CHAR(10)&amp;"FC Urban"</f>
        <v/>
      </c>
      <c r="AK252" s="14">
        <f>"Hi "&amp;IF(R252&lt;&gt;"",R252,F252&amp;" team")&amp;","&amp;CHAR(10)&amp;CHAR(10)&amp;"Just bumping this up. The "&amp;AE252&amp;" pitch at "&amp;Z252&amp;" is still free "&amp;IF(ISNUMBER(AD252),TEXT(AD252,"ddd d mmm")&amp;", "&amp;TEXT(AD252,"hh:mm"),"weekday evenings")&amp;", "&amp;IF(OR(AA252=8,AA252=11,AA252=18),"an ","a ")&amp;AA252&amp;"-minute walk from your office, "&amp;IF(AF252&lt;&gt;"","£"&amp;IF(AF252=INT(AF252),TEXT(AF252,"0"),TEXT(AF252,"0.00")),"[PRICE PER PLAYER]")&amp;" a player. Happy to hold it for "&amp;F252&amp;"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LINK]")&amp;CHAR(10)&amp;CHAR(10)&amp;"Best,"&amp;CHAR(10)&amp;IF(AM252&lt;&gt;"",AM252,IF(Offer!$C$5&lt;&gt;"",Offer!$C$5,"[NAME]"))&amp;CHAR(10)&amp;"FC Urban"</f>
        <v/>
      </c>
      <c r="AL252" s="14">
        <f>IF(AH252="","No email yet",IF(ISNUMBER(SEARCH("[",AJ252)),"Fill placeholders",IF(ISNUMBER(AD252),"Ready to send","Ready · no fixed slot")))</f>
        <v/>
      </c>
      <c r="AO252" s="17" t="n"/>
      <c r="AP252" s="17" t="n"/>
    </row>
    <row r="253">
      <c r="A253" s="11" t="n">
        <v>251</v>
      </c>
      <c r="B253" s="11" t="n">
        <v>3</v>
      </c>
      <c r="C253" s="11" t="inlineStr">
        <is>
          <t>Fund / asset manager</t>
        </is>
      </c>
      <c r="D253" s="11" t="inlineStr">
        <is>
          <t>City of London</t>
        </is>
      </c>
      <c r="E253" s="11" t="inlineStr">
        <is>
          <t>Naisbitt King Asset Management Limited</t>
        </is>
      </c>
      <c r="F253" s="11" t="inlineStr">
        <is>
          <t>Naisbitt King Asset Management</t>
        </is>
      </c>
      <c r="G253" s="12" t="inlineStr">
        <is>
          <t>https://www.naisbittking.com</t>
        </is>
      </c>
      <c r="H253" s="11" t="inlineStr">
        <is>
          <t>enquiries@naisbittking.com</t>
        </is>
      </c>
      <c r="I253" s="11" t="inlineStr">
        <is>
          <t>general</t>
        </is>
      </c>
      <c r="J253" s="12" t="inlineStr">
        <is>
          <t>Open page</t>
        </is>
      </c>
      <c r="K253" s="11" t="inlineStr">
        <is>
          <t>09922315</t>
        </is>
      </c>
      <c r="L253" s="12" t="inlineStr">
        <is>
          <t>Open</t>
        </is>
      </c>
      <c r="M253" s="11" t="inlineStr">
        <is>
          <t>Full</t>
        </is>
      </c>
      <c r="N253" s="13" t="n">
        <v>42356</v>
      </c>
      <c r="O253" s="11" t="inlineStr">
        <is>
          <t>Nicholas House, 3 Laurence Pountney Hill, Laurence Pountney Hill, London</t>
        </is>
      </c>
      <c r="P253" s="11" t="inlineStr">
        <is>
          <t>EC4R 0EU</t>
        </is>
      </c>
      <c r="Q253" s="11" t="inlineStr">
        <is>
          <t>Yes</t>
        </is>
      </c>
      <c r="W253" s="11" t="inlineStr">
        <is>
          <t>City of London School (EC4V 3AL)</t>
        </is>
      </c>
      <c r="X253" s="11" t="n">
        <v>12</v>
      </c>
      <c r="Y253" s="11" t="inlineStr">
        <is>
          <t>Marlborough Sports Garden (SE1 1SD) (14)</t>
        </is>
      </c>
      <c r="Z253" s="11" t="inlineStr">
        <is>
          <t>City of London School (EC4V 3AL)</t>
        </is>
      </c>
      <c r="AA253" s="11" t="n">
        <v>12</v>
      </c>
      <c r="AB253" s="14">
        <f>IFERROR(INDEX(Venues!$E$2:$E$17,MATCH(Z253,Venues!$A$2:$A$17,0)),"Not checked")</f>
        <v/>
      </c>
      <c r="AC253" s="14">
        <f>IFERROR(INDEX(Venues!$F$2:$F$17,MATCH(Z253,Venues!$A$2:$A$17,0)),0)</f>
        <v/>
      </c>
      <c r="AD253" s="15">
        <f>IFERROR(INDEX(Venues!$M$2:$M$17,MATCH(Z253,Venues!$A$2:$A$17,0)),"")</f>
        <v/>
      </c>
      <c r="AE253" s="14">
        <f>IFERROR(INDEX(Venues!$N$2:$N$17,MATCH(Z253,Venues!$A$2:$A$17,0)),"5-a-side")</f>
        <v/>
      </c>
      <c r="AF253" s="16">
        <f>IF(Offer!$C$4="","",Offer!$C$4)</f>
        <v/>
      </c>
      <c r="AG253" s="14">
        <f>Z253&amp;" ("&amp;AA253&amp;" min walk) · "&amp;IF(ISNUMBER(AD253),TEXT(AD253,"ddd d mmm, hh:mm"),"slot to confirm with venue")&amp;" · "&amp;AE253&amp;" · "&amp;IF(AF253&lt;&gt;"","£"&amp;TEXT(AF253,"0.00")&amp;" pp","price TBC")</f>
        <v/>
      </c>
      <c r="AH253" s="14">
        <f>IF(U253&lt;&gt;"",U253,IF(H253&lt;&gt;"",H253,""))</f>
        <v/>
      </c>
      <c r="AI253" s="14">
        <f>"After-work football for "&amp;F253&amp;" · "&amp;Z253&amp;", "&amp;AA253&amp;" min from your office"</f>
        <v/>
      </c>
      <c r="AJ253" s="14">
        <f>"Hi "&amp;IF(R253&lt;&gt;"",R253,F253&amp;" team")&amp;","&amp;CHAR(10)&amp;CHAR(10)&amp;"I'm "&amp;IF(AM253&lt;&gt;"",AM253,IF(Offer!$C$5&lt;&gt;"",Offer!$C$5,"[NAME]"))&amp;" from FC Urban. We organise after-work football for teams in the City and Canary Wharf."&amp;CHAR(10)&amp;CHAR(10)&amp;"We have a "&amp;AE253&amp;" pitch at "&amp;Z253&amp;", "&amp;IF(OR(AA253=8,AA253=11,AA253=18),"an ","a ")&amp;AA253&amp;"-minute walk from your "&amp;P253&amp;" office, "&amp;IF(ISNUMBER(AD253),"on "&amp;TEXT(AD253,"dddd d mmmm")&amp;" at "&amp;TEXT(AD253,"hh:mm"),"on a weekday evening that suits your team")&amp;". It's "&amp;IF(AF253&lt;&gt;"","£"&amp;IF(AF253=INT(AF253),TEXT(AF253,"0"),TEXT(AF253,"0.00")),"[PRICE PER PLAYER]")&amp;" a player and we handle the pitch booking, sign-ups and payments, so all it takes is one person sharing a link with the team."&amp;CHAR(10)&amp;CHAR(10)&amp;"It works well as a team social or "&amp;IF(ISNUMBER(SEARCH(LEFT(F253,1),"AEIOU")),"an ","a ")&amp;F253&amp;"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LINK]")&amp;CHAR(10)&amp;CHAR(10)&amp;"Best,"&amp;CHAR(10)&amp;IF(AM253&lt;&gt;"",AM253,IF(Offer!$C$5&lt;&gt;"",Offer!$C$5,"[NAME]"))&amp;CHAR(10)&amp;"FC Urban"</f>
        <v/>
      </c>
      <c r="AK253" s="14">
        <f>"Hi "&amp;IF(R253&lt;&gt;"",R253,F253&amp;" team")&amp;","&amp;CHAR(10)&amp;CHAR(10)&amp;"Just bumping this up. The "&amp;AE253&amp;" pitch at "&amp;Z253&amp;" is still free "&amp;IF(ISNUMBER(AD253),TEXT(AD253,"ddd d mmm")&amp;", "&amp;TEXT(AD253,"hh:mm"),"weekday evenings")&amp;", "&amp;IF(OR(AA253=8,AA253=11,AA253=18),"an ","a ")&amp;AA253&amp;"-minute walk from your office, "&amp;IF(AF253&lt;&gt;"","£"&amp;IF(AF253=INT(AF253),TEXT(AF253,"0"),TEXT(AF253,"0.00")),"[PRICE PER PLAYER]")&amp;" a player. Happy to hold it for "&amp;F253&amp;"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LINK]")&amp;CHAR(10)&amp;CHAR(10)&amp;"Best,"&amp;CHAR(10)&amp;IF(AM253&lt;&gt;"",AM253,IF(Offer!$C$5&lt;&gt;"",Offer!$C$5,"[NAME]"))&amp;CHAR(10)&amp;"FC Urban"</f>
        <v/>
      </c>
      <c r="AL253" s="14">
        <f>IF(AH253="","No email yet",IF(ISNUMBER(SEARCH("[",AJ253)),"Fill placeholders",IF(ISNUMBER(AD253),"Ready to send","Ready · no fixed slot")))</f>
        <v/>
      </c>
      <c r="AO253" s="17" t="n"/>
      <c r="AP253" s="17" t="n"/>
    </row>
    <row r="254">
      <c r="A254" s="11" t="n">
        <v>252</v>
      </c>
      <c r="B254" s="11" t="n">
        <v>3</v>
      </c>
      <c r="C254" s="11" t="inlineStr">
        <is>
          <t>Fund / asset manager</t>
        </is>
      </c>
      <c r="D254" s="11" t="inlineStr">
        <is>
          <t>City of London</t>
        </is>
      </c>
      <c r="E254" s="11" t="inlineStr">
        <is>
          <t>Slater Investments Limited</t>
        </is>
      </c>
      <c r="F254" s="11" t="inlineStr">
        <is>
          <t>Slater Investments</t>
        </is>
      </c>
      <c r="G254" s="12" t="inlineStr">
        <is>
          <t>https://slaterinvestments.com</t>
        </is>
      </c>
      <c r="H254" s="11" t="inlineStr">
        <is>
          <t>lisa@slaterinvestments.com</t>
        </is>
      </c>
      <c r="I254" s="11" t="inlineStr">
        <is>
          <t>named person</t>
        </is>
      </c>
      <c r="J254" s="12" t="inlineStr">
        <is>
          <t>Open page</t>
        </is>
      </c>
      <c r="K254" s="11" t="inlineStr">
        <is>
          <t>02863882</t>
        </is>
      </c>
      <c r="L254" s="12" t="inlineStr">
        <is>
          <t>Open</t>
        </is>
      </c>
      <c r="M254" s="11" t="inlineStr">
        <is>
          <t>Full</t>
        </is>
      </c>
      <c r="N254" s="13" t="n">
        <v>34261</v>
      </c>
      <c r="O254" s="11" t="inlineStr">
        <is>
          <t>Nicholas House, 3 Laurence Pountney Hill, London</t>
        </is>
      </c>
      <c r="P254" s="11" t="inlineStr">
        <is>
          <t>EC4R 0EU</t>
        </is>
      </c>
      <c r="Q254" s="11" t="inlineStr">
        <is>
          <t>Yes</t>
        </is>
      </c>
      <c r="W254" s="11" t="inlineStr">
        <is>
          <t>City of London School (EC4V 3AL)</t>
        </is>
      </c>
      <c r="X254" s="11" t="n">
        <v>12</v>
      </c>
      <c r="Y254" s="11" t="inlineStr">
        <is>
          <t>Marlborough Sports Garden (SE1 1SD) (14)</t>
        </is>
      </c>
      <c r="Z254" s="11" t="inlineStr">
        <is>
          <t>City of London School (EC4V 3AL)</t>
        </is>
      </c>
      <c r="AA254" s="11" t="n">
        <v>12</v>
      </c>
      <c r="AB254" s="14">
        <f>IFERROR(INDEX(Venues!$E$2:$E$17,MATCH(Z254,Venues!$A$2:$A$17,0)),"Not checked")</f>
        <v/>
      </c>
      <c r="AC254" s="14">
        <f>IFERROR(INDEX(Venues!$F$2:$F$17,MATCH(Z254,Venues!$A$2:$A$17,0)),0)</f>
        <v/>
      </c>
      <c r="AD254" s="15">
        <f>IFERROR(INDEX(Venues!$M$2:$M$17,MATCH(Z254,Venues!$A$2:$A$17,0)),"")</f>
        <v/>
      </c>
      <c r="AE254" s="14">
        <f>IFERROR(INDEX(Venues!$N$2:$N$17,MATCH(Z254,Venues!$A$2:$A$17,0)),"5-a-side")</f>
        <v/>
      </c>
      <c r="AF254" s="16">
        <f>IF(Offer!$C$4="","",Offer!$C$4)</f>
        <v/>
      </c>
      <c r="AG254" s="14">
        <f>Z254&amp;" ("&amp;AA254&amp;" min walk) · "&amp;IF(ISNUMBER(AD254),TEXT(AD254,"ddd d mmm, hh:mm"),"slot to confirm with venue")&amp;" · "&amp;AE254&amp;" · "&amp;IF(AF254&lt;&gt;"","£"&amp;TEXT(AF254,"0.00")&amp;" pp","price TBC")</f>
        <v/>
      </c>
      <c r="AH254" s="14">
        <f>IF(U254&lt;&gt;"",U254,IF(H254&lt;&gt;"",H254,""))</f>
        <v/>
      </c>
      <c r="AI254" s="14">
        <f>"After-work football for "&amp;F254&amp;" · "&amp;Z254&amp;", "&amp;AA254&amp;" min from your office"</f>
        <v/>
      </c>
      <c r="AJ254" s="14">
        <f>"Hi "&amp;IF(R254&lt;&gt;"",R254,F254&amp;" team")&amp;","&amp;CHAR(10)&amp;CHAR(10)&amp;"I'm "&amp;IF(AM254&lt;&gt;"",AM254,IF(Offer!$C$5&lt;&gt;"",Offer!$C$5,"[NAME]"))&amp;" from FC Urban. We organise after-work football for teams in the City and Canary Wharf."&amp;CHAR(10)&amp;CHAR(10)&amp;"We have a "&amp;AE254&amp;" pitch at "&amp;Z254&amp;", "&amp;IF(OR(AA254=8,AA254=11,AA254=18),"an ","a ")&amp;AA254&amp;"-minute walk from your "&amp;P254&amp;" office, "&amp;IF(ISNUMBER(AD254),"on "&amp;TEXT(AD254,"dddd d mmmm")&amp;" at "&amp;TEXT(AD254,"hh:mm"),"on a weekday evening that suits your team")&amp;". It's "&amp;IF(AF254&lt;&gt;"","£"&amp;IF(AF254=INT(AF254),TEXT(AF254,"0"),TEXT(AF254,"0.00")),"[PRICE PER PLAYER]")&amp;" a player and we handle the pitch booking, sign-ups and payments, so all it takes is one person sharing a link with the team."&amp;CHAR(10)&amp;CHAR(10)&amp;"It works well as a team social or "&amp;IF(ISNUMBER(SEARCH(LEFT(F254,1),"AEIOU")),"an ","a ")&amp;F254&amp;"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LINK]")&amp;CHAR(10)&amp;CHAR(10)&amp;"Best,"&amp;CHAR(10)&amp;IF(AM254&lt;&gt;"",AM254,IF(Offer!$C$5&lt;&gt;"",Offer!$C$5,"[NAME]"))&amp;CHAR(10)&amp;"FC Urban"</f>
        <v/>
      </c>
      <c r="AK254" s="14">
        <f>"Hi "&amp;IF(R254&lt;&gt;"",R254,F254&amp;" team")&amp;","&amp;CHAR(10)&amp;CHAR(10)&amp;"Just bumping this up. The "&amp;AE254&amp;" pitch at "&amp;Z254&amp;" is still free "&amp;IF(ISNUMBER(AD254),TEXT(AD254,"ddd d mmm")&amp;", "&amp;TEXT(AD254,"hh:mm"),"weekday evenings")&amp;", "&amp;IF(OR(AA254=8,AA254=11,AA254=18),"an ","a ")&amp;AA254&amp;"-minute walk from your office, "&amp;IF(AF254&lt;&gt;"","£"&amp;IF(AF254=INT(AF254),TEXT(AF254,"0"),TEXT(AF254,"0.00")),"[PRICE PER PLAYER]")&amp;" a player. Happy to hold it for "&amp;F254&amp;"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LINK]")&amp;CHAR(10)&amp;CHAR(10)&amp;"Best,"&amp;CHAR(10)&amp;IF(AM254&lt;&gt;"",AM254,IF(Offer!$C$5&lt;&gt;"",Offer!$C$5,"[NAME]"))&amp;CHAR(10)&amp;"FC Urban"</f>
        <v/>
      </c>
      <c r="AL254" s="14">
        <f>IF(AH254="","No email yet",IF(ISNUMBER(SEARCH("[",AJ254)),"Fill placeholders",IF(ISNUMBER(AD254),"Ready to send","Ready · no fixed slot")))</f>
        <v/>
      </c>
      <c r="AO254" s="17" t="n"/>
      <c r="AP254" s="17" t="n"/>
    </row>
    <row r="255">
      <c r="A255" s="11" t="n">
        <v>253</v>
      </c>
      <c r="B255" s="11" t="n">
        <v>3</v>
      </c>
      <c r="C255" s="11" t="inlineStr">
        <is>
          <t>Fund / asset manager</t>
        </is>
      </c>
      <c r="D255" s="11" t="inlineStr">
        <is>
          <t>City of London</t>
        </is>
      </c>
      <c r="E255" s="11" t="inlineStr">
        <is>
          <t>Conduit Ventures Limited</t>
        </is>
      </c>
      <c r="F255" s="11" t="inlineStr">
        <is>
          <t>Conduit Ventures</t>
        </is>
      </c>
      <c r="G255" s="12" t="inlineStr">
        <is>
          <t>https://www.conduit-ventures.com</t>
        </is>
      </c>
      <c r="H255" s="11" t="inlineStr">
        <is>
          <t>office@conduit-ventures.com</t>
        </is>
      </c>
      <c r="I255" s="11" t="inlineStr">
        <is>
          <t>general</t>
        </is>
      </c>
      <c r="J255" s="12" t="inlineStr">
        <is>
          <t>Open page</t>
        </is>
      </c>
      <c r="K255" s="11" t="inlineStr">
        <is>
          <t>04293385</t>
        </is>
      </c>
      <c r="L255" s="12" t="inlineStr">
        <is>
          <t>Open</t>
        </is>
      </c>
      <c r="M255" s="11" t="inlineStr">
        <is>
          <t>Full</t>
        </is>
      </c>
      <c r="N255" s="13" t="n">
        <v>37159</v>
      </c>
      <c r="O255" s="11" t="inlineStr">
        <is>
          <t>3Rd Floor, 12 Gough Square, London</t>
        </is>
      </c>
      <c r="P255" s="11" t="inlineStr">
        <is>
          <t>EC4A 3DW</t>
        </is>
      </c>
      <c r="Q255" s="11" t="inlineStr">
        <is>
          <t>No</t>
        </is>
      </c>
      <c r="W255" s="11" t="inlineStr">
        <is>
          <t>City of London School (EC4V 3AL)</t>
        </is>
      </c>
      <c r="X255" s="11" t="n">
        <v>12</v>
      </c>
      <c r="Y255" s="11" t="n"/>
      <c r="Z255" s="11" t="inlineStr">
        <is>
          <t>City of London School (EC4V 3AL)</t>
        </is>
      </c>
      <c r="AA255" s="11" t="n">
        <v>12</v>
      </c>
      <c r="AB255" s="14">
        <f>IFERROR(INDEX(Venues!$E$2:$E$17,MATCH(Z255,Venues!$A$2:$A$17,0)),"Not checked")</f>
        <v/>
      </c>
      <c r="AC255" s="14">
        <f>IFERROR(INDEX(Venues!$F$2:$F$17,MATCH(Z255,Venues!$A$2:$A$17,0)),0)</f>
        <v/>
      </c>
      <c r="AD255" s="15">
        <f>IFERROR(INDEX(Venues!$M$2:$M$17,MATCH(Z255,Venues!$A$2:$A$17,0)),"")</f>
        <v/>
      </c>
      <c r="AE255" s="14">
        <f>IFERROR(INDEX(Venues!$N$2:$N$17,MATCH(Z255,Venues!$A$2:$A$17,0)),"5-a-side")</f>
        <v/>
      </c>
      <c r="AF255" s="16">
        <f>IF(Offer!$C$4="","",Offer!$C$4)</f>
        <v/>
      </c>
      <c r="AG255" s="14">
        <f>Z255&amp;" ("&amp;AA255&amp;" min walk) · "&amp;IF(ISNUMBER(AD255),TEXT(AD255,"ddd d mmm, hh:mm"),"slot to confirm with venue")&amp;" · "&amp;AE255&amp;" · "&amp;IF(AF255&lt;&gt;"","£"&amp;TEXT(AF255,"0.00")&amp;" pp","price TBC")</f>
        <v/>
      </c>
      <c r="AH255" s="14">
        <f>IF(U255&lt;&gt;"",U255,IF(H255&lt;&gt;"",H255,""))</f>
        <v/>
      </c>
      <c r="AI255" s="14">
        <f>"After-work football for "&amp;F255&amp;" · "&amp;Z255&amp;", "&amp;AA255&amp;" min from your office"</f>
        <v/>
      </c>
      <c r="AJ255" s="14">
        <f>"Hi "&amp;IF(R255&lt;&gt;"",R255,F255&amp;" team")&amp;","&amp;CHAR(10)&amp;CHAR(10)&amp;"I'm "&amp;IF(AM255&lt;&gt;"",AM255,IF(Offer!$C$5&lt;&gt;"",Offer!$C$5,"[NAME]"))&amp;" from FC Urban. We organise after-work football for teams in the City and Canary Wharf."&amp;CHAR(10)&amp;CHAR(10)&amp;"We have a "&amp;AE255&amp;" pitch at "&amp;Z255&amp;", "&amp;IF(OR(AA255=8,AA255=11,AA255=18),"an ","a ")&amp;AA255&amp;"-minute walk from your "&amp;P255&amp;" office, "&amp;IF(ISNUMBER(AD255),"on "&amp;TEXT(AD255,"dddd d mmmm")&amp;" at "&amp;TEXT(AD255,"hh:mm"),"on a weekday evening that suits your team")&amp;". It's "&amp;IF(AF255&lt;&gt;"","£"&amp;IF(AF255=INT(AF255),TEXT(AF255,"0"),TEXT(AF255,"0.00")),"[PRICE PER PLAYER]")&amp;" a player and we handle the pitch booking, sign-ups and payments, so all it takes is one person sharing a link with the team."&amp;CHAR(10)&amp;CHAR(10)&amp;"It works well as a team social or "&amp;IF(ISNUMBER(SEARCH(LEFT(F255,1),"AEIOU")),"an ","a ")&amp;F255&amp;"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LINK]")&amp;CHAR(10)&amp;CHAR(10)&amp;"Best,"&amp;CHAR(10)&amp;IF(AM255&lt;&gt;"",AM255,IF(Offer!$C$5&lt;&gt;"",Offer!$C$5,"[NAME]"))&amp;CHAR(10)&amp;"FC Urban"</f>
        <v/>
      </c>
      <c r="AK255" s="14">
        <f>"Hi "&amp;IF(R255&lt;&gt;"",R255,F255&amp;" team")&amp;","&amp;CHAR(10)&amp;CHAR(10)&amp;"Just bumping this up. The "&amp;AE255&amp;" pitch at "&amp;Z255&amp;" is still free "&amp;IF(ISNUMBER(AD255),TEXT(AD255,"ddd d mmm")&amp;", "&amp;TEXT(AD255,"hh:mm"),"weekday evenings")&amp;", "&amp;IF(OR(AA255=8,AA255=11,AA255=18),"an ","a ")&amp;AA255&amp;"-minute walk from your office, "&amp;IF(AF255&lt;&gt;"","£"&amp;IF(AF255=INT(AF255),TEXT(AF255,"0"),TEXT(AF255,"0.00")),"[PRICE PER PLAYER]")&amp;" a player. Happy to hold it for "&amp;F255&amp;"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LINK]")&amp;CHAR(10)&amp;CHAR(10)&amp;"Best,"&amp;CHAR(10)&amp;IF(AM255&lt;&gt;"",AM255,IF(Offer!$C$5&lt;&gt;"",Offer!$C$5,"[NAME]"))&amp;CHAR(10)&amp;"FC Urban"</f>
        <v/>
      </c>
      <c r="AL255" s="14">
        <f>IF(AH255="","No email yet",IF(ISNUMBER(SEARCH("[",AJ255)),"Fill placeholders",IF(ISNUMBER(AD255),"Ready to send","Ready · no fixed slot")))</f>
        <v/>
      </c>
      <c r="AO255" s="17" t="n"/>
      <c r="AP255" s="17" t="n"/>
    </row>
    <row r="256">
      <c r="A256" s="11" t="n">
        <v>254</v>
      </c>
      <c r="B256" s="11" t="n">
        <v>3</v>
      </c>
      <c r="C256" s="11" t="inlineStr">
        <is>
          <t>Fund / asset manager</t>
        </is>
      </c>
      <c r="D256" s="11" t="inlineStr">
        <is>
          <t>City of London</t>
        </is>
      </c>
      <c r="E256" s="11" t="inlineStr">
        <is>
          <t>Marylebone Partners LLP</t>
        </is>
      </c>
      <c r="F256" s="11" t="inlineStr">
        <is>
          <t>Marylebone Partners</t>
        </is>
      </c>
      <c r="G256" s="12" t="inlineStr">
        <is>
          <t>https://www.marylebonepartners.com</t>
        </is>
      </c>
      <c r="H256" s="11" t="inlineStr">
        <is>
          <t>info@marylebonepartners.com</t>
        </is>
      </c>
      <c r="I256" s="11" t="inlineStr">
        <is>
          <t>general</t>
        </is>
      </c>
      <c r="J256" s="12" t="inlineStr">
        <is>
          <t>Open page</t>
        </is>
      </c>
      <c r="K256" s="11" t="inlineStr">
        <is>
          <t>OC381480</t>
        </is>
      </c>
      <c r="L256" s="12" t="inlineStr">
        <is>
          <t>Open</t>
        </is>
      </c>
      <c r="M256" s="11" t="inlineStr">
        <is>
          <t>Full</t>
        </is>
      </c>
      <c r="N256" s="13" t="n">
        <v>41283</v>
      </c>
      <c r="O256" s="11" t="inlineStr">
        <is>
          <t>1 Giltspur Street, Farringdon, London</t>
        </is>
      </c>
      <c r="P256" s="11" t="inlineStr">
        <is>
          <t>EC1A 9DD</t>
        </is>
      </c>
      <c r="Q256" s="11" t="inlineStr">
        <is>
          <t>No</t>
        </is>
      </c>
      <c r="W256" s="11" t="inlineStr">
        <is>
          <t>City of London School (EC4V 3AL)</t>
        </is>
      </c>
      <c r="X256" s="11" t="n">
        <v>12</v>
      </c>
      <c r="Y256" s="11" t="inlineStr">
        <is>
          <t>Finsbury Leisure Centre (EC1V 3PU) (17.4)</t>
        </is>
      </c>
      <c r="Z256" s="11" t="inlineStr">
        <is>
          <t>City of London School (EC4V 3AL)</t>
        </is>
      </c>
      <c r="AA256" s="11" t="n">
        <v>12</v>
      </c>
      <c r="AB256" s="14">
        <f>IFERROR(INDEX(Venues!$E$2:$E$17,MATCH(Z256,Venues!$A$2:$A$17,0)),"Not checked")</f>
        <v/>
      </c>
      <c r="AC256" s="14">
        <f>IFERROR(INDEX(Venues!$F$2:$F$17,MATCH(Z256,Venues!$A$2:$A$17,0)),0)</f>
        <v/>
      </c>
      <c r="AD256" s="15">
        <f>IFERROR(INDEX(Venues!$M$2:$M$17,MATCH(Z256,Venues!$A$2:$A$17,0)),"")</f>
        <v/>
      </c>
      <c r="AE256" s="14">
        <f>IFERROR(INDEX(Venues!$N$2:$N$17,MATCH(Z256,Venues!$A$2:$A$17,0)),"5-a-side")</f>
        <v/>
      </c>
      <c r="AF256" s="16">
        <f>IF(Offer!$C$4="","",Offer!$C$4)</f>
        <v/>
      </c>
      <c r="AG256" s="14">
        <f>Z256&amp;" ("&amp;AA256&amp;" min walk) · "&amp;IF(ISNUMBER(AD256),TEXT(AD256,"ddd d mmm, hh:mm"),"slot to confirm with venue")&amp;" · "&amp;AE256&amp;" · "&amp;IF(AF256&lt;&gt;"","£"&amp;TEXT(AF256,"0.00")&amp;" pp","price TBC")</f>
        <v/>
      </c>
      <c r="AH256" s="14">
        <f>IF(U256&lt;&gt;"",U256,IF(H256&lt;&gt;"",H256,""))</f>
        <v/>
      </c>
      <c r="AI256" s="14">
        <f>"After-work football for "&amp;F256&amp;" · "&amp;Z256&amp;", "&amp;AA256&amp;" min from your office"</f>
        <v/>
      </c>
      <c r="AJ256" s="14">
        <f>"Hi "&amp;IF(R256&lt;&gt;"",R256,F256&amp;" team")&amp;","&amp;CHAR(10)&amp;CHAR(10)&amp;"I'm "&amp;IF(AM256&lt;&gt;"",AM256,IF(Offer!$C$5&lt;&gt;"",Offer!$C$5,"[NAME]"))&amp;" from FC Urban. We organise after-work football for teams in the City and Canary Wharf."&amp;CHAR(10)&amp;CHAR(10)&amp;"We have a "&amp;AE256&amp;" pitch at "&amp;Z256&amp;", "&amp;IF(OR(AA256=8,AA256=11,AA256=18),"an ","a ")&amp;AA256&amp;"-minute walk from your "&amp;P256&amp;" office, "&amp;IF(ISNUMBER(AD256),"on "&amp;TEXT(AD256,"dddd d mmmm")&amp;" at "&amp;TEXT(AD256,"hh:mm"),"on a weekday evening that suits your team")&amp;". It's "&amp;IF(AF256&lt;&gt;"","£"&amp;IF(AF256=INT(AF256),TEXT(AF256,"0"),TEXT(AF256,"0.00")),"[PRICE PER PLAYER]")&amp;" a player and we handle the pitch booking, sign-ups and payments, so all it takes is one person sharing a link with the team."&amp;CHAR(10)&amp;CHAR(10)&amp;"It works well as a team social or "&amp;IF(ISNUMBER(SEARCH(LEFT(F256,1),"AEIOU")),"an ","a ")&amp;F256&amp;"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LINK]")&amp;CHAR(10)&amp;CHAR(10)&amp;"Best,"&amp;CHAR(10)&amp;IF(AM256&lt;&gt;"",AM256,IF(Offer!$C$5&lt;&gt;"",Offer!$C$5,"[NAME]"))&amp;CHAR(10)&amp;"FC Urban"</f>
        <v/>
      </c>
      <c r="AK256" s="14">
        <f>"Hi "&amp;IF(R256&lt;&gt;"",R256,F256&amp;" team")&amp;","&amp;CHAR(10)&amp;CHAR(10)&amp;"Just bumping this up. The "&amp;AE256&amp;" pitch at "&amp;Z256&amp;" is still free "&amp;IF(ISNUMBER(AD256),TEXT(AD256,"ddd d mmm")&amp;", "&amp;TEXT(AD256,"hh:mm"),"weekday evenings")&amp;", "&amp;IF(OR(AA256=8,AA256=11,AA256=18),"an ","a ")&amp;AA256&amp;"-minute walk from your office, "&amp;IF(AF256&lt;&gt;"","£"&amp;IF(AF256=INT(AF256),TEXT(AF256,"0"),TEXT(AF256,"0.00")),"[PRICE PER PLAYER]")&amp;" a player. Happy to hold it for "&amp;F256&amp;"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LINK]")&amp;CHAR(10)&amp;CHAR(10)&amp;"Best,"&amp;CHAR(10)&amp;IF(AM256&lt;&gt;"",AM256,IF(Offer!$C$5&lt;&gt;"",Offer!$C$5,"[NAME]"))&amp;CHAR(10)&amp;"FC Urban"</f>
        <v/>
      </c>
      <c r="AL256" s="14">
        <f>IF(AH256="","No email yet",IF(ISNUMBER(SEARCH("[",AJ256)),"Fill placeholders",IF(ISNUMBER(AD256),"Ready to send","Ready · no fixed slot")))</f>
        <v/>
      </c>
      <c r="AO256" s="17" t="n"/>
      <c r="AP256" s="17" t="n"/>
    </row>
    <row r="257">
      <c r="A257" s="11" t="n">
        <v>255</v>
      </c>
      <c r="B257" s="11" t="n">
        <v>3</v>
      </c>
      <c r="C257" s="11" t="inlineStr">
        <is>
          <t>Fund / asset manager</t>
        </is>
      </c>
      <c r="D257" s="11" t="inlineStr">
        <is>
          <t>City of London</t>
        </is>
      </c>
      <c r="E257" s="11" t="inlineStr">
        <is>
          <t>Kps Global Asset Management UK Limited</t>
        </is>
      </c>
      <c r="F257" s="11" t="inlineStr">
        <is>
          <t>Kps Global Asset Management</t>
        </is>
      </c>
      <c r="G257" s="12" t="inlineStr">
        <is>
          <t>https://kps.com</t>
        </is>
      </c>
      <c r="H257" s="11" t="inlineStr">
        <is>
          <t>info@kps.com</t>
        </is>
      </c>
      <c r="I257" s="11" t="inlineStr">
        <is>
          <t>general</t>
        </is>
      </c>
      <c r="J257" s="12" t="inlineStr">
        <is>
          <t>Open page</t>
        </is>
      </c>
      <c r="K257" s="11" t="inlineStr">
        <is>
          <t>10738819</t>
        </is>
      </c>
      <c r="L257" s="12" t="inlineStr">
        <is>
          <t>Open</t>
        </is>
      </c>
      <c r="M257" s="11" t="inlineStr">
        <is>
          <t>Full</t>
        </is>
      </c>
      <c r="N257" s="13" t="n">
        <v>42850</v>
      </c>
      <c r="O257" s="11" t="inlineStr">
        <is>
          <t>6Th Floor, One London Wall, London</t>
        </is>
      </c>
      <c r="P257" s="11" t="inlineStr">
        <is>
          <t>EC2Y 5EB</t>
        </is>
      </c>
      <c r="Q257" s="11" t="inlineStr">
        <is>
          <t>No</t>
        </is>
      </c>
      <c r="W257" s="11" t="inlineStr">
        <is>
          <t>City of London School (EC4V 3AL)</t>
        </is>
      </c>
      <c r="X257" s="11" t="n">
        <v>12</v>
      </c>
      <c r="Y257" s="11" t="inlineStr">
        <is>
          <t>Finsbury Leisure Centre (EC1V 3PU) (16)</t>
        </is>
      </c>
      <c r="Z257" s="11" t="inlineStr">
        <is>
          <t>City of London School (EC4V 3AL)</t>
        </is>
      </c>
      <c r="AA257" s="11" t="n">
        <v>12</v>
      </c>
      <c r="AB257" s="14">
        <f>IFERROR(INDEX(Venues!$E$2:$E$17,MATCH(Z257,Venues!$A$2:$A$17,0)),"Not checked")</f>
        <v/>
      </c>
      <c r="AC257" s="14">
        <f>IFERROR(INDEX(Venues!$F$2:$F$17,MATCH(Z257,Venues!$A$2:$A$17,0)),0)</f>
        <v/>
      </c>
      <c r="AD257" s="15">
        <f>IFERROR(INDEX(Venues!$M$2:$M$17,MATCH(Z257,Venues!$A$2:$A$17,0)),"")</f>
        <v/>
      </c>
      <c r="AE257" s="14">
        <f>IFERROR(INDEX(Venues!$N$2:$N$17,MATCH(Z257,Venues!$A$2:$A$17,0)),"5-a-side")</f>
        <v/>
      </c>
      <c r="AF257" s="16">
        <f>IF(Offer!$C$4="","",Offer!$C$4)</f>
        <v/>
      </c>
      <c r="AG257" s="14">
        <f>Z257&amp;" ("&amp;AA257&amp;" min walk) · "&amp;IF(ISNUMBER(AD257),TEXT(AD257,"ddd d mmm, hh:mm"),"slot to confirm with venue")&amp;" · "&amp;AE257&amp;" · "&amp;IF(AF257&lt;&gt;"","£"&amp;TEXT(AF257,"0.00")&amp;" pp","price TBC")</f>
        <v/>
      </c>
      <c r="AH257" s="14">
        <f>IF(U257&lt;&gt;"",U257,IF(H257&lt;&gt;"",H257,""))</f>
        <v/>
      </c>
      <c r="AI257" s="14">
        <f>"After-work football for "&amp;F257&amp;" · "&amp;Z257&amp;", "&amp;AA257&amp;" min from your office"</f>
        <v/>
      </c>
      <c r="AJ257" s="14">
        <f>"Hi "&amp;IF(R257&lt;&gt;"",R257,F257&amp;" team")&amp;","&amp;CHAR(10)&amp;CHAR(10)&amp;"I'm "&amp;IF(AM257&lt;&gt;"",AM257,IF(Offer!$C$5&lt;&gt;"",Offer!$C$5,"[NAME]"))&amp;" from FC Urban. We organise after-work football for teams in the City and Canary Wharf."&amp;CHAR(10)&amp;CHAR(10)&amp;"We have a "&amp;AE257&amp;" pitch at "&amp;Z257&amp;", "&amp;IF(OR(AA257=8,AA257=11,AA257=18),"an ","a ")&amp;AA257&amp;"-minute walk from your "&amp;P257&amp;" office, "&amp;IF(ISNUMBER(AD257),"on "&amp;TEXT(AD257,"dddd d mmmm")&amp;" at "&amp;TEXT(AD257,"hh:mm"),"on a weekday evening that suits your team")&amp;". It's "&amp;IF(AF257&lt;&gt;"","£"&amp;IF(AF257=INT(AF257),TEXT(AF257,"0"),TEXT(AF257,"0.00")),"[PRICE PER PLAYER]")&amp;" a player and we handle the pitch booking, sign-ups and payments, so all it takes is one person sharing a link with the team."&amp;CHAR(10)&amp;CHAR(10)&amp;"It works well as a team social or "&amp;IF(ISNUMBER(SEARCH(LEFT(F257,1),"AEIOU")),"an ","a ")&amp;F257&amp;"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LINK]")&amp;CHAR(10)&amp;CHAR(10)&amp;"Best,"&amp;CHAR(10)&amp;IF(AM257&lt;&gt;"",AM257,IF(Offer!$C$5&lt;&gt;"",Offer!$C$5,"[NAME]"))&amp;CHAR(10)&amp;"FC Urban"</f>
        <v/>
      </c>
      <c r="AK257" s="14">
        <f>"Hi "&amp;IF(R257&lt;&gt;"",R257,F257&amp;" team")&amp;","&amp;CHAR(10)&amp;CHAR(10)&amp;"Just bumping this up. The "&amp;AE257&amp;" pitch at "&amp;Z257&amp;" is still free "&amp;IF(ISNUMBER(AD257),TEXT(AD257,"ddd d mmm")&amp;", "&amp;TEXT(AD257,"hh:mm"),"weekday evenings")&amp;", "&amp;IF(OR(AA257=8,AA257=11,AA257=18),"an ","a ")&amp;AA257&amp;"-minute walk from your office, "&amp;IF(AF257&lt;&gt;"","£"&amp;IF(AF257=INT(AF257),TEXT(AF257,"0"),TEXT(AF257,"0.00")),"[PRICE PER PLAYER]")&amp;" a player. Happy to hold it for "&amp;F257&amp;"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LINK]")&amp;CHAR(10)&amp;CHAR(10)&amp;"Best,"&amp;CHAR(10)&amp;IF(AM257&lt;&gt;"",AM257,IF(Offer!$C$5&lt;&gt;"",Offer!$C$5,"[NAME]"))&amp;CHAR(10)&amp;"FC Urban"</f>
        <v/>
      </c>
      <c r="AL257" s="14">
        <f>IF(AH257="","No email yet",IF(ISNUMBER(SEARCH("[",AJ257)),"Fill placeholders",IF(ISNUMBER(AD257),"Ready to send","Ready · no fixed slot")))</f>
        <v/>
      </c>
      <c r="AO257" s="17" t="n"/>
      <c r="AP257" s="17" t="n"/>
    </row>
    <row r="258">
      <c r="A258" s="11" t="n">
        <v>256</v>
      </c>
      <c r="B258" s="11" t="n">
        <v>3</v>
      </c>
      <c r="C258" s="11" t="inlineStr">
        <is>
          <t>Insurance / broker</t>
        </is>
      </c>
      <c r="D258" s="11" t="inlineStr">
        <is>
          <t>City of London</t>
        </is>
      </c>
      <c r="E258" s="11" t="inlineStr">
        <is>
          <t>Marnix Europe Limited</t>
        </is>
      </c>
      <c r="F258" s="11" t="inlineStr">
        <is>
          <t>Marnix</t>
        </is>
      </c>
      <c r="G258" s="12" t="inlineStr">
        <is>
          <t>https://www.marnix.com</t>
        </is>
      </c>
      <c r="H258" s="11" t="n"/>
      <c r="I258" s="11" t="inlineStr">
        <is>
          <t>Not found</t>
        </is>
      </c>
      <c r="J258" s="11" t="n"/>
      <c r="K258" s="11" t="inlineStr">
        <is>
          <t>02448482</t>
        </is>
      </c>
      <c r="L258" s="12" t="inlineStr">
        <is>
          <t>Open</t>
        </is>
      </c>
      <c r="M258" s="11" t="inlineStr">
        <is>
          <t>Full</t>
        </is>
      </c>
      <c r="N258" s="13" t="n">
        <v>32843</v>
      </c>
      <c r="O258" s="11" t="inlineStr">
        <is>
          <t>95 Gresham Street, London</t>
        </is>
      </c>
      <c r="P258" s="11" t="inlineStr">
        <is>
          <t>EC2V 7AB</t>
        </is>
      </c>
      <c r="Q258" s="11" t="inlineStr">
        <is>
          <t>No</t>
        </is>
      </c>
      <c r="W258" s="11" t="inlineStr">
        <is>
          <t>City of London School (EC4V 3AL)</t>
        </is>
      </c>
      <c r="X258" s="11" t="n">
        <v>12</v>
      </c>
      <c r="Y258" s="11" t="n"/>
      <c r="Z258" s="11" t="inlineStr">
        <is>
          <t>City of London School (EC4V 3AL)</t>
        </is>
      </c>
      <c r="AA258" s="11" t="n">
        <v>12</v>
      </c>
      <c r="AB258" s="14">
        <f>IFERROR(INDEX(Venues!$E$2:$E$17,MATCH(Z258,Venues!$A$2:$A$17,0)),"Not checked")</f>
        <v/>
      </c>
      <c r="AC258" s="14">
        <f>IFERROR(INDEX(Venues!$F$2:$F$17,MATCH(Z258,Venues!$A$2:$A$17,0)),0)</f>
        <v/>
      </c>
      <c r="AD258" s="15">
        <f>IFERROR(INDEX(Venues!$M$2:$M$17,MATCH(Z258,Venues!$A$2:$A$17,0)),"")</f>
        <v/>
      </c>
      <c r="AE258" s="14">
        <f>IFERROR(INDEX(Venues!$N$2:$N$17,MATCH(Z258,Venues!$A$2:$A$17,0)),"5-a-side")</f>
        <v/>
      </c>
      <c r="AF258" s="16">
        <f>IF(Offer!$C$4="","",Offer!$C$4)</f>
        <v/>
      </c>
      <c r="AG258" s="14">
        <f>Z258&amp;" ("&amp;AA258&amp;" min walk) · "&amp;IF(ISNUMBER(AD258),TEXT(AD258,"ddd d mmm, hh:mm"),"slot to confirm with venue")&amp;" · "&amp;AE258&amp;" · "&amp;IF(AF258&lt;&gt;"","£"&amp;TEXT(AF258,"0.00")&amp;" pp","price TBC")</f>
        <v/>
      </c>
      <c r="AH258" s="14">
        <f>IF(U258&lt;&gt;"",U258,IF(H258&lt;&gt;"",H258,""))</f>
        <v/>
      </c>
      <c r="AI258" s="14">
        <f>"After-work football for "&amp;F258&amp;" · "&amp;Z258&amp;", "&amp;AA258&amp;" min from your office"</f>
        <v/>
      </c>
      <c r="AJ258" s="14">
        <f>"Hi "&amp;IF(R258&lt;&gt;"",R258,F258&amp;" team")&amp;","&amp;CHAR(10)&amp;CHAR(10)&amp;"I'm "&amp;IF(AM258&lt;&gt;"",AM258,IF(Offer!$C$5&lt;&gt;"",Offer!$C$5,"[NAME]"))&amp;" from FC Urban. We organise after-work football for teams in the City and Canary Wharf."&amp;CHAR(10)&amp;CHAR(10)&amp;"We have a "&amp;AE258&amp;" pitch at "&amp;Z258&amp;", "&amp;IF(OR(AA258=8,AA258=11,AA258=18),"an ","a ")&amp;AA258&amp;"-minute walk from your "&amp;P258&amp;" office, "&amp;IF(ISNUMBER(AD258),"on "&amp;TEXT(AD258,"dddd d mmmm")&amp;" at "&amp;TEXT(AD258,"hh:mm"),"on a weekday evening that suits your team")&amp;". It's "&amp;IF(AF258&lt;&gt;"","£"&amp;IF(AF258=INT(AF258),TEXT(AF258,"0"),TEXT(AF258,"0.00")),"[PRICE PER PLAYER]")&amp;" a player and we handle the pitch booking, sign-ups and payments, so all it takes is one person sharing a link with the team."&amp;CHAR(10)&amp;CHAR(10)&amp;"It works well as a team social or "&amp;IF(ISNUMBER(SEARCH(LEFT(F258,1),"AEIOU")),"an ","a ")&amp;F258&amp;"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LINK]")&amp;CHAR(10)&amp;CHAR(10)&amp;"Best,"&amp;CHAR(10)&amp;IF(AM258&lt;&gt;"",AM258,IF(Offer!$C$5&lt;&gt;"",Offer!$C$5,"[NAME]"))&amp;CHAR(10)&amp;"FC Urban"</f>
        <v/>
      </c>
      <c r="AK258" s="14">
        <f>"Hi "&amp;IF(R258&lt;&gt;"",R258,F258&amp;" team")&amp;","&amp;CHAR(10)&amp;CHAR(10)&amp;"Just bumping this up. The "&amp;AE258&amp;" pitch at "&amp;Z258&amp;" is still free "&amp;IF(ISNUMBER(AD258),TEXT(AD258,"ddd d mmm")&amp;", "&amp;TEXT(AD258,"hh:mm"),"weekday evenings")&amp;", "&amp;IF(OR(AA258=8,AA258=11,AA258=18),"an ","a ")&amp;AA258&amp;"-minute walk from your office, "&amp;IF(AF258&lt;&gt;"","£"&amp;IF(AF258=INT(AF258),TEXT(AF258,"0"),TEXT(AF258,"0.00")),"[PRICE PER PLAYER]")&amp;" a player. Happy to hold it for "&amp;F258&amp;"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LINK]")&amp;CHAR(10)&amp;CHAR(10)&amp;"Best,"&amp;CHAR(10)&amp;IF(AM258&lt;&gt;"",AM258,IF(Offer!$C$5&lt;&gt;"",Offer!$C$5,"[NAME]"))&amp;CHAR(10)&amp;"FC Urban"</f>
        <v/>
      </c>
      <c r="AL258" s="14">
        <f>IF(AH258="","No email yet",IF(ISNUMBER(SEARCH("[",AJ258)),"Fill placeholders",IF(ISNUMBER(AD258),"Ready to send","Ready · no fixed slot")))</f>
        <v/>
      </c>
      <c r="AO258" s="17" t="n"/>
      <c r="AP258" s="17" t="n"/>
    </row>
    <row r="259">
      <c r="A259" s="11" t="n">
        <v>257</v>
      </c>
      <c r="B259" s="11" t="n">
        <v>3</v>
      </c>
      <c r="C259" s="11" t="inlineStr">
        <is>
          <t>Insurance / broker</t>
        </is>
      </c>
      <c r="D259" s="11" t="inlineStr">
        <is>
          <t>City of London</t>
        </is>
      </c>
      <c r="E259" s="11" t="inlineStr">
        <is>
          <t>ICEN Risk Limited</t>
        </is>
      </c>
      <c r="F259" s="11" t="inlineStr">
        <is>
          <t>ICEN Risk</t>
        </is>
      </c>
      <c r="G259" s="12" t="inlineStr">
        <is>
          <t>https://www.icenrisk.com</t>
        </is>
      </c>
      <c r="H259" s="11" t="inlineStr">
        <is>
          <t>info@icenrisk.com</t>
        </is>
      </c>
      <c r="I259" s="11" t="inlineStr">
        <is>
          <t>general</t>
        </is>
      </c>
      <c r="J259" s="12" t="inlineStr">
        <is>
          <t>Open page</t>
        </is>
      </c>
      <c r="K259" s="11" t="inlineStr">
        <is>
          <t>11691390</t>
        </is>
      </c>
      <c r="L259" s="12" t="inlineStr">
        <is>
          <t>Open</t>
        </is>
      </c>
      <c r="M259" s="11" t="inlineStr">
        <is>
          <t>Full</t>
        </is>
      </c>
      <c r="N259" s="13" t="n">
        <v>43426</v>
      </c>
      <c r="O259" s="11" t="inlineStr">
        <is>
          <t>Fourth Floor, 9A Devonshire Square, London</t>
        </is>
      </c>
      <c r="P259" s="11" t="inlineStr">
        <is>
          <t>EC2M 4YN</t>
        </is>
      </c>
      <c r="Q259" s="11" t="inlineStr">
        <is>
          <t>No</t>
        </is>
      </c>
      <c r="W259" s="11" t="inlineStr">
        <is>
          <t>Liverpool St - Attlee Centre</t>
        </is>
      </c>
      <c r="X259" s="11" t="n">
        <v>7</v>
      </c>
      <c r="Y259" s="11" t="inlineStr">
        <is>
          <t>Shoreditch Powerleague (12.2)</t>
        </is>
      </c>
      <c r="Z259" s="11" t="inlineStr">
        <is>
          <t>Shoreditch Powerleague</t>
        </is>
      </c>
      <c r="AA259" s="11" t="n">
        <v>12</v>
      </c>
      <c r="AB259" s="14">
        <f>IFERROR(INDEX(Venues!$E$2:$E$17,MATCH(Z259,Venues!$A$2:$A$17,0)),"Not checked")</f>
        <v/>
      </c>
      <c r="AC259" s="14">
        <f>IFERROR(INDEX(Venues!$F$2:$F$17,MATCH(Z259,Venues!$A$2:$A$17,0)),0)</f>
        <v/>
      </c>
      <c r="AD259" s="15">
        <f>IFERROR(INDEX(Venues!$M$2:$M$17,MATCH(Z259,Venues!$A$2:$A$17,0)),"")</f>
        <v/>
      </c>
      <c r="AE259" s="14">
        <f>IFERROR(INDEX(Venues!$N$2:$N$17,MATCH(Z259,Venues!$A$2:$A$17,0)),"5-a-side")</f>
        <v/>
      </c>
      <c r="AF259" s="16">
        <f>IF(Offer!$C$4="","",Offer!$C$4)</f>
        <v/>
      </c>
      <c r="AG259" s="14">
        <f>Z259&amp;" ("&amp;AA259&amp;" min walk) · "&amp;IF(ISNUMBER(AD259),TEXT(AD259,"ddd d mmm, hh:mm"),"slot to confirm with venue")&amp;" · "&amp;AE259&amp;" · "&amp;IF(AF259&lt;&gt;"","£"&amp;TEXT(AF259,"0.00")&amp;" pp","price TBC")</f>
        <v/>
      </c>
      <c r="AH259" s="14">
        <f>IF(U259&lt;&gt;"",U259,IF(H259&lt;&gt;"",H259,""))</f>
        <v/>
      </c>
      <c r="AI259" s="14">
        <f>"After-work football for "&amp;F259&amp;" · "&amp;Z259&amp;", "&amp;AA259&amp;" min from your office"</f>
        <v/>
      </c>
      <c r="AJ259" s="14">
        <f>"Hi "&amp;IF(R259&lt;&gt;"",R259,F259&amp;" team")&amp;","&amp;CHAR(10)&amp;CHAR(10)&amp;"I'm "&amp;IF(AM259&lt;&gt;"",AM259,IF(Offer!$C$5&lt;&gt;"",Offer!$C$5,"[NAME]"))&amp;" from FC Urban. We organise after-work football for teams in the City and Canary Wharf."&amp;CHAR(10)&amp;CHAR(10)&amp;"We have a "&amp;AE259&amp;" pitch at "&amp;Z259&amp;", "&amp;IF(OR(AA259=8,AA259=11,AA259=18),"an ","a ")&amp;AA259&amp;"-minute walk from your "&amp;P259&amp;" office, "&amp;IF(ISNUMBER(AD259),"on "&amp;TEXT(AD259,"dddd d mmmm")&amp;" at "&amp;TEXT(AD259,"hh:mm"),"on a weekday evening that suits your team")&amp;". It's "&amp;IF(AF259&lt;&gt;"","£"&amp;IF(AF259=INT(AF259),TEXT(AF259,"0"),TEXT(AF259,"0.00")),"[PRICE PER PLAYER]")&amp;" a player and we handle the pitch booking, sign-ups and payments, so all it takes is one person sharing a link with the team."&amp;CHAR(10)&amp;CHAR(10)&amp;"It works well as a team social or "&amp;IF(ISNUMBER(SEARCH(LEFT(F259,1),"AEIOU")),"an ","a ")&amp;F259&amp;"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LINK]")&amp;CHAR(10)&amp;CHAR(10)&amp;"Best,"&amp;CHAR(10)&amp;IF(AM259&lt;&gt;"",AM259,IF(Offer!$C$5&lt;&gt;"",Offer!$C$5,"[NAME]"))&amp;CHAR(10)&amp;"FC Urban"</f>
        <v/>
      </c>
      <c r="AK259" s="14">
        <f>"Hi "&amp;IF(R259&lt;&gt;"",R259,F259&amp;" team")&amp;","&amp;CHAR(10)&amp;CHAR(10)&amp;"Just bumping this up. The "&amp;AE259&amp;" pitch at "&amp;Z259&amp;" is still free "&amp;IF(ISNUMBER(AD259),TEXT(AD259,"ddd d mmm")&amp;", "&amp;TEXT(AD259,"hh:mm"),"weekday evenings")&amp;", "&amp;IF(OR(AA259=8,AA259=11,AA259=18),"an ","a ")&amp;AA259&amp;"-minute walk from your office, "&amp;IF(AF259&lt;&gt;"","£"&amp;IF(AF259=INT(AF259),TEXT(AF259,"0"),TEXT(AF259,"0.00")),"[PRICE PER PLAYER]")&amp;" a player. Happy to hold it for "&amp;F259&amp;"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LINK]")&amp;CHAR(10)&amp;CHAR(10)&amp;"Best,"&amp;CHAR(10)&amp;IF(AM259&lt;&gt;"",AM259,IF(Offer!$C$5&lt;&gt;"",Offer!$C$5,"[NAME]"))&amp;CHAR(10)&amp;"FC Urban"</f>
        <v/>
      </c>
      <c r="AL259" s="14">
        <f>IF(AH259="","No email yet",IF(ISNUMBER(SEARCH("[",AJ259)),"Fill placeholders",IF(ISNUMBER(AD259),"Ready to send","Ready · no fixed slot")))</f>
        <v/>
      </c>
      <c r="AO259" s="17" t="n"/>
      <c r="AP259" s="17" t="n"/>
    </row>
    <row r="260">
      <c r="A260" s="11" t="n">
        <v>258</v>
      </c>
      <c r="B260" s="11" t="n">
        <v>3</v>
      </c>
      <c r="C260" s="11" t="inlineStr">
        <is>
          <t>Fund / asset manager</t>
        </is>
      </c>
      <c r="D260" s="11" t="inlineStr">
        <is>
          <t>City of London</t>
        </is>
      </c>
      <c r="E260" s="11" t="inlineStr">
        <is>
          <t>Millennium Global Investments Limited</t>
        </is>
      </c>
      <c r="F260" s="11" t="inlineStr">
        <is>
          <t>Millennium Global Investments</t>
        </is>
      </c>
      <c r="G260" s="12" t="inlineStr">
        <is>
          <t>https://milltech.com</t>
        </is>
      </c>
      <c r="H260" s="11" t="inlineStr">
        <is>
          <t>info@milltech.com</t>
        </is>
      </c>
      <c r="I260" s="11" t="inlineStr">
        <is>
          <t>general</t>
        </is>
      </c>
      <c r="J260" s="12" t="inlineStr">
        <is>
          <t>Open page</t>
        </is>
      </c>
      <c r="K260" s="11" t="inlineStr">
        <is>
          <t>02964847</t>
        </is>
      </c>
      <c r="L260" s="12" t="inlineStr">
        <is>
          <t>Open</t>
        </is>
      </c>
      <c r="M260" s="11" t="inlineStr">
        <is>
          <t>Full</t>
        </is>
      </c>
      <c r="N260" s="13" t="n">
        <v>34582</v>
      </c>
      <c r="O260" s="11" t="inlineStr">
        <is>
          <t>15Th Floor, 88 Wood Street, London</t>
        </is>
      </c>
      <c r="P260" s="11" t="inlineStr">
        <is>
          <t>EC2V 7QR</t>
        </is>
      </c>
      <c r="Q260" s="11" t="inlineStr">
        <is>
          <t>Yes</t>
        </is>
      </c>
      <c r="W260" s="11" t="inlineStr">
        <is>
          <t>City of London School (EC4V 3AL)</t>
        </is>
      </c>
      <c r="X260" s="11" t="n">
        <v>12</v>
      </c>
      <c r="Y260" s="11" t="inlineStr">
        <is>
          <t>Finsbury Leisure Centre (EC1V 3PU) (16.4)</t>
        </is>
      </c>
      <c r="Z260" s="11" t="inlineStr">
        <is>
          <t>City of London School (EC4V 3AL)</t>
        </is>
      </c>
      <c r="AA260" s="11" t="n">
        <v>12</v>
      </c>
      <c r="AB260" s="14">
        <f>IFERROR(INDEX(Venues!$E$2:$E$17,MATCH(Z260,Venues!$A$2:$A$17,0)),"Not checked")</f>
        <v/>
      </c>
      <c r="AC260" s="14">
        <f>IFERROR(INDEX(Venues!$F$2:$F$17,MATCH(Z260,Venues!$A$2:$A$17,0)),0)</f>
        <v/>
      </c>
      <c r="AD260" s="15">
        <f>IFERROR(INDEX(Venues!$M$2:$M$17,MATCH(Z260,Venues!$A$2:$A$17,0)),"")</f>
        <v/>
      </c>
      <c r="AE260" s="14">
        <f>IFERROR(INDEX(Venues!$N$2:$N$17,MATCH(Z260,Venues!$A$2:$A$17,0)),"5-a-side")</f>
        <v/>
      </c>
      <c r="AF260" s="16">
        <f>IF(Offer!$C$4="","",Offer!$C$4)</f>
        <v/>
      </c>
      <c r="AG260" s="14">
        <f>Z260&amp;" ("&amp;AA260&amp;" min walk) · "&amp;IF(ISNUMBER(AD260),TEXT(AD260,"ddd d mmm, hh:mm"),"slot to confirm with venue")&amp;" · "&amp;AE260&amp;" · "&amp;IF(AF260&lt;&gt;"","£"&amp;TEXT(AF260,"0.00")&amp;" pp","price TBC")</f>
        <v/>
      </c>
      <c r="AH260" s="14">
        <f>IF(U260&lt;&gt;"",U260,IF(H260&lt;&gt;"",H260,""))</f>
        <v/>
      </c>
      <c r="AI260" s="14">
        <f>"After-work football for "&amp;F260&amp;" · "&amp;Z260&amp;", "&amp;AA260&amp;" min from your office"</f>
        <v/>
      </c>
      <c r="AJ260" s="14">
        <f>"Hi "&amp;IF(R260&lt;&gt;"",R260,F260&amp;" team")&amp;","&amp;CHAR(10)&amp;CHAR(10)&amp;"I'm "&amp;IF(AM260&lt;&gt;"",AM260,IF(Offer!$C$5&lt;&gt;"",Offer!$C$5,"[NAME]"))&amp;" from FC Urban. We organise after-work football for teams in the City and Canary Wharf."&amp;CHAR(10)&amp;CHAR(10)&amp;"We have a "&amp;AE260&amp;" pitch at "&amp;Z260&amp;", "&amp;IF(OR(AA260=8,AA260=11,AA260=18),"an ","a ")&amp;AA260&amp;"-minute walk from your "&amp;P260&amp;" office, "&amp;IF(ISNUMBER(AD260),"on "&amp;TEXT(AD260,"dddd d mmmm")&amp;" at "&amp;TEXT(AD260,"hh:mm"),"on a weekday evening that suits your team")&amp;". It's "&amp;IF(AF260&lt;&gt;"","£"&amp;IF(AF260=INT(AF260),TEXT(AF260,"0"),TEXT(AF260,"0.00")),"[PRICE PER PLAYER]")&amp;" a player and we handle the pitch booking, sign-ups and payments, so all it takes is one person sharing a link with the team."&amp;CHAR(10)&amp;CHAR(10)&amp;"It works well as a team social or "&amp;IF(ISNUMBER(SEARCH(LEFT(F260,1),"AEIOU")),"an ","a ")&amp;F260&amp;"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LINK]")&amp;CHAR(10)&amp;CHAR(10)&amp;"Best,"&amp;CHAR(10)&amp;IF(AM260&lt;&gt;"",AM260,IF(Offer!$C$5&lt;&gt;"",Offer!$C$5,"[NAME]"))&amp;CHAR(10)&amp;"FC Urban"</f>
        <v/>
      </c>
      <c r="AK260" s="14">
        <f>"Hi "&amp;IF(R260&lt;&gt;"",R260,F260&amp;" team")&amp;","&amp;CHAR(10)&amp;CHAR(10)&amp;"Just bumping this up. The "&amp;AE260&amp;" pitch at "&amp;Z260&amp;" is still free "&amp;IF(ISNUMBER(AD260),TEXT(AD260,"ddd d mmm")&amp;", "&amp;TEXT(AD260,"hh:mm"),"weekday evenings")&amp;", "&amp;IF(OR(AA260=8,AA260=11,AA260=18),"an ","a ")&amp;AA260&amp;"-minute walk from your office, "&amp;IF(AF260&lt;&gt;"","£"&amp;IF(AF260=INT(AF260),TEXT(AF260,"0"),TEXT(AF260,"0.00")),"[PRICE PER PLAYER]")&amp;" a player. Happy to hold it for "&amp;F260&amp;"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LINK]")&amp;CHAR(10)&amp;CHAR(10)&amp;"Best,"&amp;CHAR(10)&amp;IF(AM260&lt;&gt;"",AM260,IF(Offer!$C$5&lt;&gt;"",Offer!$C$5,"[NAME]"))&amp;CHAR(10)&amp;"FC Urban"</f>
        <v/>
      </c>
      <c r="AL260" s="14">
        <f>IF(AH260="","No email yet",IF(ISNUMBER(SEARCH("[",AJ260)),"Fill placeholders",IF(ISNUMBER(AD260),"Ready to send","Ready · no fixed slot")))</f>
        <v/>
      </c>
      <c r="AO260" s="17" t="n"/>
      <c r="AP260" s="17" t="n"/>
    </row>
    <row r="261">
      <c r="A261" s="11" t="n">
        <v>259</v>
      </c>
      <c r="B261" s="11" t="n">
        <v>3</v>
      </c>
      <c r="C261" s="11" t="inlineStr">
        <is>
          <t>Fund / asset manager</t>
        </is>
      </c>
      <c r="D261" s="11" t="inlineStr">
        <is>
          <t>City of London</t>
        </is>
      </c>
      <c r="E261" s="11" t="inlineStr">
        <is>
          <t>Two Sigma International Limited</t>
        </is>
      </c>
      <c r="F261" s="11" t="inlineStr">
        <is>
          <t>Two Sigma</t>
        </is>
      </c>
      <c r="G261" s="12" t="inlineStr">
        <is>
          <t>https://www.twosigma.com</t>
        </is>
      </c>
      <c r="H261" s="11" t="inlineStr">
        <is>
          <t>ccpa@twosigma.com</t>
        </is>
      </c>
      <c r="I261" s="11" t="inlineStr">
        <is>
          <t>named person</t>
        </is>
      </c>
      <c r="J261" s="12" t="inlineStr">
        <is>
          <t>Open page</t>
        </is>
      </c>
      <c r="K261" s="11" t="inlineStr">
        <is>
          <t>06486331</t>
        </is>
      </c>
      <c r="L261" s="12" t="inlineStr">
        <is>
          <t>Open</t>
        </is>
      </c>
      <c r="M261" s="11" t="inlineStr">
        <is>
          <t>Full</t>
        </is>
      </c>
      <c r="N261" s="13" t="n">
        <v>39475</v>
      </c>
      <c r="O261" s="11" t="inlineStr">
        <is>
          <t>Level 5, 7 Devonshire Square, London</t>
        </is>
      </c>
      <c r="P261" s="11" t="inlineStr">
        <is>
          <t>EC2M 4YH</t>
        </is>
      </c>
      <c r="Q261" s="11" t="inlineStr">
        <is>
          <t>No</t>
        </is>
      </c>
      <c r="W261" s="11" t="inlineStr">
        <is>
          <t>Liverpool St - Attlee Centre</t>
        </is>
      </c>
      <c r="X261" s="11" t="n">
        <v>6</v>
      </c>
      <c r="Y261" s="11" t="inlineStr">
        <is>
          <t>Shoreditch Powerleague (12.3)</t>
        </is>
      </c>
      <c r="Z261" s="11" t="inlineStr">
        <is>
          <t>Shoreditch Powerleague</t>
        </is>
      </c>
      <c r="AA261" s="11" t="n">
        <v>12</v>
      </c>
      <c r="AB261" s="14">
        <f>IFERROR(INDEX(Venues!$E$2:$E$17,MATCH(Z261,Venues!$A$2:$A$17,0)),"Not checked")</f>
        <v/>
      </c>
      <c r="AC261" s="14">
        <f>IFERROR(INDEX(Venues!$F$2:$F$17,MATCH(Z261,Venues!$A$2:$A$17,0)),0)</f>
        <v/>
      </c>
      <c r="AD261" s="15">
        <f>IFERROR(INDEX(Venues!$M$2:$M$17,MATCH(Z261,Venues!$A$2:$A$17,0)),"")</f>
        <v/>
      </c>
      <c r="AE261" s="14">
        <f>IFERROR(INDEX(Venues!$N$2:$N$17,MATCH(Z261,Venues!$A$2:$A$17,0)),"5-a-side")</f>
        <v/>
      </c>
      <c r="AF261" s="16">
        <f>IF(Offer!$C$4="","",Offer!$C$4)</f>
        <v/>
      </c>
      <c r="AG261" s="14">
        <f>Z261&amp;" ("&amp;AA261&amp;" min walk) · "&amp;IF(ISNUMBER(AD261),TEXT(AD261,"ddd d mmm, hh:mm"),"slot to confirm with venue")&amp;" · "&amp;AE261&amp;" · "&amp;IF(AF261&lt;&gt;"","£"&amp;TEXT(AF261,"0.00")&amp;" pp","price TBC")</f>
        <v/>
      </c>
      <c r="AH261" s="14">
        <f>IF(U261&lt;&gt;"",U261,IF(H261&lt;&gt;"",H261,""))</f>
        <v/>
      </c>
      <c r="AI261" s="14">
        <f>"After-work football for "&amp;F261&amp;" · "&amp;Z261&amp;", "&amp;AA261&amp;" min from your office"</f>
        <v/>
      </c>
      <c r="AJ261" s="14">
        <f>"Hi "&amp;IF(R261&lt;&gt;"",R261,F261&amp;" team")&amp;","&amp;CHAR(10)&amp;CHAR(10)&amp;"I'm "&amp;IF(AM261&lt;&gt;"",AM261,IF(Offer!$C$5&lt;&gt;"",Offer!$C$5,"[NAME]"))&amp;" from FC Urban. We organise after-work football for teams in the City and Canary Wharf."&amp;CHAR(10)&amp;CHAR(10)&amp;"We have a "&amp;AE261&amp;" pitch at "&amp;Z261&amp;", "&amp;IF(OR(AA261=8,AA261=11,AA261=18),"an ","a ")&amp;AA261&amp;"-minute walk from your "&amp;P261&amp;" office, "&amp;IF(ISNUMBER(AD261),"on "&amp;TEXT(AD261,"dddd d mmmm")&amp;" at "&amp;TEXT(AD261,"hh:mm"),"on a weekday evening that suits your team")&amp;". It's "&amp;IF(AF261&lt;&gt;"","£"&amp;IF(AF261=INT(AF261),TEXT(AF261,"0"),TEXT(AF261,"0.00")),"[PRICE PER PLAYER]")&amp;" a player and we handle the pitch booking, sign-ups and payments, so all it takes is one person sharing a link with the team."&amp;CHAR(10)&amp;CHAR(10)&amp;"It works well as a team social or "&amp;IF(ISNUMBER(SEARCH(LEFT(F261,1),"AEIOU")),"an ","a ")&amp;F261&amp;"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LINK]")&amp;CHAR(10)&amp;CHAR(10)&amp;"Best,"&amp;CHAR(10)&amp;IF(AM261&lt;&gt;"",AM261,IF(Offer!$C$5&lt;&gt;"",Offer!$C$5,"[NAME]"))&amp;CHAR(10)&amp;"FC Urban"</f>
        <v/>
      </c>
      <c r="AK261" s="14">
        <f>"Hi "&amp;IF(R261&lt;&gt;"",R261,F261&amp;" team")&amp;","&amp;CHAR(10)&amp;CHAR(10)&amp;"Just bumping this up. The "&amp;AE261&amp;" pitch at "&amp;Z261&amp;" is still free "&amp;IF(ISNUMBER(AD261),TEXT(AD261,"ddd d mmm")&amp;", "&amp;TEXT(AD261,"hh:mm"),"weekday evenings")&amp;", "&amp;IF(OR(AA261=8,AA261=11,AA261=18),"an ","a ")&amp;AA261&amp;"-minute walk from your office, "&amp;IF(AF261&lt;&gt;"","£"&amp;IF(AF261=INT(AF261),TEXT(AF261,"0"),TEXT(AF261,"0.00")),"[PRICE PER PLAYER]")&amp;" a player. Happy to hold it for "&amp;F261&amp;"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LINK]")&amp;CHAR(10)&amp;CHAR(10)&amp;"Best,"&amp;CHAR(10)&amp;IF(AM261&lt;&gt;"",AM261,IF(Offer!$C$5&lt;&gt;"",Offer!$C$5,"[NAME]"))&amp;CHAR(10)&amp;"FC Urban"</f>
        <v/>
      </c>
      <c r="AL261" s="14">
        <f>IF(AH261="","No email yet",IF(ISNUMBER(SEARCH("[",AJ261)),"Fill placeholders",IF(ISNUMBER(AD261),"Ready to send","Ready · no fixed slot")))</f>
        <v/>
      </c>
      <c r="AO261" s="17" t="n"/>
      <c r="AP261" s="17" t="n"/>
    </row>
    <row r="262">
      <c r="A262" s="11" t="n">
        <v>260</v>
      </c>
      <c r="B262" s="11" t="n">
        <v>3</v>
      </c>
      <c r="C262" s="11" t="inlineStr">
        <is>
          <t>Fund / asset manager</t>
        </is>
      </c>
      <c r="D262" s="11" t="inlineStr">
        <is>
          <t>City of London</t>
        </is>
      </c>
      <c r="E262" s="11" t="inlineStr">
        <is>
          <t>Northcross Capital LLP</t>
        </is>
      </c>
      <c r="F262" s="11" t="inlineStr">
        <is>
          <t>Northcross Capital</t>
        </is>
      </c>
      <c r="G262" s="12" t="inlineStr">
        <is>
          <t>https://www.northcrosscapital.com</t>
        </is>
      </c>
      <c r="H262" s="11" t="inlineStr">
        <is>
          <t>enquiries@northcrosscapital.com</t>
        </is>
      </c>
      <c r="I262" s="11" t="inlineStr">
        <is>
          <t>general</t>
        </is>
      </c>
      <c r="J262" s="12" t="inlineStr">
        <is>
          <t>Open page</t>
        </is>
      </c>
      <c r="K262" s="11" t="inlineStr">
        <is>
          <t>OC313454</t>
        </is>
      </c>
      <c r="L262" s="12" t="inlineStr">
        <is>
          <t>Open</t>
        </is>
      </c>
      <c r="M262" s="11" t="inlineStr">
        <is>
          <t>Full</t>
        </is>
      </c>
      <c r="N262" s="13" t="n">
        <v>38503</v>
      </c>
      <c r="O262" s="11" t="inlineStr">
        <is>
          <t>5Th Floor, 1 Love Lane, London</t>
        </is>
      </c>
      <c r="P262" s="11" t="inlineStr">
        <is>
          <t>EC2V 7JN</t>
        </is>
      </c>
      <c r="Q262" s="11" t="inlineStr">
        <is>
          <t>No</t>
        </is>
      </c>
      <c r="W262" s="11" t="inlineStr">
        <is>
          <t>City of London School (EC4V 3AL)</t>
        </is>
      </c>
      <c r="X262" s="11" t="n">
        <v>12</v>
      </c>
      <c r="Y262" s="11" t="inlineStr">
        <is>
          <t>Finsbury Leisure Centre (EC1V 3PU) (17.3)</t>
        </is>
      </c>
      <c r="Z262" s="11" t="inlineStr">
        <is>
          <t>City of London School (EC4V 3AL)</t>
        </is>
      </c>
      <c r="AA262" s="11" t="n">
        <v>12</v>
      </c>
      <c r="AB262" s="14">
        <f>IFERROR(INDEX(Venues!$E$2:$E$17,MATCH(Z262,Venues!$A$2:$A$17,0)),"Not checked")</f>
        <v/>
      </c>
      <c r="AC262" s="14">
        <f>IFERROR(INDEX(Venues!$F$2:$F$17,MATCH(Z262,Venues!$A$2:$A$17,0)),0)</f>
        <v/>
      </c>
      <c r="AD262" s="15">
        <f>IFERROR(INDEX(Venues!$M$2:$M$17,MATCH(Z262,Venues!$A$2:$A$17,0)),"")</f>
        <v/>
      </c>
      <c r="AE262" s="14">
        <f>IFERROR(INDEX(Venues!$N$2:$N$17,MATCH(Z262,Venues!$A$2:$A$17,0)),"5-a-side")</f>
        <v/>
      </c>
      <c r="AF262" s="16">
        <f>IF(Offer!$C$4="","",Offer!$C$4)</f>
        <v/>
      </c>
      <c r="AG262" s="14">
        <f>Z262&amp;" ("&amp;AA262&amp;" min walk) · "&amp;IF(ISNUMBER(AD262),TEXT(AD262,"ddd d mmm, hh:mm"),"slot to confirm with venue")&amp;" · "&amp;AE262&amp;" · "&amp;IF(AF262&lt;&gt;"","£"&amp;TEXT(AF262,"0.00")&amp;" pp","price TBC")</f>
        <v/>
      </c>
      <c r="AH262" s="14">
        <f>IF(U262&lt;&gt;"",U262,IF(H262&lt;&gt;"",H262,""))</f>
        <v/>
      </c>
      <c r="AI262" s="14">
        <f>"After-work football for "&amp;F262&amp;" · "&amp;Z262&amp;", "&amp;AA262&amp;" min from your office"</f>
        <v/>
      </c>
      <c r="AJ262" s="14">
        <f>"Hi "&amp;IF(R262&lt;&gt;"",R262,F262&amp;" team")&amp;","&amp;CHAR(10)&amp;CHAR(10)&amp;"I'm "&amp;IF(AM262&lt;&gt;"",AM262,IF(Offer!$C$5&lt;&gt;"",Offer!$C$5,"[NAME]"))&amp;" from FC Urban. We organise after-work football for teams in the City and Canary Wharf."&amp;CHAR(10)&amp;CHAR(10)&amp;"We have a "&amp;AE262&amp;" pitch at "&amp;Z262&amp;", "&amp;IF(OR(AA262=8,AA262=11,AA262=18),"an ","a ")&amp;AA262&amp;"-minute walk from your "&amp;P262&amp;" office, "&amp;IF(ISNUMBER(AD262),"on "&amp;TEXT(AD262,"dddd d mmmm")&amp;" at "&amp;TEXT(AD262,"hh:mm"),"on a weekday evening that suits your team")&amp;". It's "&amp;IF(AF262&lt;&gt;"","£"&amp;IF(AF262=INT(AF262),TEXT(AF262,"0"),TEXT(AF262,"0.00")),"[PRICE PER PLAYER]")&amp;" a player and we handle the pitch booking, sign-ups and payments, so all it takes is one person sharing a link with the team."&amp;CHAR(10)&amp;CHAR(10)&amp;"It works well as a team social or "&amp;IF(ISNUMBER(SEARCH(LEFT(F262,1),"AEIOU")),"an ","a ")&amp;F262&amp;"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LINK]")&amp;CHAR(10)&amp;CHAR(10)&amp;"Best,"&amp;CHAR(10)&amp;IF(AM262&lt;&gt;"",AM262,IF(Offer!$C$5&lt;&gt;"",Offer!$C$5,"[NAME]"))&amp;CHAR(10)&amp;"FC Urban"</f>
        <v/>
      </c>
      <c r="AK262" s="14">
        <f>"Hi "&amp;IF(R262&lt;&gt;"",R262,F262&amp;" team")&amp;","&amp;CHAR(10)&amp;CHAR(10)&amp;"Just bumping this up. The "&amp;AE262&amp;" pitch at "&amp;Z262&amp;" is still free "&amp;IF(ISNUMBER(AD262),TEXT(AD262,"ddd d mmm")&amp;", "&amp;TEXT(AD262,"hh:mm"),"weekday evenings")&amp;", "&amp;IF(OR(AA262=8,AA262=11,AA262=18),"an ","a ")&amp;AA262&amp;"-minute walk from your office, "&amp;IF(AF262&lt;&gt;"","£"&amp;IF(AF262=INT(AF262),TEXT(AF262,"0"),TEXT(AF262,"0.00")),"[PRICE PER PLAYER]")&amp;" a player. Happy to hold it for "&amp;F262&amp;"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LINK]")&amp;CHAR(10)&amp;CHAR(10)&amp;"Best,"&amp;CHAR(10)&amp;IF(AM262&lt;&gt;"",AM262,IF(Offer!$C$5&lt;&gt;"",Offer!$C$5,"[NAME]"))&amp;CHAR(10)&amp;"FC Urban"</f>
        <v/>
      </c>
      <c r="AL262" s="14">
        <f>IF(AH262="","No email yet",IF(ISNUMBER(SEARCH("[",AJ262)),"Fill placeholders",IF(ISNUMBER(AD262),"Ready to send","Ready · no fixed slot")))</f>
        <v/>
      </c>
      <c r="AO262" s="17" t="n"/>
      <c r="AP262" s="17" t="n"/>
    </row>
    <row r="263">
      <c r="A263" s="11" t="n">
        <v>261</v>
      </c>
      <c r="B263" s="11" t="n">
        <v>3</v>
      </c>
      <c r="C263" s="11" t="inlineStr">
        <is>
          <t>Insurance / broker</t>
        </is>
      </c>
      <c r="D263" s="11" t="inlineStr">
        <is>
          <t>City of London</t>
        </is>
      </c>
      <c r="E263" s="11" t="inlineStr">
        <is>
          <t>Squaretrade Limited</t>
        </is>
      </c>
      <c r="F263" s="11" t="inlineStr">
        <is>
          <t>Squaretrade</t>
        </is>
      </c>
      <c r="G263" s="12" t="inlineStr">
        <is>
          <t>https://www.squaretrade.com</t>
        </is>
      </c>
      <c r="H263" s="11" t="inlineStr">
        <is>
          <t>legal@squaretrade.com</t>
        </is>
      </c>
      <c r="I263" s="11" t="inlineStr">
        <is>
          <t>privacy / compliance</t>
        </is>
      </c>
      <c r="J263" s="12" t="inlineStr">
        <is>
          <t>Open page</t>
        </is>
      </c>
      <c r="K263" s="11" t="inlineStr">
        <is>
          <t>07165194</t>
        </is>
      </c>
      <c r="L263" s="12" t="inlineStr">
        <is>
          <t>Open</t>
        </is>
      </c>
      <c r="M263" s="11" t="inlineStr">
        <is>
          <t>Full</t>
        </is>
      </c>
      <c r="N263" s="13" t="n">
        <v>40232</v>
      </c>
      <c r="O263" s="11" t="inlineStr">
        <is>
          <t>C/O Fieldfisher Riverbank House, 2 Swan Lane, London</t>
        </is>
      </c>
      <c r="P263" s="11" t="inlineStr">
        <is>
          <t>EC4R 3TT</t>
        </is>
      </c>
      <c r="Q263" s="11" t="inlineStr">
        <is>
          <t>No</t>
        </is>
      </c>
      <c r="W263" s="11" t="inlineStr">
        <is>
          <t>City of London School (EC4V 3AL)</t>
        </is>
      </c>
      <c r="X263" s="11" t="n">
        <v>12</v>
      </c>
      <c r="Y263" s="11" t="inlineStr">
        <is>
          <t>Marlborough Sports Garden (SE1 1SD) (12.4)</t>
        </is>
      </c>
      <c r="Z263" s="11" t="inlineStr">
        <is>
          <t>City of London School (EC4V 3AL)</t>
        </is>
      </c>
      <c r="AA263" s="11" t="n">
        <v>12</v>
      </c>
      <c r="AB263" s="14">
        <f>IFERROR(INDEX(Venues!$E$2:$E$17,MATCH(Z263,Venues!$A$2:$A$17,0)),"Not checked")</f>
        <v/>
      </c>
      <c r="AC263" s="14">
        <f>IFERROR(INDEX(Venues!$F$2:$F$17,MATCH(Z263,Venues!$A$2:$A$17,0)),0)</f>
        <v/>
      </c>
      <c r="AD263" s="15">
        <f>IFERROR(INDEX(Venues!$M$2:$M$17,MATCH(Z263,Venues!$A$2:$A$17,0)),"")</f>
        <v/>
      </c>
      <c r="AE263" s="14">
        <f>IFERROR(INDEX(Venues!$N$2:$N$17,MATCH(Z263,Venues!$A$2:$A$17,0)),"5-a-side")</f>
        <v/>
      </c>
      <c r="AF263" s="16">
        <f>IF(Offer!$C$4="","",Offer!$C$4)</f>
        <v/>
      </c>
      <c r="AG263" s="14">
        <f>Z263&amp;" ("&amp;AA263&amp;" min walk) · "&amp;IF(ISNUMBER(AD263),TEXT(AD263,"ddd d mmm, hh:mm"),"slot to confirm with venue")&amp;" · "&amp;AE263&amp;" · "&amp;IF(AF263&lt;&gt;"","£"&amp;TEXT(AF263,"0.00")&amp;" pp","price TBC")</f>
        <v/>
      </c>
      <c r="AH263" s="14">
        <f>IF(U263&lt;&gt;"",U263,IF(H263&lt;&gt;"",H263,""))</f>
        <v/>
      </c>
      <c r="AI263" s="14">
        <f>"After-work football for "&amp;F263&amp;" · "&amp;Z263&amp;", "&amp;AA263&amp;" min from your office"</f>
        <v/>
      </c>
      <c r="AJ263" s="14">
        <f>"Hi "&amp;IF(R263&lt;&gt;"",R263,F263&amp;" team")&amp;","&amp;CHAR(10)&amp;CHAR(10)&amp;"I'm "&amp;IF(AM263&lt;&gt;"",AM263,IF(Offer!$C$5&lt;&gt;"",Offer!$C$5,"[NAME]"))&amp;" from FC Urban. We organise after-work football for teams in the City and Canary Wharf."&amp;CHAR(10)&amp;CHAR(10)&amp;"We have a "&amp;AE263&amp;" pitch at "&amp;Z263&amp;", "&amp;IF(OR(AA263=8,AA263=11,AA263=18),"an ","a ")&amp;AA263&amp;"-minute walk from your "&amp;P263&amp;" office, "&amp;IF(ISNUMBER(AD263),"on "&amp;TEXT(AD263,"dddd d mmmm")&amp;" at "&amp;TEXT(AD263,"hh:mm"),"on a weekday evening that suits your team")&amp;". It's "&amp;IF(AF263&lt;&gt;"","£"&amp;IF(AF263=INT(AF263),TEXT(AF263,"0"),TEXT(AF263,"0.00")),"[PRICE PER PLAYER]")&amp;" a player and we handle the pitch booking, sign-ups and payments, so all it takes is one person sharing a link with the team."&amp;CHAR(10)&amp;CHAR(10)&amp;"It works well as a team social or "&amp;IF(ISNUMBER(SEARCH(LEFT(F263,1),"AEIOU")),"an ","a ")&amp;F263&amp;"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LINK]")&amp;CHAR(10)&amp;CHAR(10)&amp;"Best,"&amp;CHAR(10)&amp;IF(AM263&lt;&gt;"",AM263,IF(Offer!$C$5&lt;&gt;"",Offer!$C$5,"[NAME]"))&amp;CHAR(10)&amp;"FC Urban"</f>
        <v/>
      </c>
      <c r="AK263" s="14">
        <f>"Hi "&amp;IF(R263&lt;&gt;"",R263,F263&amp;" team")&amp;","&amp;CHAR(10)&amp;CHAR(10)&amp;"Just bumping this up. The "&amp;AE263&amp;" pitch at "&amp;Z263&amp;" is still free "&amp;IF(ISNUMBER(AD263),TEXT(AD263,"ddd d mmm")&amp;", "&amp;TEXT(AD263,"hh:mm"),"weekday evenings")&amp;", "&amp;IF(OR(AA263=8,AA263=11,AA263=18),"an ","a ")&amp;AA263&amp;"-minute walk from your office, "&amp;IF(AF263&lt;&gt;"","£"&amp;IF(AF263=INT(AF263),TEXT(AF263,"0"),TEXT(AF263,"0.00")),"[PRICE PER PLAYER]")&amp;" a player. Happy to hold it for "&amp;F263&amp;"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LINK]")&amp;CHAR(10)&amp;CHAR(10)&amp;"Best,"&amp;CHAR(10)&amp;IF(AM263&lt;&gt;"",AM263,IF(Offer!$C$5&lt;&gt;"",Offer!$C$5,"[NAME]"))&amp;CHAR(10)&amp;"FC Urban"</f>
        <v/>
      </c>
      <c r="AL263" s="14">
        <f>IF(AH263="","No email yet",IF(ISNUMBER(SEARCH("[",AJ263)),"Fill placeholders",IF(ISNUMBER(AD263),"Ready to send","Ready · no fixed slot")))</f>
        <v/>
      </c>
      <c r="AO263" s="17" t="n"/>
      <c r="AP263" s="17" t="n"/>
    </row>
    <row r="264">
      <c r="A264" s="11" t="n">
        <v>262</v>
      </c>
      <c r="B264" s="11" t="n">
        <v>3</v>
      </c>
      <c r="C264" s="11" t="inlineStr">
        <is>
          <t>Fund / asset manager</t>
        </is>
      </c>
      <c r="D264" s="11" t="inlineStr">
        <is>
          <t>City of London</t>
        </is>
      </c>
      <c r="E264" s="11" t="inlineStr">
        <is>
          <t>Better Society Capital Limited</t>
        </is>
      </c>
      <c r="F264" s="11" t="inlineStr">
        <is>
          <t>Better Society Capital</t>
        </is>
      </c>
      <c r="G264" s="12" t="inlineStr">
        <is>
          <t>https://bettersocietycapital.com</t>
        </is>
      </c>
      <c r="H264" s="11" t="inlineStr">
        <is>
          <t>enquiries@bettersocietycapital.com</t>
        </is>
      </c>
      <c r="I264" s="11" t="inlineStr">
        <is>
          <t>general</t>
        </is>
      </c>
      <c r="J264" s="12" t="inlineStr">
        <is>
          <t>Open page</t>
        </is>
      </c>
      <c r="K264" s="11" t="inlineStr">
        <is>
          <t>07599565</t>
        </is>
      </c>
      <c r="L264" s="12" t="inlineStr">
        <is>
          <t>Open</t>
        </is>
      </c>
      <c r="M264" s="11" t="inlineStr">
        <is>
          <t>Full</t>
        </is>
      </c>
      <c r="N264" s="13" t="n">
        <v>40644</v>
      </c>
      <c r="O264" s="11" t="inlineStr">
        <is>
          <t>Script, 44 Featherstone Street, London</t>
        </is>
      </c>
      <c r="P264" s="11" t="inlineStr">
        <is>
          <t>EC1Y 8RN</t>
        </is>
      </c>
      <c r="Q264" s="11" t="inlineStr">
        <is>
          <t>Yes</t>
        </is>
      </c>
      <c r="W264" s="11" t="inlineStr">
        <is>
          <t>Finsbury Leisure Centre (EC1V 3PU)</t>
        </is>
      </c>
      <c r="X264" s="11" t="n">
        <v>7</v>
      </c>
      <c r="Y264" s="11" t="inlineStr">
        <is>
          <t>Old St - Moreland Primary School (12.5); Shoreditch Powerleague (15.3)</t>
        </is>
      </c>
      <c r="Z264" s="11" t="inlineStr">
        <is>
          <t>Old St - Moreland Primary School</t>
        </is>
      </c>
      <c r="AA264" s="11" t="n">
        <v>12</v>
      </c>
      <c r="AB264" s="14">
        <f>IFERROR(INDEX(Venues!$E$2:$E$17,MATCH(Z264,Venues!$A$2:$A$17,0)),"Not checked")</f>
        <v/>
      </c>
      <c r="AC264" s="14">
        <f>IFERROR(INDEX(Venues!$F$2:$F$17,MATCH(Z264,Venues!$A$2:$A$17,0)),0)</f>
        <v/>
      </c>
      <c r="AD264" s="15">
        <f>IFERROR(INDEX(Venues!$M$2:$M$17,MATCH(Z264,Venues!$A$2:$A$17,0)),"")</f>
        <v/>
      </c>
      <c r="AE264" s="14">
        <f>IFERROR(INDEX(Venues!$N$2:$N$17,MATCH(Z264,Venues!$A$2:$A$17,0)),"5-a-side")</f>
        <v/>
      </c>
      <c r="AF264" s="16">
        <f>IF(Offer!$C$4="","",Offer!$C$4)</f>
        <v/>
      </c>
      <c r="AG264" s="14">
        <f>Z264&amp;" ("&amp;AA264&amp;" min walk) · "&amp;IF(ISNUMBER(AD264),TEXT(AD264,"ddd d mmm, hh:mm"),"slot to confirm with venue")&amp;" · "&amp;AE264&amp;" · "&amp;IF(AF264&lt;&gt;"","£"&amp;TEXT(AF264,"0.00")&amp;" pp","price TBC")</f>
        <v/>
      </c>
      <c r="AH264" s="14">
        <f>IF(U264&lt;&gt;"",U264,IF(H264&lt;&gt;"",H264,""))</f>
        <v/>
      </c>
      <c r="AI264" s="14">
        <f>"After-work football for "&amp;F264&amp;" · "&amp;Z264&amp;", "&amp;AA264&amp;" min from your office"</f>
        <v/>
      </c>
      <c r="AJ264" s="14">
        <f>"Hi "&amp;IF(R264&lt;&gt;"",R264,F264&amp;" team")&amp;","&amp;CHAR(10)&amp;CHAR(10)&amp;"I'm "&amp;IF(AM264&lt;&gt;"",AM264,IF(Offer!$C$5&lt;&gt;"",Offer!$C$5,"[NAME]"))&amp;" from FC Urban. We organise after-work football for teams in the City and Canary Wharf."&amp;CHAR(10)&amp;CHAR(10)&amp;"We have a "&amp;AE264&amp;" pitch at "&amp;Z264&amp;", "&amp;IF(OR(AA264=8,AA264=11,AA264=18),"an ","a ")&amp;AA264&amp;"-minute walk from your "&amp;P264&amp;" office, "&amp;IF(ISNUMBER(AD264),"on "&amp;TEXT(AD264,"dddd d mmmm")&amp;" at "&amp;TEXT(AD264,"hh:mm"),"on a weekday evening that suits your team")&amp;". It's "&amp;IF(AF264&lt;&gt;"","£"&amp;IF(AF264=INT(AF264),TEXT(AF264,"0"),TEXT(AF264,"0.00")),"[PRICE PER PLAYER]")&amp;" a player and we handle the pitch booking, sign-ups and payments, so all it takes is one person sharing a link with the team."&amp;CHAR(10)&amp;CHAR(10)&amp;"It works well as a team social or "&amp;IF(ISNUMBER(SEARCH(LEFT(F264,1),"AEIOU")),"an ","a ")&amp;F264&amp;"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LINK]")&amp;CHAR(10)&amp;CHAR(10)&amp;"Best,"&amp;CHAR(10)&amp;IF(AM264&lt;&gt;"",AM264,IF(Offer!$C$5&lt;&gt;"",Offer!$C$5,"[NAME]"))&amp;CHAR(10)&amp;"FC Urban"</f>
        <v/>
      </c>
      <c r="AK264" s="14">
        <f>"Hi "&amp;IF(R264&lt;&gt;"",R264,F264&amp;" team")&amp;","&amp;CHAR(10)&amp;CHAR(10)&amp;"Just bumping this up. The "&amp;AE264&amp;" pitch at "&amp;Z264&amp;" is still free "&amp;IF(ISNUMBER(AD264),TEXT(AD264,"ddd d mmm")&amp;", "&amp;TEXT(AD264,"hh:mm"),"weekday evenings")&amp;", "&amp;IF(OR(AA264=8,AA264=11,AA264=18),"an ","a ")&amp;AA264&amp;"-minute walk from your office, "&amp;IF(AF264&lt;&gt;"","£"&amp;IF(AF264=INT(AF264),TEXT(AF264,"0"),TEXT(AF264,"0.00")),"[PRICE PER PLAYER]")&amp;" a player. Happy to hold it for "&amp;F264&amp;"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LINK]")&amp;CHAR(10)&amp;CHAR(10)&amp;"Best,"&amp;CHAR(10)&amp;IF(AM264&lt;&gt;"",AM264,IF(Offer!$C$5&lt;&gt;"",Offer!$C$5,"[NAME]"))&amp;CHAR(10)&amp;"FC Urban"</f>
        <v/>
      </c>
      <c r="AL264" s="14">
        <f>IF(AH264="","No email yet",IF(ISNUMBER(SEARCH("[",AJ264)),"Fill placeholders",IF(ISNUMBER(AD264),"Ready to send","Ready · no fixed slot")))</f>
        <v/>
      </c>
      <c r="AO264" s="17" t="n"/>
      <c r="AP264" s="17" t="n"/>
    </row>
    <row r="265">
      <c r="A265" s="11" t="n">
        <v>263</v>
      </c>
      <c r="B265" s="11" t="n">
        <v>3</v>
      </c>
      <c r="C265" s="11" t="inlineStr">
        <is>
          <t>Fund / asset manager</t>
        </is>
      </c>
      <c r="D265" s="11" t="inlineStr">
        <is>
          <t>City of London</t>
        </is>
      </c>
      <c r="E265" s="11" t="inlineStr">
        <is>
          <t>IMC London Services Limited</t>
        </is>
      </c>
      <c r="F265" s="11" t="inlineStr">
        <is>
          <t>IMC London</t>
        </is>
      </c>
      <c r="G265" s="12" t="inlineStr">
        <is>
          <t>https://www.imc.com</t>
        </is>
      </c>
      <c r="H265" s="11" t="inlineStr">
        <is>
          <t>contact.zug@imc.com</t>
        </is>
      </c>
      <c r="I265" s="11" t="inlineStr">
        <is>
          <t>general</t>
        </is>
      </c>
      <c r="J265" s="12" t="inlineStr">
        <is>
          <t>Open page</t>
        </is>
      </c>
      <c r="K265" s="11" t="inlineStr">
        <is>
          <t>15698735</t>
        </is>
      </c>
      <c r="L265" s="12" t="inlineStr">
        <is>
          <t>Open</t>
        </is>
      </c>
      <c r="M265" s="11" t="inlineStr">
        <is>
          <t>Full</t>
        </is>
      </c>
      <c r="N265" s="13" t="n">
        <v>45413</v>
      </c>
      <c r="O265" s="11" t="inlineStr">
        <is>
          <t>100 Liverpool Street, London</t>
        </is>
      </c>
      <c r="P265" s="11" t="inlineStr">
        <is>
          <t>EC2M 2AU</t>
        </is>
      </c>
      <c r="Q265" s="11" t="inlineStr">
        <is>
          <t>No</t>
        </is>
      </c>
      <c r="W265" s="11" t="inlineStr">
        <is>
          <t>Liverpool St - Attlee Centre</t>
        </is>
      </c>
      <c r="X265" s="11" t="n">
        <v>12</v>
      </c>
      <c r="Y265" s="11" t="inlineStr">
        <is>
          <t>Shoreditch Powerleague (12.5)</t>
        </is>
      </c>
      <c r="Z265" s="11" t="inlineStr">
        <is>
          <t>Shoreditch Powerleague</t>
        </is>
      </c>
      <c r="AA265" s="11" t="n">
        <v>12</v>
      </c>
      <c r="AB265" s="14">
        <f>IFERROR(INDEX(Venues!$E$2:$E$17,MATCH(Z265,Venues!$A$2:$A$17,0)),"Not checked")</f>
        <v/>
      </c>
      <c r="AC265" s="14">
        <f>IFERROR(INDEX(Venues!$F$2:$F$17,MATCH(Z265,Venues!$A$2:$A$17,0)),0)</f>
        <v/>
      </c>
      <c r="AD265" s="15">
        <f>IFERROR(INDEX(Venues!$M$2:$M$17,MATCH(Z265,Venues!$A$2:$A$17,0)),"")</f>
        <v/>
      </c>
      <c r="AE265" s="14">
        <f>IFERROR(INDEX(Venues!$N$2:$N$17,MATCH(Z265,Venues!$A$2:$A$17,0)),"5-a-side")</f>
        <v/>
      </c>
      <c r="AF265" s="16">
        <f>IF(Offer!$C$4="","",Offer!$C$4)</f>
        <v/>
      </c>
      <c r="AG265" s="14">
        <f>Z265&amp;" ("&amp;AA265&amp;" min walk) · "&amp;IF(ISNUMBER(AD265),TEXT(AD265,"ddd d mmm, hh:mm"),"slot to confirm with venue")&amp;" · "&amp;AE265&amp;" · "&amp;IF(AF265&lt;&gt;"","£"&amp;TEXT(AF265,"0.00")&amp;" pp","price TBC")</f>
        <v/>
      </c>
      <c r="AH265" s="14">
        <f>IF(U265&lt;&gt;"",U265,IF(H265&lt;&gt;"",H265,""))</f>
        <v/>
      </c>
      <c r="AI265" s="14">
        <f>"After-work football for "&amp;F265&amp;" · "&amp;Z265&amp;", "&amp;AA265&amp;" min from your office"</f>
        <v/>
      </c>
      <c r="AJ265" s="14">
        <f>"Hi "&amp;IF(R265&lt;&gt;"",R265,F265&amp;" team")&amp;","&amp;CHAR(10)&amp;CHAR(10)&amp;"I'm "&amp;IF(AM265&lt;&gt;"",AM265,IF(Offer!$C$5&lt;&gt;"",Offer!$C$5,"[NAME]"))&amp;" from FC Urban. We organise after-work football for teams in the City and Canary Wharf."&amp;CHAR(10)&amp;CHAR(10)&amp;"We have a "&amp;AE265&amp;" pitch at "&amp;Z265&amp;", "&amp;IF(OR(AA265=8,AA265=11,AA265=18),"an ","a ")&amp;AA265&amp;"-minute walk from your "&amp;P265&amp;" office, "&amp;IF(ISNUMBER(AD265),"on "&amp;TEXT(AD265,"dddd d mmmm")&amp;" at "&amp;TEXT(AD265,"hh:mm"),"on a weekday evening that suits your team")&amp;". It's "&amp;IF(AF265&lt;&gt;"","£"&amp;IF(AF265=INT(AF265),TEXT(AF265,"0"),TEXT(AF265,"0.00")),"[PRICE PER PLAYER]")&amp;" a player and we handle the pitch booking, sign-ups and payments, so all it takes is one person sharing a link with the team."&amp;CHAR(10)&amp;CHAR(10)&amp;"It works well as a team social or "&amp;IF(ISNUMBER(SEARCH(LEFT(F265,1),"AEIOU")),"an ","a ")&amp;F265&amp;"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LINK]")&amp;CHAR(10)&amp;CHAR(10)&amp;"Best,"&amp;CHAR(10)&amp;IF(AM265&lt;&gt;"",AM265,IF(Offer!$C$5&lt;&gt;"",Offer!$C$5,"[NAME]"))&amp;CHAR(10)&amp;"FC Urban"</f>
        <v/>
      </c>
      <c r="AK265" s="14">
        <f>"Hi "&amp;IF(R265&lt;&gt;"",R265,F265&amp;" team")&amp;","&amp;CHAR(10)&amp;CHAR(10)&amp;"Just bumping this up. The "&amp;AE265&amp;" pitch at "&amp;Z265&amp;" is still free "&amp;IF(ISNUMBER(AD265),TEXT(AD265,"ddd d mmm")&amp;", "&amp;TEXT(AD265,"hh:mm"),"weekday evenings")&amp;", "&amp;IF(OR(AA265=8,AA265=11,AA265=18),"an ","a ")&amp;AA265&amp;"-minute walk from your office, "&amp;IF(AF265&lt;&gt;"","£"&amp;IF(AF265=INT(AF265),TEXT(AF265,"0"),TEXT(AF265,"0.00")),"[PRICE PER PLAYER]")&amp;" a player. Happy to hold it for "&amp;F265&amp;"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LINK]")&amp;CHAR(10)&amp;CHAR(10)&amp;"Best,"&amp;CHAR(10)&amp;IF(AM265&lt;&gt;"",AM265,IF(Offer!$C$5&lt;&gt;"",Offer!$C$5,"[NAME]"))&amp;CHAR(10)&amp;"FC Urban"</f>
        <v/>
      </c>
      <c r="AL265" s="14">
        <f>IF(AH265="","No email yet",IF(ISNUMBER(SEARCH("[",AJ265)),"Fill placeholders",IF(ISNUMBER(AD265),"Ready to send","Ready · no fixed slot")))</f>
        <v/>
      </c>
      <c r="AO265" s="17" t="n"/>
      <c r="AP265" s="17" t="n"/>
    </row>
    <row r="266">
      <c r="A266" s="11" t="n">
        <v>264</v>
      </c>
      <c r="B266" s="11" t="n">
        <v>3</v>
      </c>
      <c r="C266" s="11" t="inlineStr">
        <is>
          <t>Fund / asset manager</t>
        </is>
      </c>
      <c r="D266" s="11" t="inlineStr">
        <is>
          <t>City of London</t>
        </is>
      </c>
      <c r="E266" s="11" t="inlineStr">
        <is>
          <t>Nedgroup Investments (UK) Limited</t>
        </is>
      </c>
      <c r="F266" s="11" t="inlineStr">
        <is>
          <t>Nedgroup Investments</t>
        </is>
      </c>
      <c r="G266" s="12" t="inlineStr">
        <is>
          <t>https://www.nedgroupinvestments.com</t>
        </is>
      </c>
      <c r="H266" s="11" t="inlineStr">
        <is>
          <t>helpdesk@nedgroupinvestments.com</t>
        </is>
      </c>
      <c r="I266" s="11" t="inlineStr">
        <is>
          <t>role (other)</t>
        </is>
      </c>
      <c r="J266" s="12" t="inlineStr">
        <is>
          <t>Open page</t>
        </is>
      </c>
      <c r="K266" s="11" t="inlineStr">
        <is>
          <t>02627187</t>
        </is>
      </c>
      <c r="L266" s="12" t="inlineStr">
        <is>
          <t>Open</t>
        </is>
      </c>
      <c r="M266" s="11" t="inlineStr">
        <is>
          <t>Full</t>
        </is>
      </c>
      <c r="N266" s="13" t="n">
        <v>33424</v>
      </c>
      <c r="O266" s="11" t="inlineStr">
        <is>
          <t>7Th Floor, 12 Arthur Street, London</t>
        </is>
      </c>
      <c r="P266" s="11" t="inlineStr">
        <is>
          <t>EC4R 9AB</t>
        </is>
      </c>
      <c r="Q266" s="11" t="inlineStr">
        <is>
          <t>No</t>
        </is>
      </c>
      <c r="W266" s="11" t="inlineStr">
        <is>
          <t>City of London School (EC4V 3AL)</t>
        </is>
      </c>
      <c r="X266" s="11" t="n">
        <v>12</v>
      </c>
      <c r="Y266" s="11" t="inlineStr">
        <is>
          <t>Marlborough Sports Garden (SE1 1SD) (13.4)</t>
        </is>
      </c>
      <c r="Z266" s="11" t="inlineStr">
        <is>
          <t>City of London School (EC4V 3AL)</t>
        </is>
      </c>
      <c r="AA266" s="11" t="n">
        <v>12</v>
      </c>
      <c r="AB266" s="14">
        <f>IFERROR(INDEX(Venues!$E$2:$E$17,MATCH(Z266,Venues!$A$2:$A$17,0)),"Not checked")</f>
        <v/>
      </c>
      <c r="AC266" s="14">
        <f>IFERROR(INDEX(Venues!$F$2:$F$17,MATCH(Z266,Venues!$A$2:$A$17,0)),0)</f>
        <v/>
      </c>
      <c r="AD266" s="15">
        <f>IFERROR(INDEX(Venues!$M$2:$M$17,MATCH(Z266,Venues!$A$2:$A$17,0)),"")</f>
        <v/>
      </c>
      <c r="AE266" s="14">
        <f>IFERROR(INDEX(Venues!$N$2:$N$17,MATCH(Z266,Venues!$A$2:$A$17,0)),"5-a-side")</f>
        <v/>
      </c>
      <c r="AF266" s="16">
        <f>IF(Offer!$C$4="","",Offer!$C$4)</f>
        <v/>
      </c>
      <c r="AG266" s="14">
        <f>Z266&amp;" ("&amp;AA266&amp;" min walk) · "&amp;IF(ISNUMBER(AD266),TEXT(AD266,"ddd d mmm, hh:mm"),"slot to confirm with venue")&amp;" · "&amp;AE266&amp;" · "&amp;IF(AF266&lt;&gt;"","£"&amp;TEXT(AF266,"0.00")&amp;" pp","price TBC")</f>
        <v/>
      </c>
      <c r="AH266" s="14">
        <f>IF(U266&lt;&gt;"",U266,IF(H266&lt;&gt;"",H266,""))</f>
        <v/>
      </c>
      <c r="AI266" s="14">
        <f>"After-work football for "&amp;F266&amp;" · "&amp;Z266&amp;", "&amp;AA266&amp;" min from your office"</f>
        <v/>
      </c>
      <c r="AJ266" s="14">
        <f>"Hi "&amp;IF(R266&lt;&gt;"",R266,F266&amp;" team")&amp;","&amp;CHAR(10)&amp;CHAR(10)&amp;"I'm "&amp;IF(AM266&lt;&gt;"",AM266,IF(Offer!$C$5&lt;&gt;"",Offer!$C$5,"[NAME]"))&amp;" from FC Urban. We organise after-work football for teams in the City and Canary Wharf."&amp;CHAR(10)&amp;CHAR(10)&amp;"We have a "&amp;AE266&amp;" pitch at "&amp;Z266&amp;", "&amp;IF(OR(AA266=8,AA266=11,AA266=18),"an ","a ")&amp;AA266&amp;"-minute walk from your "&amp;P266&amp;" office, "&amp;IF(ISNUMBER(AD266),"on "&amp;TEXT(AD266,"dddd d mmmm")&amp;" at "&amp;TEXT(AD266,"hh:mm"),"on a weekday evening that suits your team")&amp;". It's "&amp;IF(AF266&lt;&gt;"","£"&amp;IF(AF266=INT(AF266),TEXT(AF266,"0"),TEXT(AF266,"0.00")),"[PRICE PER PLAYER]")&amp;" a player and we handle the pitch booking, sign-ups and payments, so all it takes is one person sharing a link with the team."&amp;CHAR(10)&amp;CHAR(10)&amp;"It works well as a team social or "&amp;IF(ISNUMBER(SEARCH(LEFT(F266,1),"AEIOU")),"an ","a ")&amp;F266&amp;"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LINK]")&amp;CHAR(10)&amp;CHAR(10)&amp;"Best,"&amp;CHAR(10)&amp;IF(AM266&lt;&gt;"",AM266,IF(Offer!$C$5&lt;&gt;"",Offer!$C$5,"[NAME]"))&amp;CHAR(10)&amp;"FC Urban"</f>
        <v/>
      </c>
      <c r="AK266" s="14">
        <f>"Hi "&amp;IF(R266&lt;&gt;"",R266,F266&amp;" team")&amp;","&amp;CHAR(10)&amp;CHAR(10)&amp;"Just bumping this up. The "&amp;AE266&amp;" pitch at "&amp;Z266&amp;" is still free "&amp;IF(ISNUMBER(AD266),TEXT(AD266,"ddd d mmm")&amp;", "&amp;TEXT(AD266,"hh:mm"),"weekday evenings")&amp;", "&amp;IF(OR(AA266=8,AA266=11,AA266=18),"an ","a ")&amp;AA266&amp;"-minute walk from your office, "&amp;IF(AF266&lt;&gt;"","£"&amp;IF(AF266=INT(AF266),TEXT(AF266,"0"),TEXT(AF266,"0.00")),"[PRICE PER PLAYER]")&amp;" a player. Happy to hold it for "&amp;F266&amp;"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LINK]")&amp;CHAR(10)&amp;CHAR(10)&amp;"Best,"&amp;CHAR(10)&amp;IF(AM266&lt;&gt;"",AM266,IF(Offer!$C$5&lt;&gt;"",Offer!$C$5,"[NAME]"))&amp;CHAR(10)&amp;"FC Urban"</f>
        <v/>
      </c>
      <c r="AL266" s="14">
        <f>IF(AH266="","No email yet",IF(ISNUMBER(SEARCH("[",AJ266)),"Fill placeholders",IF(ISNUMBER(AD266),"Ready to send","Ready · no fixed slot")))</f>
        <v/>
      </c>
      <c r="AO266" s="17" t="n"/>
      <c r="AP266" s="17" t="n"/>
    </row>
    <row r="267">
      <c r="A267" s="11" t="n">
        <v>265</v>
      </c>
      <c r="B267" s="11" t="n">
        <v>3</v>
      </c>
      <c r="C267" s="11" t="inlineStr">
        <is>
          <t>Advisory / accountancy</t>
        </is>
      </c>
      <c r="D267" s="11" t="inlineStr">
        <is>
          <t>City of London</t>
        </is>
      </c>
      <c r="E267" s="11" t="inlineStr">
        <is>
          <t>FRP Advisory Services LLP</t>
        </is>
      </c>
      <c r="F267" s="11" t="inlineStr">
        <is>
          <t>FRP Advisory</t>
        </is>
      </c>
      <c r="G267" s="11" t="n"/>
      <c r="H267" s="11" t="n"/>
      <c r="I267" s="11" t="inlineStr">
        <is>
          <t>Not found</t>
        </is>
      </c>
      <c r="J267" s="11" t="n"/>
      <c r="K267" s="11" t="inlineStr">
        <is>
          <t>OC429945</t>
        </is>
      </c>
      <c r="L267" s="12" t="inlineStr">
        <is>
          <t>Open</t>
        </is>
      </c>
      <c r="M267" s="11" t="inlineStr">
        <is>
          <t>Full</t>
        </is>
      </c>
      <c r="N267" s="13" t="n">
        <v>43808</v>
      </c>
      <c r="O267" s="11" t="inlineStr">
        <is>
          <t>110 Cannon Street, London</t>
        </is>
      </c>
      <c r="P267" s="11" t="inlineStr">
        <is>
          <t>EC4N 6EU</t>
        </is>
      </c>
      <c r="Q267" s="11" t="inlineStr">
        <is>
          <t>No</t>
        </is>
      </c>
      <c r="W267" s="11" t="inlineStr">
        <is>
          <t>City of London School (EC4V 3AL)</t>
        </is>
      </c>
      <c r="X267" s="11" t="n">
        <v>13</v>
      </c>
      <c r="Y267" s="11" t="inlineStr">
        <is>
          <t>Marlborough Sports Garden (SE1 1SD) (14.9)</t>
        </is>
      </c>
      <c r="Z267" s="11" t="inlineStr">
        <is>
          <t>City of London School (EC4V 3AL)</t>
        </is>
      </c>
      <c r="AA267" s="11" t="n">
        <v>13</v>
      </c>
      <c r="AB267" s="14">
        <f>IFERROR(INDEX(Venues!$E$2:$E$17,MATCH(Z267,Venues!$A$2:$A$17,0)),"Not checked")</f>
        <v/>
      </c>
      <c r="AC267" s="14">
        <f>IFERROR(INDEX(Venues!$F$2:$F$17,MATCH(Z267,Venues!$A$2:$A$17,0)),0)</f>
        <v/>
      </c>
      <c r="AD267" s="15">
        <f>IFERROR(INDEX(Venues!$M$2:$M$17,MATCH(Z267,Venues!$A$2:$A$17,0)),"")</f>
        <v/>
      </c>
      <c r="AE267" s="14">
        <f>IFERROR(INDEX(Venues!$N$2:$N$17,MATCH(Z267,Venues!$A$2:$A$17,0)),"5-a-side")</f>
        <v/>
      </c>
      <c r="AF267" s="16">
        <f>IF(Offer!$C$4="","",Offer!$C$4)</f>
        <v/>
      </c>
      <c r="AG267" s="14">
        <f>Z267&amp;" ("&amp;AA267&amp;" min walk) · "&amp;IF(ISNUMBER(AD267),TEXT(AD267,"ddd d mmm, hh:mm"),"slot to confirm with venue")&amp;" · "&amp;AE267&amp;" · "&amp;IF(AF267&lt;&gt;"","£"&amp;TEXT(AF267,"0.00")&amp;" pp","price TBC")</f>
        <v/>
      </c>
      <c r="AH267" s="14">
        <f>IF(U267&lt;&gt;"",U267,IF(H267&lt;&gt;"",H267,""))</f>
        <v/>
      </c>
      <c r="AI267" s="14">
        <f>"After-work football for "&amp;F267&amp;" · "&amp;Z267&amp;", "&amp;AA267&amp;" min from your office"</f>
        <v/>
      </c>
      <c r="AJ267" s="14">
        <f>"Hi "&amp;IF(R267&lt;&gt;"",R267,F267&amp;" team")&amp;","&amp;CHAR(10)&amp;CHAR(10)&amp;"I'm "&amp;IF(AM267&lt;&gt;"",AM267,IF(Offer!$C$5&lt;&gt;"",Offer!$C$5,"[NAME]"))&amp;" from FC Urban. We organise after-work football for teams in the City and Canary Wharf."&amp;CHAR(10)&amp;CHAR(10)&amp;"We have a "&amp;AE267&amp;" pitch at "&amp;Z267&amp;", "&amp;IF(OR(AA267=8,AA267=11,AA267=18),"an ","a ")&amp;AA267&amp;"-minute walk from your "&amp;P267&amp;" office, "&amp;IF(ISNUMBER(AD267),"on "&amp;TEXT(AD267,"dddd d mmmm")&amp;" at "&amp;TEXT(AD267,"hh:mm"),"on a weekday evening that suits your team")&amp;". It's "&amp;IF(AF267&lt;&gt;"","£"&amp;IF(AF267=INT(AF267),TEXT(AF267,"0"),TEXT(AF267,"0.00")),"[PRICE PER PLAYER]")&amp;" a player and we handle the pitch booking, sign-ups and payments, so all it takes is one person sharing a link with the team."&amp;CHAR(10)&amp;CHAR(10)&amp;"It works well as a team social or "&amp;IF(ISNUMBER(SEARCH(LEFT(F267,1),"AEIOU")),"an ","a ")&amp;F267&amp;"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LINK]")&amp;CHAR(10)&amp;CHAR(10)&amp;"Best,"&amp;CHAR(10)&amp;IF(AM267&lt;&gt;"",AM267,IF(Offer!$C$5&lt;&gt;"",Offer!$C$5,"[NAME]"))&amp;CHAR(10)&amp;"FC Urban"</f>
        <v/>
      </c>
      <c r="AK267" s="14">
        <f>"Hi "&amp;IF(R267&lt;&gt;"",R267,F267&amp;" team")&amp;","&amp;CHAR(10)&amp;CHAR(10)&amp;"Just bumping this up. The "&amp;AE267&amp;" pitch at "&amp;Z267&amp;" is still free "&amp;IF(ISNUMBER(AD267),TEXT(AD267,"ddd d mmm")&amp;", "&amp;TEXT(AD267,"hh:mm"),"weekday evenings")&amp;", "&amp;IF(OR(AA267=8,AA267=11,AA267=18),"an ","a ")&amp;AA267&amp;"-minute walk from your office, "&amp;IF(AF267&lt;&gt;"","£"&amp;IF(AF267=INT(AF267),TEXT(AF267,"0"),TEXT(AF267,"0.00")),"[PRICE PER PLAYER]")&amp;" a player. Happy to hold it for "&amp;F267&amp;"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LINK]")&amp;CHAR(10)&amp;CHAR(10)&amp;"Best,"&amp;CHAR(10)&amp;IF(AM267&lt;&gt;"",AM267,IF(Offer!$C$5&lt;&gt;"",Offer!$C$5,"[NAME]"))&amp;CHAR(10)&amp;"FC Urban"</f>
        <v/>
      </c>
      <c r="AL267" s="14">
        <f>IF(AH267="","No email yet",IF(ISNUMBER(SEARCH("[",AJ267)),"Fill placeholders",IF(ISNUMBER(AD267),"Ready to send","Ready · no fixed slot")))</f>
        <v/>
      </c>
      <c r="AO267" s="17" t="n"/>
      <c r="AP267" s="17" t="n"/>
    </row>
    <row r="268">
      <c r="A268" s="11" t="n">
        <v>266</v>
      </c>
      <c r="B268" s="11" t="n">
        <v>3</v>
      </c>
      <c r="C268" s="11" t="inlineStr">
        <is>
          <t>Fund / asset manager</t>
        </is>
      </c>
      <c r="D268" s="11" t="inlineStr">
        <is>
          <t>City of London</t>
        </is>
      </c>
      <c r="E268" s="11" t="inlineStr">
        <is>
          <t>Qsm Asset Management Ltd</t>
        </is>
      </c>
      <c r="F268" s="11" t="inlineStr">
        <is>
          <t>Qsm Asset Management</t>
        </is>
      </c>
      <c r="G268" s="12" t="inlineStr">
        <is>
          <t>https://www.qsm.com</t>
        </is>
      </c>
      <c r="H268" s="11" t="inlineStr">
        <is>
          <t>info@qsm.com</t>
        </is>
      </c>
      <c r="I268" s="11" t="inlineStr">
        <is>
          <t>general</t>
        </is>
      </c>
      <c r="J268" s="12" t="inlineStr">
        <is>
          <t>Open page</t>
        </is>
      </c>
      <c r="K268" s="11" t="inlineStr">
        <is>
          <t>14955733</t>
        </is>
      </c>
      <c r="L268" s="12" t="inlineStr">
        <is>
          <t>Open</t>
        </is>
      </c>
      <c r="M268" s="11" t="inlineStr">
        <is>
          <t>Full</t>
        </is>
      </c>
      <c r="N268" s="13" t="n">
        <v>45100</v>
      </c>
      <c r="O268" s="11" t="inlineStr">
        <is>
          <t>1 King William Street, London</t>
        </is>
      </c>
      <c r="P268" s="11" t="inlineStr">
        <is>
          <t>EC4N 7AF</t>
        </is>
      </c>
      <c r="Q268" s="11" t="inlineStr">
        <is>
          <t>No</t>
        </is>
      </c>
      <c r="W268" s="11" t="inlineStr">
        <is>
          <t>City of London School (EC4V 3AL)</t>
        </is>
      </c>
      <c r="X268" s="11" t="n">
        <v>13</v>
      </c>
      <c r="Y268" s="11" t="inlineStr">
        <is>
          <t>Marlborough Sports Garden (SE1 1SD) (17.2)</t>
        </is>
      </c>
      <c r="Z268" s="11" t="inlineStr">
        <is>
          <t>City of London School (EC4V 3AL)</t>
        </is>
      </c>
      <c r="AA268" s="11" t="n">
        <v>13</v>
      </c>
      <c r="AB268" s="14">
        <f>IFERROR(INDEX(Venues!$E$2:$E$17,MATCH(Z268,Venues!$A$2:$A$17,0)),"Not checked")</f>
        <v/>
      </c>
      <c r="AC268" s="14">
        <f>IFERROR(INDEX(Venues!$F$2:$F$17,MATCH(Z268,Venues!$A$2:$A$17,0)),0)</f>
        <v/>
      </c>
      <c r="AD268" s="15">
        <f>IFERROR(INDEX(Venues!$M$2:$M$17,MATCH(Z268,Venues!$A$2:$A$17,0)),"")</f>
        <v/>
      </c>
      <c r="AE268" s="14">
        <f>IFERROR(INDEX(Venues!$N$2:$N$17,MATCH(Z268,Venues!$A$2:$A$17,0)),"5-a-side")</f>
        <v/>
      </c>
      <c r="AF268" s="16">
        <f>IF(Offer!$C$4="","",Offer!$C$4)</f>
        <v/>
      </c>
      <c r="AG268" s="14">
        <f>Z268&amp;" ("&amp;AA268&amp;" min walk) · "&amp;IF(ISNUMBER(AD268),TEXT(AD268,"ddd d mmm, hh:mm"),"slot to confirm with venue")&amp;" · "&amp;AE268&amp;" · "&amp;IF(AF268&lt;&gt;"","£"&amp;TEXT(AF268,"0.00")&amp;" pp","price TBC")</f>
        <v/>
      </c>
      <c r="AH268" s="14">
        <f>IF(U268&lt;&gt;"",U268,IF(H268&lt;&gt;"",H268,""))</f>
        <v/>
      </c>
      <c r="AI268" s="14">
        <f>"After-work football for "&amp;F268&amp;" · "&amp;Z268&amp;", "&amp;AA268&amp;" min from your office"</f>
        <v/>
      </c>
      <c r="AJ268" s="14">
        <f>"Hi "&amp;IF(R268&lt;&gt;"",R268,F268&amp;" team")&amp;","&amp;CHAR(10)&amp;CHAR(10)&amp;"I'm "&amp;IF(AM268&lt;&gt;"",AM268,IF(Offer!$C$5&lt;&gt;"",Offer!$C$5,"[NAME]"))&amp;" from FC Urban. We organise after-work football for teams in the City and Canary Wharf."&amp;CHAR(10)&amp;CHAR(10)&amp;"We have a "&amp;AE268&amp;" pitch at "&amp;Z268&amp;", "&amp;IF(OR(AA268=8,AA268=11,AA268=18),"an ","a ")&amp;AA268&amp;"-minute walk from your "&amp;P268&amp;" office, "&amp;IF(ISNUMBER(AD268),"on "&amp;TEXT(AD268,"dddd d mmmm")&amp;" at "&amp;TEXT(AD268,"hh:mm"),"on a weekday evening that suits your team")&amp;". It's "&amp;IF(AF268&lt;&gt;"","£"&amp;IF(AF268=INT(AF268),TEXT(AF268,"0"),TEXT(AF268,"0.00")),"[PRICE PER PLAYER]")&amp;" a player and we handle the pitch booking, sign-ups and payments, so all it takes is one person sharing a link with the team."&amp;CHAR(10)&amp;CHAR(10)&amp;"It works well as a team social or "&amp;IF(ISNUMBER(SEARCH(LEFT(F268,1),"AEIOU")),"an ","a ")&amp;F268&amp;"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LINK]")&amp;CHAR(10)&amp;CHAR(10)&amp;"Best,"&amp;CHAR(10)&amp;IF(AM268&lt;&gt;"",AM268,IF(Offer!$C$5&lt;&gt;"",Offer!$C$5,"[NAME]"))&amp;CHAR(10)&amp;"FC Urban"</f>
        <v/>
      </c>
      <c r="AK268" s="14">
        <f>"Hi "&amp;IF(R268&lt;&gt;"",R268,F268&amp;" team")&amp;","&amp;CHAR(10)&amp;CHAR(10)&amp;"Just bumping this up. The "&amp;AE268&amp;" pitch at "&amp;Z268&amp;" is still free "&amp;IF(ISNUMBER(AD268),TEXT(AD268,"ddd d mmm")&amp;", "&amp;TEXT(AD268,"hh:mm"),"weekday evenings")&amp;", "&amp;IF(OR(AA268=8,AA268=11,AA268=18),"an ","a ")&amp;AA268&amp;"-minute walk from your office, "&amp;IF(AF268&lt;&gt;"","£"&amp;IF(AF268=INT(AF268),TEXT(AF268,"0"),TEXT(AF268,"0.00")),"[PRICE PER PLAYER]")&amp;" a player. Happy to hold it for "&amp;F268&amp;"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LINK]")&amp;CHAR(10)&amp;CHAR(10)&amp;"Best,"&amp;CHAR(10)&amp;IF(AM268&lt;&gt;"",AM268,IF(Offer!$C$5&lt;&gt;"",Offer!$C$5,"[NAME]"))&amp;CHAR(10)&amp;"FC Urban"</f>
        <v/>
      </c>
      <c r="AL268" s="14">
        <f>IF(AH268="","No email yet",IF(ISNUMBER(SEARCH("[",AJ268)),"Fill placeholders",IF(ISNUMBER(AD268),"Ready to send","Ready · no fixed slot")))</f>
        <v/>
      </c>
      <c r="AO268" s="17" t="n"/>
      <c r="AP268" s="17" t="n"/>
    </row>
    <row r="269">
      <c r="A269" s="11" t="n">
        <v>267</v>
      </c>
      <c r="B269" s="11" t="n">
        <v>3</v>
      </c>
      <c r="C269" s="11" t="inlineStr">
        <is>
          <t>Fund / asset manager</t>
        </is>
      </c>
      <c r="D269" s="11" t="inlineStr">
        <is>
          <t>City of London</t>
        </is>
      </c>
      <c r="E269" s="11" t="inlineStr">
        <is>
          <t>Triple Point Investment Management LLP</t>
        </is>
      </c>
      <c r="F269" s="11" t="inlineStr">
        <is>
          <t>Triple Point Investment Management</t>
        </is>
      </c>
      <c r="G269" s="12" t="inlineStr">
        <is>
          <t>https://www.triplepoint.co.uk</t>
        </is>
      </c>
      <c r="H269" s="11" t="inlineStr">
        <is>
          <t>contact@triplepoint.co.uk</t>
        </is>
      </c>
      <c r="I269" s="11" t="inlineStr">
        <is>
          <t>general</t>
        </is>
      </c>
      <c r="J269" s="12" t="inlineStr">
        <is>
          <t>Open page</t>
        </is>
      </c>
      <c r="K269" s="11" t="inlineStr">
        <is>
          <t>OC321250</t>
        </is>
      </c>
      <c r="L269" s="12" t="inlineStr">
        <is>
          <t>Open</t>
        </is>
      </c>
      <c r="M269" s="11" t="inlineStr">
        <is>
          <t>Full</t>
        </is>
      </c>
      <c r="N269" s="13" t="n">
        <v>38926</v>
      </c>
      <c r="O269" s="11" t="inlineStr">
        <is>
          <t>1 King William Street, London</t>
        </is>
      </c>
      <c r="P269" s="11" t="inlineStr">
        <is>
          <t>EC4N 7AF</t>
        </is>
      </c>
      <c r="Q269" s="11" t="inlineStr">
        <is>
          <t>No</t>
        </is>
      </c>
      <c r="W269" s="11" t="inlineStr">
        <is>
          <t>City of London School (EC4V 3AL)</t>
        </is>
      </c>
      <c r="X269" s="11" t="n">
        <v>13</v>
      </c>
      <c r="Y269" s="11" t="inlineStr">
        <is>
          <t>Marlborough Sports Garden (SE1 1SD) (17.2)</t>
        </is>
      </c>
      <c r="Z269" s="11" t="inlineStr">
        <is>
          <t>City of London School (EC4V 3AL)</t>
        </is>
      </c>
      <c r="AA269" s="11" t="n">
        <v>13</v>
      </c>
      <c r="AB269" s="14">
        <f>IFERROR(INDEX(Venues!$E$2:$E$17,MATCH(Z269,Venues!$A$2:$A$17,0)),"Not checked")</f>
        <v/>
      </c>
      <c r="AC269" s="14">
        <f>IFERROR(INDEX(Venues!$F$2:$F$17,MATCH(Z269,Venues!$A$2:$A$17,0)),0)</f>
        <v/>
      </c>
      <c r="AD269" s="15">
        <f>IFERROR(INDEX(Venues!$M$2:$M$17,MATCH(Z269,Venues!$A$2:$A$17,0)),"")</f>
        <v/>
      </c>
      <c r="AE269" s="14">
        <f>IFERROR(INDEX(Venues!$N$2:$N$17,MATCH(Z269,Venues!$A$2:$A$17,0)),"5-a-side")</f>
        <v/>
      </c>
      <c r="AF269" s="16">
        <f>IF(Offer!$C$4="","",Offer!$C$4)</f>
        <v/>
      </c>
      <c r="AG269" s="14">
        <f>Z269&amp;" ("&amp;AA269&amp;" min walk) · "&amp;IF(ISNUMBER(AD269),TEXT(AD269,"ddd d mmm, hh:mm"),"slot to confirm with venue")&amp;" · "&amp;AE269&amp;" · "&amp;IF(AF269&lt;&gt;"","£"&amp;TEXT(AF269,"0.00")&amp;" pp","price TBC")</f>
        <v/>
      </c>
      <c r="AH269" s="14">
        <f>IF(U269&lt;&gt;"",U269,IF(H269&lt;&gt;"",H269,""))</f>
        <v/>
      </c>
      <c r="AI269" s="14">
        <f>"After-work football for "&amp;F269&amp;" · "&amp;Z269&amp;", "&amp;AA269&amp;" min from your office"</f>
        <v/>
      </c>
      <c r="AJ269" s="14">
        <f>"Hi "&amp;IF(R269&lt;&gt;"",R269,F269&amp;" team")&amp;","&amp;CHAR(10)&amp;CHAR(10)&amp;"I'm "&amp;IF(AM269&lt;&gt;"",AM269,IF(Offer!$C$5&lt;&gt;"",Offer!$C$5,"[NAME]"))&amp;" from FC Urban. We organise after-work football for teams in the City and Canary Wharf."&amp;CHAR(10)&amp;CHAR(10)&amp;"We have a "&amp;AE269&amp;" pitch at "&amp;Z269&amp;", "&amp;IF(OR(AA269=8,AA269=11,AA269=18),"an ","a ")&amp;AA269&amp;"-minute walk from your "&amp;P269&amp;" office, "&amp;IF(ISNUMBER(AD269),"on "&amp;TEXT(AD269,"dddd d mmmm")&amp;" at "&amp;TEXT(AD269,"hh:mm"),"on a weekday evening that suits your team")&amp;". It's "&amp;IF(AF269&lt;&gt;"","£"&amp;IF(AF269=INT(AF269),TEXT(AF269,"0"),TEXT(AF269,"0.00")),"[PRICE PER PLAYER]")&amp;" a player and we handle the pitch booking, sign-ups and payments, so all it takes is one person sharing a link with the team."&amp;CHAR(10)&amp;CHAR(10)&amp;"It works well as a team social or "&amp;IF(ISNUMBER(SEARCH(LEFT(F269,1),"AEIOU")),"an ","a ")&amp;F269&amp;"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LINK]")&amp;CHAR(10)&amp;CHAR(10)&amp;"Best,"&amp;CHAR(10)&amp;IF(AM269&lt;&gt;"",AM269,IF(Offer!$C$5&lt;&gt;"",Offer!$C$5,"[NAME]"))&amp;CHAR(10)&amp;"FC Urban"</f>
        <v/>
      </c>
      <c r="AK269" s="14">
        <f>"Hi "&amp;IF(R269&lt;&gt;"",R269,F269&amp;" team")&amp;","&amp;CHAR(10)&amp;CHAR(10)&amp;"Just bumping this up. The "&amp;AE269&amp;" pitch at "&amp;Z269&amp;" is still free "&amp;IF(ISNUMBER(AD269),TEXT(AD269,"ddd d mmm")&amp;", "&amp;TEXT(AD269,"hh:mm"),"weekday evenings")&amp;", "&amp;IF(OR(AA269=8,AA269=11,AA269=18),"an ","a ")&amp;AA269&amp;"-minute walk from your office, "&amp;IF(AF269&lt;&gt;"","£"&amp;IF(AF269=INT(AF269),TEXT(AF269,"0"),TEXT(AF269,"0.00")),"[PRICE PER PLAYER]")&amp;" a player. Happy to hold it for "&amp;F269&amp;"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LINK]")&amp;CHAR(10)&amp;CHAR(10)&amp;"Best,"&amp;CHAR(10)&amp;IF(AM269&lt;&gt;"",AM269,IF(Offer!$C$5&lt;&gt;"",Offer!$C$5,"[NAME]"))&amp;CHAR(10)&amp;"FC Urban"</f>
        <v/>
      </c>
      <c r="AL269" s="14">
        <f>IF(AH269="","No email yet",IF(ISNUMBER(SEARCH("[",AJ269)),"Fill placeholders",IF(ISNUMBER(AD269),"Ready to send","Ready · no fixed slot")))</f>
        <v/>
      </c>
      <c r="AO269" s="17" t="n"/>
      <c r="AP269" s="17" t="n"/>
    </row>
    <row r="270">
      <c r="A270" s="11" t="n">
        <v>268</v>
      </c>
      <c r="B270" s="11" t="n">
        <v>3</v>
      </c>
      <c r="C270" s="11" t="inlineStr">
        <is>
          <t>Insurance / broker</t>
        </is>
      </c>
      <c r="D270" s="11" t="inlineStr">
        <is>
          <t>City of London</t>
        </is>
      </c>
      <c r="E270" s="11" t="inlineStr">
        <is>
          <t>Cigna Willow Holdings Ltd</t>
        </is>
      </c>
      <c r="F270" s="11" t="inlineStr">
        <is>
          <t>Cigna Willow</t>
        </is>
      </c>
      <c r="G270" s="12" t="inlineStr">
        <is>
          <t>https://www.cigna.co.uk</t>
        </is>
      </c>
      <c r="H270" s="11" t="inlineStr">
        <is>
          <t>insurance@cigna.co.uk</t>
        </is>
      </c>
      <c r="I270" s="11" t="inlineStr">
        <is>
          <t>role (other)</t>
        </is>
      </c>
      <c r="J270" s="12" t="inlineStr">
        <is>
          <t>Open page</t>
        </is>
      </c>
      <c r="K270" s="11" t="inlineStr">
        <is>
          <t>04617115</t>
        </is>
      </c>
      <c r="L270" s="12" t="inlineStr">
        <is>
          <t>Open</t>
        </is>
      </c>
      <c r="M270" s="11" t="inlineStr">
        <is>
          <t>Full</t>
        </is>
      </c>
      <c r="N270" s="13" t="n">
        <v>37603</v>
      </c>
      <c r="O270" s="11" t="inlineStr">
        <is>
          <t>5 Aldermanbury Square, London</t>
        </is>
      </c>
      <c r="P270" s="11" t="inlineStr">
        <is>
          <t>EC2V 7HR</t>
        </is>
      </c>
      <c r="Q270" s="11" t="inlineStr">
        <is>
          <t>No</t>
        </is>
      </c>
      <c r="W270" s="11" t="inlineStr">
        <is>
          <t>City of London School (EC4V 3AL)</t>
        </is>
      </c>
      <c r="X270" s="11" t="n">
        <v>13</v>
      </c>
      <c r="Y270" s="11" t="inlineStr">
        <is>
          <t>Finsbury Leisure Centre (EC1V 3PU) (16.3)</t>
        </is>
      </c>
      <c r="Z270" s="11" t="inlineStr">
        <is>
          <t>City of London School (EC4V 3AL)</t>
        </is>
      </c>
      <c r="AA270" s="11" t="n">
        <v>13</v>
      </c>
      <c r="AB270" s="14">
        <f>IFERROR(INDEX(Venues!$E$2:$E$17,MATCH(Z270,Venues!$A$2:$A$17,0)),"Not checked")</f>
        <v/>
      </c>
      <c r="AC270" s="14">
        <f>IFERROR(INDEX(Venues!$F$2:$F$17,MATCH(Z270,Venues!$A$2:$A$17,0)),0)</f>
        <v/>
      </c>
      <c r="AD270" s="15">
        <f>IFERROR(INDEX(Venues!$M$2:$M$17,MATCH(Z270,Venues!$A$2:$A$17,0)),"")</f>
        <v/>
      </c>
      <c r="AE270" s="14">
        <f>IFERROR(INDEX(Venues!$N$2:$N$17,MATCH(Z270,Venues!$A$2:$A$17,0)),"5-a-side")</f>
        <v/>
      </c>
      <c r="AF270" s="16">
        <f>IF(Offer!$C$4="","",Offer!$C$4)</f>
        <v/>
      </c>
      <c r="AG270" s="14">
        <f>Z270&amp;" ("&amp;AA270&amp;" min walk) · "&amp;IF(ISNUMBER(AD270),TEXT(AD270,"ddd d mmm, hh:mm"),"slot to confirm with venue")&amp;" · "&amp;AE270&amp;" · "&amp;IF(AF270&lt;&gt;"","£"&amp;TEXT(AF270,"0.00")&amp;" pp","price TBC")</f>
        <v/>
      </c>
      <c r="AH270" s="14">
        <f>IF(U270&lt;&gt;"",U270,IF(H270&lt;&gt;"",H270,""))</f>
        <v/>
      </c>
      <c r="AI270" s="14">
        <f>"After-work football for "&amp;F270&amp;" · "&amp;Z270&amp;", "&amp;AA270&amp;" min from your office"</f>
        <v/>
      </c>
      <c r="AJ270" s="14">
        <f>"Hi "&amp;IF(R270&lt;&gt;"",R270,F270&amp;" team")&amp;","&amp;CHAR(10)&amp;CHAR(10)&amp;"I'm "&amp;IF(AM270&lt;&gt;"",AM270,IF(Offer!$C$5&lt;&gt;"",Offer!$C$5,"[NAME]"))&amp;" from FC Urban. We organise after-work football for teams in the City and Canary Wharf."&amp;CHAR(10)&amp;CHAR(10)&amp;"We have a "&amp;AE270&amp;" pitch at "&amp;Z270&amp;", "&amp;IF(OR(AA270=8,AA270=11,AA270=18),"an ","a ")&amp;AA270&amp;"-minute walk from your "&amp;P270&amp;" office, "&amp;IF(ISNUMBER(AD270),"on "&amp;TEXT(AD270,"dddd d mmmm")&amp;" at "&amp;TEXT(AD270,"hh:mm"),"on a weekday evening that suits your team")&amp;". It's "&amp;IF(AF270&lt;&gt;"","£"&amp;IF(AF270=INT(AF270),TEXT(AF270,"0"),TEXT(AF270,"0.00")),"[PRICE PER PLAYER]")&amp;" a player and we handle the pitch booking, sign-ups and payments, so all it takes is one person sharing a link with the team."&amp;CHAR(10)&amp;CHAR(10)&amp;"It works well as a team social or "&amp;IF(ISNUMBER(SEARCH(LEFT(F270,1),"AEIOU")),"an ","a ")&amp;F270&amp;"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LINK]")&amp;CHAR(10)&amp;CHAR(10)&amp;"Best,"&amp;CHAR(10)&amp;IF(AM270&lt;&gt;"",AM270,IF(Offer!$C$5&lt;&gt;"",Offer!$C$5,"[NAME]"))&amp;CHAR(10)&amp;"FC Urban"</f>
        <v/>
      </c>
      <c r="AK270" s="14">
        <f>"Hi "&amp;IF(R270&lt;&gt;"",R270,F270&amp;" team")&amp;","&amp;CHAR(10)&amp;CHAR(10)&amp;"Just bumping this up. The "&amp;AE270&amp;" pitch at "&amp;Z270&amp;" is still free "&amp;IF(ISNUMBER(AD270),TEXT(AD270,"ddd d mmm")&amp;", "&amp;TEXT(AD270,"hh:mm"),"weekday evenings")&amp;", "&amp;IF(OR(AA270=8,AA270=11,AA270=18),"an ","a ")&amp;AA270&amp;"-minute walk from your office, "&amp;IF(AF270&lt;&gt;"","£"&amp;IF(AF270=INT(AF270),TEXT(AF270,"0"),TEXT(AF270,"0.00")),"[PRICE PER PLAYER]")&amp;" a player. Happy to hold it for "&amp;F270&amp;"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LINK]")&amp;CHAR(10)&amp;CHAR(10)&amp;"Best,"&amp;CHAR(10)&amp;IF(AM270&lt;&gt;"",AM270,IF(Offer!$C$5&lt;&gt;"",Offer!$C$5,"[NAME]"))&amp;CHAR(10)&amp;"FC Urban"</f>
        <v/>
      </c>
      <c r="AL270" s="14">
        <f>IF(AH270="","No email yet",IF(ISNUMBER(SEARCH("[",AJ270)),"Fill placeholders",IF(ISNUMBER(AD270),"Ready to send","Ready · no fixed slot")))</f>
        <v/>
      </c>
      <c r="AO270" s="17" t="n"/>
      <c r="AP270" s="17" t="n"/>
    </row>
    <row r="271">
      <c r="A271" s="11" t="n">
        <v>269</v>
      </c>
      <c r="B271" s="11" t="n">
        <v>3</v>
      </c>
      <c r="C271" s="11" t="inlineStr">
        <is>
          <t>Fund / asset manager</t>
        </is>
      </c>
      <c r="D271" s="11" t="inlineStr">
        <is>
          <t>City of London</t>
        </is>
      </c>
      <c r="E271" s="11" t="inlineStr">
        <is>
          <t>Adg Capital Management LLP</t>
        </is>
      </c>
      <c r="F271" s="11" t="inlineStr">
        <is>
          <t>Adg Capital Management</t>
        </is>
      </c>
      <c r="G271" s="12" t="inlineStr">
        <is>
          <t>https://www.adg.com</t>
        </is>
      </c>
      <c r="H271" s="11" t="inlineStr">
        <is>
          <t>info@adg.com</t>
        </is>
      </c>
      <c r="I271" s="11" t="inlineStr">
        <is>
          <t>general</t>
        </is>
      </c>
      <c r="J271" s="12" t="inlineStr">
        <is>
          <t>Open page</t>
        </is>
      </c>
      <c r="K271" s="11" t="inlineStr">
        <is>
          <t>OC342915</t>
        </is>
      </c>
      <c r="L271" s="12" t="inlineStr">
        <is>
          <t>Open</t>
        </is>
      </c>
      <c r="M271" s="11" t="inlineStr">
        <is>
          <t>Full</t>
        </is>
      </c>
      <c r="N271" s="13" t="n">
        <v>39840</v>
      </c>
      <c r="O271" s="11" t="inlineStr">
        <is>
          <t>Part Level 18, 5 Aldermanbury Square, London</t>
        </is>
      </c>
      <c r="P271" s="11" t="inlineStr">
        <is>
          <t>EC2V 7HR</t>
        </is>
      </c>
      <c r="Q271" s="11" t="inlineStr">
        <is>
          <t>Yes</t>
        </is>
      </c>
      <c r="W271" s="11" t="inlineStr">
        <is>
          <t>City of London School (EC4V 3AL)</t>
        </is>
      </c>
      <c r="X271" s="11" t="n">
        <v>13</v>
      </c>
      <c r="Y271" s="11" t="inlineStr">
        <is>
          <t>Finsbury Leisure Centre (EC1V 3PU) (16.3)</t>
        </is>
      </c>
      <c r="Z271" s="11" t="inlineStr">
        <is>
          <t>City of London School (EC4V 3AL)</t>
        </is>
      </c>
      <c r="AA271" s="11" t="n">
        <v>13</v>
      </c>
      <c r="AB271" s="14">
        <f>IFERROR(INDEX(Venues!$E$2:$E$17,MATCH(Z271,Venues!$A$2:$A$17,0)),"Not checked")</f>
        <v/>
      </c>
      <c r="AC271" s="14">
        <f>IFERROR(INDEX(Venues!$F$2:$F$17,MATCH(Z271,Venues!$A$2:$A$17,0)),0)</f>
        <v/>
      </c>
      <c r="AD271" s="15">
        <f>IFERROR(INDEX(Venues!$M$2:$M$17,MATCH(Z271,Venues!$A$2:$A$17,0)),"")</f>
        <v/>
      </c>
      <c r="AE271" s="14">
        <f>IFERROR(INDEX(Venues!$N$2:$N$17,MATCH(Z271,Venues!$A$2:$A$17,0)),"5-a-side")</f>
        <v/>
      </c>
      <c r="AF271" s="16">
        <f>IF(Offer!$C$4="","",Offer!$C$4)</f>
        <v/>
      </c>
      <c r="AG271" s="14">
        <f>Z271&amp;" ("&amp;AA271&amp;" min walk) · "&amp;IF(ISNUMBER(AD271),TEXT(AD271,"ddd d mmm, hh:mm"),"slot to confirm with venue")&amp;" · "&amp;AE271&amp;" · "&amp;IF(AF271&lt;&gt;"","£"&amp;TEXT(AF271,"0.00")&amp;" pp","price TBC")</f>
        <v/>
      </c>
      <c r="AH271" s="14">
        <f>IF(U271&lt;&gt;"",U271,IF(H271&lt;&gt;"",H271,""))</f>
        <v/>
      </c>
      <c r="AI271" s="14">
        <f>"After-work football for "&amp;F271&amp;" · "&amp;Z271&amp;", "&amp;AA271&amp;" min from your office"</f>
        <v/>
      </c>
      <c r="AJ271" s="14">
        <f>"Hi "&amp;IF(R271&lt;&gt;"",R271,F271&amp;" team")&amp;","&amp;CHAR(10)&amp;CHAR(10)&amp;"I'm "&amp;IF(AM271&lt;&gt;"",AM271,IF(Offer!$C$5&lt;&gt;"",Offer!$C$5,"[NAME]"))&amp;" from FC Urban. We organise after-work football for teams in the City and Canary Wharf."&amp;CHAR(10)&amp;CHAR(10)&amp;"We have a "&amp;AE271&amp;" pitch at "&amp;Z271&amp;", "&amp;IF(OR(AA271=8,AA271=11,AA271=18),"an ","a ")&amp;AA271&amp;"-minute walk from your "&amp;P271&amp;" office, "&amp;IF(ISNUMBER(AD271),"on "&amp;TEXT(AD271,"dddd d mmmm")&amp;" at "&amp;TEXT(AD271,"hh:mm"),"on a weekday evening that suits your team")&amp;". It's "&amp;IF(AF271&lt;&gt;"","£"&amp;IF(AF271=INT(AF271),TEXT(AF271,"0"),TEXT(AF271,"0.00")),"[PRICE PER PLAYER]")&amp;" a player and we handle the pitch booking, sign-ups and payments, so all it takes is one person sharing a link with the team."&amp;CHAR(10)&amp;CHAR(10)&amp;"It works well as a team social or "&amp;IF(ISNUMBER(SEARCH(LEFT(F271,1),"AEIOU")),"an ","a ")&amp;F271&amp;"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LINK]")&amp;CHAR(10)&amp;CHAR(10)&amp;"Best,"&amp;CHAR(10)&amp;IF(AM271&lt;&gt;"",AM271,IF(Offer!$C$5&lt;&gt;"",Offer!$C$5,"[NAME]"))&amp;CHAR(10)&amp;"FC Urban"</f>
        <v/>
      </c>
      <c r="AK271" s="14">
        <f>"Hi "&amp;IF(R271&lt;&gt;"",R271,F271&amp;" team")&amp;","&amp;CHAR(10)&amp;CHAR(10)&amp;"Just bumping this up. The "&amp;AE271&amp;" pitch at "&amp;Z271&amp;" is still free "&amp;IF(ISNUMBER(AD271),TEXT(AD271,"ddd d mmm")&amp;", "&amp;TEXT(AD271,"hh:mm"),"weekday evenings")&amp;", "&amp;IF(OR(AA271=8,AA271=11,AA271=18),"an ","a ")&amp;AA271&amp;"-minute walk from your office, "&amp;IF(AF271&lt;&gt;"","£"&amp;IF(AF271=INT(AF271),TEXT(AF271,"0"),TEXT(AF271,"0.00")),"[PRICE PER PLAYER]")&amp;" a player. Happy to hold it for "&amp;F271&amp;"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LINK]")&amp;CHAR(10)&amp;CHAR(10)&amp;"Best,"&amp;CHAR(10)&amp;IF(AM271&lt;&gt;"",AM271,IF(Offer!$C$5&lt;&gt;"",Offer!$C$5,"[NAME]"))&amp;CHAR(10)&amp;"FC Urban"</f>
        <v/>
      </c>
      <c r="AL271" s="14">
        <f>IF(AH271="","No email yet",IF(ISNUMBER(SEARCH("[",AJ271)),"Fill placeholders",IF(ISNUMBER(AD271),"Ready to send","Ready · no fixed slot")))</f>
        <v/>
      </c>
      <c r="AO271" s="17" t="n"/>
      <c r="AP271" s="17" t="n"/>
    </row>
    <row r="272">
      <c r="A272" s="11" t="n">
        <v>270</v>
      </c>
      <c r="B272" s="11" t="n">
        <v>3</v>
      </c>
      <c r="C272" s="11" t="inlineStr">
        <is>
          <t>Fund / asset manager</t>
        </is>
      </c>
      <c r="D272" s="11" t="inlineStr">
        <is>
          <t>City of London</t>
        </is>
      </c>
      <c r="E272" s="11" t="inlineStr">
        <is>
          <t>Belgrave Capital Management Limited</t>
        </is>
      </c>
      <c r="F272" s="11" t="inlineStr">
        <is>
          <t>Belgrave Capital Management</t>
        </is>
      </c>
      <c r="G272" s="12" t="inlineStr">
        <is>
          <t>https://www.ceresioinvestors.com</t>
        </is>
      </c>
      <c r="H272" s="11" t="inlineStr">
        <is>
          <t>info.belgrave@ceresioinvestors.com</t>
        </is>
      </c>
      <c r="I272" s="11" t="inlineStr">
        <is>
          <t>general</t>
        </is>
      </c>
      <c r="J272" s="12" t="inlineStr">
        <is>
          <t>Open page</t>
        </is>
      </c>
      <c r="K272" s="11" t="inlineStr">
        <is>
          <t>03105821</t>
        </is>
      </c>
      <c r="L272" s="12" t="inlineStr">
        <is>
          <t>Open</t>
        </is>
      </c>
      <c r="M272" s="11" t="inlineStr">
        <is>
          <t>Full</t>
        </is>
      </c>
      <c r="N272" s="13" t="n">
        <v>34964</v>
      </c>
      <c r="O272" s="11" t="inlineStr">
        <is>
          <t>5 New Street Square, London</t>
        </is>
      </c>
      <c r="P272" s="11" t="inlineStr">
        <is>
          <t>EC4A 3TW</t>
        </is>
      </c>
      <c r="Q272" s="11" t="inlineStr">
        <is>
          <t>No</t>
        </is>
      </c>
      <c r="W272" s="11" t="inlineStr">
        <is>
          <t>City of London School (EC4V 3AL)</t>
        </is>
      </c>
      <c r="X272" s="11" t="n">
        <v>13</v>
      </c>
      <c r="Y272" s="11" t="n"/>
      <c r="Z272" s="11" t="inlineStr">
        <is>
          <t>City of London School (EC4V 3AL)</t>
        </is>
      </c>
      <c r="AA272" s="11" t="n">
        <v>13</v>
      </c>
      <c r="AB272" s="14">
        <f>IFERROR(INDEX(Venues!$E$2:$E$17,MATCH(Z272,Venues!$A$2:$A$17,0)),"Not checked")</f>
        <v/>
      </c>
      <c r="AC272" s="14">
        <f>IFERROR(INDEX(Venues!$F$2:$F$17,MATCH(Z272,Venues!$A$2:$A$17,0)),0)</f>
        <v/>
      </c>
      <c r="AD272" s="15">
        <f>IFERROR(INDEX(Venues!$M$2:$M$17,MATCH(Z272,Venues!$A$2:$A$17,0)),"")</f>
        <v/>
      </c>
      <c r="AE272" s="14">
        <f>IFERROR(INDEX(Venues!$N$2:$N$17,MATCH(Z272,Venues!$A$2:$A$17,0)),"5-a-side")</f>
        <v/>
      </c>
      <c r="AF272" s="16">
        <f>IF(Offer!$C$4="","",Offer!$C$4)</f>
        <v/>
      </c>
      <c r="AG272" s="14">
        <f>Z272&amp;" ("&amp;AA272&amp;" min walk) · "&amp;IF(ISNUMBER(AD272),TEXT(AD272,"ddd d mmm, hh:mm"),"slot to confirm with venue")&amp;" · "&amp;AE272&amp;" · "&amp;IF(AF272&lt;&gt;"","£"&amp;TEXT(AF272,"0.00")&amp;" pp","price TBC")</f>
        <v/>
      </c>
      <c r="AH272" s="14">
        <f>IF(U272&lt;&gt;"",U272,IF(H272&lt;&gt;"",H272,""))</f>
        <v/>
      </c>
      <c r="AI272" s="14">
        <f>"After-work football for "&amp;F272&amp;" · "&amp;Z272&amp;", "&amp;AA272&amp;" min from your office"</f>
        <v/>
      </c>
      <c r="AJ272" s="14">
        <f>"Hi "&amp;IF(R272&lt;&gt;"",R272,F272&amp;" team")&amp;","&amp;CHAR(10)&amp;CHAR(10)&amp;"I'm "&amp;IF(AM272&lt;&gt;"",AM272,IF(Offer!$C$5&lt;&gt;"",Offer!$C$5,"[NAME]"))&amp;" from FC Urban. We organise after-work football for teams in the City and Canary Wharf."&amp;CHAR(10)&amp;CHAR(10)&amp;"We have a "&amp;AE272&amp;" pitch at "&amp;Z272&amp;", "&amp;IF(OR(AA272=8,AA272=11,AA272=18),"an ","a ")&amp;AA272&amp;"-minute walk from your "&amp;P272&amp;" office, "&amp;IF(ISNUMBER(AD272),"on "&amp;TEXT(AD272,"dddd d mmmm")&amp;" at "&amp;TEXT(AD272,"hh:mm"),"on a weekday evening that suits your team")&amp;". It's "&amp;IF(AF272&lt;&gt;"","£"&amp;IF(AF272=INT(AF272),TEXT(AF272,"0"),TEXT(AF272,"0.00")),"[PRICE PER PLAYER]")&amp;" a player and we handle the pitch booking, sign-ups and payments, so all it takes is one person sharing a link with the team."&amp;CHAR(10)&amp;CHAR(10)&amp;"It works well as a team social or "&amp;IF(ISNUMBER(SEARCH(LEFT(F272,1),"AEIOU")),"an ","a ")&amp;F272&amp;"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LINK]")&amp;CHAR(10)&amp;CHAR(10)&amp;"Best,"&amp;CHAR(10)&amp;IF(AM272&lt;&gt;"",AM272,IF(Offer!$C$5&lt;&gt;"",Offer!$C$5,"[NAME]"))&amp;CHAR(10)&amp;"FC Urban"</f>
        <v/>
      </c>
      <c r="AK272" s="14">
        <f>"Hi "&amp;IF(R272&lt;&gt;"",R272,F272&amp;" team")&amp;","&amp;CHAR(10)&amp;CHAR(10)&amp;"Just bumping this up. The "&amp;AE272&amp;" pitch at "&amp;Z272&amp;" is still free "&amp;IF(ISNUMBER(AD272),TEXT(AD272,"ddd d mmm")&amp;", "&amp;TEXT(AD272,"hh:mm"),"weekday evenings")&amp;", "&amp;IF(OR(AA272=8,AA272=11,AA272=18),"an ","a ")&amp;AA272&amp;"-minute walk from your office, "&amp;IF(AF272&lt;&gt;"","£"&amp;IF(AF272=INT(AF272),TEXT(AF272,"0"),TEXT(AF272,"0.00")),"[PRICE PER PLAYER]")&amp;" a player. Happy to hold it for "&amp;F272&amp;"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LINK]")&amp;CHAR(10)&amp;CHAR(10)&amp;"Best,"&amp;CHAR(10)&amp;IF(AM272&lt;&gt;"",AM272,IF(Offer!$C$5&lt;&gt;"",Offer!$C$5,"[NAME]"))&amp;CHAR(10)&amp;"FC Urban"</f>
        <v/>
      </c>
      <c r="AL272" s="14">
        <f>IF(AH272="","No email yet",IF(ISNUMBER(SEARCH("[",AJ272)),"Fill placeholders",IF(ISNUMBER(AD272),"Ready to send","Ready · no fixed slot")))</f>
        <v/>
      </c>
      <c r="AO272" s="17" t="n"/>
      <c r="AP272" s="17" t="n"/>
    </row>
    <row r="273">
      <c r="A273" s="11" t="n">
        <v>271</v>
      </c>
      <c r="B273" s="11" t="n">
        <v>3</v>
      </c>
      <c r="C273" s="11" t="inlineStr">
        <is>
          <t>Fund / asset manager</t>
        </is>
      </c>
      <c r="D273" s="11" t="inlineStr">
        <is>
          <t>City of London</t>
        </is>
      </c>
      <c r="E273" s="11" t="inlineStr">
        <is>
          <t>Rippling UK Limited</t>
        </is>
      </c>
      <c r="F273" s="11" t="inlineStr">
        <is>
          <t>Rippling</t>
        </is>
      </c>
      <c r="G273" s="12" t="inlineStr">
        <is>
          <t>https://www.rippling.com</t>
        </is>
      </c>
      <c r="H273" s="11" t="inlineStr">
        <is>
          <t>carriers@rippling.com</t>
        </is>
      </c>
      <c r="I273" s="11" t="inlineStr">
        <is>
          <t>named person</t>
        </is>
      </c>
      <c r="J273" s="12" t="inlineStr">
        <is>
          <t>Open page</t>
        </is>
      </c>
      <c r="K273" s="11" t="inlineStr">
        <is>
          <t>13914364</t>
        </is>
      </c>
      <c r="L273" s="12" t="inlineStr">
        <is>
          <t>Open</t>
        </is>
      </c>
      <c r="M273" s="11" t="inlineStr">
        <is>
          <t>Full</t>
        </is>
      </c>
      <c r="N273" s="13" t="n">
        <v>44606</v>
      </c>
      <c r="O273" s="11" t="inlineStr">
        <is>
          <t>5 New Street Square, London</t>
        </is>
      </c>
      <c r="P273" s="11" t="inlineStr">
        <is>
          <t>EC4A 3TW</t>
        </is>
      </c>
      <c r="Q273" s="11" t="inlineStr">
        <is>
          <t>No</t>
        </is>
      </c>
      <c r="W273" s="11" t="inlineStr">
        <is>
          <t>City of London School (EC4V 3AL)</t>
        </is>
      </c>
      <c r="X273" s="11" t="n">
        <v>13</v>
      </c>
      <c r="Y273" s="11" t="n"/>
      <c r="Z273" s="11" t="inlineStr">
        <is>
          <t>City of London School (EC4V 3AL)</t>
        </is>
      </c>
      <c r="AA273" s="11" t="n">
        <v>13</v>
      </c>
      <c r="AB273" s="14">
        <f>IFERROR(INDEX(Venues!$E$2:$E$17,MATCH(Z273,Venues!$A$2:$A$17,0)),"Not checked")</f>
        <v/>
      </c>
      <c r="AC273" s="14">
        <f>IFERROR(INDEX(Venues!$F$2:$F$17,MATCH(Z273,Venues!$A$2:$A$17,0)),0)</f>
        <v/>
      </c>
      <c r="AD273" s="15">
        <f>IFERROR(INDEX(Venues!$M$2:$M$17,MATCH(Z273,Venues!$A$2:$A$17,0)),"")</f>
        <v/>
      </c>
      <c r="AE273" s="14">
        <f>IFERROR(INDEX(Venues!$N$2:$N$17,MATCH(Z273,Venues!$A$2:$A$17,0)),"5-a-side")</f>
        <v/>
      </c>
      <c r="AF273" s="16">
        <f>IF(Offer!$C$4="","",Offer!$C$4)</f>
        <v/>
      </c>
      <c r="AG273" s="14">
        <f>Z273&amp;" ("&amp;AA273&amp;" min walk) · "&amp;IF(ISNUMBER(AD273),TEXT(AD273,"ddd d mmm, hh:mm"),"slot to confirm with venue")&amp;" · "&amp;AE273&amp;" · "&amp;IF(AF273&lt;&gt;"","£"&amp;TEXT(AF273,"0.00")&amp;" pp","price TBC")</f>
        <v/>
      </c>
      <c r="AH273" s="14">
        <f>IF(U273&lt;&gt;"",U273,IF(H273&lt;&gt;"",H273,""))</f>
        <v/>
      </c>
      <c r="AI273" s="14">
        <f>"After-work football for "&amp;F273&amp;" · "&amp;Z273&amp;", "&amp;AA273&amp;" min from your office"</f>
        <v/>
      </c>
      <c r="AJ273" s="14">
        <f>"Hi "&amp;IF(R273&lt;&gt;"",R273,F273&amp;" team")&amp;","&amp;CHAR(10)&amp;CHAR(10)&amp;"I'm "&amp;IF(AM273&lt;&gt;"",AM273,IF(Offer!$C$5&lt;&gt;"",Offer!$C$5,"[NAME]"))&amp;" from FC Urban. We organise after-work football for teams in the City and Canary Wharf."&amp;CHAR(10)&amp;CHAR(10)&amp;"We have a "&amp;AE273&amp;" pitch at "&amp;Z273&amp;", "&amp;IF(OR(AA273=8,AA273=11,AA273=18),"an ","a ")&amp;AA273&amp;"-minute walk from your "&amp;P273&amp;" office, "&amp;IF(ISNUMBER(AD273),"on "&amp;TEXT(AD273,"dddd d mmmm")&amp;" at "&amp;TEXT(AD273,"hh:mm"),"on a weekday evening that suits your team")&amp;". It's "&amp;IF(AF273&lt;&gt;"","£"&amp;IF(AF273=INT(AF273),TEXT(AF273,"0"),TEXT(AF273,"0.00")),"[PRICE PER PLAYER]")&amp;" a player and we handle the pitch booking, sign-ups and payments, so all it takes is one person sharing a link with the team."&amp;CHAR(10)&amp;CHAR(10)&amp;"It works well as a team social or "&amp;IF(ISNUMBER(SEARCH(LEFT(F273,1),"AEIOU")),"an ","a ")&amp;F273&amp;"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LINK]")&amp;CHAR(10)&amp;CHAR(10)&amp;"Best,"&amp;CHAR(10)&amp;IF(AM273&lt;&gt;"",AM273,IF(Offer!$C$5&lt;&gt;"",Offer!$C$5,"[NAME]"))&amp;CHAR(10)&amp;"FC Urban"</f>
        <v/>
      </c>
      <c r="AK273" s="14">
        <f>"Hi "&amp;IF(R273&lt;&gt;"",R273,F273&amp;" team")&amp;","&amp;CHAR(10)&amp;CHAR(10)&amp;"Just bumping this up. The "&amp;AE273&amp;" pitch at "&amp;Z273&amp;" is still free "&amp;IF(ISNUMBER(AD273),TEXT(AD273,"ddd d mmm")&amp;", "&amp;TEXT(AD273,"hh:mm"),"weekday evenings")&amp;", "&amp;IF(OR(AA273=8,AA273=11,AA273=18),"an ","a ")&amp;AA273&amp;"-minute walk from your office, "&amp;IF(AF273&lt;&gt;"","£"&amp;IF(AF273=INT(AF273),TEXT(AF273,"0"),TEXT(AF273,"0.00")),"[PRICE PER PLAYER]")&amp;" a player. Happy to hold it for "&amp;F273&amp;"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LINK]")&amp;CHAR(10)&amp;CHAR(10)&amp;"Best,"&amp;CHAR(10)&amp;IF(AM273&lt;&gt;"",AM273,IF(Offer!$C$5&lt;&gt;"",Offer!$C$5,"[NAME]"))&amp;CHAR(10)&amp;"FC Urban"</f>
        <v/>
      </c>
      <c r="AL273" s="14">
        <f>IF(AH273="","No email yet",IF(ISNUMBER(SEARCH("[",AJ273)),"Fill placeholders",IF(ISNUMBER(AD273),"Ready to send","Ready · no fixed slot")))</f>
        <v/>
      </c>
      <c r="AO273" s="17" t="n"/>
      <c r="AP273" s="17" t="n"/>
    </row>
    <row r="274">
      <c r="A274" s="11" t="n">
        <v>272</v>
      </c>
      <c r="B274" s="11" t="n">
        <v>3</v>
      </c>
      <c r="C274" s="11" t="inlineStr">
        <is>
          <t>Insurance / broker</t>
        </is>
      </c>
      <c r="D274" s="11" t="inlineStr">
        <is>
          <t>City of London</t>
        </is>
      </c>
      <c r="E274" s="11" t="inlineStr">
        <is>
          <t>Marshmallow Financial Services Limited</t>
        </is>
      </c>
      <c r="F274" s="11" t="inlineStr">
        <is>
          <t>Marshmallow Financial</t>
        </is>
      </c>
      <c r="G274" s="12" t="inlineStr">
        <is>
          <t>https://www.marshmallow.com</t>
        </is>
      </c>
      <c r="H274" s="11" t="n"/>
      <c r="I274" s="11" t="inlineStr">
        <is>
          <t>Not found</t>
        </is>
      </c>
      <c r="J274" s="11" t="n"/>
      <c r="K274" s="11" t="inlineStr">
        <is>
          <t>11005345</t>
        </is>
      </c>
      <c r="L274" s="12" t="inlineStr">
        <is>
          <t>Open</t>
        </is>
      </c>
      <c r="M274" s="11" t="inlineStr">
        <is>
          <t>Full</t>
        </is>
      </c>
      <c r="N274" s="13" t="n">
        <v>43018</v>
      </c>
      <c r="O274" s="11" t="inlineStr">
        <is>
          <t>1St Floor The Featherstone Building, 66 City Road, London</t>
        </is>
      </c>
      <c r="P274" s="11" t="inlineStr">
        <is>
          <t>EC1Y 1BD</t>
        </is>
      </c>
      <c r="Q274" s="11" t="inlineStr">
        <is>
          <t>Yes</t>
        </is>
      </c>
      <c r="W274" s="11" t="inlineStr">
        <is>
          <t>Finsbury Leisure Centre (EC1V 3PU)</t>
        </is>
      </c>
      <c r="X274" s="11" t="n">
        <v>9</v>
      </c>
      <c r="Y274" s="11" t="inlineStr">
        <is>
          <t>Shoreditch Powerleague (13.4); Old St - Moreland Primary School (14.1)</t>
        </is>
      </c>
      <c r="Z274" s="11" t="inlineStr">
        <is>
          <t>Shoreditch Powerleague</t>
        </is>
      </c>
      <c r="AA274" s="11" t="n">
        <v>13</v>
      </c>
      <c r="AB274" s="14">
        <f>IFERROR(INDEX(Venues!$E$2:$E$17,MATCH(Z274,Venues!$A$2:$A$17,0)),"Not checked")</f>
        <v/>
      </c>
      <c r="AC274" s="14">
        <f>IFERROR(INDEX(Venues!$F$2:$F$17,MATCH(Z274,Venues!$A$2:$A$17,0)),0)</f>
        <v/>
      </c>
      <c r="AD274" s="15">
        <f>IFERROR(INDEX(Venues!$M$2:$M$17,MATCH(Z274,Venues!$A$2:$A$17,0)),"")</f>
        <v/>
      </c>
      <c r="AE274" s="14">
        <f>IFERROR(INDEX(Venues!$N$2:$N$17,MATCH(Z274,Venues!$A$2:$A$17,0)),"5-a-side")</f>
        <v/>
      </c>
      <c r="AF274" s="16">
        <f>IF(Offer!$C$4="","",Offer!$C$4)</f>
        <v/>
      </c>
      <c r="AG274" s="14">
        <f>Z274&amp;" ("&amp;AA274&amp;" min walk) · "&amp;IF(ISNUMBER(AD274),TEXT(AD274,"ddd d mmm, hh:mm"),"slot to confirm with venue")&amp;" · "&amp;AE274&amp;" · "&amp;IF(AF274&lt;&gt;"","£"&amp;TEXT(AF274,"0.00")&amp;" pp","price TBC")</f>
        <v/>
      </c>
      <c r="AH274" s="14">
        <f>IF(U274&lt;&gt;"",U274,IF(H274&lt;&gt;"",H274,""))</f>
        <v/>
      </c>
      <c r="AI274" s="14">
        <f>"After-work football for "&amp;F274&amp;" · "&amp;Z274&amp;", "&amp;AA274&amp;" min from your office"</f>
        <v/>
      </c>
      <c r="AJ274" s="14">
        <f>"Hi "&amp;IF(R274&lt;&gt;"",R274,F274&amp;" team")&amp;","&amp;CHAR(10)&amp;CHAR(10)&amp;"I'm "&amp;IF(AM274&lt;&gt;"",AM274,IF(Offer!$C$5&lt;&gt;"",Offer!$C$5,"[NAME]"))&amp;" from FC Urban. We organise after-work football for teams in the City and Canary Wharf."&amp;CHAR(10)&amp;CHAR(10)&amp;"We have a "&amp;AE274&amp;" pitch at "&amp;Z274&amp;", "&amp;IF(OR(AA274=8,AA274=11,AA274=18),"an ","a ")&amp;AA274&amp;"-minute walk from your "&amp;P274&amp;" office, "&amp;IF(ISNUMBER(AD274),"on "&amp;TEXT(AD274,"dddd d mmmm")&amp;" at "&amp;TEXT(AD274,"hh:mm"),"on a weekday evening that suits your team")&amp;". It's "&amp;IF(AF274&lt;&gt;"","£"&amp;IF(AF274=INT(AF274),TEXT(AF274,"0"),TEXT(AF274,"0.00")),"[PRICE PER PLAYER]")&amp;" a player and we handle the pitch booking, sign-ups and payments, so all it takes is one person sharing a link with the team."&amp;CHAR(10)&amp;CHAR(10)&amp;"It works well as a team social or "&amp;IF(ISNUMBER(SEARCH(LEFT(F274,1),"AEIOU")),"an ","a ")&amp;F274&amp;"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LINK]")&amp;CHAR(10)&amp;CHAR(10)&amp;"Best,"&amp;CHAR(10)&amp;IF(AM274&lt;&gt;"",AM274,IF(Offer!$C$5&lt;&gt;"",Offer!$C$5,"[NAME]"))&amp;CHAR(10)&amp;"FC Urban"</f>
        <v/>
      </c>
      <c r="AK274" s="14">
        <f>"Hi "&amp;IF(R274&lt;&gt;"",R274,F274&amp;" team")&amp;","&amp;CHAR(10)&amp;CHAR(10)&amp;"Just bumping this up. The "&amp;AE274&amp;" pitch at "&amp;Z274&amp;" is still free "&amp;IF(ISNUMBER(AD274),TEXT(AD274,"ddd d mmm")&amp;", "&amp;TEXT(AD274,"hh:mm"),"weekday evenings")&amp;", "&amp;IF(OR(AA274=8,AA274=11,AA274=18),"an ","a ")&amp;AA274&amp;"-minute walk from your office, "&amp;IF(AF274&lt;&gt;"","£"&amp;IF(AF274=INT(AF274),TEXT(AF274,"0"),TEXT(AF274,"0.00")),"[PRICE PER PLAYER]")&amp;" a player. Happy to hold it for "&amp;F274&amp;"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LINK]")&amp;CHAR(10)&amp;CHAR(10)&amp;"Best,"&amp;CHAR(10)&amp;IF(AM274&lt;&gt;"",AM274,IF(Offer!$C$5&lt;&gt;"",Offer!$C$5,"[NAME]"))&amp;CHAR(10)&amp;"FC Urban"</f>
        <v/>
      </c>
      <c r="AL274" s="14">
        <f>IF(AH274="","No email yet",IF(ISNUMBER(SEARCH("[",AJ274)),"Fill placeholders",IF(ISNUMBER(AD274),"Ready to send","Ready · no fixed slot")))</f>
        <v/>
      </c>
      <c r="AO274" s="17" t="n"/>
      <c r="AP274" s="17" t="n"/>
    </row>
    <row r="275">
      <c r="A275" s="11" t="n">
        <v>273</v>
      </c>
      <c r="B275" s="11" t="n">
        <v>3</v>
      </c>
      <c r="C275" s="11" t="inlineStr">
        <is>
          <t>Fund / asset manager</t>
        </is>
      </c>
      <c r="D275" s="11" t="inlineStr">
        <is>
          <t>City of London</t>
        </is>
      </c>
      <c r="E275" s="11" t="inlineStr">
        <is>
          <t>Investengine (UK) Limited</t>
        </is>
      </c>
      <c r="F275" s="11" t="inlineStr">
        <is>
          <t>Investengine</t>
        </is>
      </c>
      <c r="G275" s="12" t="inlineStr">
        <is>
          <t>https://investengine.com</t>
        </is>
      </c>
      <c r="H275" s="11" t="inlineStr">
        <is>
          <t>support@investengine.com</t>
        </is>
      </c>
      <c r="I275" s="11" t="inlineStr">
        <is>
          <t>role (other)</t>
        </is>
      </c>
      <c r="J275" s="12" t="inlineStr">
        <is>
          <t>Open page</t>
        </is>
      </c>
      <c r="K275" s="11" t="inlineStr">
        <is>
          <t>10438231</t>
        </is>
      </c>
      <c r="L275" s="12" t="inlineStr">
        <is>
          <t>Open</t>
        </is>
      </c>
      <c r="M275" s="11" t="inlineStr">
        <is>
          <t>Full</t>
        </is>
      </c>
      <c r="N275" s="13" t="n">
        <v>42663</v>
      </c>
      <c r="O275" s="11" t="inlineStr">
        <is>
          <t>3Rd Floor Harling House, 47-51 Great Suffolk Street, London</t>
        </is>
      </c>
      <c r="P275" s="11" t="inlineStr">
        <is>
          <t>SE1 0BS</t>
        </is>
      </c>
      <c r="Q275" s="11" t="inlineStr">
        <is>
          <t>No</t>
        </is>
      </c>
      <c r="W275" s="11" t="inlineStr">
        <is>
          <t>Borough Academy</t>
        </is>
      </c>
      <c r="X275" s="11" t="n">
        <v>4</v>
      </c>
      <c r="Y275" s="11" t="inlineStr">
        <is>
          <t>Marlborough Sports Garden (SE1 1SD) (8.6); City of London School (EC4V 3AL) (13.6)</t>
        </is>
      </c>
      <c r="Z275" s="11" t="inlineStr">
        <is>
          <t>City of London School (EC4V 3AL)</t>
        </is>
      </c>
      <c r="AA275" s="11" t="n">
        <v>14</v>
      </c>
      <c r="AB275" s="14">
        <f>IFERROR(INDEX(Venues!$E$2:$E$17,MATCH(Z275,Venues!$A$2:$A$17,0)),"Not checked")</f>
        <v/>
      </c>
      <c r="AC275" s="14">
        <f>IFERROR(INDEX(Venues!$F$2:$F$17,MATCH(Z275,Venues!$A$2:$A$17,0)),0)</f>
        <v/>
      </c>
      <c r="AD275" s="15">
        <f>IFERROR(INDEX(Venues!$M$2:$M$17,MATCH(Z275,Venues!$A$2:$A$17,0)),"")</f>
        <v/>
      </c>
      <c r="AE275" s="14">
        <f>IFERROR(INDEX(Venues!$N$2:$N$17,MATCH(Z275,Venues!$A$2:$A$17,0)),"5-a-side")</f>
        <v/>
      </c>
      <c r="AF275" s="16">
        <f>IF(Offer!$C$4="","",Offer!$C$4)</f>
        <v/>
      </c>
      <c r="AG275" s="14">
        <f>Z275&amp;" ("&amp;AA275&amp;" min walk) · "&amp;IF(ISNUMBER(AD275),TEXT(AD275,"ddd d mmm, hh:mm"),"slot to confirm with venue")&amp;" · "&amp;AE275&amp;" · "&amp;IF(AF275&lt;&gt;"","£"&amp;TEXT(AF275,"0.00")&amp;" pp","price TBC")</f>
        <v/>
      </c>
      <c r="AH275" s="14">
        <f>IF(U275&lt;&gt;"",U275,IF(H275&lt;&gt;"",H275,""))</f>
        <v/>
      </c>
      <c r="AI275" s="14">
        <f>"After-work football for "&amp;F275&amp;" · "&amp;Z275&amp;", "&amp;AA275&amp;" min from your office"</f>
        <v/>
      </c>
      <c r="AJ275" s="14">
        <f>"Hi "&amp;IF(R275&lt;&gt;"",R275,F275&amp;" team")&amp;","&amp;CHAR(10)&amp;CHAR(10)&amp;"I'm "&amp;IF(AM275&lt;&gt;"",AM275,IF(Offer!$C$5&lt;&gt;"",Offer!$C$5,"[NAME]"))&amp;" from FC Urban. We organise after-work football for teams in the City and Canary Wharf."&amp;CHAR(10)&amp;CHAR(10)&amp;"We have a "&amp;AE275&amp;" pitch at "&amp;Z275&amp;", "&amp;IF(OR(AA275=8,AA275=11,AA275=18),"an ","a ")&amp;AA275&amp;"-minute walk from your "&amp;P275&amp;" office, "&amp;IF(ISNUMBER(AD275),"on "&amp;TEXT(AD275,"dddd d mmmm")&amp;" at "&amp;TEXT(AD275,"hh:mm"),"on a weekday evening that suits your team")&amp;". It's "&amp;IF(AF275&lt;&gt;"","£"&amp;IF(AF275=INT(AF275),TEXT(AF275,"0"),TEXT(AF275,"0.00")),"[PRICE PER PLAYER]")&amp;" a player and we handle the pitch booking, sign-ups and payments, so all it takes is one person sharing a link with the team."&amp;CHAR(10)&amp;CHAR(10)&amp;"It works well as a team social or "&amp;IF(ISNUMBER(SEARCH(LEFT(F275,1),"AEIOU")),"an ","a ")&amp;F275&amp;"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LINK]")&amp;CHAR(10)&amp;CHAR(10)&amp;"Best,"&amp;CHAR(10)&amp;IF(AM275&lt;&gt;"",AM275,IF(Offer!$C$5&lt;&gt;"",Offer!$C$5,"[NAME]"))&amp;CHAR(10)&amp;"FC Urban"</f>
        <v/>
      </c>
      <c r="AK275" s="14">
        <f>"Hi "&amp;IF(R275&lt;&gt;"",R275,F275&amp;" team")&amp;","&amp;CHAR(10)&amp;CHAR(10)&amp;"Just bumping this up. The "&amp;AE275&amp;" pitch at "&amp;Z275&amp;" is still free "&amp;IF(ISNUMBER(AD275),TEXT(AD275,"ddd d mmm")&amp;", "&amp;TEXT(AD275,"hh:mm"),"weekday evenings")&amp;", "&amp;IF(OR(AA275=8,AA275=11,AA275=18),"an ","a ")&amp;AA275&amp;"-minute walk from your office, "&amp;IF(AF275&lt;&gt;"","£"&amp;IF(AF275=INT(AF275),TEXT(AF275,"0"),TEXT(AF275,"0.00")),"[PRICE PER PLAYER]")&amp;" a player. Happy to hold it for "&amp;F275&amp;"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LINK]")&amp;CHAR(10)&amp;CHAR(10)&amp;"Best,"&amp;CHAR(10)&amp;IF(AM275&lt;&gt;"",AM275,IF(Offer!$C$5&lt;&gt;"",Offer!$C$5,"[NAME]"))&amp;CHAR(10)&amp;"FC Urban"</f>
        <v/>
      </c>
      <c r="AL275" s="14">
        <f>IF(AH275="","No email yet",IF(ISNUMBER(SEARCH("[",AJ275)),"Fill placeholders",IF(ISNUMBER(AD275),"Ready to send","Ready · no fixed slot")))</f>
        <v/>
      </c>
      <c r="AO275" s="17" t="n"/>
      <c r="AP275" s="17" t="n"/>
    </row>
    <row r="276">
      <c r="A276" s="11" t="n">
        <v>274</v>
      </c>
      <c r="B276" s="11" t="n">
        <v>3</v>
      </c>
      <c r="C276" s="11" t="inlineStr">
        <is>
          <t>Fund / asset manager</t>
        </is>
      </c>
      <c r="D276" s="11" t="inlineStr">
        <is>
          <t>City of London</t>
        </is>
      </c>
      <c r="E276" s="11" t="inlineStr">
        <is>
          <t>Kingsway Capital Advisors LLP</t>
        </is>
      </c>
      <c r="F276" s="11" t="inlineStr">
        <is>
          <t>Kingsway Capital Advisors</t>
        </is>
      </c>
      <c r="G276" s="12" t="inlineStr">
        <is>
          <t>https://kingsway.com</t>
        </is>
      </c>
      <c r="H276" s="11" t="inlineStr">
        <is>
          <t>info@kingsway.com</t>
        </is>
      </c>
      <c r="I276" s="11" t="inlineStr">
        <is>
          <t>general</t>
        </is>
      </c>
      <c r="J276" s="12" t="inlineStr">
        <is>
          <t>Open page</t>
        </is>
      </c>
      <c r="K276" s="11" t="inlineStr">
        <is>
          <t>OC416750</t>
        </is>
      </c>
      <c r="L276" s="12" t="inlineStr">
        <is>
          <t>Open</t>
        </is>
      </c>
      <c r="M276" s="11" t="inlineStr">
        <is>
          <t>Full</t>
        </is>
      </c>
      <c r="N276" s="13" t="n">
        <v>42829</v>
      </c>
      <c r="O276" s="11" t="inlineStr">
        <is>
          <t>Eighth Floor 6 New Street Square, New Fetter Lane, London</t>
        </is>
      </c>
      <c r="P276" s="11" t="inlineStr">
        <is>
          <t>EC4A 3AQ</t>
        </is>
      </c>
      <c r="Q276" s="11" t="inlineStr">
        <is>
          <t>Yes</t>
        </is>
      </c>
      <c r="W276" s="11" t="inlineStr">
        <is>
          <t>City of London School (EC4V 3AL)</t>
        </is>
      </c>
      <c r="X276" s="11" t="n">
        <v>14</v>
      </c>
      <c r="Y276" s="11" t="n"/>
      <c r="Z276" s="11" t="inlineStr">
        <is>
          <t>City of London School (EC4V 3AL)</t>
        </is>
      </c>
      <c r="AA276" s="11" t="n">
        <v>14</v>
      </c>
      <c r="AB276" s="14">
        <f>IFERROR(INDEX(Venues!$E$2:$E$17,MATCH(Z276,Venues!$A$2:$A$17,0)),"Not checked")</f>
        <v/>
      </c>
      <c r="AC276" s="14">
        <f>IFERROR(INDEX(Venues!$F$2:$F$17,MATCH(Z276,Venues!$A$2:$A$17,0)),0)</f>
        <v/>
      </c>
      <c r="AD276" s="15">
        <f>IFERROR(INDEX(Venues!$M$2:$M$17,MATCH(Z276,Venues!$A$2:$A$17,0)),"")</f>
        <v/>
      </c>
      <c r="AE276" s="14">
        <f>IFERROR(INDEX(Venues!$N$2:$N$17,MATCH(Z276,Venues!$A$2:$A$17,0)),"5-a-side")</f>
        <v/>
      </c>
      <c r="AF276" s="16">
        <f>IF(Offer!$C$4="","",Offer!$C$4)</f>
        <v/>
      </c>
      <c r="AG276" s="14">
        <f>Z276&amp;" ("&amp;AA276&amp;" min walk) · "&amp;IF(ISNUMBER(AD276),TEXT(AD276,"ddd d mmm, hh:mm"),"slot to confirm with venue")&amp;" · "&amp;AE276&amp;" · "&amp;IF(AF276&lt;&gt;"","£"&amp;TEXT(AF276,"0.00")&amp;" pp","price TBC")</f>
        <v/>
      </c>
      <c r="AH276" s="14">
        <f>IF(U276&lt;&gt;"",U276,IF(H276&lt;&gt;"",H276,""))</f>
        <v/>
      </c>
      <c r="AI276" s="14">
        <f>"After-work football for "&amp;F276&amp;" · "&amp;Z276&amp;", "&amp;AA276&amp;" min from your office"</f>
        <v/>
      </c>
      <c r="AJ276" s="14">
        <f>"Hi "&amp;IF(R276&lt;&gt;"",R276,F276&amp;" team")&amp;","&amp;CHAR(10)&amp;CHAR(10)&amp;"I'm "&amp;IF(AM276&lt;&gt;"",AM276,IF(Offer!$C$5&lt;&gt;"",Offer!$C$5,"[NAME]"))&amp;" from FC Urban. We organise after-work football for teams in the City and Canary Wharf."&amp;CHAR(10)&amp;CHAR(10)&amp;"We have a "&amp;AE276&amp;" pitch at "&amp;Z276&amp;", "&amp;IF(OR(AA276=8,AA276=11,AA276=18),"an ","a ")&amp;AA276&amp;"-minute walk from your "&amp;P276&amp;" office, "&amp;IF(ISNUMBER(AD276),"on "&amp;TEXT(AD276,"dddd d mmmm")&amp;" at "&amp;TEXT(AD276,"hh:mm"),"on a weekday evening that suits your team")&amp;". It's "&amp;IF(AF276&lt;&gt;"","£"&amp;IF(AF276=INT(AF276),TEXT(AF276,"0"),TEXT(AF276,"0.00")),"[PRICE PER PLAYER]")&amp;" a player and we handle the pitch booking, sign-ups and payments, so all it takes is one person sharing a link with the team."&amp;CHAR(10)&amp;CHAR(10)&amp;"It works well as a team social or "&amp;IF(ISNUMBER(SEARCH(LEFT(F276,1),"AEIOU")),"an ","a ")&amp;F276&amp;"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LINK]")&amp;CHAR(10)&amp;CHAR(10)&amp;"Best,"&amp;CHAR(10)&amp;IF(AM276&lt;&gt;"",AM276,IF(Offer!$C$5&lt;&gt;"",Offer!$C$5,"[NAME]"))&amp;CHAR(10)&amp;"FC Urban"</f>
        <v/>
      </c>
      <c r="AK276" s="14">
        <f>"Hi "&amp;IF(R276&lt;&gt;"",R276,F276&amp;" team")&amp;","&amp;CHAR(10)&amp;CHAR(10)&amp;"Just bumping this up. The "&amp;AE276&amp;" pitch at "&amp;Z276&amp;" is still free "&amp;IF(ISNUMBER(AD276),TEXT(AD276,"ddd d mmm")&amp;", "&amp;TEXT(AD276,"hh:mm"),"weekday evenings")&amp;", "&amp;IF(OR(AA276=8,AA276=11,AA276=18),"an ","a ")&amp;AA276&amp;"-minute walk from your office, "&amp;IF(AF276&lt;&gt;"","£"&amp;IF(AF276=INT(AF276),TEXT(AF276,"0"),TEXT(AF276,"0.00")),"[PRICE PER PLAYER]")&amp;" a player. Happy to hold it for "&amp;F276&amp;"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LINK]")&amp;CHAR(10)&amp;CHAR(10)&amp;"Best,"&amp;CHAR(10)&amp;IF(AM276&lt;&gt;"",AM276,IF(Offer!$C$5&lt;&gt;"",Offer!$C$5,"[NAME]"))&amp;CHAR(10)&amp;"FC Urban"</f>
        <v/>
      </c>
      <c r="AL276" s="14">
        <f>IF(AH276="","No email yet",IF(ISNUMBER(SEARCH("[",AJ276)),"Fill placeholders",IF(ISNUMBER(AD276),"Ready to send","Ready · no fixed slot")))</f>
        <v/>
      </c>
      <c r="AO276" s="17" t="n"/>
      <c r="AP276" s="17" t="n"/>
    </row>
    <row r="277">
      <c r="A277" s="11" t="n">
        <v>275</v>
      </c>
      <c r="B277" s="11" t="n">
        <v>3</v>
      </c>
      <c r="C277" s="11" t="inlineStr">
        <is>
          <t>Insurance / broker</t>
        </is>
      </c>
      <c r="D277" s="11" t="inlineStr">
        <is>
          <t>City of London</t>
        </is>
      </c>
      <c r="E277" s="11" t="inlineStr">
        <is>
          <t>Flood Re Limited</t>
        </is>
      </c>
      <c r="F277" s="11" t="inlineStr">
        <is>
          <t>Flood Re</t>
        </is>
      </c>
      <c r="G277" s="12" t="inlineStr">
        <is>
          <t>https://www.floodre.co.uk</t>
        </is>
      </c>
      <c r="H277" s="11" t="inlineStr">
        <is>
          <t>information@floodre.co.uk</t>
        </is>
      </c>
      <c r="I277" s="11" t="inlineStr">
        <is>
          <t>general</t>
        </is>
      </c>
      <c r="J277" s="12" t="inlineStr">
        <is>
          <t>Open page</t>
        </is>
      </c>
      <c r="K277" s="11" t="inlineStr">
        <is>
          <t>08670444</t>
        </is>
      </c>
      <c r="L277" s="12" t="inlineStr">
        <is>
          <t>Open</t>
        </is>
      </c>
      <c r="M277" s="11" t="inlineStr">
        <is>
          <t>Full</t>
        </is>
      </c>
      <c r="N277" s="13" t="n">
        <v>41516</v>
      </c>
      <c r="O277" s="11" t="inlineStr">
        <is>
          <t>75 King William Street, London</t>
        </is>
      </c>
      <c r="P277" s="11" t="inlineStr">
        <is>
          <t>EC4N 7BE</t>
        </is>
      </c>
      <c r="Q277" s="11" t="inlineStr">
        <is>
          <t>No</t>
        </is>
      </c>
      <c r="W277" s="11" t="inlineStr">
        <is>
          <t>City of London School (EC4V 3AL)</t>
        </is>
      </c>
      <c r="X277" s="11" t="n">
        <v>14</v>
      </c>
      <c r="Y277" s="11" t="inlineStr">
        <is>
          <t>Marlborough Sports Garden (SE1 1SD) (16.2)</t>
        </is>
      </c>
      <c r="Z277" s="11" t="inlineStr">
        <is>
          <t>City of London School (EC4V 3AL)</t>
        </is>
      </c>
      <c r="AA277" s="11" t="n">
        <v>14</v>
      </c>
      <c r="AB277" s="14">
        <f>IFERROR(INDEX(Venues!$E$2:$E$17,MATCH(Z277,Venues!$A$2:$A$17,0)),"Not checked")</f>
        <v/>
      </c>
      <c r="AC277" s="14">
        <f>IFERROR(INDEX(Venues!$F$2:$F$17,MATCH(Z277,Venues!$A$2:$A$17,0)),0)</f>
        <v/>
      </c>
      <c r="AD277" s="15">
        <f>IFERROR(INDEX(Venues!$M$2:$M$17,MATCH(Z277,Venues!$A$2:$A$17,0)),"")</f>
        <v/>
      </c>
      <c r="AE277" s="14">
        <f>IFERROR(INDEX(Venues!$N$2:$N$17,MATCH(Z277,Venues!$A$2:$A$17,0)),"5-a-side")</f>
        <v/>
      </c>
      <c r="AF277" s="16">
        <f>IF(Offer!$C$4="","",Offer!$C$4)</f>
        <v/>
      </c>
      <c r="AG277" s="14">
        <f>Z277&amp;" ("&amp;AA277&amp;" min walk) · "&amp;IF(ISNUMBER(AD277),TEXT(AD277,"ddd d mmm, hh:mm"),"slot to confirm with venue")&amp;" · "&amp;AE277&amp;" · "&amp;IF(AF277&lt;&gt;"","£"&amp;TEXT(AF277,"0.00")&amp;" pp","price TBC")</f>
        <v/>
      </c>
      <c r="AH277" s="14">
        <f>IF(U277&lt;&gt;"",U277,IF(H277&lt;&gt;"",H277,""))</f>
        <v/>
      </c>
      <c r="AI277" s="14">
        <f>"After-work football for "&amp;F277&amp;" · "&amp;Z277&amp;", "&amp;AA277&amp;" min from your office"</f>
        <v/>
      </c>
      <c r="AJ277" s="14">
        <f>"Hi "&amp;IF(R277&lt;&gt;"",R277,F277&amp;" team")&amp;","&amp;CHAR(10)&amp;CHAR(10)&amp;"I'm "&amp;IF(AM277&lt;&gt;"",AM277,IF(Offer!$C$5&lt;&gt;"",Offer!$C$5,"[NAME]"))&amp;" from FC Urban. We organise after-work football for teams in the City and Canary Wharf."&amp;CHAR(10)&amp;CHAR(10)&amp;"We have a "&amp;AE277&amp;" pitch at "&amp;Z277&amp;", "&amp;IF(OR(AA277=8,AA277=11,AA277=18),"an ","a ")&amp;AA277&amp;"-minute walk from your "&amp;P277&amp;" office, "&amp;IF(ISNUMBER(AD277),"on "&amp;TEXT(AD277,"dddd d mmmm")&amp;" at "&amp;TEXT(AD277,"hh:mm"),"on a weekday evening that suits your team")&amp;". It's "&amp;IF(AF277&lt;&gt;"","£"&amp;IF(AF277=INT(AF277),TEXT(AF277,"0"),TEXT(AF277,"0.00")),"[PRICE PER PLAYER]")&amp;" a player and we handle the pitch booking, sign-ups and payments, so all it takes is one person sharing a link with the team."&amp;CHAR(10)&amp;CHAR(10)&amp;"It works well as a team social or "&amp;IF(ISNUMBER(SEARCH(LEFT(F277,1),"AEIOU")),"an ","a ")&amp;F277&amp;"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LINK]")&amp;CHAR(10)&amp;CHAR(10)&amp;"Best,"&amp;CHAR(10)&amp;IF(AM277&lt;&gt;"",AM277,IF(Offer!$C$5&lt;&gt;"",Offer!$C$5,"[NAME]"))&amp;CHAR(10)&amp;"FC Urban"</f>
        <v/>
      </c>
      <c r="AK277" s="14">
        <f>"Hi "&amp;IF(R277&lt;&gt;"",R277,F277&amp;" team")&amp;","&amp;CHAR(10)&amp;CHAR(10)&amp;"Just bumping this up. The "&amp;AE277&amp;" pitch at "&amp;Z277&amp;" is still free "&amp;IF(ISNUMBER(AD277),TEXT(AD277,"ddd d mmm")&amp;", "&amp;TEXT(AD277,"hh:mm"),"weekday evenings")&amp;", "&amp;IF(OR(AA277=8,AA277=11,AA277=18),"an ","a ")&amp;AA277&amp;"-minute walk from your office, "&amp;IF(AF277&lt;&gt;"","£"&amp;IF(AF277=INT(AF277),TEXT(AF277,"0"),TEXT(AF277,"0.00")),"[PRICE PER PLAYER]")&amp;" a player. Happy to hold it for "&amp;F277&amp;"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LINK]")&amp;CHAR(10)&amp;CHAR(10)&amp;"Best,"&amp;CHAR(10)&amp;IF(AM277&lt;&gt;"",AM277,IF(Offer!$C$5&lt;&gt;"",Offer!$C$5,"[NAME]"))&amp;CHAR(10)&amp;"FC Urban"</f>
        <v/>
      </c>
      <c r="AL277" s="14">
        <f>IF(AH277="","No email yet",IF(ISNUMBER(SEARCH("[",AJ277)),"Fill placeholders",IF(ISNUMBER(AD277),"Ready to send","Ready · no fixed slot")))</f>
        <v/>
      </c>
      <c r="AO277" s="17" t="n"/>
      <c r="AP277" s="17" t="n"/>
    </row>
    <row r="278">
      <c r="A278" s="11" t="n">
        <v>276</v>
      </c>
      <c r="B278" s="11" t="n">
        <v>3</v>
      </c>
      <c r="C278" s="11" t="inlineStr">
        <is>
          <t>Insurance / broker</t>
        </is>
      </c>
      <c r="D278" s="11" t="inlineStr">
        <is>
          <t>City of London</t>
        </is>
      </c>
      <c r="E278" s="11" t="inlineStr">
        <is>
          <t>Riskpoint Solutions Limited</t>
        </is>
      </c>
      <c r="F278" s="11" t="inlineStr">
        <is>
          <t>Riskpoint Solutions</t>
        </is>
      </c>
      <c r="G278" s="12" t="inlineStr">
        <is>
          <t>https://riskpoint.com</t>
        </is>
      </c>
      <c r="H278" s="11" t="inlineStr">
        <is>
          <t>info@riskpoint.com</t>
        </is>
      </c>
      <c r="I278" s="11" t="inlineStr">
        <is>
          <t>general</t>
        </is>
      </c>
      <c r="J278" s="12" t="inlineStr">
        <is>
          <t>Open page</t>
        </is>
      </c>
      <c r="K278" s="11" t="inlineStr">
        <is>
          <t>13272780</t>
        </is>
      </c>
      <c r="L278" s="12" t="inlineStr">
        <is>
          <t>Open</t>
        </is>
      </c>
      <c r="M278" s="11" t="inlineStr">
        <is>
          <t>Full</t>
        </is>
      </c>
      <c r="N278" s="13" t="n">
        <v>44272</v>
      </c>
      <c r="O278" s="11" t="inlineStr">
        <is>
          <t>Candlewick House, 120 Cannon Street, London</t>
        </is>
      </c>
      <c r="P278" s="11" t="inlineStr">
        <is>
          <t>EC4N 6AS</t>
        </is>
      </c>
      <c r="Q278" s="11" t="inlineStr">
        <is>
          <t>Yes</t>
        </is>
      </c>
      <c r="W278" s="11" t="inlineStr">
        <is>
          <t>City of London School (EC4V 3AL)</t>
        </is>
      </c>
      <c r="X278" s="11" t="n">
        <v>14</v>
      </c>
      <c r="Y278" s="11" t="inlineStr">
        <is>
          <t>Marlborough Sports Garden (SE1 1SD) (15)</t>
        </is>
      </c>
      <c r="Z278" s="11" t="inlineStr">
        <is>
          <t>City of London School (EC4V 3AL)</t>
        </is>
      </c>
      <c r="AA278" s="11" t="n">
        <v>14</v>
      </c>
      <c r="AB278" s="14">
        <f>IFERROR(INDEX(Venues!$E$2:$E$17,MATCH(Z278,Venues!$A$2:$A$17,0)),"Not checked")</f>
        <v/>
      </c>
      <c r="AC278" s="14">
        <f>IFERROR(INDEX(Venues!$F$2:$F$17,MATCH(Z278,Venues!$A$2:$A$17,0)),0)</f>
        <v/>
      </c>
      <c r="AD278" s="15">
        <f>IFERROR(INDEX(Venues!$M$2:$M$17,MATCH(Z278,Venues!$A$2:$A$17,0)),"")</f>
        <v/>
      </c>
      <c r="AE278" s="14">
        <f>IFERROR(INDEX(Venues!$N$2:$N$17,MATCH(Z278,Venues!$A$2:$A$17,0)),"5-a-side")</f>
        <v/>
      </c>
      <c r="AF278" s="16">
        <f>IF(Offer!$C$4="","",Offer!$C$4)</f>
        <v/>
      </c>
      <c r="AG278" s="14">
        <f>Z278&amp;" ("&amp;AA278&amp;" min walk) · "&amp;IF(ISNUMBER(AD278),TEXT(AD278,"ddd d mmm, hh:mm"),"slot to confirm with venue")&amp;" · "&amp;AE278&amp;" · "&amp;IF(AF278&lt;&gt;"","£"&amp;TEXT(AF278,"0.00")&amp;" pp","price TBC")</f>
        <v/>
      </c>
      <c r="AH278" s="14">
        <f>IF(U278&lt;&gt;"",U278,IF(H278&lt;&gt;"",H278,""))</f>
        <v/>
      </c>
      <c r="AI278" s="14">
        <f>"After-work football for "&amp;F278&amp;" · "&amp;Z278&amp;", "&amp;AA278&amp;" min from your office"</f>
        <v/>
      </c>
      <c r="AJ278" s="14">
        <f>"Hi "&amp;IF(R278&lt;&gt;"",R278,F278&amp;" team")&amp;","&amp;CHAR(10)&amp;CHAR(10)&amp;"I'm "&amp;IF(AM278&lt;&gt;"",AM278,IF(Offer!$C$5&lt;&gt;"",Offer!$C$5,"[NAME]"))&amp;" from FC Urban. We organise after-work football for teams in the City and Canary Wharf."&amp;CHAR(10)&amp;CHAR(10)&amp;"We have a "&amp;AE278&amp;" pitch at "&amp;Z278&amp;", "&amp;IF(OR(AA278=8,AA278=11,AA278=18),"an ","a ")&amp;AA278&amp;"-minute walk from your "&amp;P278&amp;" office, "&amp;IF(ISNUMBER(AD278),"on "&amp;TEXT(AD278,"dddd d mmmm")&amp;" at "&amp;TEXT(AD278,"hh:mm"),"on a weekday evening that suits your team")&amp;". It's "&amp;IF(AF278&lt;&gt;"","£"&amp;IF(AF278=INT(AF278),TEXT(AF278,"0"),TEXT(AF278,"0.00")),"[PRICE PER PLAYER]")&amp;" a player and we handle the pitch booking, sign-ups and payments, so all it takes is one person sharing a link with the team."&amp;CHAR(10)&amp;CHAR(10)&amp;"It works well as a team social or "&amp;IF(ISNUMBER(SEARCH(LEFT(F278,1),"AEIOU")),"an ","a ")&amp;F278&amp;"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LINK]")&amp;CHAR(10)&amp;CHAR(10)&amp;"Best,"&amp;CHAR(10)&amp;IF(AM278&lt;&gt;"",AM278,IF(Offer!$C$5&lt;&gt;"",Offer!$C$5,"[NAME]"))&amp;CHAR(10)&amp;"FC Urban"</f>
        <v/>
      </c>
      <c r="AK278" s="14">
        <f>"Hi "&amp;IF(R278&lt;&gt;"",R278,F278&amp;" team")&amp;","&amp;CHAR(10)&amp;CHAR(10)&amp;"Just bumping this up. The "&amp;AE278&amp;" pitch at "&amp;Z278&amp;" is still free "&amp;IF(ISNUMBER(AD278),TEXT(AD278,"ddd d mmm")&amp;", "&amp;TEXT(AD278,"hh:mm"),"weekday evenings")&amp;", "&amp;IF(OR(AA278=8,AA278=11,AA278=18),"an ","a ")&amp;AA278&amp;"-minute walk from your office, "&amp;IF(AF278&lt;&gt;"","£"&amp;IF(AF278=INT(AF278),TEXT(AF278,"0"),TEXT(AF278,"0.00")),"[PRICE PER PLAYER]")&amp;" a player. Happy to hold it for "&amp;F278&amp;"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LINK]")&amp;CHAR(10)&amp;CHAR(10)&amp;"Best,"&amp;CHAR(10)&amp;IF(AM278&lt;&gt;"",AM278,IF(Offer!$C$5&lt;&gt;"",Offer!$C$5,"[NAME]"))&amp;CHAR(10)&amp;"FC Urban"</f>
        <v/>
      </c>
      <c r="AL278" s="14">
        <f>IF(AH278="","No email yet",IF(ISNUMBER(SEARCH("[",AJ278)),"Fill placeholders",IF(ISNUMBER(AD278),"Ready to send","Ready · no fixed slot")))</f>
        <v/>
      </c>
      <c r="AO278" s="17" t="n"/>
      <c r="AP278" s="17" t="n"/>
    </row>
    <row r="279">
      <c r="A279" s="11" t="n">
        <v>277</v>
      </c>
      <c r="B279" s="11" t="n">
        <v>3</v>
      </c>
      <c r="C279" s="11" t="inlineStr">
        <is>
          <t>Insurance / broker</t>
        </is>
      </c>
      <c r="D279" s="11" t="inlineStr">
        <is>
          <t>City of London</t>
        </is>
      </c>
      <c r="E279" s="11" t="inlineStr">
        <is>
          <t>Digital Portfolio Solutions Limited</t>
        </is>
      </c>
      <c r="F279" s="11" t="inlineStr">
        <is>
          <t>Digital Portfolio Solutions</t>
        </is>
      </c>
      <c r="G279" s="11" t="n"/>
      <c r="H279" s="11" t="n"/>
      <c r="I279" s="11" t="inlineStr">
        <is>
          <t>Not found</t>
        </is>
      </c>
      <c r="J279" s="11" t="n"/>
      <c r="K279" s="11" t="inlineStr">
        <is>
          <t>02774470</t>
        </is>
      </c>
      <c r="L279" s="12" t="inlineStr">
        <is>
          <t>Open</t>
        </is>
      </c>
      <c r="M279" s="11" t="inlineStr">
        <is>
          <t>Full</t>
        </is>
      </c>
      <c r="N279" s="13" t="n">
        <v>33955</v>
      </c>
      <c r="O279" s="11" t="inlineStr">
        <is>
          <t>Mezzanine Floor, 75, King William Street, London</t>
        </is>
      </c>
      <c r="P279" s="11" t="inlineStr">
        <is>
          <t>EC4N 7BE</t>
        </is>
      </c>
      <c r="Q279" s="11" t="inlineStr">
        <is>
          <t>Yes</t>
        </is>
      </c>
      <c r="W279" s="11" t="inlineStr">
        <is>
          <t>City of London School (EC4V 3AL)</t>
        </is>
      </c>
      <c r="X279" s="11" t="n">
        <v>14</v>
      </c>
      <c r="Y279" s="11" t="inlineStr">
        <is>
          <t>Marlborough Sports Garden (SE1 1SD) (16.2)</t>
        </is>
      </c>
      <c r="Z279" s="11" t="inlineStr">
        <is>
          <t>City of London School (EC4V 3AL)</t>
        </is>
      </c>
      <c r="AA279" s="11" t="n">
        <v>14</v>
      </c>
      <c r="AB279" s="14">
        <f>IFERROR(INDEX(Venues!$E$2:$E$17,MATCH(Z279,Venues!$A$2:$A$17,0)),"Not checked")</f>
        <v/>
      </c>
      <c r="AC279" s="14">
        <f>IFERROR(INDEX(Venues!$F$2:$F$17,MATCH(Z279,Venues!$A$2:$A$17,0)),0)</f>
        <v/>
      </c>
      <c r="AD279" s="15">
        <f>IFERROR(INDEX(Venues!$M$2:$M$17,MATCH(Z279,Venues!$A$2:$A$17,0)),"")</f>
        <v/>
      </c>
      <c r="AE279" s="14">
        <f>IFERROR(INDEX(Venues!$N$2:$N$17,MATCH(Z279,Venues!$A$2:$A$17,0)),"5-a-side")</f>
        <v/>
      </c>
      <c r="AF279" s="16">
        <f>IF(Offer!$C$4="","",Offer!$C$4)</f>
        <v/>
      </c>
      <c r="AG279" s="14">
        <f>Z279&amp;" ("&amp;AA279&amp;" min walk) · "&amp;IF(ISNUMBER(AD279),TEXT(AD279,"ddd d mmm, hh:mm"),"slot to confirm with venue")&amp;" · "&amp;AE279&amp;" · "&amp;IF(AF279&lt;&gt;"","£"&amp;TEXT(AF279,"0.00")&amp;" pp","price TBC")</f>
        <v/>
      </c>
      <c r="AH279" s="14">
        <f>IF(U279&lt;&gt;"",U279,IF(H279&lt;&gt;"",H279,""))</f>
        <v/>
      </c>
      <c r="AI279" s="14">
        <f>"After-work football for "&amp;F279&amp;" · "&amp;Z279&amp;", "&amp;AA279&amp;" min from your office"</f>
        <v/>
      </c>
      <c r="AJ279" s="14">
        <f>"Hi "&amp;IF(R279&lt;&gt;"",R279,F279&amp;" team")&amp;","&amp;CHAR(10)&amp;CHAR(10)&amp;"I'm "&amp;IF(AM279&lt;&gt;"",AM279,IF(Offer!$C$5&lt;&gt;"",Offer!$C$5,"[NAME]"))&amp;" from FC Urban. We organise after-work football for teams in the City and Canary Wharf."&amp;CHAR(10)&amp;CHAR(10)&amp;"We have a "&amp;AE279&amp;" pitch at "&amp;Z279&amp;", "&amp;IF(OR(AA279=8,AA279=11,AA279=18),"an ","a ")&amp;AA279&amp;"-minute walk from your "&amp;P279&amp;" office, "&amp;IF(ISNUMBER(AD279),"on "&amp;TEXT(AD279,"dddd d mmmm")&amp;" at "&amp;TEXT(AD279,"hh:mm"),"on a weekday evening that suits your team")&amp;". It's "&amp;IF(AF279&lt;&gt;"","£"&amp;IF(AF279=INT(AF279),TEXT(AF279,"0"),TEXT(AF279,"0.00")),"[PRICE PER PLAYER]")&amp;" a player and we handle the pitch booking, sign-ups and payments, so all it takes is one person sharing a link with the team."&amp;CHAR(10)&amp;CHAR(10)&amp;"It works well as a team social or "&amp;IF(ISNUMBER(SEARCH(LEFT(F279,1),"AEIOU")),"an ","a ")&amp;F279&amp;"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LINK]")&amp;CHAR(10)&amp;CHAR(10)&amp;"Best,"&amp;CHAR(10)&amp;IF(AM279&lt;&gt;"",AM279,IF(Offer!$C$5&lt;&gt;"",Offer!$C$5,"[NAME]"))&amp;CHAR(10)&amp;"FC Urban"</f>
        <v/>
      </c>
      <c r="AK279" s="14">
        <f>"Hi "&amp;IF(R279&lt;&gt;"",R279,F279&amp;" team")&amp;","&amp;CHAR(10)&amp;CHAR(10)&amp;"Just bumping this up. The "&amp;AE279&amp;" pitch at "&amp;Z279&amp;" is still free "&amp;IF(ISNUMBER(AD279),TEXT(AD279,"ddd d mmm")&amp;", "&amp;TEXT(AD279,"hh:mm"),"weekday evenings")&amp;", "&amp;IF(OR(AA279=8,AA279=11,AA279=18),"an ","a ")&amp;AA279&amp;"-minute walk from your office, "&amp;IF(AF279&lt;&gt;"","£"&amp;IF(AF279=INT(AF279),TEXT(AF279,"0"),TEXT(AF279,"0.00")),"[PRICE PER PLAYER]")&amp;" a player. Happy to hold it for "&amp;F279&amp;"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LINK]")&amp;CHAR(10)&amp;CHAR(10)&amp;"Best,"&amp;CHAR(10)&amp;IF(AM279&lt;&gt;"",AM279,IF(Offer!$C$5&lt;&gt;"",Offer!$C$5,"[NAME]"))&amp;CHAR(10)&amp;"FC Urban"</f>
        <v/>
      </c>
      <c r="AL279" s="14">
        <f>IF(AH279="","No email yet",IF(ISNUMBER(SEARCH("[",AJ279)),"Fill placeholders",IF(ISNUMBER(AD279),"Ready to send","Ready · no fixed slot")))</f>
        <v/>
      </c>
      <c r="AO279" s="17" t="n"/>
      <c r="AP279" s="17" t="n"/>
    </row>
    <row r="280">
      <c r="A280" s="11" t="n">
        <v>278</v>
      </c>
      <c r="B280" s="11" t="n">
        <v>3</v>
      </c>
      <c r="C280" s="11" t="inlineStr">
        <is>
          <t>Fund / asset manager</t>
        </is>
      </c>
      <c r="D280" s="11" t="inlineStr">
        <is>
          <t>City of London</t>
        </is>
      </c>
      <c r="E280" s="11" t="inlineStr">
        <is>
          <t>Pallas Partners LLP</t>
        </is>
      </c>
      <c r="F280" s="11" t="inlineStr">
        <is>
          <t>Pallas Partners</t>
        </is>
      </c>
      <c r="G280" s="12" t="inlineStr">
        <is>
          <t>https://www.pallaspartners.com</t>
        </is>
      </c>
      <c r="H280" s="11" t="inlineStr">
        <is>
          <t>info@pallaspartners.com</t>
        </is>
      </c>
      <c r="I280" s="11" t="inlineStr">
        <is>
          <t>general</t>
        </is>
      </c>
      <c r="J280" s="12" t="inlineStr">
        <is>
          <t>Open page</t>
        </is>
      </c>
      <c r="K280" s="11" t="inlineStr">
        <is>
          <t>OC437491</t>
        </is>
      </c>
      <c r="L280" s="12" t="inlineStr">
        <is>
          <t>Open</t>
        </is>
      </c>
      <c r="M280" s="11" t="inlineStr">
        <is>
          <t>Full</t>
        </is>
      </c>
      <c r="N280" s="13" t="n">
        <v>44333</v>
      </c>
      <c r="O280" s="11" t="inlineStr">
        <is>
          <t>Level 22, Salesforce Tower, 110 Bishopsgate, London</t>
        </is>
      </c>
      <c r="P280" s="11" t="inlineStr">
        <is>
          <t>EC2N 4AY</t>
        </is>
      </c>
      <c r="Q280" s="11" t="inlineStr">
        <is>
          <t>No</t>
        </is>
      </c>
      <c r="W280" s="11" t="inlineStr">
        <is>
          <t>Liverpool St - Attlee Centre</t>
        </is>
      </c>
      <c r="X280" s="11" t="n">
        <v>10</v>
      </c>
      <c r="Y280" s="11" t="inlineStr">
        <is>
          <t>Shoreditch Powerleague (13.9)</t>
        </is>
      </c>
      <c r="Z280" s="11" t="inlineStr">
        <is>
          <t>Shoreditch Powerleague</t>
        </is>
      </c>
      <c r="AA280" s="11" t="n">
        <v>14</v>
      </c>
      <c r="AB280" s="14">
        <f>IFERROR(INDEX(Venues!$E$2:$E$17,MATCH(Z280,Venues!$A$2:$A$17,0)),"Not checked")</f>
        <v/>
      </c>
      <c r="AC280" s="14">
        <f>IFERROR(INDEX(Venues!$F$2:$F$17,MATCH(Z280,Venues!$A$2:$A$17,0)),0)</f>
        <v/>
      </c>
      <c r="AD280" s="15">
        <f>IFERROR(INDEX(Venues!$M$2:$M$17,MATCH(Z280,Venues!$A$2:$A$17,0)),"")</f>
        <v/>
      </c>
      <c r="AE280" s="14">
        <f>IFERROR(INDEX(Venues!$N$2:$N$17,MATCH(Z280,Venues!$A$2:$A$17,0)),"5-a-side")</f>
        <v/>
      </c>
      <c r="AF280" s="16">
        <f>IF(Offer!$C$4="","",Offer!$C$4)</f>
        <v/>
      </c>
      <c r="AG280" s="14">
        <f>Z280&amp;" ("&amp;AA280&amp;" min walk) · "&amp;IF(ISNUMBER(AD280),TEXT(AD280,"ddd d mmm, hh:mm"),"slot to confirm with venue")&amp;" · "&amp;AE280&amp;" · "&amp;IF(AF280&lt;&gt;"","£"&amp;TEXT(AF280,"0.00")&amp;" pp","price TBC")</f>
        <v/>
      </c>
      <c r="AH280" s="14">
        <f>IF(U280&lt;&gt;"",U280,IF(H280&lt;&gt;"",H280,""))</f>
        <v/>
      </c>
      <c r="AI280" s="14">
        <f>"After-work football for "&amp;F280&amp;" · "&amp;Z280&amp;", "&amp;AA280&amp;" min from your office"</f>
        <v/>
      </c>
      <c r="AJ280" s="14">
        <f>"Hi "&amp;IF(R280&lt;&gt;"",R280,F280&amp;" team")&amp;","&amp;CHAR(10)&amp;CHAR(10)&amp;"I'm "&amp;IF(AM280&lt;&gt;"",AM280,IF(Offer!$C$5&lt;&gt;"",Offer!$C$5,"[NAME]"))&amp;" from FC Urban. We organise after-work football for teams in the City and Canary Wharf."&amp;CHAR(10)&amp;CHAR(10)&amp;"We have a "&amp;AE280&amp;" pitch at "&amp;Z280&amp;", "&amp;IF(OR(AA280=8,AA280=11,AA280=18),"an ","a ")&amp;AA280&amp;"-minute walk from your "&amp;P280&amp;" office, "&amp;IF(ISNUMBER(AD280),"on "&amp;TEXT(AD280,"dddd d mmmm")&amp;" at "&amp;TEXT(AD280,"hh:mm"),"on a weekday evening that suits your team")&amp;". It's "&amp;IF(AF280&lt;&gt;"","£"&amp;IF(AF280=INT(AF280),TEXT(AF280,"0"),TEXT(AF280,"0.00")),"[PRICE PER PLAYER]")&amp;" a player and we handle the pitch booking, sign-ups and payments, so all it takes is one person sharing a link with the team."&amp;CHAR(10)&amp;CHAR(10)&amp;"It works well as a team social or "&amp;IF(ISNUMBER(SEARCH(LEFT(F280,1),"AEIOU")),"an ","a ")&amp;F280&amp;"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LINK]")&amp;CHAR(10)&amp;CHAR(10)&amp;"Best,"&amp;CHAR(10)&amp;IF(AM280&lt;&gt;"",AM280,IF(Offer!$C$5&lt;&gt;"",Offer!$C$5,"[NAME]"))&amp;CHAR(10)&amp;"FC Urban"</f>
        <v/>
      </c>
      <c r="AK280" s="14">
        <f>"Hi "&amp;IF(R280&lt;&gt;"",R280,F280&amp;" team")&amp;","&amp;CHAR(10)&amp;CHAR(10)&amp;"Just bumping this up. The "&amp;AE280&amp;" pitch at "&amp;Z280&amp;" is still free "&amp;IF(ISNUMBER(AD280),TEXT(AD280,"ddd d mmm")&amp;", "&amp;TEXT(AD280,"hh:mm"),"weekday evenings")&amp;", "&amp;IF(OR(AA280=8,AA280=11,AA280=18),"an ","a ")&amp;AA280&amp;"-minute walk from your office, "&amp;IF(AF280&lt;&gt;"","£"&amp;IF(AF280=INT(AF280),TEXT(AF280,"0"),TEXT(AF280,"0.00")),"[PRICE PER PLAYER]")&amp;" a player. Happy to hold it for "&amp;F280&amp;"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LINK]")&amp;CHAR(10)&amp;CHAR(10)&amp;"Best,"&amp;CHAR(10)&amp;IF(AM280&lt;&gt;"",AM280,IF(Offer!$C$5&lt;&gt;"",Offer!$C$5,"[NAME]"))&amp;CHAR(10)&amp;"FC Urban"</f>
        <v/>
      </c>
      <c r="AL280" s="14">
        <f>IF(AH280="","No email yet",IF(ISNUMBER(SEARCH("[",AJ280)),"Fill placeholders",IF(ISNUMBER(AD280),"Ready to send","Ready · no fixed slot")))</f>
        <v/>
      </c>
      <c r="AO280" s="17" t="n"/>
      <c r="AP280" s="17" t="n"/>
    </row>
    <row r="281">
      <c r="A281" s="11" t="n">
        <v>279</v>
      </c>
      <c r="B281" s="11" t="n">
        <v>3</v>
      </c>
      <c r="C281" s="11" t="inlineStr">
        <is>
          <t>Fund / asset manager</t>
        </is>
      </c>
      <c r="D281" s="11" t="inlineStr">
        <is>
          <t>City of London</t>
        </is>
      </c>
      <c r="E281" s="11" t="inlineStr">
        <is>
          <t>Securis Investments Limited</t>
        </is>
      </c>
      <c r="F281" s="11" t="inlineStr">
        <is>
          <t>Securis Investments</t>
        </is>
      </c>
      <c r="G281" s="12" t="inlineStr">
        <is>
          <t>https://securis.com</t>
        </is>
      </c>
      <c r="H281" s="11" t="inlineStr">
        <is>
          <t>info@securis.com</t>
        </is>
      </c>
      <c r="I281" s="11" t="inlineStr">
        <is>
          <t>general</t>
        </is>
      </c>
      <c r="J281" s="12" t="inlineStr">
        <is>
          <t>Open page</t>
        </is>
      </c>
      <c r="K281" s="11" t="inlineStr">
        <is>
          <t>05424896</t>
        </is>
      </c>
      <c r="L281" s="12" t="inlineStr">
        <is>
          <t>Open</t>
        </is>
      </c>
      <c r="M281" s="11" t="inlineStr">
        <is>
          <t>Full</t>
        </is>
      </c>
      <c r="N281" s="13" t="n">
        <v>38456</v>
      </c>
      <c r="O281" s="11" t="inlineStr">
        <is>
          <t>12Th Floor Heron Tower, 110 Bishopsgate, London</t>
        </is>
      </c>
      <c r="P281" s="11" t="inlineStr">
        <is>
          <t>EC2N 4AY</t>
        </is>
      </c>
      <c r="Q281" s="11" t="inlineStr">
        <is>
          <t>Yes</t>
        </is>
      </c>
      <c r="W281" s="11" t="inlineStr">
        <is>
          <t>Liverpool St - Attlee Centre</t>
        </is>
      </c>
      <c r="X281" s="11" t="n">
        <v>10</v>
      </c>
      <c r="Y281" s="11" t="inlineStr">
        <is>
          <t>Shoreditch Powerleague (13.9)</t>
        </is>
      </c>
      <c r="Z281" s="11" t="inlineStr">
        <is>
          <t>Shoreditch Powerleague</t>
        </is>
      </c>
      <c r="AA281" s="11" t="n">
        <v>14</v>
      </c>
      <c r="AB281" s="14">
        <f>IFERROR(INDEX(Venues!$E$2:$E$17,MATCH(Z281,Venues!$A$2:$A$17,0)),"Not checked")</f>
        <v/>
      </c>
      <c r="AC281" s="14">
        <f>IFERROR(INDEX(Venues!$F$2:$F$17,MATCH(Z281,Venues!$A$2:$A$17,0)),0)</f>
        <v/>
      </c>
      <c r="AD281" s="15">
        <f>IFERROR(INDEX(Venues!$M$2:$M$17,MATCH(Z281,Venues!$A$2:$A$17,0)),"")</f>
        <v/>
      </c>
      <c r="AE281" s="14">
        <f>IFERROR(INDEX(Venues!$N$2:$N$17,MATCH(Z281,Venues!$A$2:$A$17,0)),"5-a-side")</f>
        <v/>
      </c>
      <c r="AF281" s="16">
        <f>IF(Offer!$C$4="","",Offer!$C$4)</f>
        <v/>
      </c>
      <c r="AG281" s="14">
        <f>Z281&amp;" ("&amp;AA281&amp;" min walk) · "&amp;IF(ISNUMBER(AD281),TEXT(AD281,"ddd d mmm, hh:mm"),"slot to confirm with venue")&amp;" · "&amp;AE281&amp;" · "&amp;IF(AF281&lt;&gt;"","£"&amp;TEXT(AF281,"0.00")&amp;" pp","price TBC")</f>
        <v/>
      </c>
      <c r="AH281" s="14">
        <f>IF(U281&lt;&gt;"",U281,IF(H281&lt;&gt;"",H281,""))</f>
        <v/>
      </c>
      <c r="AI281" s="14">
        <f>"After-work football for "&amp;F281&amp;" · "&amp;Z281&amp;", "&amp;AA281&amp;" min from your office"</f>
        <v/>
      </c>
      <c r="AJ281" s="14">
        <f>"Hi "&amp;IF(R281&lt;&gt;"",R281,F281&amp;" team")&amp;","&amp;CHAR(10)&amp;CHAR(10)&amp;"I'm "&amp;IF(AM281&lt;&gt;"",AM281,IF(Offer!$C$5&lt;&gt;"",Offer!$C$5,"[NAME]"))&amp;" from FC Urban. We organise after-work football for teams in the City and Canary Wharf."&amp;CHAR(10)&amp;CHAR(10)&amp;"We have a "&amp;AE281&amp;" pitch at "&amp;Z281&amp;", "&amp;IF(OR(AA281=8,AA281=11,AA281=18),"an ","a ")&amp;AA281&amp;"-minute walk from your "&amp;P281&amp;" office, "&amp;IF(ISNUMBER(AD281),"on "&amp;TEXT(AD281,"dddd d mmmm")&amp;" at "&amp;TEXT(AD281,"hh:mm"),"on a weekday evening that suits your team")&amp;". It's "&amp;IF(AF281&lt;&gt;"","£"&amp;IF(AF281=INT(AF281),TEXT(AF281,"0"),TEXT(AF281,"0.00")),"[PRICE PER PLAYER]")&amp;" a player and we handle the pitch booking, sign-ups and payments, so all it takes is one person sharing a link with the team."&amp;CHAR(10)&amp;CHAR(10)&amp;"It works well as a team social or "&amp;IF(ISNUMBER(SEARCH(LEFT(F281,1),"AEIOU")),"an ","a ")&amp;F281&amp;"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LINK]")&amp;CHAR(10)&amp;CHAR(10)&amp;"Best,"&amp;CHAR(10)&amp;IF(AM281&lt;&gt;"",AM281,IF(Offer!$C$5&lt;&gt;"",Offer!$C$5,"[NAME]"))&amp;CHAR(10)&amp;"FC Urban"</f>
        <v/>
      </c>
      <c r="AK281" s="14">
        <f>"Hi "&amp;IF(R281&lt;&gt;"",R281,F281&amp;" team")&amp;","&amp;CHAR(10)&amp;CHAR(10)&amp;"Just bumping this up. The "&amp;AE281&amp;" pitch at "&amp;Z281&amp;" is still free "&amp;IF(ISNUMBER(AD281),TEXT(AD281,"ddd d mmm")&amp;", "&amp;TEXT(AD281,"hh:mm"),"weekday evenings")&amp;", "&amp;IF(OR(AA281=8,AA281=11,AA281=18),"an ","a ")&amp;AA281&amp;"-minute walk from your office, "&amp;IF(AF281&lt;&gt;"","£"&amp;IF(AF281=INT(AF281),TEXT(AF281,"0"),TEXT(AF281,"0.00")),"[PRICE PER PLAYER]")&amp;" a player. Happy to hold it for "&amp;F281&amp;"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LINK]")&amp;CHAR(10)&amp;CHAR(10)&amp;"Best,"&amp;CHAR(10)&amp;IF(AM281&lt;&gt;"",AM281,IF(Offer!$C$5&lt;&gt;"",Offer!$C$5,"[NAME]"))&amp;CHAR(10)&amp;"FC Urban"</f>
        <v/>
      </c>
      <c r="AL281" s="14">
        <f>IF(AH281="","No email yet",IF(ISNUMBER(SEARCH("[",AJ281)),"Fill placeholders",IF(ISNUMBER(AD281),"Ready to send","Ready · no fixed slot")))</f>
        <v/>
      </c>
      <c r="AO281" s="17" t="n"/>
      <c r="AP281" s="17" t="n"/>
    </row>
    <row r="282">
      <c r="A282" s="11" t="n">
        <v>280</v>
      </c>
      <c r="B282" s="11" t="n">
        <v>3</v>
      </c>
      <c r="C282" s="11" t="inlineStr">
        <is>
          <t>Insurance / broker</t>
        </is>
      </c>
      <c r="D282" s="11" t="inlineStr">
        <is>
          <t>City of London</t>
        </is>
      </c>
      <c r="E282" s="11" t="inlineStr">
        <is>
          <t>The Griffin Insurance Association Limited</t>
        </is>
      </c>
      <c r="F282" s="11" t="inlineStr">
        <is>
          <t>Griffin Insurance Association</t>
        </is>
      </c>
      <c r="G282" s="12" t="inlineStr">
        <is>
          <t>https://griffin-insurance.co.uk</t>
        </is>
      </c>
      <c r="H282" s="11" t="n"/>
      <c r="I282" s="11" t="inlineStr">
        <is>
          <t>Not found</t>
        </is>
      </c>
      <c r="J282" s="11" t="n"/>
      <c r="K282" s="11" t="inlineStr">
        <is>
          <t>02134231</t>
        </is>
      </c>
      <c r="L282" s="12" t="inlineStr">
        <is>
          <t>Open</t>
        </is>
      </c>
      <c r="M282" s="11" t="inlineStr">
        <is>
          <t>Full</t>
        </is>
      </c>
      <c r="N282" s="13" t="n">
        <v>31919</v>
      </c>
      <c r="O282" s="11" t="inlineStr">
        <is>
          <t>33 King William Street, London</t>
        </is>
      </c>
      <c r="P282" s="11" t="inlineStr">
        <is>
          <t>EC4R 9AT</t>
        </is>
      </c>
      <c r="Q282" s="11" t="inlineStr">
        <is>
          <t>No</t>
        </is>
      </c>
      <c r="W282" s="11" t="inlineStr">
        <is>
          <t>City of London School (EC4V 3AL)</t>
        </is>
      </c>
      <c r="X282" s="11" t="n">
        <v>14</v>
      </c>
      <c r="Y282" s="11" t="inlineStr">
        <is>
          <t>Marlborough Sports Garden (SE1 1SD) (14.5)</t>
        </is>
      </c>
      <c r="Z282" s="11" t="inlineStr">
        <is>
          <t>City of London School (EC4V 3AL)</t>
        </is>
      </c>
      <c r="AA282" s="11" t="n">
        <v>14</v>
      </c>
      <c r="AB282" s="14">
        <f>IFERROR(INDEX(Venues!$E$2:$E$17,MATCH(Z282,Venues!$A$2:$A$17,0)),"Not checked")</f>
        <v/>
      </c>
      <c r="AC282" s="14">
        <f>IFERROR(INDEX(Venues!$F$2:$F$17,MATCH(Z282,Venues!$A$2:$A$17,0)),0)</f>
        <v/>
      </c>
      <c r="AD282" s="15">
        <f>IFERROR(INDEX(Venues!$M$2:$M$17,MATCH(Z282,Venues!$A$2:$A$17,0)),"")</f>
        <v/>
      </c>
      <c r="AE282" s="14">
        <f>IFERROR(INDEX(Venues!$N$2:$N$17,MATCH(Z282,Venues!$A$2:$A$17,0)),"5-a-side")</f>
        <v/>
      </c>
      <c r="AF282" s="16">
        <f>IF(Offer!$C$4="","",Offer!$C$4)</f>
        <v/>
      </c>
      <c r="AG282" s="14">
        <f>Z282&amp;" ("&amp;AA282&amp;" min walk) · "&amp;IF(ISNUMBER(AD282),TEXT(AD282,"ddd d mmm, hh:mm"),"slot to confirm with venue")&amp;" · "&amp;AE282&amp;" · "&amp;IF(AF282&lt;&gt;"","£"&amp;TEXT(AF282,"0.00")&amp;" pp","price TBC")</f>
        <v/>
      </c>
      <c r="AH282" s="14">
        <f>IF(U282&lt;&gt;"",U282,IF(H282&lt;&gt;"",H282,""))</f>
        <v/>
      </c>
      <c r="AI282" s="14">
        <f>"After-work football for "&amp;F282&amp;" · "&amp;Z282&amp;", "&amp;AA282&amp;" min from your office"</f>
        <v/>
      </c>
      <c r="AJ282" s="14">
        <f>"Hi "&amp;IF(R282&lt;&gt;"",R282,F282&amp;" team")&amp;","&amp;CHAR(10)&amp;CHAR(10)&amp;"I'm "&amp;IF(AM282&lt;&gt;"",AM282,IF(Offer!$C$5&lt;&gt;"",Offer!$C$5,"[NAME]"))&amp;" from FC Urban. We organise after-work football for teams in the City and Canary Wharf."&amp;CHAR(10)&amp;CHAR(10)&amp;"We have a "&amp;AE282&amp;" pitch at "&amp;Z282&amp;", "&amp;IF(OR(AA282=8,AA282=11,AA282=18),"an ","a ")&amp;AA282&amp;"-minute walk from your "&amp;P282&amp;" office, "&amp;IF(ISNUMBER(AD282),"on "&amp;TEXT(AD282,"dddd d mmmm")&amp;" at "&amp;TEXT(AD282,"hh:mm"),"on a weekday evening that suits your team")&amp;". It's "&amp;IF(AF282&lt;&gt;"","£"&amp;IF(AF282=INT(AF282),TEXT(AF282,"0"),TEXT(AF282,"0.00")),"[PRICE PER PLAYER]")&amp;" a player and we handle the pitch booking, sign-ups and payments, so all it takes is one person sharing a link with the team."&amp;CHAR(10)&amp;CHAR(10)&amp;"It works well as a team social or "&amp;IF(ISNUMBER(SEARCH(LEFT(F282,1),"AEIOU")),"an ","a ")&amp;F282&amp;"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LINK]")&amp;CHAR(10)&amp;CHAR(10)&amp;"Best,"&amp;CHAR(10)&amp;IF(AM282&lt;&gt;"",AM282,IF(Offer!$C$5&lt;&gt;"",Offer!$C$5,"[NAME]"))&amp;CHAR(10)&amp;"FC Urban"</f>
        <v/>
      </c>
      <c r="AK282" s="14">
        <f>"Hi "&amp;IF(R282&lt;&gt;"",R282,F282&amp;" team")&amp;","&amp;CHAR(10)&amp;CHAR(10)&amp;"Just bumping this up. The "&amp;AE282&amp;" pitch at "&amp;Z282&amp;" is still free "&amp;IF(ISNUMBER(AD282),TEXT(AD282,"ddd d mmm")&amp;", "&amp;TEXT(AD282,"hh:mm"),"weekday evenings")&amp;", "&amp;IF(OR(AA282=8,AA282=11,AA282=18),"an ","a ")&amp;AA282&amp;"-minute walk from your office, "&amp;IF(AF282&lt;&gt;"","£"&amp;IF(AF282=INT(AF282),TEXT(AF282,"0"),TEXT(AF282,"0.00")),"[PRICE PER PLAYER]")&amp;" a player. Happy to hold it for "&amp;F282&amp;"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LINK]")&amp;CHAR(10)&amp;CHAR(10)&amp;"Best,"&amp;CHAR(10)&amp;IF(AM282&lt;&gt;"",AM282,IF(Offer!$C$5&lt;&gt;"",Offer!$C$5,"[NAME]"))&amp;CHAR(10)&amp;"FC Urban"</f>
        <v/>
      </c>
      <c r="AL282" s="14">
        <f>IF(AH282="","No email yet",IF(ISNUMBER(SEARCH("[",AJ282)),"Fill placeholders",IF(ISNUMBER(AD282),"Ready to send","Ready · no fixed slot")))</f>
        <v/>
      </c>
      <c r="AO282" s="17" t="n"/>
      <c r="AP282" s="17" t="n"/>
    </row>
    <row r="283">
      <c r="A283" s="11" t="n">
        <v>281</v>
      </c>
      <c r="B283" s="11" t="n">
        <v>3</v>
      </c>
      <c r="C283" s="11" t="inlineStr">
        <is>
          <t>Insurance / broker</t>
        </is>
      </c>
      <c r="D283" s="11" t="inlineStr">
        <is>
          <t>City of London</t>
        </is>
      </c>
      <c r="E283" s="11" t="inlineStr">
        <is>
          <t>Managing Agency Partners Limited</t>
        </is>
      </c>
      <c r="F283" s="11" t="inlineStr">
        <is>
          <t>Managing Agency Partners</t>
        </is>
      </c>
      <c r="G283" s="11" t="n"/>
      <c r="H283" s="11" t="n"/>
      <c r="I283" s="11" t="inlineStr">
        <is>
          <t>Not found</t>
        </is>
      </c>
      <c r="J283" s="11" t="n"/>
      <c r="K283" s="11" t="inlineStr">
        <is>
          <t>03985640</t>
        </is>
      </c>
      <c r="L283" s="12" t="inlineStr">
        <is>
          <t>Open</t>
        </is>
      </c>
      <c r="M283" s="11" t="inlineStr">
        <is>
          <t>Full</t>
        </is>
      </c>
      <c r="N283" s="13" t="n">
        <v>36650</v>
      </c>
      <c r="O283" s="11" t="inlineStr">
        <is>
          <t>Salesforce Tower, 110 Bishopsgate, London</t>
        </is>
      </c>
      <c r="P283" s="11" t="inlineStr">
        <is>
          <t>EC2N 4AY</t>
        </is>
      </c>
      <c r="Q283" s="11" t="inlineStr">
        <is>
          <t>No</t>
        </is>
      </c>
      <c r="W283" s="11" t="inlineStr">
        <is>
          <t>Liverpool St - Attlee Centre</t>
        </is>
      </c>
      <c r="X283" s="11" t="n">
        <v>10</v>
      </c>
      <c r="Y283" s="11" t="inlineStr">
        <is>
          <t>Shoreditch Powerleague (13.9)</t>
        </is>
      </c>
      <c r="Z283" s="11" t="inlineStr">
        <is>
          <t>Shoreditch Powerleague</t>
        </is>
      </c>
      <c r="AA283" s="11" t="n">
        <v>14</v>
      </c>
      <c r="AB283" s="14">
        <f>IFERROR(INDEX(Venues!$E$2:$E$17,MATCH(Z283,Venues!$A$2:$A$17,0)),"Not checked")</f>
        <v/>
      </c>
      <c r="AC283" s="14">
        <f>IFERROR(INDEX(Venues!$F$2:$F$17,MATCH(Z283,Venues!$A$2:$A$17,0)),0)</f>
        <v/>
      </c>
      <c r="AD283" s="15">
        <f>IFERROR(INDEX(Venues!$M$2:$M$17,MATCH(Z283,Venues!$A$2:$A$17,0)),"")</f>
        <v/>
      </c>
      <c r="AE283" s="14">
        <f>IFERROR(INDEX(Venues!$N$2:$N$17,MATCH(Z283,Venues!$A$2:$A$17,0)),"5-a-side")</f>
        <v/>
      </c>
      <c r="AF283" s="16">
        <f>IF(Offer!$C$4="","",Offer!$C$4)</f>
        <v/>
      </c>
      <c r="AG283" s="14">
        <f>Z283&amp;" ("&amp;AA283&amp;" min walk) · "&amp;IF(ISNUMBER(AD283),TEXT(AD283,"ddd d mmm, hh:mm"),"slot to confirm with venue")&amp;" · "&amp;AE283&amp;" · "&amp;IF(AF283&lt;&gt;"","£"&amp;TEXT(AF283,"0.00")&amp;" pp","price TBC")</f>
        <v/>
      </c>
      <c r="AH283" s="14">
        <f>IF(U283&lt;&gt;"",U283,IF(H283&lt;&gt;"",H283,""))</f>
        <v/>
      </c>
      <c r="AI283" s="14">
        <f>"After-work football for "&amp;F283&amp;" · "&amp;Z283&amp;", "&amp;AA283&amp;" min from your office"</f>
        <v/>
      </c>
      <c r="AJ283" s="14">
        <f>"Hi "&amp;IF(R283&lt;&gt;"",R283,F283&amp;" team")&amp;","&amp;CHAR(10)&amp;CHAR(10)&amp;"I'm "&amp;IF(AM283&lt;&gt;"",AM283,IF(Offer!$C$5&lt;&gt;"",Offer!$C$5,"[NAME]"))&amp;" from FC Urban. We organise after-work football for teams in the City and Canary Wharf."&amp;CHAR(10)&amp;CHAR(10)&amp;"We have a "&amp;AE283&amp;" pitch at "&amp;Z283&amp;", "&amp;IF(OR(AA283=8,AA283=11,AA283=18),"an ","a ")&amp;AA283&amp;"-minute walk from your "&amp;P283&amp;" office, "&amp;IF(ISNUMBER(AD283),"on "&amp;TEXT(AD283,"dddd d mmmm")&amp;" at "&amp;TEXT(AD283,"hh:mm"),"on a weekday evening that suits your team")&amp;". It's "&amp;IF(AF283&lt;&gt;"","£"&amp;IF(AF283=INT(AF283),TEXT(AF283,"0"),TEXT(AF283,"0.00")),"[PRICE PER PLAYER]")&amp;" a player and we handle the pitch booking, sign-ups and payments, so all it takes is one person sharing a link with the team."&amp;CHAR(10)&amp;CHAR(10)&amp;"It works well as a team social or "&amp;IF(ISNUMBER(SEARCH(LEFT(F283,1),"AEIOU")),"an ","a ")&amp;F283&amp;"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LINK]")&amp;CHAR(10)&amp;CHAR(10)&amp;"Best,"&amp;CHAR(10)&amp;IF(AM283&lt;&gt;"",AM283,IF(Offer!$C$5&lt;&gt;"",Offer!$C$5,"[NAME]"))&amp;CHAR(10)&amp;"FC Urban"</f>
        <v/>
      </c>
      <c r="AK283" s="14">
        <f>"Hi "&amp;IF(R283&lt;&gt;"",R283,F283&amp;" team")&amp;","&amp;CHAR(10)&amp;CHAR(10)&amp;"Just bumping this up. The "&amp;AE283&amp;" pitch at "&amp;Z283&amp;" is still free "&amp;IF(ISNUMBER(AD283),TEXT(AD283,"ddd d mmm")&amp;", "&amp;TEXT(AD283,"hh:mm"),"weekday evenings")&amp;", "&amp;IF(OR(AA283=8,AA283=11,AA283=18),"an ","a ")&amp;AA283&amp;"-minute walk from your office, "&amp;IF(AF283&lt;&gt;"","£"&amp;IF(AF283=INT(AF283),TEXT(AF283,"0"),TEXT(AF283,"0.00")),"[PRICE PER PLAYER]")&amp;" a player. Happy to hold it for "&amp;F283&amp;"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LINK]")&amp;CHAR(10)&amp;CHAR(10)&amp;"Best,"&amp;CHAR(10)&amp;IF(AM283&lt;&gt;"",AM283,IF(Offer!$C$5&lt;&gt;"",Offer!$C$5,"[NAME]"))&amp;CHAR(10)&amp;"FC Urban"</f>
        <v/>
      </c>
      <c r="AL283" s="14">
        <f>IF(AH283="","No email yet",IF(ISNUMBER(SEARCH("[",AJ283)),"Fill placeholders",IF(ISNUMBER(AD283),"Ready to send","Ready · no fixed slot")))</f>
        <v/>
      </c>
      <c r="AO283" s="17" t="n"/>
      <c r="AP283" s="17" t="n"/>
    </row>
    <row r="284">
      <c r="A284" s="11" t="n">
        <v>282</v>
      </c>
      <c r="B284" s="11" t="n">
        <v>3</v>
      </c>
      <c r="C284" s="11" t="inlineStr">
        <is>
          <t>Insurance / broker</t>
        </is>
      </c>
      <c r="D284" s="11" t="inlineStr">
        <is>
          <t>City of London</t>
        </is>
      </c>
      <c r="E284" s="11" t="inlineStr">
        <is>
          <t>Qmetric Group Limited</t>
        </is>
      </c>
      <c r="F284" s="11" t="inlineStr">
        <is>
          <t>Qmetric</t>
        </is>
      </c>
      <c r="G284" s="11" t="n"/>
      <c r="H284" s="11" t="n"/>
      <c r="I284" s="11" t="inlineStr">
        <is>
          <t>Not found</t>
        </is>
      </c>
      <c r="J284" s="11" t="n"/>
      <c r="K284" s="11" t="inlineStr">
        <is>
          <t>07151701</t>
        </is>
      </c>
      <c r="L284" s="12" t="inlineStr">
        <is>
          <t>Open</t>
        </is>
      </c>
      <c r="M284" s="11" t="inlineStr">
        <is>
          <t>Full</t>
        </is>
      </c>
      <c r="N284" s="13" t="n">
        <v>40218</v>
      </c>
      <c r="O284" s="11" t="inlineStr">
        <is>
          <t>110 Bishopsgate, London</t>
        </is>
      </c>
      <c r="P284" s="11" t="inlineStr">
        <is>
          <t>EC2N 4AY</t>
        </is>
      </c>
      <c r="Q284" s="11" t="inlineStr">
        <is>
          <t>No</t>
        </is>
      </c>
      <c r="W284" s="11" t="inlineStr">
        <is>
          <t>Liverpool St - Attlee Centre</t>
        </is>
      </c>
      <c r="X284" s="11" t="n">
        <v>10</v>
      </c>
      <c r="Y284" s="11" t="inlineStr">
        <is>
          <t>Shoreditch Powerleague (13.9)</t>
        </is>
      </c>
      <c r="Z284" s="11" t="inlineStr">
        <is>
          <t>Shoreditch Powerleague</t>
        </is>
      </c>
      <c r="AA284" s="11" t="n">
        <v>14</v>
      </c>
      <c r="AB284" s="14">
        <f>IFERROR(INDEX(Venues!$E$2:$E$17,MATCH(Z284,Venues!$A$2:$A$17,0)),"Not checked")</f>
        <v/>
      </c>
      <c r="AC284" s="14">
        <f>IFERROR(INDEX(Venues!$F$2:$F$17,MATCH(Z284,Venues!$A$2:$A$17,0)),0)</f>
        <v/>
      </c>
      <c r="AD284" s="15">
        <f>IFERROR(INDEX(Venues!$M$2:$M$17,MATCH(Z284,Venues!$A$2:$A$17,0)),"")</f>
        <v/>
      </c>
      <c r="AE284" s="14">
        <f>IFERROR(INDEX(Venues!$N$2:$N$17,MATCH(Z284,Venues!$A$2:$A$17,0)),"5-a-side")</f>
        <v/>
      </c>
      <c r="AF284" s="16">
        <f>IF(Offer!$C$4="","",Offer!$C$4)</f>
        <v/>
      </c>
      <c r="AG284" s="14">
        <f>Z284&amp;" ("&amp;AA284&amp;" min walk) · "&amp;IF(ISNUMBER(AD284),TEXT(AD284,"ddd d mmm, hh:mm"),"slot to confirm with venue")&amp;" · "&amp;AE284&amp;" · "&amp;IF(AF284&lt;&gt;"","£"&amp;TEXT(AF284,"0.00")&amp;" pp","price TBC")</f>
        <v/>
      </c>
      <c r="AH284" s="14">
        <f>IF(U284&lt;&gt;"",U284,IF(H284&lt;&gt;"",H284,""))</f>
        <v/>
      </c>
      <c r="AI284" s="14">
        <f>"After-work football for "&amp;F284&amp;" · "&amp;Z284&amp;", "&amp;AA284&amp;" min from your office"</f>
        <v/>
      </c>
      <c r="AJ284" s="14">
        <f>"Hi "&amp;IF(R284&lt;&gt;"",R284,F284&amp;" team")&amp;","&amp;CHAR(10)&amp;CHAR(10)&amp;"I'm "&amp;IF(AM284&lt;&gt;"",AM284,IF(Offer!$C$5&lt;&gt;"",Offer!$C$5,"[NAME]"))&amp;" from FC Urban. We organise after-work football for teams in the City and Canary Wharf."&amp;CHAR(10)&amp;CHAR(10)&amp;"We have a "&amp;AE284&amp;" pitch at "&amp;Z284&amp;", "&amp;IF(OR(AA284=8,AA284=11,AA284=18),"an ","a ")&amp;AA284&amp;"-minute walk from your "&amp;P284&amp;" office, "&amp;IF(ISNUMBER(AD284),"on "&amp;TEXT(AD284,"dddd d mmmm")&amp;" at "&amp;TEXT(AD284,"hh:mm"),"on a weekday evening that suits your team")&amp;". It's "&amp;IF(AF284&lt;&gt;"","£"&amp;IF(AF284=INT(AF284),TEXT(AF284,"0"),TEXT(AF284,"0.00")),"[PRICE PER PLAYER]")&amp;" a player and we handle the pitch booking, sign-ups and payments, so all it takes is one person sharing a link with the team."&amp;CHAR(10)&amp;CHAR(10)&amp;"It works well as a team social or "&amp;IF(ISNUMBER(SEARCH(LEFT(F284,1),"AEIOU")),"an ","a ")&amp;F284&amp;"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LINK]")&amp;CHAR(10)&amp;CHAR(10)&amp;"Best,"&amp;CHAR(10)&amp;IF(AM284&lt;&gt;"",AM284,IF(Offer!$C$5&lt;&gt;"",Offer!$C$5,"[NAME]"))&amp;CHAR(10)&amp;"FC Urban"</f>
        <v/>
      </c>
      <c r="AK284" s="14">
        <f>"Hi "&amp;IF(R284&lt;&gt;"",R284,F284&amp;" team")&amp;","&amp;CHAR(10)&amp;CHAR(10)&amp;"Just bumping this up. The "&amp;AE284&amp;" pitch at "&amp;Z284&amp;" is still free "&amp;IF(ISNUMBER(AD284),TEXT(AD284,"ddd d mmm")&amp;", "&amp;TEXT(AD284,"hh:mm"),"weekday evenings")&amp;", "&amp;IF(OR(AA284=8,AA284=11,AA284=18),"an ","a ")&amp;AA284&amp;"-minute walk from your office, "&amp;IF(AF284&lt;&gt;"","£"&amp;IF(AF284=INT(AF284),TEXT(AF284,"0"),TEXT(AF284,"0.00")),"[PRICE PER PLAYER]")&amp;" a player. Happy to hold it for "&amp;F284&amp;"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LINK]")&amp;CHAR(10)&amp;CHAR(10)&amp;"Best,"&amp;CHAR(10)&amp;IF(AM284&lt;&gt;"",AM284,IF(Offer!$C$5&lt;&gt;"",Offer!$C$5,"[NAME]"))&amp;CHAR(10)&amp;"FC Urban"</f>
        <v/>
      </c>
      <c r="AL284" s="14">
        <f>IF(AH284="","No email yet",IF(ISNUMBER(SEARCH("[",AJ284)),"Fill placeholders",IF(ISNUMBER(AD284),"Ready to send","Ready · no fixed slot")))</f>
        <v/>
      </c>
      <c r="AO284" s="17" t="n"/>
      <c r="AP284" s="17" t="n"/>
    </row>
    <row r="285">
      <c r="A285" s="11" t="n">
        <v>283</v>
      </c>
      <c r="B285" s="11" t="n">
        <v>3</v>
      </c>
      <c r="C285" s="11" t="inlineStr">
        <is>
          <t>Insurance / broker</t>
        </is>
      </c>
      <c r="D285" s="11" t="inlineStr">
        <is>
          <t>City of London</t>
        </is>
      </c>
      <c r="E285" s="11" t="inlineStr">
        <is>
          <t>Wren Insurance Association Limited(the)</t>
        </is>
      </c>
      <c r="F285" s="11" t="inlineStr">
        <is>
          <t>Wren Insurance Association</t>
        </is>
      </c>
      <c r="G285" s="11" t="n"/>
      <c r="H285" s="11" t="n"/>
      <c r="I285" s="11" t="inlineStr">
        <is>
          <t>Not found</t>
        </is>
      </c>
      <c r="J285" s="11" t="n"/>
      <c r="K285" s="11" t="inlineStr">
        <is>
          <t>02054592</t>
        </is>
      </c>
      <c r="L285" s="12" t="inlineStr">
        <is>
          <t>Open</t>
        </is>
      </c>
      <c r="M285" s="11" t="inlineStr">
        <is>
          <t>Full</t>
        </is>
      </c>
      <c r="N285" s="13" t="n">
        <v>31666</v>
      </c>
      <c r="O285" s="11" t="inlineStr">
        <is>
          <t>33 King William Street, London</t>
        </is>
      </c>
      <c r="P285" s="11" t="inlineStr">
        <is>
          <t>EC4R 9AT</t>
        </is>
      </c>
      <c r="Q285" s="11" t="inlineStr">
        <is>
          <t>No</t>
        </is>
      </c>
      <c r="W285" s="11" t="inlineStr">
        <is>
          <t>City of London School (EC4V 3AL)</t>
        </is>
      </c>
      <c r="X285" s="11" t="n">
        <v>14</v>
      </c>
      <c r="Y285" s="11" t="inlineStr">
        <is>
          <t>Marlborough Sports Garden (SE1 1SD) (14.5)</t>
        </is>
      </c>
      <c r="Z285" s="11" t="inlineStr">
        <is>
          <t>City of London School (EC4V 3AL)</t>
        </is>
      </c>
      <c r="AA285" s="11" t="n">
        <v>14</v>
      </c>
      <c r="AB285" s="14">
        <f>IFERROR(INDEX(Venues!$E$2:$E$17,MATCH(Z285,Venues!$A$2:$A$17,0)),"Not checked")</f>
        <v/>
      </c>
      <c r="AC285" s="14">
        <f>IFERROR(INDEX(Venues!$F$2:$F$17,MATCH(Z285,Venues!$A$2:$A$17,0)),0)</f>
        <v/>
      </c>
      <c r="AD285" s="15">
        <f>IFERROR(INDEX(Venues!$M$2:$M$17,MATCH(Z285,Venues!$A$2:$A$17,0)),"")</f>
        <v/>
      </c>
      <c r="AE285" s="14">
        <f>IFERROR(INDEX(Venues!$N$2:$N$17,MATCH(Z285,Venues!$A$2:$A$17,0)),"5-a-side")</f>
        <v/>
      </c>
      <c r="AF285" s="16">
        <f>IF(Offer!$C$4="","",Offer!$C$4)</f>
        <v/>
      </c>
      <c r="AG285" s="14">
        <f>Z285&amp;" ("&amp;AA285&amp;" min walk) · "&amp;IF(ISNUMBER(AD285),TEXT(AD285,"ddd d mmm, hh:mm"),"slot to confirm with venue")&amp;" · "&amp;AE285&amp;" · "&amp;IF(AF285&lt;&gt;"","£"&amp;TEXT(AF285,"0.00")&amp;" pp","price TBC")</f>
        <v/>
      </c>
      <c r="AH285" s="14">
        <f>IF(U285&lt;&gt;"",U285,IF(H285&lt;&gt;"",H285,""))</f>
        <v/>
      </c>
      <c r="AI285" s="14">
        <f>"After-work football for "&amp;F285&amp;" · "&amp;Z285&amp;", "&amp;AA285&amp;" min from your office"</f>
        <v/>
      </c>
      <c r="AJ285" s="14">
        <f>"Hi "&amp;IF(R285&lt;&gt;"",R285,F285&amp;" team")&amp;","&amp;CHAR(10)&amp;CHAR(10)&amp;"I'm "&amp;IF(AM285&lt;&gt;"",AM285,IF(Offer!$C$5&lt;&gt;"",Offer!$C$5,"[NAME]"))&amp;" from FC Urban. We organise after-work football for teams in the City and Canary Wharf."&amp;CHAR(10)&amp;CHAR(10)&amp;"We have a "&amp;AE285&amp;" pitch at "&amp;Z285&amp;", "&amp;IF(OR(AA285=8,AA285=11,AA285=18),"an ","a ")&amp;AA285&amp;"-minute walk from your "&amp;P285&amp;" office, "&amp;IF(ISNUMBER(AD285),"on "&amp;TEXT(AD285,"dddd d mmmm")&amp;" at "&amp;TEXT(AD285,"hh:mm"),"on a weekday evening that suits your team")&amp;". It's "&amp;IF(AF285&lt;&gt;"","£"&amp;IF(AF285=INT(AF285),TEXT(AF285,"0"),TEXT(AF285,"0.00")),"[PRICE PER PLAYER]")&amp;" a player and we handle the pitch booking, sign-ups and payments, so all it takes is one person sharing a link with the team."&amp;CHAR(10)&amp;CHAR(10)&amp;"It works well as a team social or "&amp;IF(ISNUMBER(SEARCH(LEFT(F285,1),"AEIOU")),"an ","a ")&amp;F285&amp;"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LINK]")&amp;CHAR(10)&amp;CHAR(10)&amp;"Best,"&amp;CHAR(10)&amp;IF(AM285&lt;&gt;"",AM285,IF(Offer!$C$5&lt;&gt;"",Offer!$C$5,"[NAME]"))&amp;CHAR(10)&amp;"FC Urban"</f>
        <v/>
      </c>
      <c r="AK285" s="14">
        <f>"Hi "&amp;IF(R285&lt;&gt;"",R285,F285&amp;" team")&amp;","&amp;CHAR(10)&amp;CHAR(10)&amp;"Just bumping this up. The "&amp;AE285&amp;" pitch at "&amp;Z285&amp;" is still free "&amp;IF(ISNUMBER(AD285),TEXT(AD285,"ddd d mmm")&amp;", "&amp;TEXT(AD285,"hh:mm"),"weekday evenings")&amp;", "&amp;IF(OR(AA285=8,AA285=11,AA285=18),"an ","a ")&amp;AA285&amp;"-minute walk from your office, "&amp;IF(AF285&lt;&gt;"","£"&amp;IF(AF285=INT(AF285),TEXT(AF285,"0"),TEXT(AF285,"0.00")),"[PRICE PER PLAYER]")&amp;" a player. Happy to hold it for "&amp;F285&amp;"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LINK]")&amp;CHAR(10)&amp;CHAR(10)&amp;"Best,"&amp;CHAR(10)&amp;IF(AM285&lt;&gt;"",AM285,IF(Offer!$C$5&lt;&gt;"",Offer!$C$5,"[NAME]"))&amp;CHAR(10)&amp;"FC Urban"</f>
        <v/>
      </c>
      <c r="AL285" s="14">
        <f>IF(AH285="","No email yet",IF(ISNUMBER(SEARCH("[",AJ285)),"Fill placeholders",IF(ISNUMBER(AD285),"Ready to send","Ready · no fixed slot")))</f>
        <v/>
      </c>
      <c r="AO285" s="17" t="n"/>
      <c r="AP285" s="17" t="n"/>
    </row>
    <row r="286">
      <c r="A286" s="11" t="n">
        <v>284</v>
      </c>
      <c r="B286" s="11" t="n">
        <v>3</v>
      </c>
      <c r="C286" s="11" t="inlineStr">
        <is>
          <t>Fund / asset manager</t>
        </is>
      </c>
      <c r="D286" s="11" t="inlineStr">
        <is>
          <t>City of London</t>
        </is>
      </c>
      <c r="E286" s="11" t="inlineStr">
        <is>
          <t>Ellington Management Group (UK) LLP</t>
        </is>
      </c>
      <c r="F286" s="11" t="inlineStr">
        <is>
          <t>Ellington Management</t>
        </is>
      </c>
      <c r="G286" s="12" t="inlineStr">
        <is>
          <t>https://www.ellington.com</t>
        </is>
      </c>
      <c r="H286" s="11" t="inlineStr">
        <is>
          <t>investor@ellington.com</t>
        </is>
      </c>
      <c r="I286" s="11" t="inlineStr">
        <is>
          <t>general</t>
        </is>
      </c>
      <c r="J286" s="12" t="inlineStr">
        <is>
          <t>Open page</t>
        </is>
      </c>
      <c r="K286" s="11" t="inlineStr">
        <is>
          <t>OC387072</t>
        </is>
      </c>
      <c r="L286" s="12" t="inlineStr">
        <is>
          <t>Open</t>
        </is>
      </c>
      <c r="M286" s="11" t="inlineStr">
        <is>
          <t>Full</t>
        </is>
      </c>
      <c r="N286" s="13" t="n">
        <v>41492</v>
      </c>
      <c r="O286" s="11" t="inlineStr">
        <is>
          <t>68 King William Street, London</t>
        </is>
      </c>
      <c r="P286" s="11" t="inlineStr">
        <is>
          <t>EC4N 7HR</t>
        </is>
      </c>
      <c r="Q286" s="11" t="inlineStr">
        <is>
          <t>No</t>
        </is>
      </c>
      <c r="W286" s="11" t="inlineStr">
        <is>
          <t>City of London School (EC4V 3AL)</t>
        </is>
      </c>
      <c r="X286" s="11" t="n">
        <v>14</v>
      </c>
      <c r="Y286" s="11" t="inlineStr">
        <is>
          <t>Marlborough Sports Garden (SE1 1SD) (15.6)</t>
        </is>
      </c>
      <c r="Z286" s="11" t="inlineStr">
        <is>
          <t>City of London School (EC4V 3AL)</t>
        </is>
      </c>
      <c r="AA286" s="11" t="n">
        <v>14</v>
      </c>
      <c r="AB286" s="14">
        <f>IFERROR(INDEX(Venues!$E$2:$E$17,MATCH(Z286,Venues!$A$2:$A$17,0)),"Not checked")</f>
        <v/>
      </c>
      <c r="AC286" s="14">
        <f>IFERROR(INDEX(Venues!$F$2:$F$17,MATCH(Z286,Venues!$A$2:$A$17,0)),0)</f>
        <v/>
      </c>
      <c r="AD286" s="15">
        <f>IFERROR(INDEX(Venues!$M$2:$M$17,MATCH(Z286,Venues!$A$2:$A$17,0)),"")</f>
        <v/>
      </c>
      <c r="AE286" s="14">
        <f>IFERROR(INDEX(Venues!$N$2:$N$17,MATCH(Z286,Venues!$A$2:$A$17,0)),"5-a-side")</f>
        <v/>
      </c>
      <c r="AF286" s="16">
        <f>IF(Offer!$C$4="","",Offer!$C$4)</f>
        <v/>
      </c>
      <c r="AG286" s="14">
        <f>Z286&amp;" ("&amp;AA286&amp;" min walk) · "&amp;IF(ISNUMBER(AD286),TEXT(AD286,"ddd d mmm, hh:mm"),"slot to confirm with venue")&amp;" · "&amp;AE286&amp;" · "&amp;IF(AF286&lt;&gt;"","£"&amp;TEXT(AF286,"0.00")&amp;" pp","price TBC")</f>
        <v/>
      </c>
      <c r="AH286" s="14">
        <f>IF(U286&lt;&gt;"",U286,IF(H286&lt;&gt;"",H286,""))</f>
        <v/>
      </c>
      <c r="AI286" s="14">
        <f>"After-work football for "&amp;F286&amp;" · "&amp;Z286&amp;", "&amp;AA286&amp;" min from your office"</f>
        <v/>
      </c>
      <c r="AJ286" s="14">
        <f>"Hi "&amp;IF(R286&lt;&gt;"",R286,F286&amp;" team")&amp;","&amp;CHAR(10)&amp;CHAR(10)&amp;"I'm "&amp;IF(AM286&lt;&gt;"",AM286,IF(Offer!$C$5&lt;&gt;"",Offer!$C$5,"[NAME]"))&amp;" from FC Urban. We organise after-work football for teams in the City and Canary Wharf."&amp;CHAR(10)&amp;CHAR(10)&amp;"We have a "&amp;AE286&amp;" pitch at "&amp;Z286&amp;", "&amp;IF(OR(AA286=8,AA286=11,AA286=18),"an ","a ")&amp;AA286&amp;"-minute walk from your "&amp;P286&amp;" office, "&amp;IF(ISNUMBER(AD286),"on "&amp;TEXT(AD286,"dddd d mmmm")&amp;" at "&amp;TEXT(AD286,"hh:mm"),"on a weekday evening that suits your team")&amp;". It's "&amp;IF(AF286&lt;&gt;"","£"&amp;IF(AF286=INT(AF286),TEXT(AF286,"0"),TEXT(AF286,"0.00")),"[PRICE PER PLAYER]")&amp;" a player and we handle the pitch booking, sign-ups and payments, so all it takes is one person sharing a link with the team."&amp;CHAR(10)&amp;CHAR(10)&amp;"It works well as a team social or "&amp;IF(ISNUMBER(SEARCH(LEFT(F286,1),"AEIOU")),"an ","a ")&amp;F286&amp;"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LINK]")&amp;CHAR(10)&amp;CHAR(10)&amp;"Best,"&amp;CHAR(10)&amp;IF(AM286&lt;&gt;"",AM286,IF(Offer!$C$5&lt;&gt;"",Offer!$C$5,"[NAME]"))&amp;CHAR(10)&amp;"FC Urban"</f>
        <v/>
      </c>
      <c r="AK286" s="14">
        <f>"Hi "&amp;IF(R286&lt;&gt;"",R286,F286&amp;" team")&amp;","&amp;CHAR(10)&amp;CHAR(10)&amp;"Just bumping this up. The "&amp;AE286&amp;" pitch at "&amp;Z286&amp;" is still free "&amp;IF(ISNUMBER(AD286),TEXT(AD286,"ddd d mmm")&amp;", "&amp;TEXT(AD286,"hh:mm"),"weekday evenings")&amp;", "&amp;IF(OR(AA286=8,AA286=11,AA286=18),"an ","a ")&amp;AA286&amp;"-minute walk from your office, "&amp;IF(AF286&lt;&gt;"","£"&amp;IF(AF286=INT(AF286),TEXT(AF286,"0"),TEXT(AF286,"0.00")),"[PRICE PER PLAYER]")&amp;" a player. Happy to hold it for "&amp;F286&amp;"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LINK]")&amp;CHAR(10)&amp;CHAR(10)&amp;"Best,"&amp;CHAR(10)&amp;IF(AM286&lt;&gt;"",AM286,IF(Offer!$C$5&lt;&gt;"",Offer!$C$5,"[NAME]"))&amp;CHAR(10)&amp;"FC Urban"</f>
        <v/>
      </c>
      <c r="AL286" s="14">
        <f>IF(AH286="","No email yet",IF(ISNUMBER(SEARCH("[",AJ286)),"Fill placeholders",IF(ISNUMBER(AD286),"Ready to send","Ready · no fixed slot")))</f>
        <v/>
      </c>
      <c r="AO286" s="17" t="n"/>
      <c r="AP286" s="17" t="n"/>
    </row>
    <row r="287">
      <c r="A287" s="11" t="n">
        <v>285</v>
      </c>
      <c r="B287" s="11" t="n">
        <v>3</v>
      </c>
      <c r="C287" s="11" t="inlineStr">
        <is>
          <t>Insurance / broker</t>
        </is>
      </c>
      <c r="D287" s="11" t="inlineStr">
        <is>
          <t>City of London</t>
        </is>
      </c>
      <c r="E287" s="11" t="inlineStr">
        <is>
          <t>ICW Insurance Services Ltd</t>
        </is>
      </c>
      <c r="F287" s="11" t="inlineStr">
        <is>
          <t>ICW Insurance</t>
        </is>
      </c>
      <c r="G287" s="11" t="n"/>
      <c r="H287" s="11" t="n"/>
      <c r="I287" s="11" t="inlineStr">
        <is>
          <t>Not found</t>
        </is>
      </c>
      <c r="J287" s="11" t="n"/>
      <c r="K287" s="11" t="inlineStr">
        <is>
          <t>10985073</t>
        </is>
      </c>
      <c r="L287" s="12" t="inlineStr">
        <is>
          <t>Open</t>
        </is>
      </c>
      <c r="M287" s="11" t="inlineStr">
        <is>
          <t>Medium</t>
        </is>
      </c>
      <c r="N287" s="13" t="n">
        <v>43005</v>
      </c>
      <c r="O287" s="11" t="inlineStr">
        <is>
          <t>1-2 Charterhouse Mews, London</t>
        </is>
      </c>
      <c r="P287" s="11" t="inlineStr">
        <is>
          <t>EC1M 6BB</t>
        </is>
      </c>
      <c r="Q287" s="11" t="inlineStr">
        <is>
          <t>No</t>
        </is>
      </c>
      <c r="W287" s="11" t="inlineStr">
        <is>
          <t>Finsbury Leisure Centre (EC1V 3PU)</t>
        </is>
      </c>
      <c r="X287" s="11" t="n">
        <v>11</v>
      </c>
      <c r="Y287" s="11" t="inlineStr">
        <is>
          <t>Old St - Moreland Primary School (14.3); Angel Centre (EC1V 7DD) (17.2)</t>
        </is>
      </c>
      <c r="Z287" s="11" t="inlineStr">
        <is>
          <t>Old St - Moreland Primary School</t>
        </is>
      </c>
      <c r="AA287" s="11" t="n">
        <v>14</v>
      </c>
      <c r="AB287" s="14">
        <f>IFERROR(INDEX(Venues!$E$2:$E$17,MATCH(Z287,Venues!$A$2:$A$17,0)),"Not checked")</f>
        <v/>
      </c>
      <c r="AC287" s="14">
        <f>IFERROR(INDEX(Venues!$F$2:$F$17,MATCH(Z287,Venues!$A$2:$A$17,0)),0)</f>
        <v/>
      </c>
      <c r="AD287" s="15">
        <f>IFERROR(INDEX(Venues!$M$2:$M$17,MATCH(Z287,Venues!$A$2:$A$17,0)),"")</f>
        <v/>
      </c>
      <c r="AE287" s="14">
        <f>IFERROR(INDEX(Venues!$N$2:$N$17,MATCH(Z287,Venues!$A$2:$A$17,0)),"5-a-side")</f>
        <v/>
      </c>
      <c r="AF287" s="16">
        <f>IF(Offer!$C$4="","",Offer!$C$4)</f>
        <v/>
      </c>
      <c r="AG287" s="14">
        <f>Z287&amp;" ("&amp;AA287&amp;" min walk) · "&amp;IF(ISNUMBER(AD287),TEXT(AD287,"ddd d mmm, hh:mm"),"slot to confirm with venue")&amp;" · "&amp;AE287&amp;" · "&amp;IF(AF287&lt;&gt;"","£"&amp;TEXT(AF287,"0.00")&amp;" pp","price TBC")</f>
        <v/>
      </c>
      <c r="AH287" s="14">
        <f>IF(U287&lt;&gt;"",U287,IF(H287&lt;&gt;"",H287,""))</f>
        <v/>
      </c>
      <c r="AI287" s="14">
        <f>"After-work football for "&amp;F287&amp;" · "&amp;Z287&amp;", "&amp;AA287&amp;" min from your office"</f>
        <v/>
      </c>
      <c r="AJ287" s="14">
        <f>"Hi "&amp;IF(R287&lt;&gt;"",R287,F287&amp;" team")&amp;","&amp;CHAR(10)&amp;CHAR(10)&amp;"I'm "&amp;IF(AM287&lt;&gt;"",AM287,IF(Offer!$C$5&lt;&gt;"",Offer!$C$5,"[NAME]"))&amp;" from FC Urban. We organise after-work football for teams in the City and Canary Wharf."&amp;CHAR(10)&amp;CHAR(10)&amp;"We have a "&amp;AE287&amp;" pitch at "&amp;Z287&amp;", "&amp;IF(OR(AA287=8,AA287=11,AA287=18),"an ","a ")&amp;AA287&amp;"-minute walk from your "&amp;P287&amp;" office, "&amp;IF(ISNUMBER(AD287),"on "&amp;TEXT(AD287,"dddd d mmmm")&amp;" at "&amp;TEXT(AD287,"hh:mm"),"on a weekday evening that suits your team")&amp;". It's "&amp;IF(AF287&lt;&gt;"","£"&amp;IF(AF287=INT(AF287),TEXT(AF287,"0"),TEXT(AF287,"0.00")),"[PRICE PER PLAYER]")&amp;" a player and we handle the pitch booking, sign-ups and payments, so all it takes is one person sharing a link with the team."&amp;CHAR(10)&amp;CHAR(10)&amp;"It works well as a team social or "&amp;IF(ISNUMBER(SEARCH(LEFT(F287,1),"AEIOU")),"an ","a ")&amp;F287&amp;"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LINK]")&amp;CHAR(10)&amp;CHAR(10)&amp;"Best,"&amp;CHAR(10)&amp;IF(AM287&lt;&gt;"",AM287,IF(Offer!$C$5&lt;&gt;"",Offer!$C$5,"[NAME]"))&amp;CHAR(10)&amp;"FC Urban"</f>
        <v/>
      </c>
      <c r="AK287" s="14">
        <f>"Hi "&amp;IF(R287&lt;&gt;"",R287,F287&amp;" team")&amp;","&amp;CHAR(10)&amp;CHAR(10)&amp;"Just bumping this up. The "&amp;AE287&amp;" pitch at "&amp;Z287&amp;" is still free "&amp;IF(ISNUMBER(AD287),TEXT(AD287,"ddd d mmm")&amp;", "&amp;TEXT(AD287,"hh:mm"),"weekday evenings")&amp;", "&amp;IF(OR(AA287=8,AA287=11,AA287=18),"an ","a ")&amp;AA287&amp;"-minute walk from your office, "&amp;IF(AF287&lt;&gt;"","£"&amp;IF(AF287=INT(AF287),TEXT(AF287,"0"),TEXT(AF287,"0.00")),"[PRICE PER PLAYER]")&amp;" a player. Happy to hold it for "&amp;F287&amp;"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LINK]")&amp;CHAR(10)&amp;CHAR(10)&amp;"Best,"&amp;CHAR(10)&amp;IF(AM287&lt;&gt;"",AM287,IF(Offer!$C$5&lt;&gt;"",Offer!$C$5,"[NAME]"))&amp;CHAR(10)&amp;"FC Urban"</f>
        <v/>
      </c>
      <c r="AL287" s="14">
        <f>IF(AH287="","No email yet",IF(ISNUMBER(SEARCH("[",AJ287)),"Fill placeholders",IF(ISNUMBER(AD287),"Ready to send","Ready · no fixed slot")))</f>
        <v/>
      </c>
      <c r="AO287" s="17" t="n"/>
      <c r="AP287" s="17" t="n"/>
    </row>
    <row r="288">
      <c r="A288" s="11" t="n">
        <v>286</v>
      </c>
      <c r="B288" s="11" t="n">
        <v>3</v>
      </c>
      <c r="C288" s="11" t="inlineStr">
        <is>
          <t>Insurance / broker</t>
        </is>
      </c>
      <c r="D288" s="11" t="inlineStr">
        <is>
          <t>City of London</t>
        </is>
      </c>
      <c r="E288" s="11" t="inlineStr">
        <is>
          <t>Augment Risk UK Trading Limited</t>
        </is>
      </c>
      <c r="F288" s="11" t="inlineStr">
        <is>
          <t>Augment Risk UK Trading</t>
        </is>
      </c>
      <c r="G288" s="11" t="n"/>
      <c r="H288" s="11" t="n"/>
      <c r="I288" s="11" t="inlineStr">
        <is>
          <t>Not found</t>
        </is>
      </c>
      <c r="J288" s="11" t="n"/>
      <c r="K288" s="11" t="inlineStr">
        <is>
          <t>14525552</t>
        </is>
      </c>
      <c r="L288" s="12" t="inlineStr">
        <is>
          <t>Open</t>
        </is>
      </c>
      <c r="M288" s="11" t="inlineStr">
        <is>
          <t>Full</t>
        </is>
      </c>
      <c r="N288" s="13" t="n">
        <v>44901</v>
      </c>
      <c r="O288" s="11" t="inlineStr">
        <is>
          <t>1 Cornhill, London</t>
        </is>
      </c>
      <c r="P288" s="11" t="inlineStr">
        <is>
          <t>EC3V 3ND</t>
        </is>
      </c>
      <c r="Q288" s="11" t="inlineStr">
        <is>
          <t>Yes</t>
        </is>
      </c>
      <c r="W288" s="11" t="inlineStr">
        <is>
          <t>City of London School (EC4V 3AL)</t>
        </is>
      </c>
      <c r="X288" s="11" t="n">
        <v>14</v>
      </c>
      <c r="Y288" s="11" t="inlineStr">
        <is>
          <t>Liverpool St - Attlee Centre (18.1); Marlborough Sports Garden (SE1 1SD) (18.9)</t>
        </is>
      </c>
      <c r="Z288" s="11" t="inlineStr">
        <is>
          <t>City of London School (EC4V 3AL)</t>
        </is>
      </c>
      <c r="AA288" s="11" t="n">
        <v>14</v>
      </c>
      <c r="AB288" s="14">
        <f>IFERROR(INDEX(Venues!$E$2:$E$17,MATCH(Z288,Venues!$A$2:$A$17,0)),"Not checked")</f>
        <v/>
      </c>
      <c r="AC288" s="14">
        <f>IFERROR(INDEX(Venues!$F$2:$F$17,MATCH(Z288,Venues!$A$2:$A$17,0)),0)</f>
        <v/>
      </c>
      <c r="AD288" s="15">
        <f>IFERROR(INDEX(Venues!$M$2:$M$17,MATCH(Z288,Venues!$A$2:$A$17,0)),"")</f>
        <v/>
      </c>
      <c r="AE288" s="14">
        <f>IFERROR(INDEX(Venues!$N$2:$N$17,MATCH(Z288,Venues!$A$2:$A$17,0)),"5-a-side")</f>
        <v/>
      </c>
      <c r="AF288" s="16">
        <f>IF(Offer!$C$4="","",Offer!$C$4)</f>
        <v/>
      </c>
      <c r="AG288" s="14">
        <f>Z288&amp;" ("&amp;AA288&amp;" min walk) · "&amp;IF(ISNUMBER(AD288),TEXT(AD288,"ddd d mmm, hh:mm"),"slot to confirm with venue")&amp;" · "&amp;AE288&amp;" · "&amp;IF(AF288&lt;&gt;"","£"&amp;TEXT(AF288,"0.00")&amp;" pp","price TBC")</f>
        <v/>
      </c>
      <c r="AH288" s="14">
        <f>IF(U288&lt;&gt;"",U288,IF(H288&lt;&gt;"",H288,""))</f>
        <v/>
      </c>
      <c r="AI288" s="14">
        <f>"After-work football for "&amp;F288&amp;" · "&amp;Z288&amp;", "&amp;AA288&amp;" min from your office"</f>
        <v/>
      </c>
      <c r="AJ288" s="14">
        <f>"Hi "&amp;IF(R288&lt;&gt;"",R288,F288&amp;" team")&amp;","&amp;CHAR(10)&amp;CHAR(10)&amp;"I'm "&amp;IF(AM288&lt;&gt;"",AM288,IF(Offer!$C$5&lt;&gt;"",Offer!$C$5,"[NAME]"))&amp;" from FC Urban. We organise after-work football for teams in the City and Canary Wharf."&amp;CHAR(10)&amp;CHAR(10)&amp;"We have a "&amp;AE288&amp;" pitch at "&amp;Z288&amp;", "&amp;IF(OR(AA288=8,AA288=11,AA288=18),"an ","a ")&amp;AA288&amp;"-minute walk from your "&amp;P288&amp;" office, "&amp;IF(ISNUMBER(AD288),"on "&amp;TEXT(AD288,"dddd d mmmm")&amp;" at "&amp;TEXT(AD288,"hh:mm"),"on a weekday evening that suits your team")&amp;". It's "&amp;IF(AF288&lt;&gt;"","£"&amp;IF(AF288=INT(AF288),TEXT(AF288,"0"),TEXT(AF288,"0.00")),"[PRICE PER PLAYER]")&amp;" a player and we handle the pitch booking, sign-ups and payments, so all it takes is one person sharing a link with the team."&amp;CHAR(10)&amp;CHAR(10)&amp;"It works well as a team social or "&amp;IF(ISNUMBER(SEARCH(LEFT(F288,1),"AEIOU")),"an ","a ")&amp;F288&amp;"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LINK]")&amp;CHAR(10)&amp;CHAR(10)&amp;"Best,"&amp;CHAR(10)&amp;IF(AM288&lt;&gt;"",AM288,IF(Offer!$C$5&lt;&gt;"",Offer!$C$5,"[NAME]"))&amp;CHAR(10)&amp;"FC Urban"</f>
        <v/>
      </c>
      <c r="AK288" s="14">
        <f>"Hi "&amp;IF(R288&lt;&gt;"",R288,F288&amp;" team")&amp;","&amp;CHAR(10)&amp;CHAR(10)&amp;"Just bumping this up. The "&amp;AE288&amp;" pitch at "&amp;Z288&amp;" is still free "&amp;IF(ISNUMBER(AD288),TEXT(AD288,"ddd d mmm")&amp;", "&amp;TEXT(AD288,"hh:mm"),"weekday evenings")&amp;", "&amp;IF(OR(AA288=8,AA288=11,AA288=18),"an ","a ")&amp;AA288&amp;"-minute walk from your office, "&amp;IF(AF288&lt;&gt;"","£"&amp;IF(AF288=INT(AF288),TEXT(AF288,"0"),TEXT(AF288,"0.00")),"[PRICE PER PLAYER]")&amp;" a player. Happy to hold it for "&amp;F288&amp;"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LINK]")&amp;CHAR(10)&amp;CHAR(10)&amp;"Best,"&amp;CHAR(10)&amp;IF(AM288&lt;&gt;"",AM288,IF(Offer!$C$5&lt;&gt;"",Offer!$C$5,"[NAME]"))&amp;CHAR(10)&amp;"FC Urban"</f>
        <v/>
      </c>
      <c r="AL288" s="14">
        <f>IF(AH288="","No email yet",IF(ISNUMBER(SEARCH("[",AJ288)),"Fill placeholders",IF(ISNUMBER(AD288),"Ready to send","Ready · no fixed slot")))</f>
        <v/>
      </c>
      <c r="AO288" s="17" t="n"/>
      <c r="AP288" s="17" t="n"/>
    </row>
    <row r="289">
      <c r="A289" s="11" t="n">
        <v>287</v>
      </c>
      <c r="B289" s="11" t="n">
        <v>3</v>
      </c>
      <c r="C289" s="11" t="inlineStr">
        <is>
          <t>Insurance / broker</t>
        </is>
      </c>
      <c r="D289" s="11" t="inlineStr">
        <is>
          <t>City of London</t>
        </is>
      </c>
      <c r="E289" s="11" t="inlineStr">
        <is>
          <t>Helios Underwriting PLC</t>
        </is>
      </c>
      <c r="F289" s="11" t="inlineStr">
        <is>
          <t>Helios Underwriting</t>
        </is>
      </c>
      <c r="G289" s="12" t="inlineStr">
        <is>
          <t>https://www.helios.co.uk</t>
        </is>
      </c>
      <c r="H289" s="11" t="n"/>
      <c r="I289" s="11" t="inlineStr">
        <is>
          <t>Not found</t>
        </is>
      </c>
      <c r="J289" s="11" t="n"/>
      <c r="K289" s="11" t="inlineStr">
        <is>
          <t>05892671</t>
        </is>
      </c>
      <c r="L289" s="12" t="inlineStr">
        <is>
          <t>Open</t>
        </is>
      </c>
      <c r="M289" s="11" t="inlineStr">
        <is>
          <t>Full</t>
        </is>
      </c>
      <c r="N289" s="13" t="n">
        <v>38930</v>
      </c>
      <c r="O289" s="11" t="inlineStr">
        <is>
          <t>1St Floor, 33 Cornhill, London</t>
        </is>
      </c>
      <c r="P289" s="11" t="inlineStr">
        <is>
          <t>EC3V 3ND</t>
        </is>
      </c>
      <c r="Q289" s="11" t="inlineStr">
        <is>
          <t>Yes</t>
        </is>
      </c>
      <c r="W289" s="11" t="inlineStr">
        <is>
          <t>City of London School (EC4V 3AL)</t>
        </is>
      </c>
      <c r="X289" s="11" t="n">
        <v>14</v>
      </c>
      <c r="Y289" s="11" t="inlineStr">
        <is>
          <t>Liverpool St - Attlee Centre (18.1); Marlborough Sports Garden (SE1 1SD) (18.9)</t>
        </is>
      </c>
      <c r="Z289" s="11" t="inlineStr">
        <is>
          <t>City of London School (EC4V 3AL)</t>
        </is>
      </c>
      <c r="AA289" s="11" t="n">
        <v>14</v>
      </c>
      <c r="AB289" s="14">
        <f>IFERROR(INDEX(Venues!$E$2:$E$17,MATCH(Z289,Venues!$A$2:$A$17,0)),"Not checked")</f>
        <v/>
      </c>
      <c r="AC289" s="14">
        <f>IFERROR(INDEX(Venues!$F$2:$F$17,MATCH(Z289,Venues!$A$2:$A$17,0)),0)</f>
        <v/>
      </c>
      <c r="AD289" s="15">
        <f>IFERROR(INDEX(Venues!$M$2:$M$17,MATCH(Z289,Venues!$A$2:$A$17,0)),"")</f>
        <v/>
      </c>
      <c r="AE289" s="14">
        <f>IFERROR(INDEX(Venues!$N$2:$N$17,MATCH(Z289,Venues!$A$2:$A$17,0)),"5-a-side")</f>
        <v/>
      </c>
      <c r="AF289" s="16">
        <f>IF(Offer!$C$4="","",Offer!$C$4)</f>
        <v/>
      </c>
      <c r="AG289" s="14">
        <f>Z289&amp;" ("&amp;AA289&amp;" min walk) · "&amp;IF(ISNUMBER(AD289),TEXT(AD289,"ddd d mmm, hh:mm"),"slot to confirm with venue")&amp;" · "&amp;AE289&amp;" · "&amp;IF(AF289&lt;&gt;"","£"&amp;TEXT(AF289,"0.00")&amp;" pp","price TBC")</f>
        <v/>
      </c>
      <c r="AH289" s="14">
        <f>IF(U289&lt;&gt;"",U289,IF(H289&lt;&gt;"",H289,""))</f>
        <v/>
      </c>
      <c r="AI289" s="14">
        <f>"After-work football for "&amp;F289&amp;" · "&amp;Z289&amp;", "&amp;AA289&amp;" min from your office"</f>
        <v/>
      </c>
      <c r="AJ289" s="14">
        <f>"Hi "&amp;IF(R289&lt;&gt;"",R289,F289&amp;" team")&amp;","&amp;CHAR(10)&amp;CHAR(10)&amp;"I'm "&amp;IF(AM289&lt;&gt;"",AM289,IF(Offer!$C$5&lt;&gt;"",Offer!$C$5,"[NAME]"))&amp;" from FC Urban. We organise after-work football for teams in the City and Canary Wharf."&amp;CHAR(10)&amp;CHAR(10)&amp;"We have a "&amp;AE289&amp;" pitch at "&amp;Z289&amp;", "&amp;IF(OR(AA289=8,AA289=11,AA289=18),"an ","a ")&amp;AA289&amp;"-minute walk from your "&amp;P289&amp;" office, "&amp;IF(ISNUMBER(AD289),"on "&amp;TEXT(AD289,"dddd d mmmm")&amp;" at "&amp;TEXT(AD289,"hh:mm"),"on a weekday evening that suits your team")&amp;". It's "&amp;IF(AF289&lt;&gt;"","£"&amp;IF(AF289=INT(AF289),TEXT(AF289,"0"),TEXT(AF289,"0.00")),"[PRICE PER PLAYER]")&amp;" a player and we handle the pitch booking, sign-ups and payments, so all it takes is one person sharing a link with the team."&amp;CHAR(10)&amp;CHAR(10)&amp;"It works well as a team social or "&amp;IF(ISNUMBER(SEARCH(LEFT(F289,1),"AEIOU")),"an ","a ")&amp;F289&amp;"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LINK]")&amp;CHAR(10)&amp;CHAR(10)&amp;"Best,"&amp;CHAR(10)&amp;IF(AM289&lt;&gt;"",AM289,IF(Offer!$C$5&lt;&gt;"",Offer!$C$5,"[NAME]"))&amp;CHAR(10)&amp;"FC Urban"</f>
        <v/>
      </c>
      <c r="AK289" s="14">
        <f>"Hi "&amp;IF(R289&lt;&gt;"",R289,F289&amp;" team")&amp;","&amp;CHAR(10)&amp;CHAR(10)&amp;"Just bumping this up. The "&amp;AE289&amp;" pitch at "&amp;Z289&amp;" is still free "&amp;IF(ISNUMBER(AD289),TEXT(AD289,"ddd d mmm")&amp;", "&amp;TEXT(AD289,"hh:mm"),"weekday evenings")&amp;", "&amp;IF(OR(AA289=8,AA289=11,AA289=18),"an ","a ")&amp;AA289&amp;"-minute walk from your office, "&amp;IF(AF289&lt;&gt;"","£"&amp;IF(AF289=INT(AF289),TEXT(AF289,"0"),TEXT(AF289,"0.00")),"[PRICE PER PLAYER]")&amp;" a player. Happy to hold it for "&amp;F289&amp;"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LINK]")&amp;CHAR(10)&amp;CHAR(10)&amp;"Best,"&amp;CHAR(10)&amp;IF(AM289&lt;&gt;"",AM289,IF(Offer!$C$5&lt;&gt;"",Offer!$C$5,"[NAME]"))&amp;CHAR(10)&amp;"FC Urban"</f>
        <v/>
      </c>
      <c r="AL289" s="14">
        <f>IF(AH289="","No email yet",IF(ISNUMBER(SEARCH("[",AJ289)),"Fill placeholders",IF(ISNUMBER(AD289),"Ready to send","Ready · no fixed slot")))</f>
        <v/>
      </c>
      <c r="AO289" s="17" t="n"/>
      <c r="AP289" s="17" t="n"/>
    </row>
    <row r="290">
      <c r="A290" s="11" t="n">
        <v>288</v>
      </c>
      <c r="B290" s="11" t="n">
        <v>3</v>
      </c>
      <c r="C290" s="11" t="inlineStr">
        <is>
          <t>Insurance / broker</t>
        </is>
      </c>
      <c r="D290" s="11" t="inlineStr">
        <is>
          <t>City of London</t>
        </is>
      </c>
      <c r="E290" s="11" t="inlineStr">
        <is>
          <t>Artex Risk Solutions (UK) Limited</t>
        </is>
      </c>
      <c r="F290" s="11" t="inlineStr">
        <is>
          <t>Artex Risk Solutions</t>
        </is>
      </c>
      <c r="G290" s="12" t="inlineStr">
        <is>
          <t>https://www.artexrisk.com</t>
        </is>
      </c>
      <c r="H290" s="11" t="inlineStr">
        <is>
          <t>artexinfo@artexrisk.com</t>
        </is>
      </c>
      <c r="I290" s="11" t="inlineStr">
        <is>
          <t>named person</t>
        </is>
      </c>
      <c r="J290" s="12" t="inlineStr">
        <is>
          <t>Open page</t>
        </is>
      </c>
      <c r="K290" s="11" t="inlineStr">
        <is>
          <t>08213668</t>
        </is>
      </c>
      <c r="L290" s="12" t="inlineStr">
        <is>
          <t>Open</t>
        </is>
      </c>
      <c r="M290" s="11" t="inlineStr">
        <is>
          <t>Full</t>
        </is>
      </c>
      <c r="N290" s="13" t="n">
        <v>41165</v>
      </c>
      <c r="O290" s="11" t="inlineStr">
        <is>
          <t>67 Lombard Street, London</t>
        </is>
      </c>
      <c r="P290" s="11" t="inlineStr">
        <is>
          <t>EC3V 9LJ</t>
        </is>
      </c>
      <c r="Q290" s="11" t="inlineStr">
        <is>
          <t>Yes</t>
        </is>
      </c>
      <c r="W290" s="11" t="inlineStr">
        <is>
          <t>City of London School (EC4V 3AL)</t>
        </is>
      </c>
      <c r="X290" s="11" t="n">
        <v>14</v>
      </c>
      <c r="Y290" s="11" t="inlineStr">
        <is>
          <t>Marlborough Sports Garden (SE1 1SD) (18); Liverpool St - Attlee Centre (18.3)</t>
        </is>
      </c>
      <c r="Z290" s="11" t="inlineStr">
        <is>
          <t>City of London School (EC4V 3AL)</t>
        </is>
      </c>
      <c r="AA290" s="11" t="n">
        <v>14</v>
      </c>
      <c r="AB290" s="14">
        <f>IFERROR(INDEX(Venues!$E$2:$E$17,MATCH(Z290,Venues!$A$2:$A$17,0)),"Not checked")</f>
        <v/>
      </c>
      <c r="AC290" s="14">
        <f>IFERROR(INDEX(Venues!$F$2:$F$17,MATCH(Z290,Venues!$A$2:$A$17,0)),0)</f>
        <v/>
      </c>
      <c r="AD290" s="15">
        <f>IFERROR(INDEX(Venues!$M$2:$M$17,MATCH(Z290,Venues!$A$2:$A$17,0)),"")</f>
        <v/>
      </c>
      <c r="AE290" s="14">
        <f>IFERROR(INDEX(Venues!$N$2:$N$17,MATCH(Z290,Venues!$A$2:$A$17,0)),"5-a-side")</f>
        <v/>
      </c>
      <c r="AF290" s="16">
        <f>IF(Offer!$C$4="","",Offer!$C$4)</f>
        <v/>
      </c>
      <c r="AG290" s="14">
        <f>Z290&amp;" ("&amp;AA290&amp;" min walk) · "&amp;IF(ISNUMBER(AD290),TEXT(AD290,"ddd d mmm, hh:mm"),"slot to confirm with venue")&amp;" · "&amp;AE290&amp;" · "&amp;IF(AF290&lt;&gt;"","£"&amp;TEXT(AF290,"0.00")&amp;" pp","price TBC")</f>
        <v/>
      </c>
      <c r="AH290" s="14">
        <f>IF(U290&lt;&gt;"",U290,IF(H290&lt;&gt;"",H290,""))</f>
        <v/>
      </c>
      <c r="AI290" s="14">
        <f>"After-work football for "&amp;F290&amp;" · "&amp;Z290&amp;", "&amp;AA290&amp;" min from your office"</f>
        <v/>
      </c>
      <c r="AJ290" s="14">
        <f>"Hi "&amp;IF(R290&lt;&gt;"",R290,F290&amp;" team")&amp;","&amp;CHAR(10)&amp;CHAR(10)&amp;"I'm "&amp;IF(AM290&lt;&gt;"",AM290,IF(Offer!$C$5&lt;&gt;"",Offer!$C$5,"[NAME]"))&amp;" from FC Urban. We organise after-work football for teams in the City and Canary Wharf."&amp;CHAR(10)&amp;CHAR(10)&amp;"We have a "&amp;AE290&amp;" pitch at "&amp;Z290&amp;", "&amp;IF(OR(AA290=8,AA290=11,AA290=18),"an ","a ")&amp;AA290&amp;"-minute walk from your "&amp;P290&amp;" office, "&amp;IF(ISNUMBER(AD290),"on "&amp;TEXT(AD290,"dddd d mmmm")&amp;" at "&amp;TEXT(AD290,"hh:mm"),"on a weekday evening that suits your team")&amp;". It's "&amp;IF(AF290&lt;&gt;"","£"&amp;IF(AF290=INT(AF290),TEXT(AF290,"0"),TEXT(AF290,"0.00")),"[PRICE PER PLAYER]")&amp;" a player and we handle the pitch booking, sign-ups and payments, so all it takes is one person sharing a link with the team."&amp;CHAR(10)&amp;CHAR(10)&amp;"It works well as a team social or "&amp;IF(ISNUMBER(SEARCH(LEFT(F290,1),"AEIOU")),"an ","a ")&amp;F290&amp;"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LINK]")&amp;CHAR(10)&amp;CHAR(10)&amp;"Best,"&amp;CHAR(10)&amp;IF(AM290&lt;&gt;"",AM290,IF(Offer!$C$5&lt;&gt;"",Offer!$C$5,"[NAME]"))&amp;CHAR(10)&amp;"FC Urban"</f>
        <v/>
      </c>
      <c r="AK290" s="14">
        <f>"Hi "&amp;IF(R290&lt;&gt;"",R290,F290&amp;" team")&amp;","&amp;CHAR(10)&amp;CHAR(10)&amp;"Just bumping this up. The "&amp;AE290&amp;" pitch at "&amp;Z290&amp;" is still free "&amp;IF(ISNUMBER(AD290),TEXT(AD290,"ddd d mmm")&amp;", "&amp;TEXT(AD290,"hh:mm"),"weekday evenings")&amp;", "&amp;IF(OR(AA290=8,AA290=11,AA290=18),"an ","a ")&amp;AA290&amp;"-minute walk from your office, "&amp;IF(AF290&lt;&gt;"","£"&amp;IF(AF290=INT(AF290),TEXT(AF290,"0"),TEXT(AF290,"0.00")),"[PRICE PER PLAYER]")&amp;" a player. Happy to hold it for "&amp;F290&amp;"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LINK]")&amp;CHAR(10)&amp;CHAR(10)&amp;"Best,"&amp;CHAR(10)&amp;IF(AM290&lt;&gt;"",AM290,IF(Offer!$C$5&lt;&gt;"",Offer!$C$5,"[NAME]"))&amp;CHAR(10)&amp;"FC Urban"</f>
        <v/>
      </c>
      <c r="AL290" s="14">
        <f>IF(AH290="","No email yet",IF(ISNUMBER(SEARCH("[",AJ290)),"Fill placeholders",IF(ISNUMBER(AD290),"Ready to send","Ready · no fixed slot")))</f>
        <v/>
      </c>
      <c r="AO290" s="17" t="n"/>
      <c r="AP290" s="17" t="n"/>
    </row>
    <row r="291">
      <c r="A291" s="11" t="n">
        <v>289</v>
      </c>
      <c r="B291" s="11" t="n">
        <v>3</v>
      </c>
      <c r="C291" s="11" t="inlineStr">
        <is>
          <t>Fund / asset manager</t>
        </is>
      </c>
      <c r="D291" s="11" t="inlineStr">
        <is>
          <t>City of London</t>
        </is>
      </c>
      <c r="E291" s="11" t="inlineStr">
        <is>
          <t>Farringdon Capital Ltd</t>
        </is>
      </c>
      <c r="F291" s="11" t="inlineStr">
        <is>
          <t>Farringdon Capital</t>
        </is>
      </c>
      <c r="G291" s="12" t="inlineStr">
        <is>
          <t>https://www.farringdon.com</t>
        </is>
      </c>
      <c r="H291" s="11" t="inlineStr">
        <is>
          <t>contact@farringdon.com</t>
        </is>
      </c>
      <c r="I291" s="11" t="inlineStr">
        <is>
          <t>general</t>
        </is>
      </c>
      <c r="J291" s="12" t="inlineStr">
        <is>
          <t>Open page</t>
        </is>
      </c>
      <c r="K291" s="11" t="inlineStr">
        <is>
          <t>11270472</t>
        </is>
      </c>
      <c r="L291" s="12" t="inlineStr">
        <is>
          <t>Open</t>
        </is>
      </c>
      <c r="M291" s="11" t="inlineStr">
        <is>
          <t>Full</t>
        </is>
      </c>
      <c r="N291" s="13" t="n">
        <v>43181</v>
      </c>
      <c r="O291" s="11" t="inlineStr">
        <is>
          <t>6/F West, Bridge House, 4 Borough High Street, London</t>
        </is>
      </c>
      <c r="P291" s="11" t="inlineStr">
        <is>
          <t>SE1 9QQ</t>
        </is>
      </c>
      <c r="Q291" s="11" t="inlineStr">
        <is>
          <t>No</t>
        </is>
      </c>
      <c r="W291" s="11" t="inlineStr">
        <is>
          <t>Marlborough Sports Garden (SE1 1SD)</t>
        </is>
      </c>
      <c r="X291" s="11" t="n">
        <v>7</v>
      </c>
      <c r="Y291" s="11" t="inlineStr">
        <is>
          <t>City of London School (EC4V 3AL) (14.6); Borough Academy (14.9)</t>
        </is>
      </c>
      <c r="Z291" s="11" t="inlineStr">
        <is>
          <t>City of London School (EC4V 3AL)</t>
        </is>
      </c>
      <c r="AA291" s="11" t="n">
        <v>15</v>
      </c>
      <c r="AB291" s="14">
        <f>IFERROR(INDEX(Venues!$E$2:$E$17,MATCH(Z291,Venues!$A$2:$A$17,0)),"Not checked")</f>
        <v/>
      </c>
      <c r="AC291" s="14">
        <f>IFERROR(INDEX(Venues!$F$2:$F$17,MATCH(Z291,Venues!$A$2:$A$17,0)),0)</f>
        <v/>
      </c>
      <c r="AD291" s="15">
        <f>IFERROR(INDEX(Venues!$M$2:$M$17,MATCH(Z291,Venues!$A$2:$A$17,0)),"")</f>
        <v/>
      </c>
      <c r="AE291" s="14">
        <f>IFERROR(INDEX(Venues!$N$2:$N$17,MATCH(Z291,Venues!$A$2:$A$17,0)),"5-a-side")</f>
        <v/>
      </c>
      <c r="AF291" s="16">
        <f>IF(Offer!$C$4="","",Offer!$C$4)</f>
        <v/>
      </c>
      <c r="AG291" s="14">
        <f>Z291&amp;" ("&amp;AA291&amp;" min walk) · "&amp;IF(ISNUMBER(AD291),TEXT(AD291,"ddd d mmm, hh:mm"),"slot to confirm with venue")&amp;" · "&amp;AE291&amp;" · "&amp;IF(AF291&lt;&gt;"","£"&amp;TEXT(AF291,"0.00")&amp;" pp","price TBC")</f>
        <v/>
      </c>
      <c r="AH291" s="14">
        <f>IF(U291&lt;&gt;"",U291,IF(H291&lt;&gt;"",H291,""))</f>
        <v/>
      </c>
      <c r="AI291" s="14">
        <f>"After-work football for "&amp;F291&amp;" · "&amp;Z291&amp;", "&amp;AA291&amp;" min from your office"</f>
        <v/>
      </c>
      <c r="AJ291" s="14">
        <f>"Hi "&amp;IF(R291&lt;&gt;"",R291,F291&amp;" team")&amp;","&amp;CHAR(10)&amp;CHAR(10)&amp;"I'm "&amp;IF(AM291&lt;&gt;"",AM291,IF(Offer!$C$5&lt;&gt;"",Offer!$C$5,"[NAME]"))&amp;" from FC Urban. We organise after-work football for teams in the City and Canary Wharf."&amp;CHAR(10)&amp;CHAR(10)&amp;"We have a "&amp;AE291&amp;" pitch at "&amp;Z291&amp;", "&amp;IF(OR(AA291=8,AA291=11,AA291=18),"an ","a ")&amp;AA291&amp;"-minute walk from your "&amp;P291&amp;" office, "&amp;IF(ISNUMBER(AD291),"on "&amp;TEXT(AD291,"dddd d mmmm")&amp;" at "&amp;TEXT(AD291,"hh:mm"),"on a weekday evening that suits your team")&amp;". It's "&amp;IF(AF291&lt;&gt;"","£"&amp;IF(AF291=INT(AF291),TEXT(AF291,"0"),TEXT(AF291,"0.00")),"[PRICE PER PLAYER]")&amp;" a player and we handle the pitch booking, sign-ups and payments, so all it takes is one person sharing a link with the team."&amp;CHAR(10)&amp;CHAR(10)&amp;"It works well as a team social or "&amp;IF(ISNUMBER(SEARCH(LEFT(F291,1),"AEIOU")),"an ","a ")&amp;F291&amp;"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LINK]")&amp;CHAR(10)&amp;CHAR(10)&amp;"Best,"&amp;CHAR(10)&amp;IF(AM291&lt;&gt;"",AM291,IF(Offer!$C$5&lt;&gt;"",Offer!$C$5,"[NAME]"))&amp;CHAR(10)&amp;"FC Urban"</f>
        <v/>
      </c>
      <c r="AK291" s="14">
        <f>"Hi "&amp;IF(R291&lt;&gt;"",R291,F291&amp;" team")&amp;","&amp;CHAR(10)&amp;CHAR(10)&amp;"Just bumping this up. The "&amp;AE291&amp;" pitch at "&amp;Z291&amp;" is still free "&amp;IF(ISNUMBER(AD291),TEXT(AD291,"ddd d mmm")&amp;", "&amp;TEXT(AD291,"hh:mm"),"weekday evenings")&amp;", "&amp;IF(OR(AA291=8,AA291=11,AA291=18),"an ","a ")&amp;AA291&amp;"-minute walk from your office, "&amp;IF(AF291&lt;&gt;"","£"&amp;IF(AF291=INT(AF291),TEXT(AF291,"0"),TEXT(AF291,"0.00")),"[PRICE PER PLAYER]")&amp;" a player. Happy to hold it for "&amp;F291&amp;"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LINK]")&amp;CHAR(10)&amp;CHAR(10)&amp;"Best,"&amp;CHAR(10)&amp;IF(AM291&lt;&gt;"",AM291,IF(Offer!$C$5&lt;&gt;"",Offer!$C$5,"[NAME]"))&amp;CHAR(10)&amp;"FC Urban"</f>
        <v/>
      </c>
      <c r="AL291" s="14">
        <f>IF(AH291="","No email yet",IF(ISNUMBER(SEARCH("[",AJ291)),"Fill placeholders",IF(ISNUMBER(AD291),"Ready to send","Ready · no fixed slot")))</f>
        <v/>
      </c>
      <c r="AO291" s="17" t="n"/>
      <c r="AP291" s="17" t="n"/>
    </row>
    <row r="292">
      <c r="A292" s="11" t="n">
        <v>290</v>
      </c>
      <c r="B292" s="11" t="n">
        <v>3</v>
      </c>
      <c r="C292" s="11" t="inlineStr">
        <is>
          <t>Advisory / accountancy</t>
        </is>
      </c>
      <c r="D292" s="11" t="inlineStr">
        <is>
          <t>City of London</t>
        </is>
      </c>
      <c r="E292" s="11" t="inlineStr">
        <is>
          <t>Dr J H Burgoyne &amp; Partners Limited Liability Partnership</t>
        </is>
      </c>
      <c r="F292" s="11" t="inlineStr">
        <is>
          <t>Dr J H Burgoyne &amp; Partners</t>
        </is>
      </c>
      <c r="G292" s="11" t="n"/>
      <c r="H292" s="11" t="n"/>
      <c r="I292" s="11" t="inlineStr">
        <is>
          <t>Not found</t>
        </is>
      </c>
      <c r="J292" s="11" t="n"/>
      <c r="K292" s="11" t="inlineStr">
        <is>
          <t>OC300263</t>
        </is>
      </c>
      <c r="L292" s="12" t="inlineStr">
        <is>
          <t>Open</t>
        </is>
      </c>
      <c r="M292" s="11" t="inlineStr">
        <is>
          <t>Full</t>
        </is>
      </c>
      <c r="N292" s="13" t="n">
        <v>37060</v>
      </c>
      <c r="O292" s="11" t="inlineStr">
        <is>
          <t>11-12 Half Moon Court, Bartholomew Close, London</t>
        </is>
      </c>
      <c r="P292" s="11" t="inlineStr">
        <is>
          <t>EC1A 7HF</t>
        </is>
      </c>
      <c r="Q292" s="11" t="inlineStr">
        <is>
          <t>No</t>
        </is>
      </c>
      <c r="W292" s="11" t="inlineStr">
        <is>
          <t>Finsbury Leisure Centre (EC1V 3PU)</t>
        </is>
      </c>
      <c r="X292" s="11" t="n">
        <v>13</v>
      </c>
      <c r="Y292" s="11" t="inlineStr">
        <is>
          <t>City of London School (EC4V 3AL) (14.7); Old St - Moreland Primary School (17.6)</t>
        </is>
      </c>
      <c r="Z292" s="11" t="inlineStr">
        <is>
          <t>City of London School (EC4V 3AL)</t>
        </is>
      </c>
      <c r="AA292" s="11" t="n">
        <v>15</v>
      </c>
      <c r="AB292" s="14">
        <f>IFERROR(INDEX(Venues!$E$2:$E$17,MATCH(Z292,Venues!$A$2:$A$17,0)),"Not checked")</f>
        <v/>
      </c>
      <c r="AC292" s="14">
        <f>IFERROR(INDEX(Venues!$F$2:$F$17,MATCH(Z292,Venues!$A$2:$A$17,0)),0)</f>
        <v/>
      </c>
      <c r="AD292" s="15">
        <f>IFERROR(INDEX(Venues!$M$2:$M$17,MATCH(Z292,Venues!$A$2:$A$17,0)),"")</f>
        <v/>
      </c>
      <c r="AE292" s="14">
        <f>IFERROR(INDEX(Venues!$N$2:$N$17,MATCH(Z292,Venues!$A$2:$A$17,0)),"5-a-side")</f>
        <v/>
      </c>
      <c r="AF292" s="16">
        <f>IF(Offer!$C$4="","",Offer!$C$4)</f>
        <v/>
      </c>
      <c r="AG292" s="14">
        <f>Z292&amp;" ("&amp;AA292&amp;" min walk) · "&amp;IF(ISNUMBER(AD292),TEXT(AD292,"ddd d mmm, hh:mm"),"slot to confirm with venue")&amp;" · "&amp;AE292&amp;" · "&amp;IF(AF292&lt;&gt;"","£"&amp;TEXT(AF292,"0.00")&amp;" pp","price TBC")</f>
        <v/>
      </c>
      <c r="AH292" s="14">
        <f>IF(U292&lt;&gt;"",U292,IF(H292&lt;&gt;"",H292,""))</f>
        <v/>
      </c>
      <c r="AI292" s="14">
        <f>"After-work football for "&amp;F292&amp;" · "&amp;Z292&amp;", "&amp;AA292&amp;" min from your office"</f>
        <v/>
      </c>
      <c r="AJ292" s="14">
        <f>"Hi "&amp;IF(R292&lt;&gt;"",R292,F292&amp;" team")&amp;","&amp;CHAR(10)&amp;CHAR(10)&amp;"I'm "&amp;IF(AM292&lt;&gt;"",AM292,IF(Offer!$C$5&lt;&gt;"",Offer!$C$5,"[NAME]"))&amp;" from FC Urban. We organise after-work football for teams in the City and Canary Wharf."&amp;CHAR(10)&amp;CHAR(10)&amp;"We have a "&amp;AE292&amp;" pitch at "&amp;Z292&amp;", "&amp;IF(OR(AA292=8,AA292=11,AA292=18),"an ","a ")&amp;AA292&amp;"-minute walk from your "&amp;P292&amp;" office, "&amp;IF(ISNUMBER(AD292),"on "&amp;TEXT(AD292,"dddd d mmmm")&amp;" at "&amp;TEXT(AD292,"hh:mm"),"on a weekday evening that suits your team")&amp;". It's "&amp;IF(AF292&lt;&gt;"","£"&amp;IF(AF292=INT(AF292),TEXT(AF292,"0"),TEXT(AF292,"0.00")),"[PRICE PER PLAYER]")&amp;" a player and we handle the pitch booking, sign-ups and payments, so all it takes is one person sharing a link with the team."&amp;CHAR(10)&amp;CHAR(10)&amp;"It works well as a team social or "&amp;IF(ISNUMBER(SEARCH(LEFT(F292,1),"AEIOU")),"an ","a ")&amp;F292&amp;"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LINK]")&amp;CHAR(10)&amp;CHAR(10)&amp;"Best,"&amp;CHAR(10)&amp;IF(AM292&lt;&gt;"",AM292,IF(Offer!$C$5&lt;&gt;"",Offer!$C$5,"[NAME]"))&amp;CHAR(10)&amp;"FC Urban"</f>
        <v/>
      </c>
      <c r="AK292" s="14">
        <f>"Hi "&amp;IF(R292&lt;&gt;"",R292,F292&amp;" team")&amp;","&amp;CHAR(10)&amp;CHAR(10)&amp;"Just bumping this up. The "&amp;AE292&amp;" pitch at "&amp;Z292&amp;" is still free "&amp;IF(ISNUMBER(AD292),TEXT(AD292,"ddd d mmm")&amp;", "&amp;TEXT(AD292,"hh:mm"),"weekday evenings")&amp;", "&amp;IF(OR(AA292=8,AA292=11,AA292=18),"an ","a ")&amp;AA292&amp;"-minute walk from your office, "&amp;IF(AF292&lt;&gt;"","£"&amp;IF(AF292=INT(AF292),TEXT(AF292,"0"),TEXT(AF292,"0.00")),"[PRICE PER PLAYER]")&amp;" a player. Happy to hold it for "&amp;F292&amp;"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LINK]")&amp;CHAR(10)&amp;CHAR(10)&amp;"Best,"&amp;CHAR(10)&amp;IF(AM292&lt;&gt;"",AM292,IF(Offer!$C$5&lt;&gt;"",Offer!$C$5,"[NAME]"))&amp;CHAR(10)&amp;"FC Urban"</f>
        <v/>
      </c>
      <c r="AL292" s="14">
        <f>IF(AH292="","No email yet",IF(ISNUMBER(SEARCH("[",AJ292)),"Fill placeholders",IF(ISNUMBER(AD292),"Ready to send","Ready · no fixed slot")))</f>
        <v/>
      </c>
      <c r="AO292" s="17" t="n"/>
      <c r="AP292" s="17" t="n"/>
    </row>
    <row r="293">
      <c r="A293" s="11" t="n">
        <v>291</v>
      </c>
      <c r="B293" s="11" t="n">
        <v>3</v>
      </c>
      <c r="C293" s="11" t="inlineStr">
        <is>
          <t>Fund / asset manager</t>
        </is>
      </c>
      <c r="D293" s="11" t="inlineStr">
        <is>
          <t>City of London</t>
        </is>
      </c>
      <c r="E293" s="11" t="inlineStr">
        <is>
          <t>Rossie House Investment Management LLP</t>
        </is>
      </c>
      <c r="F293" s="11" t="inlineStr">
        <is>
          <t>Rossie House Investment Management</t>
        </is>
      </c>
      <c r="G293" s="12" t="inlineStr">
        <is>
          <t>https://rossiehouse.com</t>
        </is>
      </c>
      <c r="H293" s="11" t="inlineStr">
        <is>
          <t>mail@rossiehouse.com</t>
        </is>
      </c>
      <c r="I293" s="11" t="inlineStr">
        <is>
          <t>general</t>
        </is>
      </c>
      <c r="J293" s="12" t="inlineStr">
        <is>
          <t>Open page</t>
        </is>
      </c>
      <c r="K293" s="11" t="inlineStr">
        <is>
          <t>OC419374</t>
        </is>
      </c>
      <c r="L293" s="12" t="inlineStr">
        <is>
          <t>Open</t>
        </is>
      </c>
      <c r="M293" s="11" t="inlineStr">
        <is>
          <t>Full</t>
        </is>
      </c>
      <c r="N293" s="13" t="n">
        <v>43013</v>
      </c>
      <c r="O293" s="11" t="inlineStr">
        <is>
          <t>10-11 Charterhouse Square, London, 10 - 11 Charterhouse Square, London</t>
        </is>
      </c>
      <c r="P293" s="11" t="inlineStr">
        <is>
          <t>EC1M 6EE</t>
        </is>
      </c>
      <c r="Q293" s="11" t="inlineStr">
        <is>
          <t>No</t>
        </is>
      </c>
      <c r="W293" s="11" t="inlineStr">
        <is>
          <t>Finsbury Leisure Centre (EC1V 3PU)</t>
        </is>
      </c>
      <c r="X293" s="11" t="n">
        <v>11</v>
      </c>
      <c r="Y293" s="11" t="inlineStr">
        <is>
          <t>Old St - Moreland Primary School (14.9); City of London School (EC4V 3AL) (17.4)</t>
        </is>
      </c>
      <c r="Z293" s="11" t="inlineStr">
        <is>
          <t>Old St - Moreland Primary School</t>
        </is>
      </c>
      <c r="AA293" s="11" t="n">
        <v>15</v>
      </c>
      <c r="AB293" s="14">
        <f>IFERROR(INDEX(Venues!$E$2:$E$17,MATCH(Z293,Venues!$A$2:$A$17,0)),"Not checked")</f>
        <v/>
      </c>
      <c r="AC293" s="14">
        <f>IFERROR(INDEX(Venues!$F$2:$F$17,MATCH(Z293,Venues!$A$2:$A$17,0)),0)</f>
        <v/>
      </c>
      <c r="AD293" s="15">
        <f>IFERROR(INDEX(Venues!$M$2:$M$17,MATCH(Z293,Venues!$A$2:$A$17,0)),"")</f>
        <v/>
      </c>
      <c r="AE293" s="14">
        <f>IFERROR(INDEX(Venues!$N$2:$N$17,MATCH(Z293,Venues!$A$2:$A$17,0)),"5-a-side")</f>
        <v/>
      </c>
      <c r="AF293" s="16">
        <f>IF(Offer!$C$4="","",Offer!$C$4)</f>
        <v/>
      </c>
      <c r="AG293" s="14">
        <f>Z293&amp;" ("&amp;AA293&amp;" min walk) · "&amp;IF(ISNUMBER(AD293),TEXT(AD293,"ddd d mmm, hh:mm"),"slot to confirm with venue")&amp;" · "&amp;AE293&amp;" · "&amp;IF(AF293&lt;&gt;"","£"&amp;TEXT(AF293,"0.00")&amp;" pp","price TBC")</f>
        <v/>
      </c>
      <c r="AH293" s="14">
        <f>IF(U293&lt;&gt;"",U293,IF(H293&lt;&gt;"",H293,""))</f>
        <v/>
      </c>
      <c r="AI293" s="14">
        <f>"After-work football for "&amp;F293&amp;" · "&amp;Z293&amp;", "&amp;AA293&amp;" min from your office"</f>
        <v/>
      </c>
      <c r="AJ293" s="14">
        <f>"Hi "&amp;IF(R293&lt;&gt;"",R293,F293&amp;" team")&amp;","&amp;CHAR(10)&amp;CHAR(10)&amp;"I'm "&amp;IF(AM293&lt;&gt;"",AM293,IF(Offer!$C$5&lt;&gt;"",Offer!$C$5,"[NAME]"))&amp;" from FC Urban. We organise after-work football for teams in the City and Canary Wharf."&amp;CHAR(10)&amp;CHAR(10)&amp;"We have a "&amp;AE293&amp;" pitch at "&amp;Z293&amp;", "&amp;IF(OR(AA293=8,AA293=11,AA293=18),"an ","a ")&amp;AA293&amp;"-minute walk from your "&amp;P293&amp;" office, "&amp;IF(ISNUMBER(AD293),"on "&amp;TEXT(AD293,"dddd d mmmm")&amp;" at "&amp;TEXT(AD293,"hh:mm"),"on a weekday evening that suits your team")&amp;". It's "&amp;IF(AF293&lt;&gt;"","£"&amp;IF(AF293=INT(AF293),TEXT(AF293,"0"),TEXT(AF293,"0.00")),"[PRICE PER PLAYER]")&amp;" a player and we handle the pitch booking, sign-ups and payments, so all it takes is one person sharing a link with the team."&amp;CHAR(10)&amp;CHAR(10)&amp;"It works well as a team social or "&amp;IF(ISNUMBER(SEARCH(LEFT(F293,1),"AEIOU")),"an ","a ")&amp;F293&amp;"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LINK]")&amp;CHAR(10)&amp;CHAR(10)&amp;"Best,"&amp;CHAR(10)&amp;IF(AM293&lt;&gt;"",AM293,IF(Offer!$C$5&lt;&gt;"",Offer!$C$5,"[NAME]"))&amp;CHAR(10)&amp;"FC Urban"</f>
        <v/>
      </c>
      <c r="AK293" s="14">
        <f>"Hi "&amp;IF(R293&lt;&gt;"",R293,F293&amp;" team")&amp;","&amp;CHAR(10)&amp;CHAR(10)&amp;"Just bumping this up. The "&amp;AE293&amp;" pitch at "&amp;Z293&amp;" is still free "&amp;IF(ISNUMBER(AD293),TEXT(AD293,"ddd d mmm")&amp;", "&amp;TEXT(AD293,"hh:mm"),"weekday evenings")&amp;", "&amp;IF(OR(AA293=8,AA293=11,AA293=18),"an ","a ")&amp;AA293&amp;"-minute walk from your office, "&amp;IF(AF293&lt;&gt;"","£"&amp;IF(AF293=INT(AF293),TEXT(AF293,"0"),TEXT(AF293,"0.00")),"[PRICE PER PLAYER]")&amp;" a player. Happy to hold it for "&amp;F293&amp;"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LINK]")&amp;CHAR(10)&amp;CHAR(10)&amp;"Best,"&amp;CHAR(10)&amp;IF(AM293&lt;&gt;"",AM293,IF(Offer!$C$5&lt;&gt;"",Offer!$C$5,"[NAME]"))&amp;CHAR(10)&amp;"FC Urban"</f>
        <v/>
      </c>
      <c r="AL293" s="14">
        <f>IF(AH293="","No email yet",IF(ISNUMBER(SEARCH("[",AJ293)),"Fill placeholders",IF(ISNUMBER(AD293),"Ready to send","Ready · no fixed slot")))</f>
        <v/>
      </c>
      <c r="AO293" s="17" t="n"/>
      <c r="AP293" s="17" t="n"/>
    </row>
    <row r="294">
      <c r="A294" s="11" t="n">
        <v>292</v>
      </c>
      <c r="B294" s="11" t="n">
        <v>3</v>
      </c>
      <c r="C294" s="11" t="inlineStr">
        <is>
          <t>Fund / asset manager</t>
        </is>
      </c>
      <c r="D294" s="11" t="inlineStr">
        <is>
          <t>City of London</t>
        </is>
      </c>
      <c r="E294" s="11" t="inlineStr">
        <is>
          <t>Asil Partners LLP</t>
        </is>
      </c>
      <c r="F294" s="11" t="inlineStr">
        <is>
          <t>Asil Partners</t>
        </is>
      </c>
      <c r="G294" s="12" t="inlineStr">
        <is>
          <t>https://www.asilpartners.com</t>
        </is>
      </c>
      <c r="H294" s="11" t="inlineStr">
        <is>
          <t>info@asilpartners.com</t>
        </is>
      </c>
      <c r="I294" s="11" t="inlineStr">
        <is>
          <t>general</t>
        </is>
      </c>
      <c r="J294" s="12" t="inlineStr">
        <is>
          <t>Open page</t>
        </is>
      </c>
      <c r="K294" s="11" t="inlineStr">
        <is>
          <t>OC376489</t>
        </is>
      </c>
      <c r="L294" s="12" t="inlineStr">
        <is>
          <t>Open</t>
        </is>
      </c>
      <c r="M294" s="11" t="inlineStr">
        <is>
          <t>Full</t>
        </is>
      </c>
      <c r="N294" s="13" t="n">
        <v>41088</v>
      </c>
      <c r="O294" s="11" t="inlineStr">
        <is>
          <t>38 Lombard Street, London</t>
        </is>
      </c>
      <c r="P294" s="11" t="inlineStr">
        <is>
          <t>EC3V 9BS</t>
        </is>
      </c>
      <c r="Q294" s="11" t="inlineStr">
        <is>
          <t>No</t>
        </is>
      </c>
      <c r="W294" s="11" t="inlineStr">
        <is>
          <t>City of London School (EC4V 3AL)</t>
        </is>
      </c>
      <c r="X294" s="11" t="n">
        <v>15</v>
      </c>
      <c r="Y294" s="11" t="inlineStr">
        <is>
          <t>Marlborough Sports Garden (SE1 1SD) (17.4); Liverpool St - Attlee Centre (18.1)</t>
        </is>
      </c>
      <c r="Z294" s="11" t="inlineStr">
        <is>
          <t>City of London School (EC4V 3AL)</t>
        </is>
      </c>
      <c r="AA294" s="11" t="n">
        <v>15</v>
      </c>
      <c r="AB294" s="14">
        <f>IFERROR(INDEX(Venues!$E$2:$E$17,MATCH(Z294,Venues!$A$2:$A$17,0)),"Not checked")</f>
        <v/>
      </c>
      <c r="AC294" s="14">
        <f>IFERROR(INDEX(Venues!$F$2:$F$17,MATCH(Z294,Venues!$A$2:$A$17,0)),0)</f>
        <v/>
      </c>
      <c r="AD294" s="15">
        <f>IFERROR(INDEX(Venues!$M$2:$M$17,MATCH(Z294,Venues!$A$2:$A$17,0)),"")</f>
        <v/>
      </c>
      <c r="AE294" s="14">
        <f>IFERROR(INDEX(Venues!$N$2:$N$17,MATCH(Z294,Venues!$A$2:$A$17,0)),"5-a-side")</f>
        <v/>
      </c>
      <c r="AF294" s="16">
        <f>IF(Offer!$C$4="","",Offer!$C$4)</f>
        <v/>
      </c>
      <c r="AG294" s="14">
        <f>Z294&amp;" ("&amp;AA294&amp;" min walk) · "&amp;IF(ISNUMBER(AD294),TEXT(AD294,"ddd d mmm, hh:mm"),"slot to confirm with venue")&amp;" · "&amp;AE294&amp;" · "&amp;IF(AF294&lt;&gt;"","£"&amp;TEXT(AF294,"0.00")&amp;" pp","price TBC")</f>
        <v/>
      </c>
      <c r="AH294" s="14">
        <f>IF(U294&lt;&gt;"",U294,IF(H294&lt;&gt;"",H294,""))</f>
        <v/>
      </c>
      <c r="AI294" s="14">
        <f>"After-work football for "&amp;F294&amp;" · "&amp;Z294&amp;", "&amp;AA294&amp;" min from your office"</f>
        <v/>
      </c>
      <c r="AJ294" s="14">
        <f>"Hi "&amp;IF(R294&lt;&gt;"",R294,F294&amp;" team")&amp;","&amp;CHAR(10)&amp;CHAR(10)&amp;"I'm "&amp;IF(AM294&lt;&gt;"",AM294,IF(Offer!$C$5&lt;&gt;"",Offer!$C$5,"[NAME]"))&amp;" from FC Urban. We organise after-work football for teams in the City and Canary Wharf."&amp;CHAR(10)&amp;CHAR(10)&amp;"We have a "&amp;AE294&amp;" pitch at "&amp;Z294&amp;", "&amp;IF(OR(AA294=8,AA294=11,AA294=18),"an ","a ")&amp;AA294&amp;"-minute walk from your "&amp;P294&amp;" office, "&amp;IF(ISNUMBER(AD294),"on "&amp;TEXT(AD294,"dddd d mmmm")&amp;" at "&amp;TEXT(AD294,"hh:mm"),"on a weekday evening that suits your team")&amp;". It's "&amp;IF(AF294&lt;&gt;"","£"&amp;IF(AF294=INT(AF294),TEXT(AF294,"0"),TEXT(AF294,"0.00")),"[PRICE PER PLAYER]")&amp;" a player and we handle the pitch booking, sign-ups and payments, so all it takes is one person sharing a link with the team."&amp;CHAR(10)&amp;CHAR(10)&amp;"It works well as a team social or "&amp;IF(ISNUMBER(SEARCH(LEFT(F294,1),"AEIOU")),"an ","a ")&amp;F294&amp;"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LINK]")&amp;CHAR(10)&amp;CHAR(10)&amp;"Best,"&amp;CHAR(10)&amp;IF(AM294&lt;&gt;"",AM294,IF(Offer!$C$5&lt;&gt;"",Offer!$C$5,"[NAME]"))&amp;CHAR(10)&amp;"FC Urban"</f>
        <v/>
      </c>
      <c r="AK294" s="14">
        <f>"Hi "&amp;IF(R294&lt;&gt;"",R294,F294&amp;" team")&amp;","&amp;CHAR(10)&amp;CHAR(10)&amp;"Just bumping this up. The "&amp;AE294&amp;" pitch at "&amp;Z294&amp;" is still free "&amp;IF(ISNUMBER(AD294),TEXT(AD294,"ddd d mmm")&amp;", "&amp;TEXT(AD294,"hh:mm"),"weekday evenings")&amp;", "&amp;IF(OR(AA294=8,AA294=11,AA294=18),"an ","a ")&amp;AA294&amp;"-minute walk from your office, "&amp;IF(AF294&lt;&gt;"","£"&amp;IF(AF294=INT(AF294),TEXT(AF294,"0"),TEXT(AF294,"0.00")),"[PRICE PER PLAYER]")&amp;" a player. Happy to hold it for "&amp;F294&amp;"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LINK]")&amp;CHAR(10)&amp;CHAR(10)&amp;"Best,"&amp;CHAR(10)&amp;IF(AM294&lt;&gt;"",AM294,IF(Offer!$C$5&lt;&gt;"",Offer!$C$5,"[NAME]"))&amp;CHAR(10)&amp;"FC Urban"</f>
        <v/>
      </c>
      <c r="AL294" s="14">
        <f>IF(AH294="","No email yet",IF(ISNUMBER(SEARCH("[",AJ294)),"Fill placeholders",IF(ISNUMBER(AD294),"Ready to send","Ready · no fixed slot")))</f>
        <v/>
      </c>
      <c r="AO294" s="17" t="n"/>
      <c r="AP294" s="17" t="n"/>
    </row>
    <row r="295">
      <c r="A295" s="11" t="n">
        <v>293</v>
      </c>
      <c r="B295" s="11" t="n">
        <v>3</v>
      </c>
      <c r="C295" s="11" t="inlineStr">
        <is>
          <t>Fund / asset manager</t>
        </is>
      </c>
      <c r="D295" s="11" t="inlineStr">
        <is>
          <t>City of London</t>
        </is>
      </c>
      <c r="E295" s="11" t="inlineStr">
        <is>
          <t>Clearance Capital Limited</t>
        </is>
      </c>
      <c r="F295" s="11" t="inlineStr">
        <is>
          <t>Clearance Capital</t>
        </is>
      </c>
      <c r="G295" s="12" t="inlineStr">
        <is>
          <t>https://www.clearance.com</t>
        </is>
      </c>
      <c r="H295" s="11" t="inlineStr">
        <is>
          <t>emginc@clearance.com</t>
        </is>
      </c>
      <c r="I295" s="11" t="inlineStr">
        <is>
          <t>named person</t>
        </is>
      </c>
      <c r="J295" s="12" t="inlineStr">
        <is>
          <t>Open page</t>
        </is>
      </c>
      <c r="K295" s="11" t="inlineStr">
        <is>
          <t>06760235</t>
        </is>
      </c>
      <c r="L295" s="12" t="inlineStr">
        <is>
          <t>Open</t>
        </is>
      </c>
      <c r="M295" s="11" t="inlineStr">
        <is>
          <t>Full</t>
        </is>
      </c>
      <c r="N295" s="13" t="n">
        <v>39779</v>
      </c>
      <c r="O295" s="11" t="inlineStr">
        <is>
          <t>3 Copthall Avenue, London</t>
        </is>
      </c>
      <c r="P295" s="11" t="inlineStr">
        <is>
          <t>EC2R 7BH</t>
        </is>
      </c>
      <c r="Q295" s="11" t="inlineStr">
        <is>
          <t>No</t>
        </is>
      </c>
      <c r="W295" s="11" t="inlineStr">
        <is>
          <t>City of London School (EC4V 3AL)</t>
        </is>
      </c>
      <c r="X295" s="11" t="n">
        <v>15</v>
      </c>
      <c r="Y295" s="11" t="inlineStr">
        <is>
          <t>Liverpool St - Attlee Centre (17.6)</t>
        </is>
      </c>
      <c r="Z295" s="11" t="inlineStr">
        <is>
          <t>City of London School (EC4V 3AL)</t>
        </is>
      </c>
      <c r="AA295" s="11" t="n">
        <v>15</v>
      </c>
      <c r="AB295" s="14">
        <f>IFERROR(INDEX(Venues!$E$2:$E$17,MATCH(Z295,Venues!$A$2:$A$17,0)),"Not checked")</f>
        <v/>
      </c>
      <c r="AC295" s="14">
        <f>IFERROR(INDEX(Venues!$F$2:$F$17,MATCH(Z295,Venues!$A$2:$A$17,0)),0)</f>
        <v/>
      </c>
      <c r="AD295" s="15">
        <f>IFERROR(INDEX(Venues!$M$2:$M$17,MATCH(Z295,Venues!$A$2:$A$17,0)),"")</f>
        <v/>
      </c>
      <c r="AE295" s="14">
        <f>IFERROR(INDEX(Venues!$N$2:$N$17,MATCH(Z295,Venues!$A$2:$A$17,0)),"5-a-side")</f>
        <v/>
      </c>
      <c r="AF295" s="16">
        <f>IF(Offer!$C$4="","",Offer!$C$4)</f>
        <v/>
      </c>
      <c r="AG295" s="14">
        <f>Z295&amp;" ("&amp;AA295&amp;" min walk) · "&amp;IF(ISNUMBER(AD295),TEXT(AD295,"ddd d mmm, hh:mm"),"slot to confirm with venue")&amp;" · "&amp;AE295&amp;" · "&amp;IF(AF295&lt;&gt;"","£"&amp;TEXT(AF295,"0.00")&amp;" pp","price TBC")</f>
        <v/>
      </c>
      <c r="AH295" s="14">
        <f>IF(U295&lt;&gt;"",U295,IF(H295&lt;&gt;"",H295,""))</f>
        <v/>
      </c>
      <c r="AI295" s="14">
        <f>"After-work football for "&amp;F295&amp;" · "&amp;Z295&amp;", "&amp;AA295&amp;" min from your office"</f>
        <v/>
      </c>
      <c r="AJ295" s="14">
        <f>"Hi "&amp;IF(R295&lt;&gt;"",R295,F295&amp;" team")&amp;","&amp;CHAR(10)&amp;CHAR(10)&amp;"I'm "&amp;IF(AM295&lt;&gt;"",AM295,IF(Offer!$C$5&lt;&gt;"",Offer!$C$5,"[NAME]"))&amp;" from FC Urban. We organise after-work football for teams in the City and Canary Wharf."&amp;CHAR(10)&amp;CHAR(10)&amp;"We have a "&amp;AE295&amp;" pitch at "&amp;Z295&amp;", "&amp;IF(OR(AA295=8,AA295=11,AA295=18),"an ","a ")&amp;AA295&amp;"-minute walk from your "&amp;P295&amp;" office, "&amp;IF(ISNUMBER(AD295),"on "&amp;TEXT(AD295,"dddd d mmmm")&amp;" at "&amp;TEXT(AD295,"hh:mm"),"on a weekday evening that suits your team")&amp;". It's "&amp;IF(AF295&lt;&gt;"","£"&amp;IF(AF295=INT(AF295),TEXT(AF295,"0"),TEXT(AF295,"0.00")),"[PRICE PER PLAYER]")&amp;" a player and we handle the pitch booking, sign-ups and payments, so all it takes is one person sharing a link with the team."&amp;CHAR(10)&amp;CHAR(10)&amp;"It works well as a team social or "&amp;IF(ISNUMBER(SEARCH(LEFT(F295,1),"AEIOU")),"an ","a ")&amp;F295&amp;"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LINK]")&amp;CHAR(10)&amp;CHAR(10)&amp;"Best,"&amp;CHAR(10)&amp;IF(AM295&lt;&gt;"",AM295,IF(Offer!$C$5&lt;&gt;"",Offer!$C$5,"[NAME]"))&amp;CHAR(10)&amp;"FC Urban"</f>
        <v/>
      </c>
      <c r="AK295" s="14">
        <f>"Hi "&amp;IF(R295&lt;&gt;"",R295,F295&amp;" team")&amp;","&amp;CHAR(10)&amp;CHAR(10)&amp;"Just bumping this up. The "&amp;AE295&amp;" pitch at "&amp;Z295&amp;" is still free "&amp;IF(ISNUMBER(AD295),TEXT(AD295,"ddd d mmm")&amp;", "&amp;TEXT(AD295,"hh:mm"),"weekday evenings")&amp;", "&amp;IF(OR(AA295=8,AA295=11,AA295=18),"an ","a ")&amp;AA295&amp;"-minute walk from your office, "&amp;IF(AF295&lt;&gt;"","£"&amp;IF(AF295=INT(AF295),TEXT(AF295,"0"),TEXT(AF295,"0.00")),"[PRICE PER PLAYER]")&amp;" a player. Happy to hold it for "&amp;F295&amp;"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LINK]")&amp;CHAR(10)&amp;CHAR(10)&amp;"Best,"&amp;CHAR(10)&amp;IF(AM295&lt;&gt;"",AM295,IF(Offer!$C$5&lt;&gt;"",Offer!$C$5,"[NAME]"))&amp;CHAR(10)&amp;"FC Urban"</f>
        <v/>
      </c>
      <c r="AL295" s="14">
        <f>IF(AH295="","No email yet",IF(ISNUMBER(SEARCH("[",AJ295)),"Fill placeholders",IF(ISNUMBER(AD295),"Ready to send","Ready · no fixed slot")))</f>
        <v/>
      </c>
      <c r="AO295" s="17" t="n"/>
      <c r="AP295" s="17" t="n"/>
    </row>
    <row r="296">
      <c r="A296" s="11" t="n">
        <v>294</v>
      </c>
      <c r="B296" s="11" t="n">
        <v>3</v>
      </c>
      <c r="C296" s="11" t="inlineStr">
        <is>
          <t>Insurance / broker</t>
        </is>
      </c>
      <c r="D296" s="11" t="inlineStr">
        <is>
          <t>City of London</t>
        </is>
      </c>
      <c r="E296" s="11" t="inlineStr">
        <is>
          <t>Wakam UK Limited</t>
        </is>
      </c>
      <c r="F296" s="11" t="inlineStr">
        <is>
          <t>Wakam</t>
        </is>
      </c>
      <c r="G296" s="12" t="inlineStr">
        <is>
          <t>https://www.wakam.com</t>
        </is>
      </c>
      <c r="H296" s="11" t="n"/>
      <c r="I296" s="11" t="inlineStr">
        <is>
          <t>Not found</t>
        </is>
      </c>
      <c r="J296" s="11" t="n"/>
      <c r="K296" s="11" t="inlineStr">
        <is>
          <t>14778827</t>
        </is>
      </c>
      <c r="L296" s="12" t="inlineStr">
        <is>
          <t>Open</t>
        </is>
      </c>
      <c r="M296" s="11" t="inlineStr">
        <is>
          <t>Full</t>
        </is>
      </c>
      <c r="N296" s="13" t="n">
        <v>45020</v>
      </c>
      <c r="O296" s="11" t="inlineStr">
        <is>
          <t>18Th &amp; 19 Floors, 100 Bishopsgate, London</t>
        </is>
      </c>
      <c r="P296" s="11" t="inlineStr">
        <is>
          <t>EC2N 4AG</t>
        </is>
      </c>
      <c r="Q296" s="11" t="inlineStr">
        <is>
          <t>No</t>
        </is>
      </c>
      <c r="W296" s="11" t="inlineStr">
        <is>
          <t>Liverpool St - Attlee Centre</t>
        </is>
      </c>
      <c r="X296" s="11" t="n">
        <v>10</v>
      </c>
      <c r="Y296" s="11" t="inlineStr">
        <is>
          <t>Shoreditch Powerleague (15.2)</t>
        </is>
      </c>
      <c r="Z296" s="11" t="inlineStr">
        <is>
          <t>Shoreditch Powerleague</t>
        </is>
      </c>
      <c r="AA296" s="11" t="n">
        <v>15</v>
      </c>
      <c r="AB296" s="14">
        <f>IFERROR(INDEX(Venues!$E$2:$E$17,MATCH(Z296,Venues!$A$2:$A$17,0)),"Not checked")</f>
        <v/>
      </c>
      <c r="AC296" s="14">
        <f>IFERROR(INDEX(Venues!$F$2:$F$17,MATCH(Z296,Venues!$A$2:$A$17,0)),0)</f>
        <v/>
      </c>
      <c r="AD296" s="15">
        <f>IFERROR(INDEX(Venues!$M$2:$M$17,MATCH(Z296,Venues!$A$2:$A$17,0)),"")</f>
        <v/>
      </c>
      <c r="AE296" s="14">
        <f>IFERROR(INDEX(Venues!$N$2:$N$17,MATCH(Z296,Venues!$A$2:$A$17,0)),"5-a-side")</f>
        <v/>
      </c>
      <c r="AF296" s="16">
        <f>IF(Offer!$C$4="","",Offer!$C$4)</f>
        <v/>
      </c>
      <c r="AG296" s="14">
        <f>Z296&amp;" ("&amp;AA296&amp;" min walk) · "&amp;IF(ISNUMBER(AD296),TEXT(AD296,"ddd d mmm, hh:mm"),"slot to confirm with venue")&amp;" · "&amp;AE296&amp;" · "&amp;IF(AF296&lt;&gt;"","£"&amp;TEXT(AF296,"0.00")&amp;" pp","price TBC")</f>
        <v/>
      </c>
      <c r="AH296" s="14">
        <f>IF(U296&lt;&gt;"",U296,IF(H296&lt;&gt;"",H296,""))</f>
        <v/>
      </c>
      <c r="AI296" s="14">
        <f>"After-work football for "&amp;F296&amp;" · "&amp;Z296&amp;", "&amp;AA296&amp;" min from your office"</f>
        <v/>
      </c>
      <c r="AJ296" s="14">
        <f>"Hi "&amp;IF(R296&lt;&gt;"",R296,F296&amp;" team")&amp;","&amp;CHAR(10)&amp;CHAR(10)&amp;"I'm "&amp;IF(AM296&lt;&gt;"",AM296,IF(Offer!$C$5&lt;&gt;"",Offer!$C$5,"[NAME]"))&amp;" from FC Urban. We organise after-work football for teams in the City and Canary Wharf."&amp;CHAR(10)&amp;CHAR(10)&amp;"We have a "&amp;AE296&amp;" pitch at "&amp;Z296&amp;", "&amp;IF(OR(AA296=8,AA296=11,AA296=18),"an ","a ")&amp;AA296&amp;"-minute walk from your "&amp;P296&amp;" office, "&amp;IF(ISNUMBER(AD296),"on "&amp;TEXT(AD296,"dddd d mmmm")&amp;" at "&amp;TEXT(AD296,"hh:mm"),"on a weekday evening that suits your team")&amp;". It's "&amp;IF(AF296&lt;&gt;"","£"&amp;IF(AF296=INT(AF296),TEXT(AF296,"0"),TEXT(AF296,"0.00")),"[PRICE PER PLAYER]")&amp;" a player and we handle the pitch booking, sign-ups and payments, so all it takes is one person sharing a link with the team."&amp;CHAR(10)&amp;CHAR(10)&amp;"It works well as a team social or "&amp;IF(ISNUMBER(SEARCH(LEFT(F296,1),"AEIOU")),"an ","a ")&amp;F296&amp;"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LINK]")&amp;CHAR(10)&amp;CHAR(10)&amp;"Best,"&amp;CHAR(10)&amp;IF(AM296&lt;&gt;"",AM296,IF(Offer!$C$5&lt;&gt;"",Offer!$C$5,"[NAME]"))&amp;CHAR(10)&amp;"FC Urban"</f>
        <v/>
      </c>
      <c r="AK296" s="14">
        <f>"Hi "&amp;IF(R296&lt;&gt;"",R296,F296&amp;" team")&amp;","&amp;CHAR(10)&amp;CHAR(10)&amp;"Just bumping this up. The "&amp;AE296&amp;" pitch at "&amp;Z296&amp;" is still free "&amp;IF(ISNUMBER(AD296),TEXT(AD296,"ddd d mmm")&amp;", "&amp;TEXT(AD296,"hh:mm"),"weekday evenings")&amp;", "&amp;IF(OR(AA296=8,AA296=11,AA296=18),"an ","a ")&amp;AA296&amp;"-minute walk from your office, "&amp;IF(AF296&lt;&gt;"","£"&amp;IF(AF296=INT(AF296),TEXT(AF296,"0"),TEXT(AF296,"0.00")),"[PRICE PER PLAYER]")&amp;" a player. Happy to hold it for "&amp;F296&amp;"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LINK]")&amp;CHAR(10)&amp;CHAR(10)&amp;"Best,"&amp;CHAR(10)&amp;IF(AM296&lt;&gt;"",AM296,IF(Offer!$C$5&lt;&gt;"",Offer!$C$5,"[NAME]"))&amp;CHAR(10)&amp;"FC Urban"</f>
        <v/>
      </c>
      <c r="AL296" s="14">
        <f>IF(AH296="","No email yet",IF(ISNUMBER(SEARCH("[",AJ296)),"Fill placeholders",IF(ISNUMBER(AD296),"Ready to send","Ready · no fixed slot")))</f>
        <v/>
      </c>
      <c r="AO296" s="17" t="n"/>
      <c r="AP296" s="17" t="n"/>
    </row>
    <row r="297">
      <c r="A297" s="11" t="n">
        <v>295</v>
      </c>
      <c r="B297" s="11" t="n">
        <v>3</v>
      </c>
      <c r="C297" s="11" t="inlineStr">
        <is>
          <t>Fund / asset manager</t>
        </is>
      </c>
      <c r="D297" s="11" t="inlineStr">
        <is>
          <t>City of London</t>
        </is>
      </c>
      <c r="E297" s="11" t="inlineStr">
        <is>
          <t>Nursery Road Capital Management Limited</t>
        </is>
      </c>
      <c r="F297" s="11" t="inlineStr">
        <is>
          <t>Nursery Road Capital Management</t>
        </is>
      </c>
      <c r="G297" s="12" t="inlineStr">
        <is>
          <t>https://www.nurseryroadcapital.com</t>
        </is>
      </c>
      <c r="H297" s="11" t="inlineStr">
        <is>
          <t>ir@nurseryroadcapital.com</t>
        </is>
      </c>
      <c r="I297" s="11" t="inlineStr">
        <is>
          <t>general</t>
        </is>
      </c>
      <c r="J297" s="12" t="inlineStr">
        <is>
          <t>Open page</t>
        </is>
      </c>
      <c r="K297" s="11" t="inlineStr">
        <is>
          <t>13126020</t>
        </is>
      </c>
      <c r="L297" s="12" t="inlineStr">
        <is>
          <t>Open</t>
        </is>
      </c>
      <c r="M297" s="11" t="inlineStr">
        <is>
          <t>Medium</t>
        </is>
      </c>
      <c r="N297" s="13" t="n">
        <v>44207</v>
      </c>
      <c r="O297" s="11" t="inlineStr">
        <is>
          <t>7 Bell Yard, London</t>
        </is>
      </c>
      <c r="P297" s="11" t="inlineStr">
        <is>
          <t>WC2A 2JR</t>
        </is>
      </c>
      <c r="Q297" s="11" t="inlineStr">
        <is>
          <t>No</t>
        </is>
      </c>
      <c r="W297" s="11" t="inlineStr">
        <is>
          <t>City of London School (EC4V 3AL)</t>
        </is>
      </c>
      <c r="X297" s="11" t="n">
        <v>15</v>
      </c>
      <c r="Y297" s="11" t="n"/>
      <c r="Z297" s="11" t="inlineStr">
        <is>
          <t>City of London School (EC4V 3AL)</t>
        </is>
      </c>
      <c r="AA297" s="11" t="n">
        <v>15</v>
      </c>
      <c r="AB297" s="14">
        <f>IFERROR(INDEX(Venues!$E$2:$E$17,MATCH(Z297,Venues!$A$2:$A$17,0)),"Not checked")</f>
        <v/>
      </c>
      <c r="AC297" s="14">
        <f>IFERROR(INDEX(Venues!$F$2:$F$17,MATCH(Z297,Venues!$A$2:$A$17,0)),0)</f>
        <v/>
      </c>
      <c r="AD297" s="15">
        <f>IFERROR(INDEX(Venues!$M$2:$M$17,MATCH(Z297,Venues!$A$2:$A$17,0)),"")</f>
        <v/>
      </c>
      <c r="AE297" s="14">
        <f>IFERROR(INDEX(Venues!$N$2:$N$17,MATCH(Z297,Venues!$A$2:$A$17,0)),"5-a-side")</f>
        <v/>
      </c>
      <c r="AF297" s="16">
        <f>IF(Offer!$C$4="","",Offer!$C$4)</f>
        <v/>
      </c>
      <c r="AG297" s="14">
        <f>Z297&amp;" ("&amp;AA297&amp;" min walk) · "&amp;IF(ISNUMBER(AD297),TEXT(AD297,"ddd d mmm, hh:mm"),"slot to confirm with venue")&amp;" · "&amp;AE297&amp;" · "&amp;IF(AF297&lt;&gt;"","£"&amp;TEXT(AF297,"0.00")&amp;" pp","price TBC")</f>
        <v/>
      </c>
      <c r="AH297" s="14">
        <f>IF(U297&lt;&gt;"",U297,IF(H297&lt;&gt;"",H297,""))</f>
        <v/>
      </c>
      <c r="AI297" s="14">
        <f>"After-work football for "&amp;F297&amp;" · "&amp;Z297&amp;", "&amp;AA297&amp;" min from your office"</f>
        <v/>
      </c>
      <c r="AJ297" s="14">
        <f>"Hi "&amp;IF(R297&lt;&gt;"",R297,F297&amp;" team")&amp;","&amp;CHAR(10)&amp;CHAR(10)&amp;"I'm "&amp;IF(AM297&lt;&gt;"",AM297,IF(Offer!$C$5&lt;&gt;"",Offer!$C$5,"[NAME]"))&amp;" from FC Urban. We organise after-work football for teams in the City and Canary Wharf."&amp;CHAR(10)&amp;CHAR(10)&amp;"We have a "&amp;AE297&amp;" pitch at "&amp;Z297&amp;", "&amp;IF(OR(AA297=8,AA297=11,AA297=18),"an ","a ")&amp;AA297&amp;"-minute walk from your "&amp;P297&amp;" office, "&amp;IF(ISNUMBER(AD297),"on "&amp;TEXT(AD297,"dddd d mmmm")&amp;" at "&amp;TEXT(AD297,"hh:mm"),"on a weekday evening that suits your team")&amp;". It's "&amp;IF(AF297&lt;&gt;"","£"&amp;IF(AF297=INT(AF297),TEXT(AF297,"0"),TEXT(AF297,"0.00")),"[PRICE PER PLAYER]")&amp;" a player and we handle the pitch booking, sign-ups and payments, so all it takes is one person sharing a link with the team."&amp;CHAR(10)&amp;CHAR(10)&amp;"It works well as a team social or "&amp;IF(ISNUMBER(SEARCH(LEFT(F297,1),"AEIOU")),"an ","a ")&amp;F297&amp;"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LINK]")&amp;CHAR(10)&amp;CHAR(10)&amp;"Best,"&amp;CHAR(10)&amp;IF(AM297&lt;&gt;"",AM297,IF(Offer!$C$5&lt;&gt;"",Offer!$C$5,"[NAME]"))&amp;CHAR(10)&amp;"FC Urban"</f>
        <v/>
      </c>
      <c r="AK297" s="14">
        <f>"Hi "&amp;IF(R297&lt;&gt;"",R297,F297&amp;" team")&amp;","&amp;CHAR(10)&amp;CHAR(10)&amp;"Just bumping this up. The "&amp;AE297&amp;" pitch at "&amp;Z297&amp;" is still free "&amp;IF(ISNUMBER(AD297),TEXT(AD297,"ddd d mmm")&amp;", "&amp;TEXT(AD297,"hh:mm"),"weekday evenings")&amp;", "&amp;IF(OR(AA297=8,AA297=11,AA297=18),"an ","a ")&amp;AA297&amp;"-minute walk from your office, "&amp;IF(AF297&lt;&gt;"","£"&amp;IF(AF297=INT(AF297),TEXT(AF297,"0"),TEXT(AF297,"0.00")),"[PRICE PER PLAYER]")&amp;" a player. Happy to hold it for "&amp;F297&amp;"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LINK]")&amp;CHAR(10)&amp;CHAR(10)&amp;"Best,"&amp;CHAR(10)&amp;IF(AM297&lt;&gt;"",AM297,IF(Offer!$C$5&lt;&gt;"",Offer!$C$5,"[NAME]"))&amp;CHAR(10)&amp;"FC Urban"</f>
        <v/>
      </c>
      <c r="AL297" s="14">
        <f>IF(AH297="","No email yet",IF(ISNUMBER(SEARCH("[",AJ297)),"Fill placeholders",IF(ISNUMBER(AD297),"Ready to send","Ready · no fixed slot")))</f>
        <v/>
      </c>
      <c r="AO297" s="17" t="n"/>
      <c r="AP297" s="17" t="n"/>
    </row>
    <row r="298">
      <c r="A298" s="11" t="n">
        <v>296</v>
      </c>
      <c r="B298" s="11" t="n">
        <v>3</v>
      </c>
      <c r="C298" s="11" t="inlineStr">
        <is>
          <t>Fund / asset manager</t>
        </is>
      </c>
      <c r="D298" s="11" t="inlineStr">
        <is>
          <t>City of London</t>
        </is>
      </c>
      <c r="E298" s="11" t="inlineStr">
        <is>
          <t>Btomorrow Ventures Limited</t>
        </is>
      </c>
      <c r="F298" s="11" t="inlineStr">
        <is>
          <t>Btomorrow Ventures</t>
        </is>
      </c>
      <c r="G298" s="12" t="inlineStr">
        <is>
          <t>https://www.btomorrowv.com</t>
        </is>
      </c>
      <c r="H298" s="11" t="inlineStr">
        <is>
          <t>contact@btomorrowv.com</t>
        </is>
      </c>
      <c r="I298" s="11" t="inlineStr">
        <is>
          <t>general</t>
        </is>
      </c>
      <c r="J298" s="12" t="inlineStr">
        <is>
          <t>Open page</t>
        </is>
      </c>
      <c r="K298" s="11" t="inlineStr">
        <is>
          <t>12068843</t>
        </is>
      </c>
      <c r="L298" s="12" t="inlineStr">
        <is>
          <t>Open</t>
        </is>
      </c>
      <c r="M298" s="11" t="inlineStr">
        <is>
          <t>Full</t>
        </is>
      </c>
      <c r="N298" s="13" t="n">
        <v>43641</v>
      </c>
      <c r="O298" s="11" t="inlineStr">
        <is>
          <t>Globe House, 4 Temple Place, London</t>
        </is>
      </c>
      <c r="P298" s="11" t="inlineStr">
        <is>
          <t>WC2R 2PG</t>
        </is>
      </c>
      <c r="Q298" s="11" t="inlineStr">
        <is>
          <t>No</t>
        </is>
      </c>
      <c r="W298" s="11" t="inlineStr">
        <is>
          <t>City of London School (EC4V 3AL)</t>
        </is>
      </c>
      <c r="X298" s="11" t="n">
        <v>15</v>
      </c>
      <c r="Y298" s="11" t="n"/>
      <c r="Z298" s="11" t="inlineStr">
        <is>
          <t>City of London School (EC4V 3AL)</t>
        </is>
      </c>
      <c r="AA298" s="11" t="n">
        <v>15</v>
      </c>
      <c r="AB298" s="14">
        <f>IFERROR(INDEX(Venues!$E$2:$E$17,MATCH(Z298,Venues!$A$2:$A$17,0)),"Not checked")</f>
        <v/>
      </c>
      <c r="AC298" s="14">
        <f>IFERROR(INDEX(Venues!$F$2:$F$17,MATCH(Z298,Venues!$A$2:$A$17,0)),0)</f>
        <v/>
      </c>
      <c r="AD298" s="15">
        <f>IFERROR(INDEX(Venues!$M$2:$M$17,MATCH(Z298,Venues!$A$2:$A$17,0)),"")</f>
        <v/>
      </c>
      <c r="AE298" s="14">
        <f>IFERROR(INDEX(Venues!$N$2:$N$17,MATCH(Z298,Venues!$A$2:$A$17,0)),"5-a-side")</f>
        <v/>
      </c>
      <c r="AF298" s="16">
        <f>IF(Offer!$C$4="","",Offer!$C$4)</f>
        <v/>
      </c>
      <c r="AG298" s="14">
        <f>Z298&amp;" ("&amp;AA298&amp;" min walk) · "&amp;IF(ISNUMBER(AD298),TEXT(AD298,"ddd d mmm, hh:mm"),"slot to confirm with venue")&amp;" · "&amp;AE298&amp;" · "&amp;IF(AF298&lt;&gt;"","£"&amp;TEXT(AF298,"0.00")&amp;" pp","price TBC")</f>
        <v/>
      </c>
      <c r="AH298" s="14">
        <f>IF(U298&lt;&gt;"",U298,IF(H298&lt;&gt;"",H298,""))</f>
        <v/>
      </c>
      <c r="AI298" s="14">
        <f>"After-work football for "&amp;F298&amp;" · "&amp;Z298&amp;", "&amp;AA298&amp;" min from your office"</f>
        <v/>
      </c>
      <c r="AJ298" s="14">
        <f>"Hi "&amp;IF(R298&lt;&gt;"",R298,F298&amp;" team")&amp;","&amp;CHAR(10)&amp;CHAR(10)&amp;"I'm "&amp;IF(AM298&lt;&gt;"",AM298,IF(Offer!$C$5&lt;&gt;"",Offer!$C$5,"[NAME]"))&amp;" from FC Urban. We organise after-work football for teams in the City and Canary Wharf."&amp;CHAR(10)&amp;CHAR(10)&amp;"We have a "&amp;AE298&amp;" pitch at "&amp;Z298&amp;", "&amp;IF(OR(AA298=8,AA298=11,AA298=18),"an ","a ")&amp;AA298&amp;"-minute walk from your "&amp;P298&amp;" office, "&amp;IF(ISNUMBER(AD298),"on "&amp;TEXT(AD298,"dddd d mmmm")&amp;" at "&amp;TEXT(AD298,"hh:mm"),"on a weekday evening that suits your team")&amp;". It's "&amp;IF(AF298&lt;&gt;"","£"&amp;IF(AF298=INT(AF298),TEXT(AF298,"0"),TEXT(AF298,"0.00")),"[PRICE PER PLAYER]")&amp;" a player and we handle the pitch booking, sign-ups and payments, so all it takes is one person sharing a link with the team."&amp;CHAR(10)&amp;CHAR(10)&amp;"It works well as a team social or "&amp;IF(ISNUMBER(SEARCH(LEFT(F298,1),"AEIOU")),"an ","a ")&amp;F298&amp;"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LINK]")&amp;CHAR(10)&amp;CHAR(10)&amp;"Best,"&amp;CHAR(10)&amp;IF(AM298&lt;&gt;"",AM298,IF(Offer!$C$5&lt;&gt;"",Offer!$C$5,"[NAME]"))&amp;CHAR(10)&amp;"FC Urban"</f>
        <v/>
      </c>
      <c r="AK298" s="14">
        <f>"Hi "&amp;IF(R298&lt;&gt;"",R298,F298&amp;" team")&amp;","&amp;CHAR(10)&amp;CHAR(10)&amp;"Just bumping this up. The "&amp;AE298&amp;" pitch at "&amp;Z298&amp;" is still free "&amp;IF(ISNUMBER(AD298),TEXT(AD298,"ddd d mmm")&amp;", "&amp;TEXT(AD298,"hh:mm"),"weekday evenings")&amp;", "&amp;IF(OR(AA298=8,AA298=11,AA298=18),"an ","a ")&amp;AA298&amp;"-minute walk from your office, "&amp;IF(AF298&lt;&gt;"","£"&amp;IF(AF298=INT(AF298),TEXT(AF298,"0"),TEXT(AF298,"0.00")),"[PRICE PER PLAYER]")&amp;" a player. Happy to hold it for "&amp;F298&amp;"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LINK]")&amp;CHAR(10)&amp;CHAR(10)&amp;"Best,"&amp;CHAR(10)&amp;IF(AM298&lt;&gt;"",AM298,IF(Offer!$C$5&lt;&gt;"",Offer!$C$5,"[NAME]"))&amp;CHAR(10)&amp;"FC Urban"</f>
        <v/>
      </c>
      <c r="AL298" s="14">
        <f>IF(AH298="","No email yet",IF(ISNUMBER(SEARCH("[",AJ298)),"Fill placeholders",IF(ISNUMBER(AD298),"Ready to send","Ready · no fixed slot")))</f>
        <v/>
      </c>
      <c r="AO298" s="17" t="n"/>
      <c r="AP298" s="17" t="n"/>
    </row>
    <row r="299">
      <c r="A299" s="11" t="n">
        <v>297</v>
      </c>
      <c r="B299" s="11" t="n">
        <v>3</v>
      </c>
      <c r="C299" s="11" t="inlineStr">
        <is>
          <t>Fund / asset manager</t>
        </is>
      </c>
      <c r="D299" s="11" t="inlineStr">
        <is>
          <t>City of London</t>
        </is>
      </c>
      <c r="E299" s="11" t="inlineStr">
        <is>
          <t>GAM London Limited</t>
        </is>
      </c>
      <c r="F299" s="11" t="inlineStr">
        <is>
          <t>GAM London</t>
        </is>
      </c>
      <c r="G299" s="12" t="inlineStr">
        <is>
          <t>https://www.gam.com</t>
        </is>
      </c>
      <c r="H299" s="11" t="inlineStr">
        <is>
          <t>clientservice@gam.com</t>
        </is>
      </c>
      <c r="I299" s="11" t="inlineStr">
        <is>
          <t>general</t>
        </is>
      </c>
      <c r="J299" s="12" t="inlineStr">
        <is>
          <t>Open page</t>
        </is>
      </c>
      <c r="K299" s="11" t="inlineStr">
        <is>
          <t>00874802</t>
        </is>
      </c>
      <c r="L299" s="12" t="inlineStr">
        <is>
          <t>Open</t>
        </is>
      </c>
      <c r="M299" s="11" t="inlineStr">
        <is>
          <t>Full</t>
        </is>
      </c>
      <c r="N299" s="13" t="n">
        <v>24190</v>
      </c>
      <c r="O299" s="11" t="inlineStr">
        <is>
          <t>8 Finsbury Circus, London</t>
        </is>
      </c>
      <c r="P299" s="11" t="inlineStr">
        <is>
          <t>EC2M 7GB</t>
        </is>
      </c>
      <c r="Q299" s="11" t="inlineStr">
        <is>
          <t>No</t>
        </is>
      </c>
      <c r="W299" s="11" t="inlineStr">
        <is>
          <t>Shoreditch Powerleague</t>
        </is>
      </c>
      <c r="X299" s="11" t="n">
        <v>15</v>
      </c>
      <c r="Y299" s="11" t="inlineStr">
        <is>
          <t>Liverpool St - Attlee Centre (15.7); Finsbury Leisure Centre (EC1V 3PU) (16.7)</t>
        </is>
      </c>
      <c r="Z299" s="11" t="inlineStr">
        <is>
          <t>Shoreditch Powerleague</t>
        </is>
      </c>
      <c r="AA299" s="11" t="n">
        <v>15</v>
      </c>
      <c r="AB299" s="14">
        <f>IFERROR(INDEX(Venues!$E$2:$E$17,MATCH(Z299,Venues!$A$2:$A$17,0)),"Not checked")</f>
        <v/>
      </c>
      <c r="AC299" s="14">
        <f>IFERROR(INDEX(Venues!$F$2:$F$17,MATCH(Z299,Venues!$A$2:$A$17,0)),0)</f>
        <v/>
      </c>
      <c r="AD299" s="15">
        <f>IFERROR(INDEX(Venues!$M$2:$M$17,MATCH(Z299,Venues!$A$2:$A$17,0)),"")</f>
        <v/>
      </c>
      <c r="AE299" s="14">
        <f>IFERROR(INDEX(Venues!$N$2:$N$17,MATCH(Z299,Venues!$A$2:$A$17,0)),"5-a-side")</f>
        <v/>
      </c>
      <c r="AF299" s="16">
        <f>IF(Offer!$C$4="","",Offer!$C$4)</f>
        <v/>
      </c>
      <c r="AG299" s="14">
        <f>Z299&amp;" ("&amp;AA299&amp;" min walk) · "&amp;IF(ISNUMBER(AD299),TEXT(AD299,"ddd d mmm, hh:mm"),"slot to confirm with venue")&amp;" · "&amp;AE299&amp;" · "&amp;IF(AF299&lt;&gt;"","£"&amp;TEXT(AF299,"0.00")&amp;" pp","price TBC")</f>
        <v/>
      </c>
      <c r="AH299" s="14">
        <f>IF(U299&lt;&gt;"",U299,IF(H299&lt;&gt;"",H299,""))</f>
        <v/>
      </c>
      <c r="AI299" s="14">
        <f>"After-work football for "&amp;F299&amp;" · "&amp;Z299&amp;", "&amp;AA299&amp;" min from your office"</f>
        <v/>
      </c>
      <c r="AJ299" s="14">
        <f>"Hi "&amp;IF(R299&lt;&gt;"",R299,F299&amp;" team")&amp;","&amp;CHAR(10)&amp;CHAR(10)&amp;"I'm "&amp;IF(AM299&lt;&gt;"",AM299,IF(Offer!$C$5&lt;&gt;"",Offer!$C$5,"[NAME]"))&amp;" from FC Urban. We organise after-work football for teams in the City and Canary Wharf."&amp;CHAR(10)&amp;CHAR(10)&amp;"We have a "&amp;AE299&amp;" pitch at "&amp;Z299&amp;", "&amp;IF(OR(AA299=8,AA299=11,AA299=18),"an ","a ")&amp;AA299&amp;"-minute walk from your "&amp;P299&amp;" office, "&amp;IF(ISNUMBER(AD299),"on "&amp;TEXT(AD299,"dddd d mmmm")&amp;" at "&amp;TEXT(AD299,"hh:mm"),"on a weekday evening that suits your team")&amp;". It's "&amp;IF(AF299&lt;&gt;"","£"&amp;IF(AF299=INT(AF299),TEXT(AF299,"0"),TEXT(AF299,"0.00")),"[PRICE PER PLAYER]")&amp;" a player and we handle the pitch booking, sign-ups and payments, so all it takes is one person sharing a link with the team."&amp;CHAR(10)&amp;CHAR(10)&amp;"It works well as a team social or "&amp;IF(ISNUMBER(SEARCH(LEFT(F299,1),"AEIOU")),"an ","a ")&amp;F299&amp;"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LINK]")&amp;CHAR(10)&amp;CHAR(10)&amp;"Best,"&amp;CHAR(10)&amp;IF(AM299&lt;&gt;"",AM299,IF(Offer!$C$5&lt;&gt;"",Offer!$C$5,"[NAME]"))&amp;CHAR(10)&amp;"FC Urban"</f>
        <v/>
      </c>
      <c r="AK299" s="14">
        <f>"Hi "&amp;IF(R299&lt;&gt;"",R299,F299&amp;" team")&amp;","&amp;CHAR(10)&amp;CHAR(10)&amp;"Just bumping this up. The "&amp;AE299&amp;" pitch at "&amp;Z299&amp;" is still free "&amp;IF(ISNUMBER(AD299),TEXT(AD299,"ddd d mmm")&amp;", "&amp;TEXT(AD299,"hh:mm"),"weekday evenings")&amp;", "&amp;IF(OR(AA299=8,AA299=11,AA299=18),"an ","a ")&amp;AA299&amp;"-minute walk from your office, "&amp;IF(AF299&lt;&gt;"","£"&amp;IF(AF299=INT(AF299),TEXT(AF299,"0"),TEXT(AF299,"0.00")),"[PRICE PER PLAYER]")&amp;" a player. Happy to hold it for "&amp;F299&amp;"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LINK]")&amp;CHAR(10)&amp;CHAR(10)&amp;"Best,"&amp;CHAR(10)&amp;IF(AM299&lt;&gt;"",AM299,IF(Offer!$C$5&lt;&gt;"",Offer!$C$5,"[NAME]"))&amp;CHAR(10)&amp;"FC Urban"</f>
        <v/>
      </c>
      <c r="AL299" s="14">
        <f>IF(AH299="","No email yet",IF(ISNUMBER(SEARCH("[",AJ299)),"Fill placeholders",IF(ISNUMBER(AD299),"Ready to send","Ready · no fixed slot")))</f>
        <v/>
      </c>
      <c r="AO299" s="17" t="n"/>
      <c r="AP299" s="17" t="n"/>
    </row>
    <row r="300">
      <c r="A300" s="11" t="n">
        <v>298</v>
      </c>
      <c r="B300" s="11" t="n">
        <v>3</v>
      </c>
      <c r="C300" s="11" t="inlineStr">
        <is>
          <t>Insurance / broker</t>
        </is>
      </c>
      <c r="D300" s="11" t="inlineStr">
        <is>
          <t>City of London</t>
        </is>
      </c>
      <c r="E300" s="11" t="inlineStr">
        <is>
          <t>Ariel Re UK Limited</t>
        </is>
      </c>
      <c r="F300" s="11" t="inlineStr">
        <is>
          <t>Ariel Re</t>
        </is>
      </c>
      <c r="G300" s="12" t="inlineStr">
        <is>
          <t>https://www.arielre.com</t>
        </is>
      </c>
      <c r="H300" s="11" t="inlineStr">
        <is>
          <t>info@arielre.com</t>
        </is>
      </c>
      <c r="I300" s="11" t="inlineStr">
        <is>
          <t>general</t>
        </is>
      </c>
      <c r="J300" s="12" t="inlineStr">
        <is>
          <t>Open page</t>
        </is>
      </c>
      <c r="K300" s="11" t="inlineStr">
        <is>
          <t>12808840</t>
        </is>
      </c>
      <c r="L300" s="12" t="inlineStr">
        <is>
          <t>Open</t>
        </is>
      </c>
      <c r="M300" s="11" t="inlineStr">
        <is>
          <t>Full</t>
        </is>
      </c>
      <c r="N300" s="13" t="n">
        <v>44055</v>
      </c>
      <c r="O300" s="11" t="inlineStr">
        <is>
          <t>9Th Floor, The Monument Building, 11 Monument Street, London</t>
        </is>
      </c>
      <c r="P300" s="11" t="inlineStr">
        <is>
          <t>EC3R 8AF</t>
        </is>
      </c>
      <c r="Q300" s="11" t="inlineStr">
        <is>
          <t>No</t>
        </is>
      </c>
      <c r="W300" s="11" t="inlineStr">
        <is>
          <t>Marlborough Sports Garden (SE1 1SD)</t>
        </is>
      </c>
      <c r="X300" s="11" t="n">
        <v>15</v>
      </c>
      <c r="Y300" s="11" t="inlineStr">
        <is>
          <t>City of London School (EC4V 3AL) (15.4)</t>
        </is>
      </c>
      <c r="Z300" s="11" t="inlineStr">
        <is>
          <t>City of London School (EC4V 3AL)</t>
        </is>
      </c>
      <c r="AA300" s="11" t="n">
        <v>15</v>
      </c>
      <c r="AB300" s="14">
        <f>IFERROR(INDEX(Venues!$E$2:$E$17,MATCH(Z300,Venues!$A$2:$A$17,0)),"Not checked")</f>
        <v/>
      </c>
      <c r="AC300" s="14">
        <f>IFERROR(INDEX(Venues!$F$2:$F$17,MATCH(Z300,Venues!$A$2:$A$17,0)),0)</f>
        <v/>
      </c>
      <c r="AD300" s="15">
        <f>IFERROR(INDEX(Venues!$M$2:$M$17,MATCH(Z300,Venues!$A$2:$A$17,0)),"")</f>
        <v/>
      </c>
      <c r="AE300" s="14">
        <f>IFERROR(INDEX(Venues!$N$2:$N$17,MATCH(Z300,Venues!$A$2:$A$17,0)),"5-a-side")</f>
        <v/>
      </c>
      <c r="AF300" s="16">
        <f>IF(Offer!$C$4="","",Offer!$C$4)</f>
        <v/>
      </c>
      <c r="AG300" s="14">
        <f>Z300&amp;" ("&amp;AA300&amp;" min walk) · "&amp;IF(ISNUMBER(AD300),TEXT(AD300,"ddd d mmm, hh:mm"),"slot to confirm with venue")&amp;" · "&amp;AE300&amp;" · "&amp;IF(AF300&lt;&gt;"","£"&amp;TEXT(AF300,"0.00")&amp;" pp","price TBC")</f>
        <v/>
      </c>
      <c r="AH300" s="14">
        <f>IF(U300&lt;&gt;"",U300,IF(H300&lt;&gt;"",H300,""))</f>
        <v/>
      </c>
      <c r="AI300" s="14">
        <f>"After-work football for "&amp;F300&amp;" · "&amp;Z300&amp;", "&amp;AA300&amp;" min from your office"</f>
        <v/>
      </c>
      <c r="AJ300" s="14">
        <f>"Hi "&amp;IF(R300&lt;&gt;"",R300,F300&amp;" team")&amp;","&amp;CHAR(10)&amp;CHAR(10)&amp;"I'm "&amp;IF(AM300&lt;&gt;"",AM300,IF(Offer!$C$5&lt;&gt;"",Offer!$C$5,"[NAME]"))&amp;" from FC Urban. We organise after-work football for teams in the City and Canary Wharf."&amp;CHAR(10)&amp;CHAR(10)&amp;"We have a "&amp;AE300&amp;" pitch at "&amp;Z300&amp;", "&amp;IF(OR(AA300=8,AA300=11,AA300=18),"an ","a ")&amp;AA300&amp;"-minute walk from your "&amp;P300&amp;" office, "&amp;IF(ISNUMBER(AD300),"on "&amp;TEXT(AD300,"dddd d mmmm")&amp;" at "&amp;TEXT(AD300,"hh:mm"),"on a weekday evening that suits your team")&amp;". It's "&amp;IF(AF300&lt;&gt;"","£"&amp;IF(AF300=INT(AF300),TEXT(AF300,"0"),TEXT(AF300,"0.00")),"[PRICE PER PLAYER]")&amp;" a player and we handle the pitch booking, sign-ups and payments, so all it takes is one person sharing a link with the team."&amp;CHAR(10)&amp;CHAR(10)&amp;"It works well as a team social or "&amp;IF(ISNUMBER(SEARCH(LEFT(F300,1),"AEIOU")),"an ","a ")&amp;F300&amp;"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LINK]")&amp;CHAR(10)&amp;CHAR(10)&amp;"Best,"&amp;CHAR(10)&amp;IF(AM300&lt;&gt;"",AM300,IF(Offer!$C$5&lt;&gt;"",Offer!$C$5,"[NAME]"))&amp;CHAR(10)&amp;"FC Urban"</f>
        <v/>
      </c>
      <c r="AK300" s="14">
        <f>"Hi "&amp;IF(R300&lt;&gt;"",R300,F300&amp;" team")&amp;","&amp;CHAR(10)&amp;CHAR(10)&amp;"Just bumping this up. The "&amp;AE300&amp;" pitch at "&amp;Z300&amp;" is still free "&amp;IF(ISNUMBER(AD300),TEXT(AD300,"ddd d mmm")&amp;", "&amp;TEXT(AD300,"hh:mm"),"weekday evenings")&amp;", "&amp;IF(OR(AA300=8,AA300=11,AA300=18),"an ","a ")&amp;AA300&amp;"-minute walk from your office, "&amp;IF(AF300&lt;&gt;"","£"&amp;IF(AF300=INT(AF300),TEXT(AF300,"0"),TEXT(AF300,"0.00")),"[PRICE PER PLAYER]")&amp;" a player. Happy to hold it for "&amp;F300&amp;"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LINK]")&amp;CHAR(10)&amp;CHAR(10)&amp;"Best,"&amp;CHAR(10)&amp;IF(AM300&lt;&gt;"",AM300,IF(Offer!$C$5&lt;&gt;"",Offer!$C$5,"[NAME]"))&amp;CHAR(10)&amp;"FC Urban"</f>
        <v/>
      </c>
      <c r="AL300" s="14">
        <f>IF(AH300="","No email yet",IF(ISNUMBER(SEARCH("[",AJ300)),"Fill placeholders",IF(ISNUMBER(AD300),"Ready to send","Ready · no fixed slot")))</f>
        <v/>
      </c>
      <c r="AO300" s="17" t="n"/>
      <c r="AP300" s="17" t="n"/>
    </row>
    <row r="301">
      <c r="A301" s="11" t="n">
        <v>299</v>
      </c>
      <c r="B301" s="11" t="n">
        <v>3</v>
      </c>
      <c r="C301" s="11" t="inlineStr">
        <is>
          <t>Insurance / broker</t>
        </is>
      </c>
      <c r="D301" s="11" t="inlineStr">
        <is>
          <t>City of London</t>
        </is>
      </c>
      <c r="E301" s="11" t="inlineStr">
        <is>
          <t>Mosaic Corporate Capital Limited</t>
        </is>
      </c>
      <c r="F301" s="11" t="inlineStr">
        <is>
          <t>Mosaic Corporate Capital</t>
        </is>
      </c>
      <c r="G301" s="12" t="inlineStr">
        <is>
          <t>https://www.mosaic.com</t>
        </is>
      </c>
      <c r="H301" s="11" t="inlineStr">
        <is>
          <t>usnewbusiness@mosaic.com</t>
        </is>
      </c>
      <c r="I301" s="11" t="inlineStr">
        <is>
          <t>named person</t>
        </is>
      </c>
      <c r="J301" s="12" t="inlineStr">
        <is>
          <t>Open page</t>
        </is>
      </c>
      <c r="K301" s="11" t="inlineStr">
        <is>
          <t>13075335</t>
        </is>
      </c>
      <c r="L301" s="12" t="inlineStr">
        <is>
          <t>Open</t>
        </is>
      </c>
      <c r="M301" s="11" t="inlineStr">
        <is>
          <t>Full</t>
        </is>
      </c>
      <c r="N301" s="13" t="n">
        <v>44175</v>
      </c>
      <c r="O301" s="11" t="inlineStr">
        <is>
          <t>4Th Floor 33, Gracechurch Street, London</t>
        </is>
      </c>
      <c r="P301" s="11" t="inlineStr">
        <is>
          <t>EC3V 0BT</t>
        </is>
      </c>
      <c r="Q301" s="11" t="inlineStr">
        <is>
          <t>Yes</t>
        </is>
      </c>
      <c r="W301" s="11" t="inlineStr">
        <is>
          <t>City of London School (EC4V 3AL)</t>
        </is>
      </c>
      <c r="X301" s="11" t="n">
        <v>15</v>
      </c>
      <c r="Y301" s="11" t="inlineStr">
        <is>
          <t>Marlborough Sports Garden (SE1 1SD) (16.6); Liverpool St - Attlee Centre (18.6)</t>
        </is>
      </c>
      <c r="Z301" s="11" t="inlineStr">
        <is>
          <t>City of London School (EC4V 3AL)</t>
        </is>
      </c>
      <c r="AA301" s="11" t="n">
        <v>15</v>
      </c>
      <c r="AB301" s="14">
        <f>IFERROR(INDEX(Venues!$E$2:$E$17,MATCH(Z301,Venues!$A$2:$A$17,0)),"Not checked")</f>
        <v/>
      </c>
      <c r="AC301" s="14">
        <f>IFERROR(INDEX(Venues!$F$2:$F$17,MATCH(Z301,Venues!$A$2:$A$17,0)),0)</f>
        <v/>
      </c>
      <c r="AD301" s="15">
        <f>IFERROR(INDEX(Venues!$M$2:$M$17,MATCH(Z301,Venues!$A$2:$A$17,0)),"")</f>
        <v/>
      </c>
      <c r="AE301" s="14">
        <f>IFERROR(INDEX(Venues!$N$2:$N$17,MATCH(Z301,Venues!$A$2:$A$17,0)),"5-a-side")</f>
        <v/>
      </c>
      <c r="AF301" s="16">
        <f>IF(Offer!$C$4="","",Offer!$C$4)</f>
        <v/>
      </c>
      <c r="AG301" s="14">
        <f>Z301&amp;" ("&amp;AA301&amp;" min walk) · "&amp;IF(ISNUMBER(AD301),TEXT(AD301,"ddd d mmm, hh:mm"),"slot to confirm with venue")&amp;" · "&amp;AE301&amp;" · "&amp;IF(AF301&lt;&gt;"","£"&amp;TEXT(AF301,"0.00")&amp;" pp","price TBC")</f>
        <v/>
      </c>
      <c r="AH301" s="14">
        <f>IF(U301&lt;&gt;"",U301,IF(H301&lt;&gt;"",H301,""))</f>
        <v/>
      </c>
      <c r="AI301" s="14">
        <f>"After-work football for "&amp;F301&amp;" · "&amp;Z301&amp;", "&amp;AA301&amp;" min from your office"</f>
        <v/>
      </c>
      <c r="AJ301" s="14">
        <f>"Hi "&amp;IF(R301&lt;&gt;"",R301,F301&amp;" team")&amp;","&amp;CHAR(10)&amp;CHAR(10)&amp;"I'm "&amp;IF(AM301&lt;&gt;"",AM301,IF(Offer!$C$5&lt;&gt;"",Offer!$C$5,"[NAME]"))&amp;" from FC Urban. We organise after-work football for teams in the City and Canary Wharf."&amp;CHAR(10)&amp;CHAR(10)&amp;"We have a "&amp;AE301&amp;" pitch at "&amp;Z301&amp;", "&amp;IF(OR(AA301=8,AA301=11,AA301=18),"an ","a ")&amp;AA301&amp;"-minute walk from your "&amp;P301&amp;" office, "&amp;IF(ISNUMBER(AD301),"on "&amp;TEXT(AD301,"dddd d mmmm")&amp;" at "&amp;TEXT(AD301,"hh:mm"),"on a weekday evening that suits your team")&amp;". It's "&amp;IF(AF301&lt;&gt;"","£"&amp;IF(AF301=INT(AF301),TEXT(AF301,"0"),TEXT(AF301,"0.00")),"[PRICE PER PLAYER]")&amp;" a player and we handle the pitch booking, sign-ups and payments, so all it takes is one person sharing a link with the team."&amp;CHAR(10)&amp;CHAR(10)&amp;"It works well as a team social or "&amp;IF(ISNUMBER(SEARCH(LEFT(F301,1),"AEIOU")),"an ","a ")&amp;F301&amp;"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LINK]")&amp;CHAR(10)&amp;CHAR(10)&amp;"Best,"&amp;CHAR(10)&amp;IF(AM301&lt;&gt;"",AM301,IF(Offer!$C$5&lt;&gt;"",Offer!$C$5,"[NAME]"))&amp;CHAR(10)&amp;"FC Urban"</f>
        <v/>
      </c>
      <c r="AK301" s="14">
        <f>"Hi "&amp;IF(R301&lt;&gt;"",R301,F301&amp;" team")&amp;","&amp;CHAR(10)&amp;CHAR(10)&amp;"Just bumping this up. The "&amp;AE301&amp;" pitch at "&amp;Z301&amp;" is still free "&amp;IF(ISNUMBER(AD301),TEXT(AD301,"ddd d mmm")&amp;", "&amp;TEXT(AD301,"hh:mm"),"weekday evenings")&amp;", "&amp;IF(OR(AA301=8,AA301=11,AA301=18),"an ","a ")&amp;AA301&amp;"-minute walk from your office, "&amp;IF(AF301&lt;&gt;"","£"&amp;IF(AF301=INT(AF301),TEXT(AF301,"0"),TEXT(AF301,"0.00")),"[PRICE PER PLAYER]")&amp;" a player. Happy to hold it for "&amp;F301&amp;"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LINK]")&amp;CHAR(10)&amp;CHAR(10)&amp;"Best,"&amp;CHAR(10)&amp;IF(AM301&lt;&gt;"",AM301,IF(Offer!$C$5&lt;&gt;"",Offer!$C$5,"[NAME]"))&amp;CHAR(10)&amp;"FC Urban"</f>
        <v/>
      </c>
      <c r="AL301" s="14">
        <f>IF(AH301="","No email yet",IF(ISNUMBER(SEARCH("[",AJ301)),"Fill placeholders",IF(ISNUMBER(AD301),"Ready to send","Ready · no fixed slot")))</f>
        <v/>
      </c>
      <c r="AO301" s="17" t="n"/>
      <c r="AP301" s="17" t="n"/>
    </row>
    <row r="302">
      <c r="A302" s="11" t="n">
        <v>300</v>
      </c>
      <c r="B302" s="11" t="n">
        <v>3</v>
      </c>
      <c r="C302" s="11" t="inlineStr">
        <is>
          <t>Fund / asset manager</t>
        </is>
      </c>
      <c r="D302" s="11" t="inlineStr">
        <is>
          <t>City of London</t>
        </is>
      </c>
      <c r="E302" s="11" t="inlineStr">
        <is>
          <t>First Trust Global Portfolios Limited</t>
        </is>
      </c>
      <c r="F302" s="11" t="inlineStr">
        <is>
          <t>First Trust Global Portfolios</t>
        </is>
      </c>
      <c r="G302" s="12" t="inlineStr">
        <is>
          <t>https://www.ftportfolios.com</t>
        </is>
      </c>
      <c r="H302" s="11" t="inlineStr">
        <is>
          <t>feedback@ftportfolios.com</t>
        </is>
      </c>
      <c r="I302" s="11" t="inlineStr">
        <is>
          <t>named person</t>
        </is>
      </c>
      <c r="J302" s="12" t="inlineStr">
        <is>
          <t>Open page</t>
        </is>
      </c>
      <c r="K302" s="11" t="inlineStr">
        <is>
          <t>07874049</t>
        </is>
      </c>
      <c r="L302" s="12" t="inlineStr">
        <is>
          <t>Open</t>
        </is>
      </c>
      <c r="M302" s="11" t="inlineStr">
        <is>
          <t>Full</t>
        </is>
      </c>
      <c r="N302" s="13" t="n">
        <v>40884</v>
      </c>
      <c r="O302" s="11" t="inlineStr">
        <is>
          <t>Floor 2 8, Angel Court, London</t>
        </is>
      </c>
      <c r="P302" s="11" t="inlineStr">
        <is>
          <t>EC2R 7HJ</t>
        </is>
      </c>
      <c r="Q302" s="11" t="inlineStr">
        <is>
          <t>Yes</t>
        </is>
      </c>
      <c r="W302" s="11" t="inlineStr">
        <is>
          <t>City of London School (EC4V 3AL)</t>
        </is>
      </c>
      <c r="X302" s="11" t="n">
        <v>15</v>
      </c>
      <c r="Y302" s="11" t="inlineStr">
        <is>
          <t>Liverpool St - Attlee Centre (17)</t>
        </is>
      </c>
      <c r="Z302" s="11" t="inlineStr">
        <is>
          <t>City of London School (EC4V 3AL)</t>
        </is>
      </c>
      <c r="AA302" s="11" t="n">
        <v>15</v>
      </c>
      <c r="AB302" s="14">
        <f>IFERROR(INDEX(Venues!$E$2:$E$17,MATCH(Z302,Venues!$A$2:$A$17,0)),"Not checked")</f>
        <v/>
      </c>
      <c r="AC302" s="14">
        <f>IFERROR(INDEX(Venues!$F$2:$F$17,MATCH(Z302,Venues!$A$2:$A$17,0)),0)</f>
        <v/>
      </c>
      <c r="AD302" s="15">
        <f>IFERROR(INDEX(Venues!$M$2:$M$17,MATCH(Z302,Venues!$A$2:$A$17,0)),"")</f>
        <v/>
      </c>
      <c r="AE302" s="14">
        <f>IFERROR(INDEX(Venues!$N$2:$N$17,MATCH(Z302,Venues!$A$2:$A$17,0)),"5-a-side")</f>
        <v/>
      </c>
      <c r="AF302" s="16">
        <f>IF(Offer!$C$4="","",Offer!$C$4)</f>
        <v/>
      </c>
      <c r="AG302" s="14">
        <f>Z302&amp;" ("&amp;AA302&amp;" min walk) · "&amp;IF(ISNUMBER(AD302),TEXT(AD302,"ddd d mmm, hh:mm"),"slot to confirm with venue")&amp;" · "&amp;AE302&amp;" · "&amp;IF(AF302&lt;&gt;"","£"&amp;TEXT(AF302,"0.00")&amp;" pp","price TBC")</f>
        <v/>
      </c>
      <c r="AH302" s="14">
        <f>IF(U302&lt;&gt;"",U302,IF(H302&lt;&gt;"",H302,""))</f>
        <v/>
      </c>
      <c r="AI302" s="14">
        <f>"After-work football for "&amp;F302&amp;" · "&amp;Z302&amp;", "&amp;AA302&amp;" min from your office"</f>
        <v/>
      </c>
      <c r="AJ302" s="14">
        <f>"Hi "&amp;IF(R302&lt;&gt;"",R302,F302&amp;" team")&amp;","&amp;CHAR(10)&amp;CHAR(10)&amp;"I'm "&amp;IF(AM302&lt;&gt;"",AM302,IF(Offer!$C$5&lt;&gt;"",Offer!$C$5,"[NAME]"))&amp;" from FC Urban. We organise after-work football for teams in the City and Canary Wharf."&amp;CHAR(10)&amp;CHAR(10)&amp;"We have a "&amp;AE302&amp;" pitch at "&amp;Z302&amp;", "&amp;IF(OR(AA302=8,AA302=11,AA302=18),"an ","a ")&amp;AA302&amp;"-minute walk from your "&amp;P302&amp;" office, "&amp;IF(ISNUMBER(AD302),"on "&amp;TEXT(AD302,"dddd d mmmm")&amp;" at "&amp;TEXT(AD302,"hh:mm"),"on a weekday evening that suits your team")&amp;". It's "&amp;IF(AF302&lt;&gt;"","£"&amp;IF(AF302=INT(AF302),TEXT(AF302,"0"),TEXT(AF302,"0.00")),"[PRICE PER PLAYER]")&amp;" a player and we handle the pitch booking, sign-ups and payments, so all it takes is one person sharing a link with the team."&amp;CHAR(10)&amp;CHAR(10)&amp;"It works well as a team social or "&amp;IF(ISNUMBER(SEARCH(LEFT(F302,1),"AEIOU")),"an ","a ")&amp;F302&amp;"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LINK]")&amp;CHAR(10)&amp;CHAR(10)&amp;"Best,"&amp;CHAR(10)&amp;IF(AM302&lt;&gt;"",AM302,IF(Offer!$C$5&lt;&gt;"",Offer!$C$5,"[NAME]"))&amp;CHAR(10)&amp;"FC Urban"</f>
        <v/>
      </c>
      <c r="AK302" s="14">
        <f>"Hi "&amp;IF(R302&lt;&gt;"",R302,F302&amp;" team")&amp;","&amp;CHAR(10)&amp;CHAR(10)&amp;"Just bumping this up. The "&amp;AE302&amp;" pitch at "&amp;Z302&amp;" is still free "&amp;IF(ISNUMBER(AD302),TEXT(AD302,"ddd d mmm")&amp;", "&amp;TEXT(AD302,"hh:mm"),"weekday evenings")&amp;", "&amp;IF(OR(AA302=8,AA302=11,AA302=18),"an ","a ")&amp;AA302&amp;"-minute walk from your office, "&amp;IF(AF302&lt;&gt;"","£"&amp;IF(AF302=INT(AF302),TEXT(AF302,"0"),TEXT(AF302,"0.00")),"[PRICE PER PLAYER]")&amp;" a player. Happy to hold it for "&amp;F302&amp;"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LINK]")&amp;CHAR(10)&amp;CHAR(10)&amp;"Best,"&amp;CHAR(10)&amp;IF(AM302&lt;&gt;"",AM302,IF(Offer!$C$5&lt;&gt;"",Offer!$C$5,"[NAME]"))&amp;CHAR(10)&amp;"FC Urban"</f>
        <v/>
      </c>
      <c r="AL302" s="14">
        <f>IF(AH302="","No email yet",IF(ISNUMBER(SEARCH("[",AJ302)),"Fill placeholders",IF(ISNUMBER(AD302),"Ready to send","Ready · no fixed slot")))</f>
        <v/>
      </c>
      <c r="AO302" s="17" t="n"/>
      <c r="AP302" s="17" t="n"/>
    </row>
    <row r="303">
      <c r="A303" s="11" t="n">
        <v>301</v>
      </c>
      <c r="B303" s="11" t="n">
        <v>3</v>
      </c>
      <c r="C303" s="11" t="inlineStr">
        <is>
          <t>Fund / asset manager</t>
        </is>
      </c>
      <c r="D303" s="11" t="inlineStr">
        <is>
          <t>City of London</t>
        </is>
      </c>
      <c r="E303" s="11" t="inlineStr">
        <is>
          <t>Hidden Road Partners UK LLP</t>
        </is>
      </c>
      <c r="F303" s="11" t="inlineStr">
        <is>
          <t>Hidden Road Partners</t>
        </is>
      </c>
      <c r="G303" s="12" t="inlineStr">
        <is>
          <t>https://ripple.com</t>
        </is>
      </c>
      <c r="H303" s="11" t="inlineStr">
        <is>
          <t>support@ripple.com</t>
        </is>
      </c>
      <c r="I303" s="11" t="inlineStr">
        <is>
          <t>role (other)</t>
        </is>
      </c>
      <c r="J303" s="12" t="inlineStr">
        <is>
          <t>Open page</t>
        </is>
      </c>
      <c r="K303" s="11" t="inlineStr">
        <is>
          <t>OC425449</t>
        </is>
      </c>
      <c r="L303" s="12" t="inlineStr">
        <is>
          <t>Open</t>
        </is>
      </c>
      <c r="M303" s="11" t="inlineStr">
        <is>
          <t>Full</t>
        </is>
      </c>
      <c r="N303" s="13" t="n">
        <v>43467</v>
      </c>
      <c r="O303" s="11" t="inlineStr">
        <is>
          <t>1 Angel Court, London</t>
        </is>
      </c>
      <c r="P303" s="11" t="inlineStr">
        <is>
          <t>EC2R 7HJ</t>
        </is>
      </c>
      <c r="Q303" s="11" t="inlineStr">
        <is>
          <t>No</t>
        </is>
      </c>
      <c r="W303" s="11" t="inlineStr">
        <is>
          <t>City of London School (EC4V 3AL)</t>
        </is>
      </c>
      <c r="X303" s="11" t="n">
        <v>15</v>
      </c>
      <c r="Y303" s="11" t="inlineStr">
        <is>
          <t>Liverpool St - Attlee Centre (17)</t>
        </is>
      </c>
      <c r="Z303" s="11" t="inlineStr">
        <is>
          <t>City of London School (EC4V 3AL)</t>
        </is>
      </c>
      <c r="AA303" s="11" t="n">
        <v>15</v>
      </c>
      <c r="AB303" s="14">
        <f>IFERROR(INDEX(Venues!$E$2:$E$17,MATCH(Z303,Venues!$A$2:$A$17,0)),"Not checked")</f>
        <v/>
      </c>
      <c r="AC303" s="14">
        <f>IFERROR(INDEX(Venues!$F$2:$F$17,MATCH(Z303,Venues!$A$2:$A$17,0)),0)</f>
        <v/>
      </c>
      <c r="AD303" s="15">
        <f>IFERROR(INDEX(Venues!$M$2:$M$17,MATCH(Z303,Venues!$A$2:$A$17,0)),"")</f>
        <v/>
      </c>
      <c r="AE303" s="14">
        <f>IFERROR(INDEX(Venues!$N$2:$N$17,MATCH(Z303,Venues!$A$2:$A$17,0)),"5-a-side")</f>
        <v/>
      </c>
      <c r="AF303" s="16">
        <f>IF(Offer!$C$4="","",Offer!$C$4)</f>
        <v/>
      </c>
      <c r="AG303" s="14">
        <f>Z303&amp;" ("&amp;AA303&amp;" min walk) · "&amp;IF(ISNUMBER(AD303),TEXT(AD303,"ddd d mmm, hh:mm"),"slot to confirm with venue")&amp;" · "&amp;AE303&amp;" · "&amp;IF(AF303&lt;&gt;"","£"&amp;TEXT(AF303,"0.00")&amp;" pp","price TBC")</f>
        <v/>
      </c>
      <c r="AH303" s="14">
        <f>IF(U303&lt;&gt;"",U303,IF(H303&lt;&gt;"",H303,""))</f>
        <v/>
      </c>
      <c r="AI303" s="14">
        <f>"After-work football for "&amp;F303&amp;" · "&amp;Z303&amp;", "&amp;AA303&amp;" min from your office"</f>
        <v/>
      </c>
      <c r="AJ303" s="14">
        <f>"Hi "&amp;IF(R303&lt;&gt;"",R303,F303&amp;" team")&amp;","&amp;CHAR(10)&amp;CHAR(10)&amp;"I'm "&amp;IF(AM303&lt;&gt;"",AM303,IF(Offer!$C$5&lt;&gt;"",Offer!$C$5,"[NAME]"))&amp;" from FC Urban. We organise after-work football for teams in the City and Canary Wharf."&amp;CHAR(10)&amp;CHAR(10)&amp;"We have a "&amp;AE303&amp;" pitch at "&amp;Z303&amp;", "&amp;IF(OR(AA303=8,AA303=11,AA303=18),"an ","a ")&amp;AA303&amp;"-minute walk from your "&amp;P303&amp;" office, "&amp;IF(ISNUMBER(AD303),"on "&amp;TEXT(AD303,"dddd d mmmm")&amp;" at "&amp;TEXT(AD303,"hh:mm"),"on a weekday evening that suits your team")&amp;". It's "&amp;IF(AF303&lt;&gt;"","£"&amp;IF(AF303=INT(AF303),TEXT(AF303,"0"),TEXT(AF303,"0.00")),"[PRICE PER PLAYER]")&amp;" a player and we handle the pitch booking, sign-ups and payments, so all it takes is one person sharing a link with the team."&amp;CHAR(10)&amp;CHAR(10)&amp;"It works well as a team social or "&amp;IF(ISNUMBER(SEARCH(LEFT(F303,1),"AEIOU")),"an ","a ")&amp;F303&amp;"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LINK]")&amp;CHAR(10)&amp;CHAR(10)&amp;"Best,"&amp;CHAR(10)&amp;IF(AM303&lt;&gt;"",AM303,IF(Offer!$C$5&lt;&gt;"",Offer!$C$5,"[NAME]"))&amp;CHAR(10)&amp;"FC Urban"</f>
        <v/>
      </c>
      <c r="AK303" s="14">
        <f>"Hi "&amp;IF(R303&lt;&gt;"",R303,F303&amp;" team")&amp;","&amp;CHAR(10)&amp;CHAR(10)&amp;"Just bumping this up. The "&amp;AE303&amp;" pitch at "&amp;Z303&amp;" is still free "&amp;IF(ISNUMBER(AD303),TEXT(AD303,"ddd d mmm")&amp;", "&amp;TEXT(AD303,"hh:mm"),"weekday evenings")&amp;", "&amp;IF(OR(AA303=8,AA303=11,AA303=18),"an ","a ")&amp;AA303&amp;"-minute walk from your office, "&amp;IF(AF303&lt;&gt;"","£"&amp;IF(AF303=INT(AF303),TEXT(AF303,"0"),TEXT(AF303,"0.00")),"[PRICE PER PLAYER]")&amp;" a player. Happy to hold it for "&amp;F303&amp;"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LINK]")&amp;CHAR(10)&amp;CHAR(10)&amp;"Best,"&amp;CHAR(10)&amp;IF(AM303&lt;&gt;"",AM303,IF(Offer!$C$5&lt;&gt;"",Offer!$C$5,"[NAME]"))&amp;CHAR(10)&amp;"FC Urban"</f>
        <v/>
      </c>
      <c r="AL303" s="14">
        <f>IF(AH303="","No email yet",IF(ISNUMBER(SEARCH("[",AJ303)),"Fill placeholders",IF(ISNUMBER(AD303),"Ready to send","Ready · no fixed slot")))</f>
        <v/>
      </c>
      <c r="AO303" s="17" t="n"/>
      <c r="AP303" s="17" t="n"/>
    </row>
    <row r="304">
      <c r="A304" s="11" t="n">
        <v>302</v>
      </c>
      <c r="B304" s="11" t="n">
        <v>3</v>
      </c>
      <c r="C304" s="11" t="inlineStr">
        <is>
          <t>Fund / asset manager</t>
        </is>
      </c>
      <c r="D304" s="11" t="inlineStr">
        <is>
          <t>City of London</t>
        </is>
      </c>
      <c r="E304" s="11" t="inlineStr">
        <is>
          <t>Metage Capital Limited</t>
        </is>
      </c>
      <c r="F304" s="11" t="inlineStr">
        <is>
          <t>Metage Capital</t>
        </is>
      </c>
      <c r="G304" s="12" t="inlineStr">
        <is>
          <t>https://www.metage.com</t>
        </is>
      </c>
      <c r="H304" s="11" t="inlineStr">
        <is>
          <t>ir@metage.com</t>
        </is>
      </c>
      <c r="I304" s="11" t="inlineStr">
        <is>
          <t>general</t>
        </is>
      </c>
      <c r="J304" s="12" t="inlineStr">
        <is>
          <t>Open page</t>
        </is>
      </c>
      <c r="K304" s="11" t="inlineStr">
        <is>
          <t>03525123</t>
        </is>
      </c>
      <c r="L304" s="12" t="inlineStr">
        <is>
          <t>Open</t>
        </is>
      </c>
      <c r="M304" s="11" t="inlineStr">
        <is>
          <t>Full</t>
        </is>
      </c>
      <c r="N304" s="13" t="n">
        <v>35865</v>
      </c>
      <c r="O304" s="11" t="inlineStr">
        <is>
          <t>C/O Tmf Group, 13Th Floor, One Angel Court, London</t>
        </is>
      </c>
      <c r="P304" s="11" t="inlineStr">
        <is>
          <t>EC2R 7HJ</t>
        </is>
      </c>
      <c r="Q304" s="11" t="inlineStr">
        <is>
          <t>No</t>
        </is>
      </c>
      <c r="W304" s="11" t="inlineStr">
        <is>
          <t>City of London School (EC4V 3AL)</t>
        </is>
      </c>
      <c r="X304" s="11" t="n">
        <v>15</v>
      </c>
      <c r="Y304" s="11" t="inlineStr">
        <is>
          <t>Liverpool St - Attlee Centre (17)</t>
        </is>
      </c>
      <c r="Z304" s="11" t="inlineStr">
        <is>
          <t>City of London School (EC4V 3AL)</t>
        </is>
      </c>
      <c r="AA304" s="11" t="n">
        <v>15</v>
      </c>
      <c r="AB304" s="14">
        <f>IFERROR(INDEX(Venues!$E$2:$E$17,MATCH(Z304,Venues!$A$2:$A$17,0)),"Not checked")</f>
        <v/>
      </c>
      <c r="AC304" s="14">
        <f>IFERROR(INDEX(Venues!$F$2:$F$17,MATCH(Z304,Venues!$A$2:$A$17,0)),0)</f>
        <v/>
      </c>
      <c r="AD304" s="15">
        <f>IFERROR(INDEX(Venues!$M$2:$M$17,MATCH(Z304,Venues!$A$2:$A$17,0)),"")</f>
        <v/>
      </c>
      <c r="AE304" s="14">
        <f>IFERROR(INDEX(Venues!$N$2:$N$17,MATCH(Z304,Venues!$A$2:$A$17,0)),"5-a-side")</f>
        <v/>
      </c>
      <c r="AF304" s="16">
        <f>IF(Offer!$C$4="","",Offer!$C$4)</f>
        <v/>
      </c>
      <c r="AG304" s="14">
        <f>Z304&amp;" ("&amp;AA304&amp;" min walk) · "&amp;IF(ISNUMBER(AD304),TEXT(AD304,"ddd d mmm, hh:mm"),"slot to confirm with venue")&amp;" · "&amp;AE304&amp;" · "&amp;IF(AF304&lt;&gt;"","£"&amp;TEXT(AF304,"0.00")&amp;" pp","price TBC")</f>
        <v/>
      </c>
      <c r="AH304" s="14">
        <f>IF(U304&lt;&gt;"",U304,IF(H304&lt;&gt;"",H304,""))</f>
        <v/>
      </c>
      <c r="AI304" s="14">
        <f>"After-work football for "&amp;F304&amp;" · "&amp;Z304&amp;", "&amp;AA304&amp;" min from your office"</f>
        <v/>
      </c>
      <c r="AJ304" s="14">
        <f>"Hi "&amp;IF(R304&lt;&gt;"",R304,F304&amp;" team")&amp;","&amp;CHAR(10)&amp;CHAR(10)&amp;"I'm "&amp;IF(AM304&lt;&gt;"",AM304,IF(Offer!$C$5&lt;&gt;"",Offer!$C$5,"[NAME]"))&amp;" from FC Urban. We organise after-work football for teams in the City and Canary Wharf."&amp;CHAR(10)&amp;CHAR(10)&amp;"We have a "&amp;AE304&amp;" pitch at "&amp;Z304&amp;", "&amp;IF(OR(AA304=8,AA304=11,AA304=18),"an ","a ")&amp;AA304&amp;"-minute walk from your "&amp;P304&amp;" office, "&amp;IF(ISNUMBER(AD304),"on "&amp;TEXT(AD304,"dddd d mmmm")&amp;" at "&amp;TEXT(AD304,"hh:mm"),"on a weekday evening that suits your team")&amp;". It's "&amp;IF(AF304&lt;&gt;"","£"&amp;IF(AF304=INT(AF304),TEXT(AF304,"0"),TEXT(AF304,"0.00")),"[PRICE PER PLAYER]")&amp;" a player and we handle the pitch booking, sign-ups and payments, so all it takes is one person sharing a link with the team."&amp;CHAR(10)&amp;CHAR(10)&amp;"It works well as a team social or "&amp;IF(ISNUMBER(SEARCH(LEFT(F304,1),"AEIOU")),"an ","a ")&amp;F304&amp;"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LINK]")&amp;CHAR(10)&amp;CHAR(10)&amp;"Best,"&amp;CHAR(10)&amp;IF(AM304&lt;&gt;"",AM304,IF(Offer!$C$5&lt;&gt;"",Offer!$C$5,"[NAME]"))&amp;CHAR(10)&amp;"FC Urban"</f>
        <v/>
      </c>
      <c r="AK304" s="14">
        <f>"Hi "&amp;IF(R304&lt;&gt;"",R304,F304&amp;" team")&amp;","&amp;CHAR(10)&amp;CHAR(10)&amp;"Just bumping this up. The "&amp;AE304&amp;" pitch at "&amp;Z304&amp;" is still free "&amp;IF(ISNUMBER(AD304),TEXT(AD304,"ddd d mmm")&amp;", "&amp;TEXT(AD304,"hh:mm"),"weekday evenings")&amp;", "&amp;IF(OR(AA304=8,AA304=11,AA304=18),"an ","a ")&amp;AA304&amp;"-minute walk from your office, "&amp;IF(AF304&lt;&gt;"","£"&amp;IF(AF304=INT(AF304),TEXT(AF304,"0"),TEXT(AF304,"0.00")),"[PRICE PER PLAYER]")&amp;" a player. Happy to hold it for "&amp;F304&amp;"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LINK]")&amp;CHAR(10)&amp;CHAR(10)&amp;"Best,"&amp;CHAR(10)&amp;IF(AM304&lt;&gt;"",AM304,IF(Offer!$C$5&lt;&gt;"",Offer!$C$5,"[NAME]"))&amp;CHAR(10)&amp;"FC Urban"</f>
        <v/>
      </c>
      <c r="AL304" s="14">
        <f>IF(AH304="","No email yet",IF(ISNUMBER(SEARCH("[",AJ304)),"Fill placeholders",IF(ISNUMBER(AD304),"Ready to send","Ready · no fixed slot")))</f>
        <v/>
      </c>
      <c r="AO304" s="17" t="n"/>
      <c r="AP304" s="17" t="n"/>
    </row>
    <row r="305">
      <c r="A305" s="11" t="n">
        <v>303</v>
      </c>
      <c r="B305" s="11" t="n">
        <v>3</v>
      </c>
      <c r="C305" s="11" t="inlineStr">
        <is>
          <t>Fund / asset manager</t>
        </is>
      </c>
      <c r="D305" s="11" t="inlineStr">
        <is>
          <t>City of London</t>
        </is>
      </c>
      <c r="E305" s="11" t="inlineStr">
        <is>
          <t>Partners Wealth Management LLP</t>
        </is>
      </c>
      <c r="F305" s="11" t="inlineStr">
        <is>
          <t>Partners Wealth Management</t>
        </is>
      </c>
      <c r="G305" s="12" t="inlineStr">
        <is>
          <t>https://partnerswealthmanagement.co.uk</t>
        </is>
      </c>
      <c r="H305" s="11" t="inlineStr">
        <is>
          <t>info@partnerswealthmanagement.co.uk</t>
        </is>
      </c>
      <c r="I305" s="11" t="inlineStr">
        <is>
          <t>general</t>
        </is>
      </c>
      <c r="J305" s="12" t="inlineStr">
        <is>
          <t>Open page</t>
        </is>
      </c>
      <c r="K305" s="11" t="inlineStr">
        <is>
          <t>OC307751</t>
        </is>
      </c>
      <c r="L305" s="12" t="inlineStr">
        <is>
          <t>Open</t>
        </is>
      </c>
      <c r="M305" s="11" t="inlineStr">
        <is>
          <t>Full</t>
        </is>
      </c>
      <c r="N305" s="13" t="n">
        <v>38101</v>
      </c>
      <c r="O305" s="11" t="inlineStr">
        <is>
          <t>1 Angel Court, London</t>
        </is>
      </c>
      <c r="P305" s="11" t="inlineStr">
        <is>
          <t>EC2R 7HJ</t>
        </is>
      </c>
      <c r="Q305" s="11" t="inlineStr">
        <is>
          <t>No</t>
        </is>
      </c>
      <c r="W305" s="11" t="inlineStr">
        <is>
          <t>City of London School (EC4V 3AL)</t>
        </is>
      </c>
      <c r="X305" s="11" t="n">
        <v>15</v>
      </c>
      <c r="Y305" s="11" t="inlineStr">
        <is>
          <t>Liverpool St - Attlee Centre (17)</t>
        </is>
      </c>
      <c r="Z305" s="11" t="inlineStr">
        <is>
          <t>City of London School (EC4V 3AL)</t>
        </is>
      </c>
      <c r="AA305" s="11" t="n">
        <v>15</v>
      </c>
      <c r="AB305" s="14">
        <f>IFERROR(INDEX(Venues!$E$2:$E$17,MATCH(Z305,Venues!$A$2:$A$17,0)),"Not checked")</f>
        <v/>
      </c>
      <c r="AC305" s="14">
        <f>IFERROR(INDEX(Venues!$F$2:$F$17,MATCH(Z305,Venues!$A$2:$A$17,0)),0)</f>
        <v/>
      </c>
      <c r="AD305" s="15">
        <f>IFERROR(INDEX(Venues!$M$2:$M$17,MATCH(Z305,Venues!$A$2:$A$17,0)),"")</f>
        <v/>
      </c>
      <c r="AE305" s="14">
        <f>IFERROR(INDEX(Venues!$N$2:$N$17,MATCH(Z305,Venues!$A$2:$A$17,0)),"5-a-side")</f>
        <v/>
      </c>
      <c r="AF305" s="16">
        <f>IF(Offer!$C$4="","",Offer!$C$4)</f>
        <v/>
      </c>
      <c r="AG305" s="14">
        <f>Z305&amp;" ("&amp;AA305&amp;" min walk) · "&amp;IF(ISNUMBER(AD305),TEXT(AD305,"ddd d mmm, hh:mm"),"slot to confirm with venue")&amp;" · "&amp;AE305&amp;" · "&amp;IF(AF305&lt;&gt;"","£"&amp;TEXT(AF305,"0.00")&amp;" pp","price TBC")</f>
        <v/>
      </c>
      <c r="AH305" s="14">
        <f>IF(U305&lt;&gt;"",U305,IF(H305&lt;&gt;"",H305,""))</f>
        <v/>
      </c>
      <c r="AI305" s="14">
        <f>"After-work football for "&amp;F305&amp;" · "&amp;Z305&amp;", "&amp;AA305&amp;" min from your office"</f>
        <v/>
      </c>
      <c r="AJ305" s="14">
        <f>"Hi "&amp;IF(R305&lt;&gt;"",R305,F305&amp;" team")&amp;","&amp;CHAR(10)&amp;CHAR(10)&amp;"I'm "&amp;IF(AM305&lt;&gt;"",AM305,IF(Offer!$C$5&lt;&gt;"",Offer!$C$5,"[NAME]"))&amp;" from FC Urban. We organise after-work football for teams in the City and Canary Wharf."&amp;CHAR(10)&amp;CHAR(10)&amp;"We have a "&amp;AE305&amp;" pitch at "&amp;Z305&amp;", "&amp;IF(OR(AA305=8,AA305=11,AA305=18),"an ","a ")&amp;AA305&amp;"-minute walk from your "&amp;P305&amp;" office, "&amp;IF(ISNUMBER(AD305),"on "&amp;TEXT(AD305,"dddd d mmmm")&amp;" at "&amp;TEXT(AD305,"hh:mm"),"on a weekday evening that suits your team")&amp;". It's "&amp;IF(AF305&lt;&gt;"","£"&amp;IF(AF305=INT(AF305),TEXT(AF305,"0"),TEXT(AF305,"0.00")),"[PRICE PER PLAYER]")&amp;" a player and we handle the pitch booking, sign-ups and payments, so all it takes is one person sharing a link with the team."&amp;CHAR(10)&amp;CHAR(10)&amp;"It works well as a team social or "&amp;IF(ISNUMBER(SEARCH(LEFT(F305,1),"AEIOU")),"an ","a ")&amp;F305&amp;"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LINK]")&amp;CHAR(10)&amp;CHAR(10)&amp;"Best,"&amp;CHAR(10)&amp;IF(AM305&lt;&gt;"",AM305,IF(Offer!$C$5&lt;&gt;"",Offer!$C$5,"[NAME]"))&amp;CHAR(10)&amp;"FC Urban"</f>
        <v/>
      </c>
      <c r="AK305" s="14">
        <f>"Hi "&amp;IF(R305&lt;&gt;"",R305,F305&amp;" team")&amp;","&amp;CHAR(10)&amp;CHAR(10)&amp;"Just bumping this up. The "&amp;AE305&amp;" pitch at "&amp;Z305&amp;" is still free "&amp;IF(ISNUMBER(AD305),TEXT(AD305,"ddd d mmm")&amp;", "&amp;TEXT(AD305,"hh:mm"),"weekday evenings")&amp;", "&amp;IF(OR(AA305=8,AA305=11,AA305=18),"an ","a ")&amp;AA305&amp;"-minute walk from your office, "&amp;IF(AF305&lt;&gt;"","£"&amp;IF(AF305=INT(AF305),TEXT(AF305,"0"),TEXT(AF305,"0.00")),"[PRICE PER PLAYER]")&amp;" a player. Happy to hold it for "&amp;F305&amp;"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LINK]")&amp;CHAR(10)&amp;CHAR(10)&amp;"Best,"&amp;CHAR(10)&amp;IF(AM305&lt;&gt;"",AM305,IF(Offer!$C$5&lt;&gt;"",Offer!$C$5,"[NAME]"))&amp;CHAR(10)&amp;"FC Urban"</f>
        <v/>
      </c>
      <c r="AL305" s="14">
        <f>IF(AH305="","No email yet",IF(ISNUMBER(SEARCH("[",AJ305)),"Fill placeholders",IF(ISNUMBER(AD305),"Ready to send","Ready · no fixed slot")))</f>
        <v/>
      </c>
      <c r="AO305" s="17" t="n"/>
      <c r="AP305" s="17" t="n"/>
    </row>
    <row r="306">
      <c r="A306" s="11" t="n">
        <v>304</v>
      </c>
      <c r="B306" s="11" t="n">
        <v>3</v>
      </c>
      <c r="C306" s="11" t="inlineStr">
        <is>
          <t>Fund / asset manager</t>
        </is>
      </c>
      <c r="D306" s="11" t="inlineStr">
        <is>
          <t>City of London</t>
        </is>
      </c>
      <c r="E306" s="11" t="inlineStr">
        <is>
          <t>Seven Investment Management LLP</t>
        </is>
      </c>
      <c r="F306" s="11" t="inlineStr">
        <is>
          <t>Seven Investment Management</t>
        </is>
      </c>
      <c r="G306" s="12" t="inlineStr">
        <is>
          <t>https://www.seven.co.uk</t>
        </is>
      </c>
      <c r="H306" s="11" t="inlineStr">
        <is>
          <t>hello@seven.co.uk</t>
        </is>
      </c>
      <c r="I306" s="11" t="inlineStr">
        <is>
          <t>general</t>
        </is>
      </c>
      <c r="J306" s="12" t="inlineStr">
        <is>
          <t>Open page</t>
        </is>
      </c>
      <c r="K306" s="11" t="inlineStr">
        <is>
          <t>OC378740</t>
        </is>
      </c>
      <c r="L306" s="12" t="inlineStr">
        <is>
          <t>Open</t>
        </is>
      </c>
      <c r="M306" s="11" t="inlineStr">
        <is>
          <t>Full</t>
        </is>
      </c>
      <c r="N306" s="13" t="n">
        <v>41176</v>
      </c>
      <c r="O306" s="11" t="inlineStr">
        <is>
          <t>1 Angel Court, London</t>
        </is>
      </c>
      <c r="P306" s="11" t="inlineStr">
        <is>
          <t>EC2R 7HJ</t>
        </is>
      </c>
      <c r="Q306" s="11" t="inlineStr">
        <is>
          <t>No</t>
        </is>
      </c>
      <c r="W306" s="11" t="inlineStr">
        <is>
          <t>City of London School (EC4V 3AL)</t>
        </is>
      </c>
      <c r="X306" s="11" t="n">
        <v>15</v>
      </c>
      <c r="Y306" s="11" t="inlineStr">
        <is>
          <t>Liverpool St - Attlee Centre (17)</t>
        </is>
      </c>
      <c r="Z306" s="11" t="inlineStr">
        <is>
          <t>City of London School (EC4V 3AL)</t>
        </is>
      </c>
      <c r="AA306" s="11" t="n">
        <v>15</v>
      </c>
      <c r="AB306" s="14">
        <f>IFERROR(INDEX(Venues!$E$2:$E$17,MATCH(Z306,Venues!$A$2:$A$17,0)),"Not checked")</f>
        <v/>
      </c>
      <c r="AC306" s="14">
        <f>IFERROR(INDEX(Venues!$F$2:$F$17,MATCH(Z306,Venues!$A$2:$A$17,0)),0)</f>
        <v/>
      </c>
      <c r="AD306" s="15">
        <f>IFERROR(INDEX(Venues!$M$2:$M$17,MATCH(Z306,Venues!$A$2:$A$17,0)),"")</f>
        <v/>
      </c>
      <c r="AE306" s="14">
        <f>IFERROR(INDEX(Venues!$N$2:$N$17,MATCH(Z306,Venues!$A$2:$A$17,0)),"5-a-side")</f>
        <v/>
      </c>
      <c r="AF306" s="16">
        <f>IF(Offer!$C$4="","",Offer!$C$4)</f>
        <v/>
      </c>
      <c r="AG306" s="14">
        <f>Z306&amp;" ("&amp;AA306&amp;" min walk) · "&amp;IF(ISNUMBER(AD306),TEXT(AD306,"ddd d mmm, hh:mm"),"slot to confirm with venue")&amp;" · "&amp;AE306&amp;" · "&amp;IF(AF306&lt;&gt;"","£"&amp;TEXT(AF306,"0.00")&amp;" pp","price TBC")</f>
        <v/>
      </c>
      <c r="AH306" s="14">
        <f>IF(U306&lt;&gt;"",U306,IF(H306&lt;&gt;"",H306,""))</f>
        <v/>
      </c>
      <c r="AI306" s="14">
        <f>"After-work football for "&amp;F306&amp;" · "&amp;Z306&amp;", "&amp;AA306&amp;" min from your office"</f>
        <v/>
      </c>
      <c r="AJ306" s="14">
        <f>"Hi "&amp;IF(R306&lt;&gt;"",R306,F306&amp;" team")&amp;","&amp;CHAR(10)&amp;CHAR(10)&amp;"I'm "&amp;IF(AM306&lt;&gt;"",AM306,IF(Offer!$C$5&lt;&gt;"",Offer!$C$5,"[NAME]"))&amp;" from FC Urban. We organise after-work football for teams in the City and Canary Wharf."&amp;CHAR(10)&amp;CHAR(10)&amp;"We have a "&amp;AE306&amp;" pitch at "&amp;Z306&amp;", "&amp;IF(OR(AA306=8,AA306=11,AA306=18),"an ","a ")&amp;AA306&amp;"-minute walk from your "&amp;P306&amp;" office, "&amp;IF(ISNUMBER(AD306),"on "&amp;TEXT(AD306,"dddd d mmmm")&amp;" at "&amp;TEXT(AD306,"hh:mm"),"on a weekday evening that suits your team")&amp;". It's "&amp;IF(AF306&lt;&gt;"","£"&amp;IF(AF306=INT(AF306),TEXT(AF306,"0"),TEXT(AF306,"0.00")),"[PRICE PER PLAYER]")&amp;" a player and we handle the pitch booking, sign-ups and payments, so all it takes is one person sharing a link with the team."&amp;CHAR(10)&amp;CHAR(10)&amp;"It works well as a team social or "&amp;IF(ISNUMBER(SEARCH(LEFT(F306,1),"AEIOU")),"an ","a ")&amp;F306&amp;"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LINK]")&amp;CHAR(10)&amp;CHAR(10)&amp;"Best,"&amp;CHAR(10)&amp;IF(AM306&lt;&gt;"",AM306,IF(Offer!$C$5&lt;&gt;"",Offer!$C$5,"[NAME]"))&amp;CHAR(10)&amp;"FC Urban"</f>
        <v/>
      </c>
      <c r="AK306" s="14">
        <f>"Hi "&amp;IF(R306&lt;&gt;"",R306,F306&amp;" team")&amp;","&amp;CHAR(10)&amp;CHAR(10)&amp;"Just bumping this up. The "&amp;AE306&amp;" pitch at "&amp;Z306&amp;" is still free "&amp;IF(ISNUMBER(AD306),TEXT(AD306,"ddd d mmm")&amp;", "&amp;TEXT(AD306,"hh:mm"),"weekday evenings")&amp;", "&amp;IF(OR(AA306=8,AA306=11,AA306=18),"an ","a ")&amp;AA306&amp;"-minute walk from your office, "&amp;IF(AF306&lt;&gt;"","£"&amp;IF(AF306=INT(AF306),TEXT(AF306,"0"),TEXT(AF306,"0.00")),"[PRICE PER PLAYER]")&amp;" a player. Happy to hold it for "&amp;F306&amp;"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LINK]")&amp;CHAR(10)&amp;CHAR(10)&amp;"Best,"&amp;CHAR(10)&amp;IF(AM306&lt;&gt;"",AM306,IF(Offer!$C$5&lt;&gt;"",Offer!$C$5,"[NAME]"))&amp;CHAR(10)&amp;"FC Urban"</f>
        <v/>
      </c>
      <c r="AL306" s="14">
        <f>IF(AH306="","No email yet",IF(ISNUMBER(SEARCH("[",AJ306)),"Fill placeholders",IF(ISNUMBER(AD306),"Ready to send","Ready · no fixed slot")))</f>
        <v/>
      </c>
      <c r="AO306" s="17" t="n"/>
      <c r="AP306" s="17" t="n"/>
    </row>
    <row r="307">
      <c r="A307" s="11" t="n">
        <v>305</v>
      </c>
      <c r="B307" s="11" t="n">
        <v>3</v>
      </c>
      <c r="C307" s="11" t="inlineStr">
        <is>
          <t>Insurance / broker</t>
        </is>
      </c>
      <c r="D307" s="11" t="inlineStr">
        <is>
          <t>City of London</t>
        </is>
      </c>
      <c r="E307" s="11" t="inlineStr">
        <is>
          <t>Booker Wellman Underwriting Limited</t>
        </is>
      </c>
      <c r="F307" s="11" t="inlineStr">
        <is>
          <t>Booker Wellman Underwriting</t>
        </is>
      </c>
      <c r="G307" s="11" t="n"/>
      <c r="H307" s="11" t="n"/>
      <c r="I307" s="11" t="inlineStr">
        <is>
          <t>Not found</t>
        </is>
      </c>
      <c r="J307" s="11" t="n"/>
      <c r="K307" s="11" t="inlineStr">
        <is>
          <t>06965856</t>
        </is>
      </c>
      <c r="L307" s="12" t="inlineStr">
        <is>
          <t>Open</t>
        </is>
      </c>
      <c r="M307" s="11" t="inlineStr">
        <is>
          <t>Full</t>
        </is>
      </c>
      <c r="N307" s="13" t="n">
        <v>40011</v>
      </c>
      <c r="O307" s="11" t="inlineStr">
        <is>
          <t>5Th Floor, 40, Gracechurch Street, London</t>
        </is>
      </c>
      <c r="P307" s="11" t="inlineStr">
        <is>
          <t>EC3V 0BT</t>
        </is>
      </c>
      <c r="Q307" s="11" t="inlineStr">
        <is>
          <t>No</t>
        </is>
      </c>
      <c r="W307" s="11" t="inlineStr">
        <is>
          <t>City of London School (EC4V 3AL)</t>
        </is>
      </c>
      <c r="X307" s="11" t="n">
        <v>15</v>
      </c>
      <c r="Y307" s="11" t="inlineStr">
        <is>
          <t>Marlborough Sports Garden (SE1 1SD) (16.6); Liverpool St - Attlee Centre (18.6)</t>
        </is>
      </c>
      <c r="Z307" s="11" t="inlineStr">
        <is>
          <t>City of London School (EC4V 3AL)</t>
        </is>
      </c>
      <c r="AA307" s="11" t="n">
        <v>15</v>
      </c>
      <c r="AB307" s="14">
        <f>IFERROR(INDEX(Venues!$E$2:$E$17,MATCH(Z307,Venues!$A$2:$A$17,0)),"Not checked")</f>
        <v/>
      </c>
      <c r="AC307" s="14">
        <f>IFERROR(INDEX(Venues!$F$2:$F$17,MATCH(Z307,Venues!$A$2:$A$17,0)),0)</f>
        <v/>
      </c>
      <c r="AD307" s="15">
        <f>IFERROR(INDEX(Venues!$M$2:$M$17,MATCH(Z307,Venues!$A$2:$A$17,0)),"")</f>
        <v/>
      </c>
      <c r="AE307" s="14">
        <f>IFERROR(INDEX(Venues!$N$2:$N$17,MATCH(Z307,Venues!$A$2:$A$17,0)),"5-a-side")</f>
        <v/>
      </c>
      <c r="AF307" s="16">
        <f>IF(Offer!$C$4="","",Offer!$C$4)</f>
        <v/>
      </c>
      <c r="AG307" s="14">
        <f>Z307&amp;" ("&amp;AA307&amp;" min walk) · "&amp;IF(ISNUMBER(AD307),TEXT(AD307,"ddd d mmm, hh:mm"),"slot to confirm with venue")&amp;" · "&amp;AE307&amp;" · "&amp;IF(AF307&lt;&gt;"","£"&amp;TEXT(AF307,"0.00")&amp;" pp","price TBC")</f>
        <v/>
      </c>
      <c r="AH307" s="14">
        <f>IF(U307&lt;&gt;"",U307,IF(H307&lt;&gt;"",H307,""))</f>
        <v/>
      </c>
      <c r="AI307" s="14">
        <f>"After-work football for "&amp;F307&amp;" · "&amp;Z307&amp;", "&amp;AA307&amp;" min from your office"</f>
        <v/>
      </c>
      <c r="AJ307" s="14">
        <f>"Hi "&amp;IF(R307&lt;&gt;"",R307,F307&amp;" team")&amp;","&amp;CHAR(10)&amp;CHAR(10)&amp;"I'm "&amp;IF(AM307&lt;&gt;"",AM307,IF(Offer!$C$5&lt;&gt;"",Offer!$C$5,"[NAME]"))&amp;" from FC Urban. We organise after-work football for teams in the City and Canary Wharf."&amp;CHAR(10)&amp;CHAR(10)&amp;"We have a "&amp;AE307&amp;" pitch at "&amp;Z307&amp;", "&amp;IF(OR(AA307=8,AA307=11,AA307=18),"an ","a ")&amp;AA307&amp;"-minute walk from your "&amp;P307&amp;" office, "&amp;IF(ISNUMBER(AD307),"on "&amp;TEXT(AD307,"dddd d mmmm")&amp;" at "&amp;TEXT(AD307,"hh:mm"),"on a weekday evening that suits your team")&amp;". It's "&amp;IF(AF307&lt;&gt;"","£"&amp;IF(AF307=INT(AF307),TEXT(AF307,"0"),TEXT(AF307,"0.00")),"[PRICE PER PLAYER]")&amp;" a player and we handle the pitch booking, sign-ups and payments, so all it takes is one person sharing a link with the team."&amp;CHAR(10)&amp;CHAR(10)&amp;"It works well as a team social or "&amp;IF(ISNUMBER(SEARCH(LEFT(F307,1),"AEIOU")),"an ","a ")&amp;F307&amp;"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LINK]")&amp;CHAR(10)&amp;CHAR(10)&amp;"Best,"&amp;CHAR(10)&amp;IF(AM307&lt;&gt;"",AM307,IF(Offer!$C$5&lt;&gt;"",Offer!$C$5,"[NAME]"))&amp;CHAR(10)&amp;"FC Urban"</f>
        <v/>
      </c>
      <c r="AK307" s="14">
        <f>"Hi "&amp;IF(R307&lt;&gt;"",R307,F307&amp;" team")&amp;","&amp;CHAR(10)&amp;CHAR(10)&amp;"Just bumping this up. The "&amp;AE307&amp;" pitch at "&amp;Z307&amp;" is still free "&amp;IF(ISNUMBER(AD307),TEXT(AD307,"ddd d mmm")&amp;", "&amp;TEXT(AD307,"hh:mm"),"weekday evenings")&amp;", "&amp;IF(OR(AA307=8,AA307=11,AA307=18),"an ","a ")&amp;AA307&amp;"-minute walk from your office, "&amp;IF(AF307&lt;&gt;"","£"&amp;IF(AF307=INT(AF307),TEXT(AF307,"0"),TEXT(AF307,"0.00")),"[PRICE PER PLAYER]")&amp;" a player. Happy to hold it for "&amp;F307&amp;"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LINK]")&amp;CHAR(10)&amp;CHAR(10)&amp;"Best,"&amp;CHAR(10)&amp;IF(AM307&lt;&gt;"",AM307,IF(Offer!$C$5&lt;&gt;"",Offer!$C$5,"[NAME]"))&amp;CHAR(10)&amp;"FC Urban"</f>
        <v/>
      </c>
      <c r="AL307" s="14">
        <f>IF(AH307="","No email yet",IF(ISNUMBER(SEARCH("[",AJ307)),"Fill placeholders",IF(ISNUMBER(AD307),"Ready to send","Ready · no fixed slot")))</f>
        <v/>
      </c>
      <c r="AO307" s="17" t="n"/>
      <c r="AP307" s="17" t="n"/>
    </row>
    <row r="308">
      <c r="A308" s="11" t="n">
        <v>306</v>
      </c>
      <c r="B308" s="11" t="n">
        <v>3</v>
      </c>
      <c r="C308" s="11" t="inlineStr">
        <is>
          <t>Insurance / broker</t>
        </is>
      </c>
      <c r="D308" s="11" t="inlineStr">
        <is>
          <t>City of London</t>
        </is>
      </c>
      <c r="E308" s="11" t="inlineStr">
        <is>
          <t>Bupa Insurance Limited</t>
        </is>
      </c>
      <c r="F308" s="11" t="inlineStr">
        <is>
          <t>Bupa Insurance</t>
        </is>
      </c>
      <c r="G308" s="12" t="inlineStr">
        <is>
          <t>https://www.bupa.com</t>
        </is>
      </c>
      <c r="H308" s="11" t="inlineStr">
        <is>
          <t>media@bupa.com</t>
        </is>
      </c>
      <c r="I308" s="11" t="inlineStr">
        <is>
          <t>role (press / marketing)</t>
        </is>
      </c>
      <c r="J308" s="12" t="inlineStr">
        <is>
          <t>Open page</t>
        </is>
      </c>
      <c r="K308" s="11" t="inlineStr">
        <is>
          <t>03956433</t>
        </is>
      </c>
      <c r="L308" s="12" t="inlineStr">
        <is>
          <t>Open</t>
        </is>
      </c>
      <c r="M308" s="11" t="inlineStr">
        <is>
          <t>Full</t>
        </is>
      </c>
      <c r="N308" s="13" t="n">
        <v>36612</v>
      </c>
      <c r="O308" s="11" t="inlineStr">
        <is>
          <t>1 Angel Court, London</t>
        </is>
      </c>
      <c r="P308" s="11" t="inlineStr">
        <is>
          <t>EC2R 7HJ</t>
        </is>
      </c>
      <c r="Q308" s="11" t="inlineStr">
        <is>
          <t>No</t>
        </is>
      </c>
      <c r="W308" s="11" t="inlineStr">
        <is>
          <t>City of London School (EC4V 3AL)</t>
        </is>
      </c>
      <c r="X308" s="11" t="n">
        <v>15</v>
      </c>
      <c r="Y308" s="11" t="inlineStr">
        <is>
          <t>Liverpool St - Attlee Centre (17)</t>
        </is>
      </c>
      <c r="Z308" s="11" t="inlineStr">
        <is>
          <t>City of London School (EC4V 3AL)</t>
        </is>
      </c>
      <c r="AA308" s="11" t="n">
        <v>15</v>
      </c>
      <c r="AB308" s="14">
        <f>IFERROR(INDEX(Venues!$E$2:$E$17,MATCH(Z308,Venues!$A$2:$A$17,0)),"Not checked")</f>
        <v/>
      </c>
      <c r="AC308" s="14">
        <f>IFERROR(INDEX(Venues!$F$2:$F$17,MATCH(Z308,Venues!$A$2:$A$17,0)),0)</f>
        <v/>
      </c>
      <c r="AD308" s="15">
        <f>IFERROR(INDEX(Venues!$M$2:$M$17,MATCH(Z308,Venues!$A$2:$A$17,0)),"")</f>
        <v/>
      </c>
      <c r="AE308" s="14">
        <f>IFERROR(INDEX(Venues!$N$2:$N$17,MATCH(Z308,Venues!$A$2:$A$17,0)),"5-a-side")</f>
        <v/>
      </c>
      <c r="AF308" s="16">
        <f>IF(Offer!$C$4="","",Offer!$C$4)</f>
        <v/>
      </c>
      <c r="AG308" s="14">
        <f>Z308&amp;" ("&amp;AA308&amp;" min walk) · "&amp;IF(ISNUMBER(AD308),TEXT(AD308,"ddd d mmm, hh:mm"),"slot to confirm with venue")&amp;" · "&amp;AE308&amp;" · "&amp;IF(AF308&lt;&gt;"","£"&amp;TEXT(AF308,"0.00")&amp;" pp","price TBC")</f>
        <v/>
      </c>
      <c r="AH308" s="14">
        <f>IF(U308&lt;&gt;"",U308,IF(H308&lt;&gt;"",H308,""))</f>
        <v/>
      </c>
      <c r="AI308" s="14">
        <f>"After-work football for "&amp;F308&amp;" · "&amp;Z308&amp;", "&amp;AA308&amp;" min from your office"</f>
        <v/>
      </c>
      <c r="AJ308" s="14">
        <f>"Hi "&amp;IF(R308&lt;&gt;"",R308,F308&amp;" team")&amp;","&amp;CHAR(10)&amp;CHAR(10)&amp;"I'm "&amp;IF(AM308&lt;&gt;"",AM308,IF(Offer!$C$5&lt;&gt;"",Offer!$C$5,"[NAME]"))&amp;" from FC Urban. We organise after-work football for teams in the City and Canary Wharf."&amp;CHAR(10)&amp;CHAR(10)&amp;"We have a "&amp;AE308&amp;" pitch at "&amp;Z308&amp;", "&amp;IF(OR(AA308=8,AA308=11,AA308=18),"an ","a ")&amp;AA308&amp;"-minute walk from your "&amp;P308&amp;" office, "&amp;IF(ISNUMBER(AD308),"on "&amp;TEXT(AD308,"dddd d mmmm")&amp;" at "&amp;TEXT(AD308,"hh:mm"),"on a weekday evening that suits your team")&amp;". It's "&amp;IF(AF308&lt;&gt;"","£"&amp;IF(AF308=INT(AF308),TEXT(AF308,"0"),TEXT(AF308,"0.00")),"[PRICE PER PLAYER]")&amp;" a player and we handle the pitch booking, sign-ups and payments, so all it takes is one person sharing a link with the team."&amp;CHAR(10)&amp;CHAR(10)&amp;"It works well as a team social or "&amp;IF(ISNUMBER(SEARCH(LEFT(F308,1),"AEIOU")),"an ","a ")&amp;F308&amp;"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LINK]")&amp;CHAR(10)&amp;CHAR(10)&amp;"Best,"&amp;CHAR(10)&amp;IF(AM308&lt;&gt;"",AM308,IF(Offer!$C$5&lt;&gt;"",Offer!$C$5,"[NAME]"))&amp;CHAR(10)&amp;"FC Urban"</f>
        <v/>
      </c>
      <c r="AK308" s="14">
        <f>"Hi "&amp;IF(R308&lt;&gt;"",R308,F308&amp;" team")&amp;","&amp;CHAR(10)&amp;CHAR(10)&amp;"Just bumping this up. The "&amp;AE308&amp;" pitch at "&amp;Z308&amp;" is still free "&amp;IF(ISNUMBER(AD308),TEXT(AD308,"ddd d mmm")&amp;", "&amp;TEXT(AD308,"hh:mm"),"weekday evenings")&amp;", "&amp;IF(OR(AA308=8,AA308=11,AA308=18),"an ","a ")&amp;AA308&amp;"-minute walk from your office, "&amp;IF(AF308&lt;&gt;"","£"&amp;IF(AF308=INT(AF308),TEXT(AF308,"0"),TEXT(AF308,"0.00")),"[PRICE PER PLAYER]")&amp;" a player. Happy to hold it for "&amp;F308&amp;"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LINK]")&amp;CHAR(10)&amp;CHAR(10)&amp;"Best,"&amp;CHAR(10)&amp;IF(AM308&lt;&gt;"",AM308,IF(Offer!$C$5&lt;&gt;"",Offer!$C$5,"[NAME]"))&amp;CHAR(10)&amp;"FC Urban"</f>
        <v/>
      </c>
      <c r="AL308" s="14">
        <f>IF(AH308="","No email yet",IF(ISNUMBER(SEARCH("[",AJ308)),"Fill placeholders",IF(ISNUMBER(AD308),"Ready to send","Ready · no fixed slot")))</f>
        <v/>
      </c>
      <c r="AO308" s="17" t="n"/>
      <c r="AP308" s="17" t="n"/>
    </row>
    <row r="309">
      <c r="A309" s="11" t="n">
        <v>307</v>
      </c>
      <c r="B309" s="11" t="n">
        <v>3</v>
      </c>
      <c r="C309" s="11" t="inlineStr">
        <is>
          <t>Insurance / broker</t>
        </is>
      </c>
      <c r="D309" s="11" t="inlineStr">
        <is>
          <t>City of London</t>
        </is>
      </c>
      <c r="E309" s="11" t="inlineStr">
        <is>
          <t>Consilium Insurance Brokers Limited</t>
        </is>
      </c>
      <c r="F309" s="11" t="inlineStr">
        <is>
          <t>Consilium Insurance Brokers</t>
        </is>
      </c>
      <c r="G309" s="11" t="n"/>
      <c r="H309" s="11" t="n"/>
      <c r="I309" s="11" t="inlineStr">
        <is>
          <t>Not found</t>
        </is>
      </c>
      <c r="J309" s="11" t="n"/>
      <c r="K309" s="11" t="inlineStr">
        <is>
          <t>03149879</t>
        </is>
      </c>
      <c r="L309" s="12" t="inlineStr">
        <is>
          <t>Open</t>
        </is>
      </c>
      <c r="M309" s="11" t="inlineStr">
        <is>
          <t>Full</t>
        </is>
      </c>
      <c r="N309" s="13" t="n">
        <v>35087</v>
      </c>
      <c r="O309" s="11" t="inlineStr">
        <is>
          <t>The Monument Building 3Rd Floor, 11 Monument Street, London</t>
        </is>
      </c>
      <c r="P309" s="11" t="inlineStr">
        <is>
          <t>EC3R 8AF</t>
        </is>
      </c>
      <c r="Q309" s="11" t="inlineStr">
        <is>
          <t>No</t>
        </is>
      </c>
      <c r="W309" s="11" t="inlineStr">
        <is>
          <t>Marlborough Sports Garden (SE1 1SD)</t>
        </is>
      </c>
      <c r="X309" s="11" t="n">
        <v>15</v>
      </c>
      <c r="Y309" s="11" t="inlineStr">
        <is>
          <t>City of London School (EC4V 3AL) (15.4)</t>
        </is>
      </c>
      <c r="Z309" s="11" t="inlineStr">
        <is>
          <t>City of London School (EC4V 3AL)</t>
        </is>
      </c>
      <c r="AA309" s="11" t="n">
        <v>15</v>
      </c>
      <c r="AB309" s="14">
        <f>IFERROR(INDEX(Venues!$E$2:$E$17,MATCH(Z309,Venues!$A$2:$A$17,0)),"Not checked")</f>
        <v/>
      </c>
      <c r="AC309" s="14">
        <f>IFERROR(INDEX(Venues!$F$2:$F$17,MATCH(Z309,Venues!$A$2:$A$17,0)),0)</f>
        <v/>
      </c>
      <c r="AD309" s="15">
        <f>IFERROR(INDEX(Venues!$M$2:$M$17,MATCH(Z309,Venues!$A$2:$A$17,0)),"")</f>
        <v/>
      </c>
      <c r="AE309" s="14">
        <f>IFERROR(INDEX(Venues!$N$2:$N$17,MATCH(Z309,Venues!$A$2:$A$17,0)),"5-a-side")</f>
        <v/>
      </c>
      <c r="AF309" s="16">
        <f>IF(Offer!$C$4="","",Offer!$C$4)</f>
        <v/>
      </c>
      <c r="AG309" s="14">
        <f>Z309&amp;" ("&amp;AA309&amp;" min walk) · "&amp;IF(ISNUMBER(AD309),TEXT(AD309,"ddd d mmm, hh:mm"),"slot to confirm with venue")&amp;" · "&amp;AE309&amp;" · "&amp;IF(AF309&lt;&gt;"","£"&amp;TEXT(AF309,"0.00")&amp;" pp","price TBC")</f>
        <v/>
      </c>
      <c r="AH309" s="14">
        <f>IF(U309&lt;&gt;"",U309,IF(H309&lt;&gt;"",H309,""))</f>
        <v/>
      </c>
      <c r="AI309" s="14">
        <f>"After-work football for "&amp;F309&amp;" · "&amp;Z309&amp;", "&amp;AA309&amp;" min from your office"</f>
        <v/>
      </c>
      <c r="AJ309" s="14">
        <f>"Hi "&amp;IF(R309&lt;&gt;"",R309,F309&amp;" team")&amp;","&amp;CHAR(10)&amp;CHAR(10)&amp;"I'm "&amp;IF(AM309&lt;&gt;"",AM309,IF(Offer!$C$5&lt;&gt;"",Offer!$C$5,"[NAME]"))&amp;" from FC Urban. We organise after-work football for teams in the City and Canary Wharf."&amp;CHAR(10)&amp;CHAR(10)&amp;"We have a "&amp;AE309&amp;" pitch at "&amp;Z309&amp;", "&amp;IF(OR(AA309=8,AA309=11,AA309=18),"an ","a ")&amp;AA309&amp;"-minute walk from your "&amp;P309&amp;" office, "&amp;IF(ISNUMBER(AD309),"on "&amp;TEXT(AD309,"dddd d mmmm")&amp;" at "&amp;TEXT(AD309,"hh:mm"),"on a weekday evening that suits your team")&amp;". It's "&amp;IF(AF309&lt;&gt;"","£"&amp;IF(AF309=INT(AF309),TEXT(AF309,"0"),TEXT(AF309,"0.00")),"[PRICE PER PLAYER]")&amp;" a player and we handle the pitch booking, sign-ups and payments, so all it takes is one person sharing a link with the team."&amp;CHAR(10)&amp;CHAR(10)&amp;"It works well as a team social or "&amp;IF(ISNUMBER(SEARCH(LEFT(F309,1),"AEIOU")),"an ","a ")&amp;F309&amp;"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LINK]")&amp;CHAR(10)&amp;CHAR(10)&amp;"Best,"&amp;CHAR(10)&amp;IF(AM309&lt;&gt;"",AM309,IF(Offer!$C$5&lt;&gt;"",Offer!$C$5,"[NAME]"))&amp;CHAR(10)&amp;"FC Urban"</f>
        <v/>
      </c>
      <c r="AK309" s="14">
        <f>"Hi "&amp;IF(R309&lt;&gt;"",R309,F309&amp;" team")&amp;","&amp;CHAR(10)&amp;CHAR(10)&amp;"Just bumping this up. The "&amp;AE309&amp;" pitch at "&amp;Z309&amp;" is still free "&amp;IF(ISNUMBER(AD309),TEXT(AD309,"ddd d mmm")&amp;", "&amp;TEXT(AD309,"hh:mm"),"weekday evenings")&amp;", "&amp;IF(OR(AA309=8,AA309=11,AA309=18),"an ","a ")&amp;AA309&amp;"-minute walk from your office, "&amp;IF(AF309&lt;&gt;"","£"&amp;IF(AF309=INT(AF309),TEXT(AF309,"0"),TEXT(AF309,"0.00")),"[PRICE PER PLAYER]")&amp;" a player. Happy to hold it for "&amp;F309&amp;"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LINK]")&amp;CHAR(10)&amp;CHAR(10)&amp;"Best,"&amp;CHAR(10)&amp;IF(AM309&lt;&gt;"",AM309,IF(Offer!$C$5&lt;&gt;"",Offer!$C$5,"[NAME]"))&amp;CHAR(10)&amp;"FC Urban"</f>
        <v/>
      </c>
      <c r="AL309" s="14">
        <f>IF(AH309="","No email yet",IF(ISNUMBER(SEARCH("[",AJ309)),"Fill placeholders",IF(ISNUMBER(AD309),"Ready to send","Ready · no fixed slot")))</f>
        <v/>
      </c>
      <c r="AO309" s="17" t="n"/>
      <c r="AP309" s="17" t="n"/>
    </row>
    <row r="310">
      <c r="A310" s="11" t="n">
        <v>308</v>
      </c>
      <c r="B310" s="11" t="n">
        <v>3</v>
      </c>
      <c r="C310" s="11" t="inlineStr">
        <is>
          <t>Insurance / broker</t>
        </is>
      </c>
      <c r="D310" s="11" t="inlineStr">
        <is>
          <t>City of London</t>
        </is>
      </c>
      <c r="E310" s="11" t="inlineStr">
        <is>
          <t>HCC International Insurance Company PLC</t>
        </is>
      </c>
      <c r="F310" s="11" t="inlineStr">
        <is>
          <t>HCC International Insurance Company</t>
        </is>
      </c>
      <c r="G310" s="12" t="inlineStr">
        <is>
          <t>https://www.tmhcc.com</t>
        </is>
      </c>
      <c r="H310" s="11" t="n"/>
      <c r="I310" s="11" t="inlineStr">
        <is>
          <t>Not found</t>
        </is>
      </c>
      <c r="J310" s="11" t="n"/>
      <c r="K310" s="11" t="inlineStr">
        <is>
          <t>01575839</t>
        </is>
      </c>
      <c r="L310" s="12" t="inlineStr">
        <is>
          <t>Open</t>
        </is>
      </c>
      <c r="M310" s="11" t="inlineStr">
        <is>
          <t>Full</t>
        </is>
      </c>
      <c r="N310" s="13" t="n">
        <v>29789</v>
      </c>
      <c r="O310" s="11" t="inlineStr">
        <is>
          <t>The St Botolph Building, 138 Houndsditch, London</t>
        </is>
      </c>
      <c r="P310" s="11" t="inlineStr">
        <is>
          <t>EC3A 7BT</t>
        </is>
      </c>
      <c r="Q310" s="11" t="inlineStr">
        <is>
          <t>No</t>
        </is>
      </c>
      <c r="W310" s="11" t="inlineStr">
        <is>
          <t>Liverpool St - Attlee Centre</t>
        </is>
      </c>
      <c r="X310" s="11" t="n">
        <v>8</v>
      </c>
      <c r="Y310" s="11" t="inlineStr">
        <is>
          <t>Shoreditch Powerleague (15.4)</t>
        </is>
      </c>
      <c r="Z310" s="11" t="inlineStr">
        <is>
          <t>Shoreditch Powerleague</t>
        </is>
      </c>
      <c r="AA310" s="11" t="n">
        <v>15</v>
      </c>
      <c r="AB310" s="14">
        <f>IFERROR(INDEX(Venues!$E$2:$E$17,MATCH(Z310,Venues!$A$2:$A$17,0)),"Not checked")</f>
        <v/>
      </c>
      <c r="AC310" s="14">
        <f>IFERROR(INDEX(Venues!$F$2:$F$17,MATCH(Z310,Venues!$A$2:$A$17,0)),0)</f>
        <v/>
      </c>
      <c r="AD310" s="15">
        <f>IFERROR(INDEX(Venues!$M$2:$M$17,MATCH(Z310,Venues!$A$2:$A$17,0)),"")</f>
        <v/>
      </c>
      <c r="AE310" s="14">
        <f>IFERROR(INDEX(Venues!$N$2:$N$17,MATCH(Z310,Venues!$A$2:$A$17,0)),"5-a-side")</f>
        <v/>
      </c>
      <c r="AF310" s="16">
        <f>IF(Offer!$C$4="","",Offer!$C$4)</f>
        <v/>
      </c>
      <c r="AG310" s="14">
        <f>Z310&amp;" ("&amp;AA310&amp;" min walk) · "&amp;IF(ISNUMBER(AD310),TEXT(AD310,"ddd d mmm, hh:mm"),"slot to confirm with venue")&amp;" · "&amp;AE310&amp;" · "&amp;IF(AF310&lt;&gt;"","£"&amp;TEXT(AF310,"0.00")&amp;" pp","price TBC")</f>
        <v/>
      </c>
      <c r="AH310" s="14">
        <f>IF(U310&lt;&gt;"",U310,IF(H310&lt;&gt;"",H310,""))</f>
        <v/>
      </c>
      <c r="AI310" s="14">
        <f>"After-work football for "&amp;F310&amp;" · "&amp;Z310&amp;", "&amp;AA310&amp;" min from your office"</f>
        <v/>
      </c>
      <c r="AJ310" s="14">
        <f>"Hi "&amp;IF(R310&lt;&gt;"",R310,F310&amp;" team")&amp;","&amp;CHAR(10)&amp;CHAR(10)&amp;"I'm "&amp;IF(AM310&lt;&gt;"",AM310,IF(Offer!$C$5&lt;&gt;"",Offer!$C$5,"[NAME]"))&amp;" from FC Urban. We organise after-work football for teams in the City and Canary Wharf."&amp;CHAR(10)&amp;CHAR(10)&amp;"We have a "&amp;AE310&amp;" pitch at "&amp;Z310&amp;", "&amp;IF(OR(AA310=8,AA310=11,AA310=18),"an ","a ")&amp;AA310&amp;"-minute walk from your "&amp;P310&amp;" office, "&amp;IF(ISNUMBER(AD310),"on "&amp;TEXT(AD310,"dddd d mmmm")&amp;" at "&amp;TEXT(AD310,"hh:mm"),"on a weekday evening that suits your team")&amp;". It's "&amp;IF(AF310&lt;&gt;"","£"&amp;IF(AF310=INT(AF310),TEXT(AF310,"0"),TEXT(AF310,"0.00")),"[PRICE PER PLAYER]")&amp;" a player and we handle the pitch booking, sign-ups and payments, so all it takes is one person sharing a link with the team."&amp;CHAR(10)&amp;CHAR(10)&amp;"It works well as a team social or "&amp;IF(ISNUMBER(SEARCH(LEFT(F310,1),"AEIOU")),"an ","a ")&amp;F310&amp;"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LINK]")&amp;CHAR(10)&amp;CHAR(10)&amp;"Best,"&amp;CHAR(10)&amp;IF(AM310&lt;&gt;"",AM310,IF(Offer!$C$5&lt;&gt;"",Offer!$C$5,"[NAME]"))&amp;CHAR(10)&amp;"FC Urban"</f>
        <v/>
      </c>
      <c r="AK310" s="14">
        <f>"Hi "&amp;IF(R310&lt;&gt;"",R310,F310&amp;" team")&amp;","&amp;CHAR(10)&amp;CHAR(10)&amp;"Just bumping this up. The "&amp;AE310&amp;" pitch at "&amp;Z310&amp;" is still free "&amp;IF(ISNUMBER(AD310),TEXT(AD310,"ddd d mmm")&amp;", "&amp;TEXT(AD310,"hh:mm"),"weekday evenings")&amp;", "&amp;IF(OR(AA310=8,AA310=11,AA310=18),"an ","a ")&amp;AA310&amp;"-minute walk from your office, "&amp;IF(AF310&lt;&gt;"","£"&amp;IF(AF310=INT(AF310),TEXT(AF310,"0"),TEXT(AF310,"0.00")),"[PRICE PER PLAYER]")&amp;" a player. Happy to hold it for "&amp;F310&amp;"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LINK]")&amp;CHAR(10)&amp;CHAR(10)&amp;"Best,"&amp;CHAR(10)&amp;IF(AM310&lt;&gt;"",AM310,IF(Offer!$C$5&lt;&gt;"",Offer!$C$5,"[NAME]"))&amp;CHAR(10)&amp;"FC Urban"</f>
        <v/>
      </c>
      <c r="AL310" s="14">
        <f>IF(AH310="","No email yet",IF(ISNUMBER(SEARCH("[",AJ310)),"Fill placeholders",IF(ISNUMBER(AD310),"Ready to send","Ready · no fixed slot")))</f>
        <v/>
      </c>
      <c r="AO310" s="17" t="n"/>
      <c r="AP310" s="17" t="n"/>
    </row>
    <row r="311">
      <c r="A311" s="11" t="n">
        <v>309</v>
      </c>
      <c r="B311" s="11" t="n">
        <v>3</v>
      </c>
      <c r="C311" s="11" t="inlineStr">
        <is>
          <t>Insurance / broker</t>
        </is>
      </c>
      <c r="D311" s="11" t="inlineStr">
        <is>
          <t>City of London</t>
        </is>
      </c>
      <c r="E311" s="11" t="inlineStr">
        <is>
          <t>Jenner Underwriting Limited</t>
        </is>
      </c>
      <c r="F311" s="11" t="inlineStr">
        <is>
          <t>Jenner Underwriting</t>
        </is>
      </c>
      <c r="G311" s="12" t="inlineStr">
        <is>
          <t>https://www.domainstore.co.uk</t>
        </is>
      </c>
      <c r="H311" s="11" t="n"/>
      <c r="I311" s="11" t="inlineStr">
        <is>
          <t>Not found</t>
        </is>
      </c>
      <c r="J311" s="11" t="n"/>
      <c r="K311" s="11" t="inlineStr">
        <is>
          <t>03849918</t>
        </is>
      </c>
      <c r="L311" s="12" t="inlineStr">
        <is>
          <t>Open</t>
        </is>
      </c>
      <c r="M311" s="11" t="inlineStr">
        <is>
          <t>Full</t>
        </is>
      </c>
      <c r="N311" s="13" t="n">
        <v>36427</v>
      </c>
      <c r="O311" s="11" t="inlineStr">
        <is>
          <t>5Th Floor, 40 Gracechurch Street, London</t>
        </is>
      </c>
      <c r="P311" s="11" t="inlineStr">
        <is>
          <t>EC3V 0BT</t>
        </is>
      </c>
      <c r="Q311" s="11" t="inlineStr">
        <is>
          <t>No</t>
        </is>
      </c>
      <c r="W311" s="11" t="inlineStr">
        <is>
          <t>City of London School (EC4V 3AL)</t>
        </is>
      </c>
      <c r="X311" s="11" t="n">
        <v>15</v>
      </c>
      <c r="Y311" s="11" t="inlineStr">
        <is>
          <t>Marlborough Sports Garden (SE1 1SD) (16.6); Liverpool St - Attlee Centre (18.6)</t>
        </is>
      </c>
      <c r="Z311" s="11" t="inlineStr">
        <is>
          <t>City of London School (EC4V 3AL)</t>
        </is>
      </c>
      <c r="AA311" s="11" t="n">
        <v>15</v>
      </c>
      <c r="AB311" s="14">
        <f>IFERROR(INDEX(Venues!$E$2:$E$17,MATCH(Z311,Venues!$A$2:$A$17,0)),"Not checked")</f>
        <v/>
      </c>
      <c r="AC311" s="14">
        <f>IFERROR(INDEX(Venues!$F$2:$F$17,MATCH(Z311,Venues!$A$2:$A$17,0)),0)</f>
        <v/>
      </c>
      <c r="AD311" s="15">
        <f>IFERROR(INDEX(Venues!$M$2:$M$17,MATCH(Z311,Venues!$A$2:$A$17,0)),"")</f>
        <v/>
      </c>
      <c r="AE311" s="14">
        <f>IFERROR(INDEX(Venues!$N$2:$N$17,MATCH(Z311,Venues!$A$2:$A$17,0)),"5-a-side")</f>
        <v/>
      </c>
      <c r="AF311" s="16">
        <f>IF(Offer!$C$4="","",Offer!$C$4)</f>
        <v/>
      </c>
      <c r="AG311" s="14">
        <f>Z311&amp;" ("&amp;AA311&amp;" min walk) · "&amp;IF(ISNUMBER(AD311),TEXT(AD311,"ddd d mmm, hh:mm"),"slot to confirm with venue")&amp;" · "&amp;AE311&amp;" · "&amp;IF(AF311&lt;&gt;"","£"&amp;TEXT(AF311,"0.00")&amp;" pp","price TBC")</f>
        <v/>
      </c>
      <c r="AH311" s="14">
        <f>IF(U311&lt;&gt;"",U311,IF(H311&lt;&gt;"",H311,""))</f>
        <v/>
      </c>
      <c r="AI311" s="14">
        <f>"After-work football for "&amp;F311&amp;" · "&amp;Z311&amp;", "&amp;AA311&amp;" min from your office"</f>
        <v/>
      </c>
      <c r="AJ311" s="14">
        <f>"Hi "&amp;IF(R311&lt;&gt;"",R311,F311&amp;" team")&amp;","&amp;CHAR(10)&amp;CHAR(10)&amp;"I'm "&amp;IF(AM311&lt;&gt;"",AM311,IF(Offer!$C$5&lt;&gt;"",Offer!$C$5,"[NAME]"))&amp;" from FC Urban. We organise after-work football for teams in the City and Canary Wharf."&amp;CHAR(10)&amp;CHAR(10)&amp;"We have a "&amp;AE311&amp;" pitch at "&amp;Z311&amp;", "&amp;IF(OR(AA311=8,AA311=11,AA311=18),"an ","a ")&amp;AA311&amp;"-minute walk from your "&amp;P311&amp;" office, "&amp;IF(ISNUMBER(AD311),"on "&amp;TEXT(AD311,"dddd d mmmm")&amp;" at "&amp;TEXT(AD311,"hh:mm"),"on a weekday evening that suits your team")&amp;". It's "&amp;IF(AF311&lt;&gt;"","£"&amp;IF(AF311=INT(AF311),TEXT(AF311,"0"),TEXT(AF311,"0.00")),"[PRICE PER PLAYER]")&amp;" a player and we handle the pitch booking, sign-ups and payments, so all it takes is one person sharing a link with the team."&amp;CHAR(10)&amp;CHAR(10)&amp;"It works well as a team social or "&amp;IF(ISNUMBER(SEARCH(LEFT(F311,1),"AEIOU")),"an ","a ")&amp;F311&amp;"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LINK]")&amp;CHAR(10)&amp;CHAR(10)&amp;"Best,"&amp;CHAR(10)&amp;IF(AM311&lt;&gt;"",AM311,IF(Offer!$C$5&lt;&gt;"",Offer!$C$5,"[NAME]"))&amp;CHAR(10)&amp;"FC Urban"</f>
        <v/>
      </c>
      <c r="AK311" s="14">
        <f>"Hi "&amp;IF(R311&lt;&gt;"",R311,F311&amp;" team")&amp;","&amp;CHAR(10)&amp;CHAR(10)&amp;"Just bumping this up. The "&amp;AE311&amp;" pitch at "&amp;Z311&amp;" is still free "&amp;IF(ISNUMBER(AD311),TEXT(AD311,"ddd d mmm")&amp;", "&amp;TEXT(AD311,"hh:mm"),"weekday evenings")&amp;", "&amp;IF(OR(AA311=8,AA311=11,AA311=18),"an ","a ")&amp;AA311&amp;"-minute walk from your office, "&amp;IF(AF311&lt;&gt;"","£"&amp;IF(AF311=INT(AF311),TEXT(AF311,"0"),TEXT(AF311,"0.00")),"[PRICE PER PLAYER]")&amp;" a player. Happy to hold it for "&amp;F311&amp;"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LINK]")&amp;CHAR(10)&amp;CHAR(10)&amp;"Best,"&amp;CHAR(10)&amp;IF(AM311&lt;&gt;"",AM311,IF(Offer!$C$5&lt;&gt;"",Offer!$C$5,"[NAME]"))&amp;CHAR(10)&amp;"FC Urban"</f>
        <v/>
      </c>
      <c r="AL311" s="14">
        <f>IF(AH311="","No email yet",IF(ISNUMBER(SEARCH("[",AJ311)),"Fill placeholders",IF(ISNUMBER(AD311),"Ready to send","Ready · no fixed slot")))</f>
        <v/>
      </c>
      <c r="AO311" s="17" t="n"/>
      <c r="AP311" s="17" t="n"/>
    </row>
    <row r="312">
      <c r="A312" s="11" t="n">
        <v>310</v>
      </c>
      <c r="B312" s="11" t="n">
        <v>3</v>
      </c>
      <c r="C312" s="11" t="inlineStr">
        <is>
          <t>Insurance / broker</t>
        </is>
      </c>
      <c r="D312" s="11" t="inlineStr">
        <is>
          <t>City of London</t>
        </is>
      </c>
      <c r="E312" s="11" t="inlineStr">
        <is>
          <t>TM Claims Service Europe Limited</t>
        </is>
      </c>
      <c r="F312" s="11" t="inlineStr">
        <is>
          <t>TM Claims Service</t>
        </is>
      </c>
      <c r="G312" s="12" t="inlineStr">
        <is>
          <t>https://www.tmclaims.com</t>
        </is>
      </c>
      <c r="H312" s="11" t="n"/>
      <c r="I312" s="11" t="inlineStr">
        <is>
          <t>Not found</t>
        </is>
      </c>
      <c r="J312" s="11" t="n"/>
      <c r="K312" s="11" t="inlineStr">
        <is>
          <t>01183719</t>
        </is>
      </c>
      <c r="L312" s="12" t="inlineStr">
        <is>
          <t>Open</t>
        </is>
      </c>
      <c r="M312" s="11" t="inlineStr">
        <is>
          <t>Full</t>
        </is>
      </c>
      <c r="N312" s="13" t="n">
        <v>27283</v>
      </c>
      <c r="O312" s="11" t="inlineStr">
        <is>
          <t>The St Botolph Building, 138 Houndsditch, London</t>
        </is>
      </c>
      <c r="P312" s="11" t="inlineStr">
        <is>
          <t>EC3A 7BT</t>
        </is>
      </c>
      <c r="Q312" s="11" t="inlineStr">
        <is>
          <t>No</t>
        </is>
      </c>
      <c r="W312" s="11" t="inlineStr">
        <is>
          <t>Liverpool St - Attlee Centre</t>
        </is>
      </c>
      <c r="X312" s="11" t="n">
        <v>8</v>
      </c>
      <c r="Y312" s="11" t="inlineStr">
        <is>
          <t>Shoreditch Powerleague (15.4)</t>
        </is>
      </c>
      <c r="Z312" s="11" t="inlineStr">
        <is>
          <t>Shoreditch Powerleague</t>
        </is>
      </c>
      <c r="AA312" s="11" t="n">
        <v>15</v>
      </c>
      <c r="AB312" s="14">
        <f>IFERROR(INDEX(Venues!$E$2:$E$17,MATCH(Z312,Venues!$A$2:$A$17,0)),"Not checked")</f>
        <v/>
      </c>
      <c r="AC312" s="14">
        <f>IFERROR(INDEX(Venues!$F$2:$F$17,MATCH(Z312,Venues!$A$2:$A$17,0)),0)</f>
        <v/>
      </c>
      <c r="AD312" s="15">
        <f>IFERROR(INDEX(Venues!$M$2:$M$17,MATCH(Z312,Venues!$A$2:$A$17,0)),"")</f>
        <v/>
      </c>
      <c r="AE312" s="14">
        <f>IFERROR(INDEX(Venues!$N$2:$N$17,MATCH(Z312,Venues!$A$2:$A$17,0)),"5-a-side")</f>
        <v/>
      </c>
      <c r="AF312" s="16">
        <f>IF(Offer!$C$4="","",Offer!$C$4)</f>
        <v/>
      </c>
      <c r="AG312" s="14">
        <f>Z312&amp;" ("&amp;AA312&amp;" min walk) · "&amp;IF(ISNUMBER(AD312),TEXT(AD312,"ddd d mmm, hh:mm"),"slot to confirm with venue")&amp;" · "&amp;AE312&amp;" · "&amp;IF(AF312&lt;&gt;"","£"&amp;TEXT(AF312,"0.00")&amp;" pp","price TBC")</f>
        <v/>
      </c>
      <c r="AH312" s="14">
        <f>IF(U312&lt;&gt;"",U312,IF(H312&lt;&gt;"",H312,""))</f>
        <v/>
      </c>
      <c r="AI312" s="14">
        <f>"After-work football for "&amp;F312&amp;" · "&amp;Z312&amp;", "&amp;AA312&amp;" min from your office"</f>
        <v/>
      </c>
      <c r="AJ312" s="14">
        <f>"Hi "&amp;IF(R312&lt;&gt;"",R312,F312&amp;" team")&amp;","&amp;CHAR(10)&amp;CHAR(10)&amp;"I'm "&amp;IF(AM312&lt;&gt;"",AM312,IF(Offer!$C$5&lt;&gt;"",Offer!$C$5,"[NAME]"))&amp;" from FC Urban. We organise after-work football for teams in the City and Canary Wharf."&amp;CHAR(10)&amp;CHAR(10)&amp;"We have a "&amp;AE312&amp;" pitch at "&amp;Z312&amp;", "&amp;IF(OR(AA312=8,AA312=11,AA312=18),"an ","a ")&amp;AA312&amp;"-minute walk from your "&amp;P312&amp;" office, "&amp;IF(ISNUMBER(AD312),"on "&amp;TEXT(AD312,"dddd d mmmm")&amp;" at "&amp;TEXT(AD312,"hh:mm"),"on a weekday evening that suits your team")&amp;". It's "&amp;IF(AF312&lt;&gt;"","£"&amp;IF(AF312=INT(AF312),TEXT(AF312,"0"),TEXT(AF312,"0.00")),"[PRICE PER PLAYER]")&amp;" a player and we handle the pitch booking, sign-ups and payments, so all it takes is one person sharing a link with the team."&amp;CHAR(10)&amp;CHAR(10)&amp;"It works well as a team social or "&amp;IF(ISNUMBER(SEARCH(LEFT(F312,1),"AEIOU")),"an ","a ")&amp;F312&amp;"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LINK]")&amp;CHAR(10)&amp;CHAR(10)&amp;"Best,"&amp;CHAR(10)&amp;IF(AM312&lt;&gt;"",AM312,IF(Offer!$C$5&lt;&gt;"",Offer!$C$5,"[NAME]"))&amp;CHAR(10)&amp;"FC Urban"</f>
        <v/>
      </c>
      <c r="AK312" s="14">
        <f>"Hi "&amp;IF(R312&lt;&gt;"",R312,F312&amp;" team")&amp;","&amp;CHAR(10)&amp;CHAR(10)&amp;"Just bumping this up. The "&amp;AE312&amp;" pitch at "&amp;Z312&amp;" is still free "&amp;IF(ISNUMBER(AD312),TEXT(AD312,"ddd d mmm")&amp;", "&amp;TEXT(AD312,"hh:mm"),"weekday evenings")&amp;", "&amp;IF(OR(AA312=8,AA312=11,AA312=18),"an ","a ")&amp;AA312&amp;"-minute walk from your office, "&amp;IF(AF312&lt;&gt;"","£"&amp;IF(AF312=INT(AF312),TEXT(AF312,"0"),TEXT(AF312,"0.00")),"[PRICE PER PLAYER]")&amp;" a player. Happy to hold it for "&amp;F312&amp;"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LINK]")&amp;CHAR(10)&amp;CHAR(10)&amp;"Best,"&amp;CHAR(10)&amp;IF(AM312&lt;&gt;"",AM312,IF(Offer!$C$5&lt;&gt;"",Offer!$C$5,"[NAME]"))&amp;CHAR(10)&amp;"FC Urban"</f>
        <v/>
      </c>
      <c r="AL312" s="14">
        <f>IF(AH312="","No email yet",IF(ISNUMBER(SEARCH("[",AJ312)),"Fill placeholders",IF(ISNUMBER(AD312),"Ready to send","Ready · no fixed slot")))</f>
        <v/>
      </c>
      <c r="AO312" s="17" t="n"/>
      <c r="AP312" s="17" t="n"/>
    </row>
    <row r="313">
      <c r="A313" s="11" t="n">
        <v>311</v>
      </c>
      <c r="B313" s="11" t="n">
        <v>3</v>
      </c>
      <c r="C313" s="11" t="inlineStr">
        <is>
          <t>Insurance / broker</t>
        </is>
      </c>
      <c r="D313" s="11" t="inlineStr">
        <is>
          <t>City of London</t>
        </is>
      </c>
      <c r="E313" s="11" t="inlineStr">
        <is>
          <t>Treimco Limited</t>
        </is>
      </c>
      <c r="F313" s="11" t="inlineStr">
        <is>
          <t>Treimco</t>
        </is>
      </c>
      <c r="G313" s="11" t="n"/>
      <c r="H313" s="11" t="n"/>
      <c r="I313" s="11" t="inlineStr">
        <is>
          <t>Not found</t>
        </is>
      </c>
      <c r="J313" s="11" t="n"/>
      <c r="K313" s="11" t="inlineStr">
        <is>
          <t>07061914</t>
        </is>
      </c>
      <c r="L313" s="12" t="inlineStr">
        <is>
          <t>Open</t>
        </is>
      </c>
      <c r="M313" s="11" t="inlineStr">
        <is>
          <t>Full</t>
        </is>
      </c>
      <c r="N313" s="13" t="n">
        <v>40116</v>
      </c>
      <c r="O313" s="11" t="inlineStr">
        <is>
          <t>C/O Mr N Wood 5Th Floor, 40 Gracechurch Street, London</t>
        </is>
      </c>
      <c r="P313" s="11" t="inlineStr">
        <is>
          <t>EC3V 0BT</t>
        </is>
      </c>
      <c r="Q313" s="11" t="inlineStr">
        <is>
          <t>Yes</t>
        </is>
      </c>
      <c r="W313" s="11" t="inlineStr">
        <is>
          <t>City of London School (EC4V 3AL)</t>
        </is>
      </c>
      <c r="X313" s="11" t="n">
        <v>15</v>
      </c>
      <c r="Y313" s="11" t="inlineStr">
        <is>
          <t>Marlborough Sports Garden (SE1 1SD) (16.6); Liverpool St - Attlee Centre (18.6)</t>
        </is>
      </c>
      <c r="Z313" s="11" t="inlineStr">
        <is>
          <t>City of London School (EC4V 3AL)</t>
        </is>
      </c>
      <c r="AA313" s="11" t="n">
        <v>15</v>
      </c>
      <c r="AB313" s="14">
        <f>IFERROR(INDEX(Venues!$E$2:$E$17,MATCH(Z313,Venues!$A$2:$A$17,0)),"Not checked")</f>
        <v/>
      </c>
      <c r="AC313" s="14">
        <f>IFERROR(INDEX(Venues!$F$2:$F$17,MATCH(Z313,Venues!$A$2:$A$17,0)),0)</f>
        <v/>
      </c>
      <c r="AD313" s="15">
        <f>IFERROR(INDEX(Venues!$M$2:$M$17,MATCH(Z313,Venues!$A$2:$A$17,0)),"")</f>
        <v/>
      </c>
      <c r="AE313" s="14">
        <f>IFERROR(INDEX(Venues!$N$2:$N$17,MATCH(Z313,Venues!$A$2:$A$17,0)),"5-a-side")</f>
        <v/>
      </c>
      <c r="AF313" s="16">
        <f>IF(Offer!$C$4="","",Offer!$C$4)</f>
        <v/>
      </c>
      <c r="AG313" s="14">
        <f>Z313&amp;" ("&amp;AA313&amp;" min walk) · "&amp;IF(ISNUMBER(AD313),TEXT(AD313,"ddd d mmm, hh:mm"),"slot to confirm with venue")&amp;" · "&amp;AE313&amp;" · "&amp;IF(AF313&lt;&gt;"","£"&amp;TEXT(AF313,"0.00")&amp;" pp","price TBC")</f>
        <v/>
      </c>
      <c r="AH313" s="14">
        <f>IF(U313&lt;&gt;"",U313,IF(H313&lt;&gt;"",H313,""))</f>
        <v/>
      </c>
      <c r="AI313" s="14">
        <f>"After-work football for "&amp;F313&amp;" · "&amp;Z313&amp;", "&amp;AA313&amp;" min from your office"</f>
        <v/>
      </c>
      <c r="AJ313" s="14">
        <f>"Hi "&amp;IF(R313&lt;&gt;"",R313,F313&amp;" team")&amp;","&amp;CHAR(10)&amp;CHAR(10)&amp;"I'm "&amp;IF(AM313&lt;&gt;"",AM313,IF(Offer!$C$5&lt;&gt;"",Offer!$C$5,"[NAME]"))&amp;" from FC Urban. We organise after-work football for teams in the City and Canary Wharf."&amp;CHAR(10)&amp;CHAR(10)&amp;"We have a "&amp;AE313&amp;" pitch at "&amp;Z313&amp;", "&amp;IF(OR(AA313=8,AA313=11,AA313=18),"an ","a ")&amp;AA313&amp;"-minute walk from your "&amp;P313&amp;" office, "&amp;IF(ISNUMBER(AD313),"on "&amp;TEXT(AD313,"dddd d mmmm")&amp;" at "&amp;TEXT(AD313,"hh:mm"),"on a weekday evening that suits your team")&amp;". It's "&amp;IF(AF313&lt;&gt;"","£"&amp;IF(AF313=INT(AF313),TEXT(AF313,"0"),TEXT(AF313,"0.00")),"[PRICE PER PLAYER]")&amp;" a player and we handle the pitch booking, sign-ups and payments, so all it takes is one person sharing a link with the team."&amp;CHAR(10)&amp;CHAR(10)&amp;"It works well as a team social or "&amp;IF(ISNUMBER(SEARCH(LEFT(F313,1),"AEIOU")),"an ","a ")&amp;F313&amp;"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LINK]")&amp;CHAR(10)&amp;CHAR(10)&amp;"Best,"&amp;CHAR(10)&amp;IF(AM313&lt;&gt;"",AM313,IF(Offer!$C$5&lt;&gt;"",Offer!$C$5,"[NAME]"))&amp;CHAR(10)&amp;"FC Urban"</f>
        <v/>
      </c>
      <c r="AK313" s="14">
        <f>"Hi "&amp;IF(R313&lt;&gt;"",R313,F313&amp;" team")&amp;","&amp;CHAR(10)&amp;CHAR(10)&amp;"Just bumping this up. The "&amp;AE313&amp;" pitch at "&amp;Z313&amp;" is still free "&amp;IF(ISNUMBER(AD313),TEXT(AD313,"ddd d mmm")&amp;", "&amp;TEXT(AD313,"hh:mm"),"weekday evenings")&amp;", "&amp;IF(OR(AA313=8,AA313=11,AA313=18),"an ","a ")&amp;AA313&amp;"-minute walk from your office, "&amp;IF(AF313&lt;&gt;"","£"&amp;IF(AF313=INT(AF313),TEXT(AF313,"0"),TEXT(AF313,"0.00")),"[PRICE PER PLAYER]")&amp;" a player. Happy to hold it for "&amp;F313&amp;"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LINK]")&amp;CHAR(10)&amp;CHAR(10)&amp;"Best,"&amp;CHAR(10)&amp;IF(AM313&lt;&gt;"",AM313,IF(Offer!$C$5&lt;&gt;"",Offer!$C$5,"[NAME]"))&amp;CHAR(10)&amp;"FC Urban"</f>
        <v/>
      </c>
      <c r="AL313" s="14">
        <f>IF(AH313="","No email yet",IF(ISNUMBER(SEARCH("[",AJ313)),"Fill placeholders",IF(ISNUMBER(AD313),"Ready to send","Ready · no fixed slot")))</f>
        <v/>
      </c>
      <c r="AO313" s="17" t="n"/>
      <c r="AP313" s="17" t="n"/>
    </row>
    <row r="314">
      <c r="A314" s="11" t="n">
        <v>312</v>
      </c>
      <c r="B314" s="11" t="n">
        <v>3</v>
      </c>
      <c r="C314" s="11" t="inlineStr">
        <is>
          <t>Insurance / broker</t>
        </is>
      </c>
      <c r="D314" s="11" t="inlineStr">
        <is>
          <t>City of London</t>
        </is>
      </c>
      <c r="E314" s="11" t="inlineStr">
        <is>
          <t>Alan Blunden &amp; Co. Ltd</t>
        </is>
      </c>
      <c r="F314" s="11" t="inlineStr">
        <is>
          <t>Alan Blunden &amp; Co</t>
        </is>
      </c>
      <c r="G314" s="12" t="inlineStr">
        <is>
          <t>https://www.alanblunden.co.uk</t>
        </is>
      </c>
      <c r="H314" s="11" t="inlineStr">
        <is>
          <t>enquiries@alanblunden.co.uk</t>
        </is>
      </c>
      <c r="I314" s="11" t="inlineStr">
        <is>
          <t>general</t>
        </is>
      </c>
      <c r="J314" s="12" t="inlineStr">
        <is>
          <t>Open page</t>
        </is>
      </c>
      <c r="K314" s="11" t="inlineStr">
        <is>
          <t>03476249</t>
        </is>
      </c>
      <c r="L314" s="12" t="inlineStr">
        <is>
          <t>Open</t>
        </is>
      </c>
      <c r="M314" s="11" t="inlineStr">
        <is>
          <t>Full</t>
        </is>
      </c>
      <c r="N314" s="13" t="n">
        <v>35768</v>
      </c>
      <c r="O314" s="11" t="inlineStr">
        <is>
          <t>Exchequer Court, 33 St. Mary Axe, London</t>
        </is>
      </c>
      <c r="P314" s="11" t="inlineStr">
        <is>
          <t>EC3A 8AA</t>
        </is>
      </c>
      <c r="Q314" s="11" t="inlineStr">
        <is>
          <t>No</t>
        </is>
      </c>
      <c r="W314" s="11" t="inlineStr">
        <is>
          <t>Liverpool St - Attlee Centre</t>
        </is>
      </c>
      <c r="X314" s="11" t="n">
        <v>10</v>
      </c>
      <c r="Y314" s="11" t="inlineStr">
        <is>
          <t>Shoreditch Powerleague (15.5)</t>
        </is>
      </c>
      <c r="Z314" s="11" t="inlineStr">
        <is>
          <t>Shoreditch Powerleague</t>
        </is>
      </c>
      <c r="AA314" s="11" t="n">
        <v>16</v>
      </c>
      <c r="AB314" s="14">
        <f>IFERROR(INDEX(Venues!$E$2:$E$17,MATCH(Z314,Venues!$A$2:$A$17,0)),"Not checked")</f>
        <v/>
      </c>
      <c r="AC314" s="14">
        <f>IFERROR(INDEX(Venues!$F$2:$F$17,MATCH(Z314,Venues!$A$2:$A$17,0)),0)</f>
        <v/>
      </c>
      <c r="AD314" s="15">
        <f>IFERROR(INDEX(Venues!$M$2:$M$17,MATCH(Z314,Venues!$A$2:$A$17,0)),"")</f>
        <v/>
      </c>
      <c r="AE314" s="14">
        <f>IFERROR(INDEX(Venues!$N$2:$N$17,MATCH(Z314,Venues!$A$2:$A$17,0)),"5-a-side")</f>
        <v/>
      </c>
      <c r="AF314" s="16">
        <f>IF(Offer!$C$4="","",Offer!$C$4)</f>
        <v/>
      </c>
      <c r="AG314" s="14">
        <f>Z314&amp;" ("&amp;AA314&amp;" min walk) · "&amp;IF(ISNUMBER(AD314),TEXT(AD314,"ddd d mmm, hh:mm"),"slot to confirm with venue")&amp;" · "&amp;AE314&amp;" · "&amp;IF(AF314&lt;&gt;"","£"&amp;TEXT(AF314,"0.00")&amp;" pp","price TBC")</f>
        <v/>
      </c>
      <c r="AH314" s="14">
        <f>IF(U314&lt;&gt;"",U314,IF(H314&lt;&gt;"",H314,""))</f>
        <v/>
      </c>
      <c r="AI314" s="14">
        <f>"After-work football for "&amp;F314&amp;" · "&amp;Z314&amp;", "&amp;AA314&amp;" min from your office"</f>
        <v/>
      </c>
      <c r="AJ314" s="14">
        <f>"Hi "&amp;IF(R314&lt;&gt;"",R314,F314&amp;" team")&amp;","&amp;CHAR(10)&amp;CHAR(10)&amp;"I'm "&amp;IF(AM314&lt;&gt;"",AM314,IF(Offer!$C$5&lt;&gt;"",Offer!$C$5,"[NAME]"))&amp;" from FC Urban. We organise after-work football for teams in the City and Canary Wharf."&amp;CHAR(10)&amp;CHAR(10)&amp;"We have a "&amp;AE314&amp;" pitch at "&amp;Z314&amp;", "&amp;IF(OR(AA314=8,AA314=11,AA314=18),"an ","a ")&amp;AA314&amp;"-minute walk from your "&amp;P314&amp;" office, "&amp;IF(ISNUMBER(AD314),"on "&amp;TEXT(AD314,"dddd d mmmm")&amp;" at "&amp;TEXT(AD314,"hh:mm"),"on a weekday evening that suits your team")&amp;". It's "&amp;IF(AF314&lt;&gt;"","£"&amp;IF(AF314=INT(AF314),TEXT(AF314,"0"),TEXT(AF314,"0.00")),"[PRICE PER PLAYER]")&amp;" a player and we handle the pitch booking, sign-ups and payments, so all it takes is one person sharing a link with the team."&amp;CHAR(10)&amp;CHAR(10)&amp;"It works well as a team social or "&amp;IF(ISNUMBER(SEARCH(LEFT(F314,1),"AEIOU")),"an ","a ")&amp;F314&amp;"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LINK]")&amp;CHAR(10)&amp;CHAR(10)&amp;"Best,"&amp;CHAR(10)&amp;IF(AM314&lt;&gt;"",AM314,IF(Offer!$C$5&lt;&gt;"",Offer!$C$5,"[NAME]"))&amp;CHAR(10)&amp;"FC Urban"</f>
        <v/>
      </c>
      <c r="AK314" s="14">
        <f>"Hi "&amp;IF(R314&lt;&gt;"",R314,F314&amp;" team")&amp;","&amp;CHAR(10)&amp;CHAR(10)&amp;"Just bumping this up. The "&amp;AE314&amp;" pitch at "&amp;Z314&amp;" is still free "&amp;IF(ISNUMBER(AD314),TEXT(AD314,"ddd d mmm")&amp;", "&amp;TEXT(AD314,"hh:mm"),"weekday evenings")&amp;", "&amp;IF(OR(AA314=8,AA314=11,AA314=18),"an ","a ")&amp;AA314&amp;"-minute walk from your office, "&amp;IF(AF314&lt;&gt;"","£"&amp;IF(AF314=INT(AF314),TEXT(AF314,"0"),TEXT(AF314,"0.00")),"[PRICE PER PLAYER]")&amp;" a player. Happy to hold it for "&amp;F314&amp;"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LINK]")&amp;CHAR(10)&amp;CHAR(10)&amp;"Best,"&amp;CHAR(10)&amp;IF(AM314&lt;&gt;"",AM314,IF(Offer!$C$5&lt;&gt;"",Offer!$C$5,"[NAME]"))&amp;CHAR(10)&amp;"FC Urban"</f>
        <v/>
      </c>
      <c r="AL314" s="14">
        <f>IF(AH314="","No email yet",IF(ISNUMBER(SEARCH("[",AJ314)),"Fill placeholders",IF(ISNUMBER(AD314),"Ready to send","Ready · no fixed slot")))</f>
        <v/>
      </c>
      <c r="AO314" s="17" t="n"/>
      <c r="AP314" s="17" t="n"/>
    </row>
    <row r="315">
      <c r="A315" s="11" t="n">
        <v>313</v>
      </c>
      <c r="B315" s="11" t="n">
        <v>3</v>
      </c>
      <c r="C315" s="11" t="inlineStr">
        <is>
          <t>Insurance / broker</t>
        </is>
      </c>
      <c r="D315" s="11" t="inlineStr">
        <is>
          <t>City of London</t>
        </is>
      </c>
      <c r="E315" s="11" t="inlineStr">
        <is>
          <t>BA (GI) Limited</t>
        </is>
      </c>
      <c r="F315" s="11" t="inlineStr">
        <is>
          <t>BA</t>
        </is>
      </c>
      <c r="G315" s="12" t="inlineStr">
        <is>
          <t>https://www.balimited.co.uk</t>
        </is>
      </c>
      <c r="H315" s="11" t="inlineStr">
        <is>
          <t>info@balimited.co.uk</t>
        </is>
      </c>
      <c r="I315" s="11" t="inlineStr">
        <is>
          <t>general</t>
        </is>
      </c>
      <c r="J315" s="12" t="inlineStr">
        <is>
          <t>Open page</t>
        </is>
      </c>
      <c r="K315" s="11" t="inlineStr">
        <is>
          <t>00003002</t>
        </is>
      </c>
      <c r="L315" s="12" t="inlineStr">
        <is>
          <t>Open</t>
        </is>
      </c>
      <c r="M315" s="11" t="inlineStr">
        <is>
          <t>Full</t>
        </is>
      </c>
      <c r="N315" s="13" t="n">
        <v>-12315</v>
      </c>
      <c r="O315" s="11" t="inlineStr">
        <is>
          <t>4Th Floor, The St Botolph Building, 138 Houndsditch, London</t>
        </is>
      </c>
      <c r="P315" s="11" t="inlineStr">
        <is>
          <t>EC3A 7AW</t>
        </is>
      </c>
      <c r="Q315" s="11" t="inlineStr">
        <is>
          <t>No</t>
        </is>
      </c>
      <c r="W315" s="11" t="inlineStr">
        <is>
          <t>Liverpool St - Attlee Centre</t>
        </is>
      </c>
      <c r="X315" s="11" t="n">
        <v>7</v>
      </c>
      <c r="Y315" s="11" t="inlineStr">
        <is>
          <t>Shoreditch Powerleague (15.5); Whitechapel (18.6)</t>
        </is>
      </c>
      <c r="Z315" s="11" t="inlineStr">
        <is>
          <t>Shoreditch Powerleague</t>
        </is>
      </c>
      <c r="AA315" s="11" t="n">
        <v>16</v>
      </c>
      <c r="AB315" s="14">
        <f>IFERROR(INDEX(Venues!$E$2:$E$17,MATCH(Z315,Venues!$A$2:$A$17,0)),"Not checked")</f>
        <v/>
      </c>
      <c r="AC315" s="14">
        <f>IFERROR(INDEX(Venues!$F$2:$F$17,MATCH(Z315,Venues!$A$2:$A$17,0)),0)</f>
        <v/>
      </c>
      <c r="AD315" s="15">
        <f>IFERROR(INDEX(Venues!$M$2:$M$17,MATCH(Z315,Venues!$A$2:$A$17,0)),"")</f>
        <v/>
      </c>
      <c r="AE315" s="14">
        <f>IFERROR(INDEX(Venues!$N$2:$N$17,MATCH(Z315,Venues!$A$2:$A$17,0)),"5-a-side")</f>
        <v/>
      </c>
      <c r="AF315" s="16">
        <f>IF(Offer!$C$4="","",Offer!$C$4)</f>
        <v/>
      </c>
      <c r="AG315" s="14">
        <f>Z315&amp;" ("&amp;AA315&amp;" min walk) · "&amp;IF(ISNUMBER(AD315),TEXT(AD315,"ddd d mmm, hh:mm"),"slot to confirm with venue")&amp;" · "&amp;AE315&amp;" · "&amp;IF(AF315&lt;&gt;"","£"&amp;TEXT(AF315,"0.00")&amp;" pp","price TBC")</f>
        <v/>
      </c>
      <c r="AH315" s="14">
        <f>IF(U315&lt;&gt;"",U315,IF(H315&lt;&gt;"",H315,""))</f>
        <v/>
      </c>
      <c r="AI315" s="14">
        <f>"After-work football for "&amp;F315&amp;" · "&amp;Z315&amp;", "&amp;AA315&amp;" min from your office"</f>
        <v/>
      </c>
      <c r="AJ315" s="14">
        <f>"Hi "&amp;IF(R315&lt;&gt;"",R315,F315&amp;" team")&amp;","&amp;CHAR(10)&amp;CHAR(10)&amp;"I'm "&amp;IF(AM315&lt;&gt;"",AM315,IF(Offer!$C$5&lt;&gt;"",Offer!$C$5,"[NAME]"))&amp;" from FC Urban. We organise after-work football for teams in the City and Canary Wharf."&amp;CHAR(10)&amp;CHAR(10)&amp;"We have a "&amp;AE315&amp;" pitch at "&amp;Z315&amp;", "&amp;IF(OR(AA315=8,AA315=11,AA315=18),"an ","a ")&amp;AA315&amp;"-minute walk from your "&amp;P315&amp;" office, "&amp;IF(ISNUMBER(AD315),"on "&amp;TEXT(AD315,"dddd d mmmm")&amp;" at "&amp;TEXT(AD315,"hh:mm"),"on a weekday evening that suits your team")&amp;". It's "&amp;IF(AF315&lt;&gt;"","£"&amp;IF(AF315=INT(AF315),TEXT(AF315,"0"),TEXT(AF315,"0.00")),"[PRICE PER PLAYER]")&amp;" a player and we handle the pitch booking, sign-ups and payments, so all it takes is one person sharing a link with the team."&amp;CHAR(10)&amp;CHAR(10)&amp;"It works well as a team social or "&amp;IF(ISNUMBER(SEARCH(LEFT(F315,1),"AEIOU")),"an ","a ")&amp;F315&amp;"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LINK]")&amp;CHAR(10)&amp;CHAR(10)&amp;"Best,"&amp;CHAR(10)&amp;IF(AM315&lt;&gt;"",AM315,IF(Offer!$C$5&lt;&gt;"",Offer!$C$5,"[NAME]"))&amp;CHAR(10)&amp;"FC Urban"</f>
        <v/>
      </c>
      <c r="AK315" s="14">
        <f>"Hi "&amp;IF(R315&lt;&gt;"",R315,F315&amp;" team")&amp;","&amp;CHAR(10)&amp;CHAR(10)&amp;"Just bumping this up. The "&amp;AE315&amp;" pitch at "&amp;Z315&amp;" is still free "&amp;IF(ISNUMBER(AD315),TEXT(AD315,"ddd d mmm")&amp;", "&amp;TEXT(AD315,"hh:mm"),"weekday evenings")&amp;", "&amp;IF(OR(AA315=8,AA315=11,AA315=18),"an ","a ")&amp;AA315&amp;"-minute walk from your office, "&amp;IF(AF315&lt;&gt;"","£"&amp;IF(AF315=INT(AF315),TEXT(AF315,"0"),TEXT(AF315,"0.00")),"[PRICE PER PLAYER]")&amp;" a player. Happy to hold it for "&amp;F315&amp;"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LINK]")&amp;CHAR(10)&amp;CHAR(10)&amp;"Best,"&amp;CHAR(10)&amp;IF(AM315&lt;&gt;"",AM315,IF(Offer!$C$5&lt;&gt;"",Offer!$C$5,"[NAME]"))&amp;CHAR(10)&amp;"FC Urban"</f>
        <v/>
      </c>
      <c r="AL315" s="14">
        <f>IF(AH315="","No email yet",IF(ISNUMBER(SEARCH("[",AJ315)),"Fill placeholders",IF(ISNUMBER(AD315),"Ready to send","Ready · no fixed slot")))</f>
        <v/>
      </c>
      <c r="AO315" s="17" t="n"/>
      <c r="AP315" s="17" t="n"/>
    </row>
    <row r="316">
      <c r="A316" s="11" t="n">
        <v>314</v>
      </c>
      <c r="B316" s="11" t="n">
        <v>3</v>
      </c>
      <c r="C316" s="11" t="inlineStr">
        <is>
          <t>Insurance / broker</t>
        </is>
      </c>
      <c r="D316" s="11" t="inlineStr">
        <is>
          <t>City of London</t>
        </is>
      </c>
      <c r="E316" s="11" t="inlineStr">
        <is>
          <t>Edge Brokers (London) Limited</t>
        </is>
      </c>
      <c r="F316" s="11" t="inlineStr">
        <is>
          <t>Edge Brokers</t>
        </is>
      </c>
      <c r="G316" s="12" t="inlineStr">
        <is>
          <t>https://www.edge.co.uk</t>
        </is>
      </c>
      <c r="H316" s="11" t="inlineStr">
        <is>
          <t>abarker@edge.co.uk</t>
        </is>
      </c>
      <c r="I316" s="11" t="inlineStr">
        <is>
          <t>named person</t>
        </is>
      </c>
      <c r="J316" s="12" t="inlineStr">
        <is>
          <t>Open page</t>
        </is>
      </c>
      <c r="K316" s="11" t="inlineStr">
        <is>
          <t>03721499</t>
        </is>
      </c>
      <c r="L316" s="12" t="inlineStr">
        <is>
          <t>Open</t>
        </is>
      </c>
      <c r="M316" s="11" t="inlineStr">
        <is>
          <t>Full</t>
        </is>
      </c>
      <c r="N316" s="13" t="n">
        <v>36217</v>
      </c>
      <c r="O316" s="11" t="inlineStr">
        <is>
          <t>The St Botolph Building, 138 Houndsditch, London</t>
        </is>
      </c>
      <c r="P316" s="11" t="inlineStr">
        <is>
          <t>EC3A 7AG</t>
        </is>
      </c>
      <c r="Q316" s="11" t="inlineStr">
        <is>
          <t>Yes</t>
        </is>
      </c>
      <c r="W316" s="11" t="inlineStr">
        <is>
          <t>Liverpool St - Attlee Centre</t>
        </is>
      </c>
      <c r="X316" s="11" t="n">
        <v>7</v>
      </c>
      <c r="Y316" s="11" t="inlineStr">
        <is>
          <t>Shoreditch Powerleague (15.5); Whitechapel (18.6)</t>
        </is>
      </c>
      <c r="Z316" s="11" t="inlineStr">
        <is>
          <t>Shoreditch Powerleague</t>
        </is>
      </c>
      <c r="AA316" s="11" t="n">
        <v>16</v>
      </c>
      <c r="AB316" s="14">
        <f>IFERROR(INDEX(Venues!$E$2:$E$17,MATCH(Z316,Venues!$A$2:$A$17,0)),"Not checked")</f>
        <v/>
      </c>
      <c r="AC316" s="14">
        <f>IFERROR(INDEX(Venues!$F$2:$F$17,MATCH(Z316,Venues!$A$2:$A$17,0)),0)</f>
        <v/>
      </c>
      <c r="AD316" s="15">
        <f>IFERROR(INDEX(Venues!$M$2:$M$17,MATCH(Z316,Venues!$A$2:$A$17,0)),"")</f>
        <v/>
      </c>
      <c r="AE316" s="14">
        <f>IFERROR(INDEX(Venues!$N$2:$N$17,MATCH(Z316,Venues!$A$2:$A$17,0)),"5-a-side")</f>
        <v/>
      </c>
      <c r="AF316" s="16">
        <f>IF(Offer!$C$4="","",Offer!$C$4)</f>
        <v/>
      </c>
      <c r="AG316" s="14">
        <f>Z316&amp;" ("&amp;AA316&amp;" min walk) · "&amp;IF(ISNUMBER(AD316),TEXT(AD316,"ddd d mmm, hh:mm"),"slot to confirm with venue")&amp;" · "&amp;AE316&amp;" · "&amp;IF(AF316&lt;&gt;"","£"&amp;TEXT(AF316,"0.00")&amp;" pp","price TBC")</f>
        <v/>
      </c>
      <c r="AH316" s="14">
        <f>IF(U316&lt;&gt;"",U316,IF(H316&lt;&gt;"",H316,""))</f>
        <v/>
      </c>
      <c r="AI316" s="14">
        <f>"After-work football for "&amp;F316&amp;" · "&amp;Z316&amp;", "&amp;AA316&amp;" min from your office"</f>
        <v/>
      </c>
      <c r="AJ316" s="14">
        <f>"Hi "&amp;IF(R316&lt;&gt;"",R316,F316&amp;" team")&amp;","&amp;CHAR(10)&amp;CHAR(10)&amp;"I'm "&amp;IF(AM316&lt;&gt;"",AM316,IF(Offer!$C$5&lt;&gt;"",Offer!$C$5,"[NAME]"))&amp;" from FC Urban. We organise after-work football for teams in the City and Canary Wharf."&amp;CHAR(10)&amp;CHAR(10)&amp;"We have a "&amp;AE316&amp;" pitch at "&amp;Z316&amp;", "&amp;IF(OR(AA316=8,AA316=11,AA316=18),"an ","a ")&amp;AA316&amp;"-minute walk from your "&amp;P316&amp;" office, "&amp;IF(ISNUMBER(AD316),"on "&amp;TEXT(AD316,"dddd d mmmm")&amp;" at "&amp;TEXT(AD316,"hh:mm"),"on a weekday evening that suits your team")&amp;". It's "&amp;IF(AF316&lt;&gt;"","£"&amp;IF(AF316=INT(AF316),TEXT(AF316,"0"),TEXT(AF316,"0.00")),"[PRICE PER PLAYER]")&amp;" a player and we handle the pitch booking, sign-ups and payments, so all it takes is one person sharing a link with the team."&amp;CHAR(10)&amp;CHAR(10)&amp;"It works well as a team social or "&amp;IF(ISNUMBER(SEARCH(LEFT(F316,1),"AEIOU")),"an ","a ")&amp;F316&amp;"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LINK]")&amp;CHAR(10)&amp;CHAR(10)&amp;"Best,"&amp;CHAR(10)&amp;IF(AM316&lt;&gt;"",AM316,IF(Offer!$C$5&lt;&gt;"",Offer!$C$5,"[NAME]"))&amp;CHAR(10)&amp;"FC Urban"</f>
        <v/>
      </c>
      <c r="AK316" s="14">
        <f>"Hi "&amp;IF(R316&lt;&gt;"",R316,F316&amp;" team")&amp;","&amp;CHAR(10)&amp;CHAR(10)&amp;"Just bumping this up. The "&amp;AE316&amp;" pitch at "&amp;Z316&amp;" is still free "&amp;IF(ISNUMBER(AD316),TEXT(AD316,"ddd d mmm")&amp;", "&amp;TEXT(AD316,"hh:mm"),"weekday evenings")&amp;", "&amp;IF(OR(AA316=8,AA316=11,AA316=18),"an ","a ")&amp;AA316&amp;"-minute walk from your office, "&amp;IF(AF316&lt;&gt;"","£"&amp;IF(AF316=INT(AF316),TEXT(AF316,"0"),TEXT(AF316,"0.00")),"[PRICE PER PLAYER]")&amp;" a player. Happy to hold it for "&amp;F316&amp;"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LINK]")&amp;CHAR(10)&amp;CHAR(10)&amp;"Best,"&amp;CHAR(10)&amp;IF(AM316&lt;&gt;"",AM316,IF(Offer!$C$5&lt;&gt;"",Offer!$C$5,"[NAME]"))&amp;CHAR(10)&amp;"FC Urban"</f>
        <v/>
      </c>
      <c r="AL316" s="14">
        <f>IF(AH316="","No email yet",IF(ISNUMBER(SEARCH("[",AJ316)),"Fill placeholders",IF(ISNUMBER(AD316),"Ready to send","Ready · no fixed slot")))</f>
        <v/>
      </c>
      <c r="AO316" s="17" t="n"/>
      <c r="AP316" s="17" t="n"/>
    </row>
    <row r="317">
      <c r="A317" s="11" t="n">
        <v>315</v>
      </c>
      <c r="B317" s="11" t="n">
        <v>3</v>
      </c>
      <c r="C317" s="11" t="inlineStr">
        <is>
          <t>Insurance / broker</t>
        </is>
      </c>
      <c r="D317" s="11" t="inlineStr">
        <is>
          <t>City of London</t>
        </is>
      </c>
      <c r="E317" s="11" t="inlineStr">
        <is>
          <t>Equitas Reinsurance Limited</t>
        </is>
      </c>
      <c r="F317" s="11" t="inlineStr">
        <is>
          <t>Equitas Reinsurance</t>
        </is>
      </c>
      <c r="G317" s="12" t="inlineStr">
        <is>
          <t>https://www.equitas.co.uk</t>
        </is>
      </c>
      <c r="H317" s="11" t="inlineStr">
        <is>
          <t>info@equitas.co.uk</t>
        </is>
      </c>
      <c r="I317" s="11" t="inlineStr">
        <is>
          <t>general</t>
        </is>
      </c>
      <c r="J317" s="12" t="inlineStr">
        <is>
          <t>Open page</t>
        </is>
      </c>
      <c r="K317" s="11" t="inlineStr">
        <is>
          <t>03136300</t>
        </is>
      </c>
      <c r="L317" s="12" t="inlineStr">
        <is>
          <t>Open</t>
        </is>
      </c>
      <c r="M317" s="11" t="inlineStr">
        <is>
          <t>Full</t>
        </is>
      </c>
      <c r="N317" s="13" t="n">
        <v>35038</v>
      </c>
      <c r="O317" s="11" t="inlineStr">
        <is>
          <t>4Th Floor, The St Botolph Building, 138 Houndsditch, London</t>
        </is>
      </c>
      <c r="P317" s="11" t="inlineStr">
        <is>
          <t>EC3A 7AW</t>
        </is>
      </c>
      <c r="Q317" s="11" t="inlineStr">
        <is>
          <t>No</t>
        </is>
      </c>
      <c r="W317" s="11" t="inlineStr">
        <is>
          <t>Liverpool St - Attlee Centre</t>
        </is>
      </c>
      <c r="X317" s="11" t="n">
        <v>7</v>
      </c>
      <c r="Y317" s="11" t="inlineStr">
        <is>
          <t>Shoreditch Powerleague (15.5); Whitechapel (18.6)</t>
        </is>
      </c>
      <c r="Z317" s="11" t="inlineStr">
        <is>
          <t>Shoreditch Powerleague</t>
        </is>
      </c>
      <c r="AA317" s="11" t="n">
        <v>16</v>
      </c>
      <c r="AB317" s="14">
        <f>IFERROR(INDEX(Venues!$E$2:$E$17,MATCH(Z317,Venues!$A$2:$A$17,0)),"Not checked")</f>
        <v/>
      </c>
      <c r="AC317" s="14">
        <f>IFERROR(INDEX(Venues!$F$2:$F$17,MATCH(Z317,Venues!$A$2:$A$17,0)),0)</f>
        <v/>
      </c>
      <c r="AD317" s="15">
        <f>IFERROR(INDEX(Venues!$M$2:$M$17,MATCH(Z317,Venues!$A$2:$A$17,0)),"")</f>
        <v/>
      </c>
      <c r="AE317" s="14">
        <f>IFERROR(INDEX(Venues!$N$2:$N$17,MATCH(Z317,Venues!$A$2:$A$17,0)),"5-a-side")</f>
        <v/>
      </c>
      <c r="AF317" s="16">
        <f>IF(Offer!$C$4="","",Offer!$C$4)</f>
        <v/>
      </c>
      <c r="AG317" s="14">
        <f>Z317&amp;" ("&amp;AA317&amp;" min walk) · "&amp;IF(ISNUMBER(AD317),TEXT(AD317,"ddd d mmm, hh:mm"),"slot to confirm with venue")&amp;" · "&amp;AE317&amp;" · "&amp;IF(AF317&lt;&gt;"","£"&amp;TEXT(AF317,"0.00")&amp;" pp","price TBC")</f>
        <v/>
      </c>
      <c r="AH317" s="14">
        <f>IF(U317&lt;&gt;"",U317,IF(H317&lt;&gt;"",H317,""))</f>
        <v/>
      </c>
      <c r="AI317" s="14">
        <f>"After-work football for "&amp;F317&amp;" · "&amp;Z317&amp;", "&amp;AA317&amp;" min from your office"</f>
        <v/>
      </c>
      <c r="AJ317" s="14">
        <f>"Hi "&amp;IF(R317&lt;&gt;"",R317,F317&amp;" team")&amp;","&amp;CHAR(10)&amp;CHAR(10)&amp;"I'm "&amp;IF(AM317&lt;&gt;"",AM317,IF(Offer!$C$5&lt;&gt;"",Offer!$C$5,"[NAME]"))&amp;" from FC Urban. We organise after-work football for teams in the City and Canary Wharf."&amp;CHAR(10)&amp;CHAR(10)&amp;"We have a "&amp;AE317&amp;" pitch at "&amp;Z317&amp;", "&amp;IF(OR(AA317=8,AA317=11,AA317=18),"an ","a ")&amp;AA317&amp;"-minute walk from your "&amp;P317&amp;" office, "&amp;IF(ISNUMBER(AD317),"on "&amp;TEXT(AD317,"dddd d mmmm")&amp;" at "&amp;TEXT(AD317,"hh:mm"),"on a weekday evening that suits your team")&amp;". It's "&amp;IF(AF317&lt;&gt;"","£"&amp;IF(AF317=INT(AF317),TEXT(AF317,"0"),TEXT(AF317,"0.00")),"[PRICE PER PLAYER]")&amp;" a player and we handle the pitch booking, sign-ups and payments, so all it takes is one person sharing a link with the team."&amp;CHAR(10)&amp;CHAR(10)&amp;"It works well as a team social or "&amp;IF(ISNUMBER(SEARCH(LEFT(F317,1),"AEIOU")),"an ","a ")&amp;F317&amp;"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LINK]")&amp;CHAR(10)&amp;CHAR(10)&amp;"Best,"&amp;CHAR(10)&amp;IF(AM317&lt;&gt;"",AM317,IF(Offer!$C$5&lt;&gt;"",Offer!$C$5,"[NAME]"))&amp;CHAR(10)&amp;"FC Urban"</f>
        <v/>
      </c>
      <c r="AK317" s="14">
        <f>"Hi "&amp;IF(R317&lt;&gt;"",R317,F317&amp;" team")&amp;","&amp;CHAR(10)&amp;CHAR(10)&amp;"Just bumping this up. The "&amp;AE317&amp;" pitch at "&amp;Z317&amp;" is still free "&amp;IF(ISNUMBER(AD317),TEXT(AD317,"ddd d mmm")&amp;", "&amp;TEXT(AD317,"hh:mm"),"weekday evenings")&amp;", "&amp;IF(OR(AA317=8,AA317=11,AA317=18),"an ","a ")&amp;AA317&amp;"-minute walk from your office, "&amp;IF(AF317&lt;&gt;"","£"&amp;IF(AF317=INT(AF317),TEXT(AF317,"0"),TEXT(AF317,"0.00")),"[PRICE PER PLAYER]")&amp;" a player. Happy to hold it for "&amp;F317&amp;"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LINK]")&amp;CHAR(10)&amp;CHAR(10)&amp;"Best,"&amp;CHAR(10)&amp;IF(AM317&lt;&gt;"",AM317,IF(Offer!$C$5&lt;&gt;"",Offer!$C$5,"[NAME]"))&amp;CHAR(10)&amp;"FC Urban"</f>
        <v/>
      </c>
      <c r="AL317" s="14">
        <f>IF(AH317="","No email yet",IF(ISNUMBER(SEARCH("[",AJ317)),"Fill placeholders",IF(ISNUMBER(AD317),"Ready to send","Ready · no fixed slot")))</f>
        <v/>
      </c>
      <c r="AO317" s="17" t="n"/>
      <c r="AP317" s="17" t="n"/>
    </row>
    <row r="318">
      <c r="A318" s="11" t="n">
        <v>316</v>
      </c>
      <c r="B318" s="11" t="n">
        <v>3</v>
      </c>
      <c r="C318" s="11" t="inlineStr">
        <is>
          <t>Insurance / broker</t>
        </is>
      </c>
      <c r="D318" s="11" t="inlineStr">
        <is>
          <t>City of London</t>
        </is>
      </c>
      <c r="E318" s="11" t="inlineStr">
        <is>
          <t>GB Underwriting Ltd</t>
        </is>
      </c>
      <c r="F318" s="11" t="inlineStr">
        <is>
          <t>GB Underwriting</t>
        </is>
      </c>
      <c r="G318" s="12" t="inlineStr">
        <is>
          <t>https://mxunderwriting.com</t>
        </is>
      </c>
      <c r="H318" s="11" t="inlineStr">
        <is>
          <t>enquiries@mxunderwriting.com</t>
        </is>
      </c>
      <c r="I318" s="11" t="inlineStr">
        <is>
          <t>general</t>
        </is>
      </c>
      <c r="J318" s="12" t="inlineStr">
        <is>
          <t>Open page</t>
        </is>
      </c>
      <c r="K318" s="11" t="inlineStr">
        <is>
          <t>04692971</t>
        </is>
      </c>
      <c r="L318" s="12" t="inlineStr">
        <is>
          <t>Open</t>
        </is>
      </c>
      <c r="M318" s="11" t="inlineStr">
        <is>
          <t>Full</t>
        </is>
      </c>
      <c r="N318" s="13" t="n">
        <v>37691</v>
      </c>
      <c r="O318" s="11" t="inlineStr">
        <is>
          <t>7Th Floor, The St Botolph Building, 138 Houndsditch, London</t>
        </is>
      </c>
      <c r="P318" s="11" t="inlineStr">
        <is>
          <t>EC3A 7AW</t>
        </is>
      </c>
      <c r="Q318" s="11" t="inlineStr">
        <is>
          <t>No</t>
        </is>
      </c>
      <c r="W318" s="11" t="inlineStr">
        <is>
          <t>Liverpool St - Attlee Centre</t>
        </is>
      </c>
      <c r="X318" s="11" t="n">
        <v>7</v>
      </c>
      <c r="Y318" s="11" t="inlineStr">
        <is>
          <t>Shoreditch Powerleague (15.5); Whitechapel (18.6)</t>
        </is>
      </c>
      <c r="Z318" s="11" t="inlineStr">
        <is>
          <t>Shoreditch Powerleague</t>
        </is>
      </c>
      <c r="AA318" s="11" t="n">
        <v>16</v>
      </c>
      <c r="AB318" s="14">
        <f>IFERROR(INDEX(Venues!$E$2:$E$17,MATCH(Z318,Venues!$A$2:$A$17,0)),"Not checked")</f>
        <v/>
      </c>
      <c r="AC318" s="14">
        <f>IFERROR(INDEX(Venues!$F$2:$F$17,MATCH(Z318,Venues!$A$2:$A$17,0)),0)</f>
        <v/>
      </c>
      <c r="AD318" s="15">
        <f>IFERROR(INDEX(Venues!$M$2:$M$17,MATCH(Z318,Venues!$A$2:$A$17,0)),"")</f>
        <v/>
      </c>
      <c r="AE318" s="14">
        <f>IFERROR(INDEX(Venues!$N$2:$N$17,MATCH(Z318,Venues!$A$2:$A$17,0)),"5-a-side")</f>
        <v/>
      </c>
      <c r="AF318" s="16">
        <f>IF(Offer!$C$4="","",Offer!$C$4)</f>
        <v/>
      </c>
      <c r="AG318" s="14">
        <f>Z318&amp;" ("&amp;AA318&amp;" min walk) · "&amp;IF(ISNUMBER(AD318),TEXT(AD318,"ddd d mmm, hh:mm"),"slot to confirm with venue")&amp;" · "&amp;AE318&amp;" · "&amp;IF(AF318&lt;&gt;"","£"&amp;TEXT(AF318,"0.00")&amp;" pp","price TBC")</f>
        <v/>
      </c>
      <c r="AH318" s="14">
        <f>IF(U318&lt;&gt;"",U318,IF(H318&lt;&gt;"",H318,""))</f>
        <v/>
      </c>
      <c r="AI318" s="14">
        <f>"After-work football for "&amp;F318&amp;" · "&amp;Z318&amp;", "&amp;AA318&amp;" min from your office"</f>
        <v/>
      </c>
      <c r="AJ318" s="14">
        <f>"Hi "&amp;IF(R318&lt;&gt;"",R318,F318&amp;" team")&amp;","&amp;CHAR(10)&amp;CHAR(10)&amp;"I'm "&amp;IF(AM318&lt;&gt;"",AM318,IF(Offer!$C$5&lt;&gt;"",Offer!$C$5,"[NAME]"))&amp;" from FC Urban. We organise after-work football for teams in the City and Canary Wharf."&amp;CHAR(10)&amp;CHAR(10)&amp;"We have a "&amp;AE318&amp;" pitch at "&amp;Z318&amp;", "&amp;IF(OR(AA318=8,AA318=11,AA318=18),"an ","a ")&amp;AA318&amp;"-minute walk from your "&amp;P318&amp;" office, "&amp;IF(ISNUMBER(AD318),"on "&amp;TEXT(AD318,"dddd d mmmm")&amp;" at "&amp;TEXT(AD318,"hh:mm"),"on a weekday evening that suits your team")&amp;". It's "&amp;IF(AF318&lt;&gt;"","£"&amp;IF(AF318=INT(AF318),TEXT(AF318,"0"),TEXT(AF318,"0.00")),"[PRICE PER PLAYER]")&amp;" a player and we handle the pitch booking, sign-ups and payments, so all it takes is one person sharing a link with the team."&amp;CHAR(10)&amp;CHAR(10)&amp;"It works well as a team social or "&amp;IF(ISNUMBER(SEARCH(LEFT(F318,1),"AEIOU")),"an ","a ")&amp;F318&amp;"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LINK]")&amp;CHAR(10)&amp;CHAR(10)&amp;"Best,"&amp;CHAR(10)&amp;IF(AM318&lt;&gt;"",AM318,IF(Offer!$C$5&lt;&gt;"",Offer!$C$5,"[NAME]"))&amp;CHAR(10)&amp;"FC Urban"</f>
        <v/>
      </c>
      <c r="AK318" s="14">
        <f>"Hi "&amp;IF(R318&lt;&gt;"",R318,F318&amp;" team")&amp;","&amp;CHAR(10)&amp;CHAR(10)&amp;"Just bumping this up. The "&amp;AE318&amp;" pitch at "&amp;Z318&amp;" is still free "&amp;IF(ISNUMBER(AD318),TEXT(AD318,"ddd d mmm")&amp;", "&amp;TEXT(AD318,"hh:mm"),"weekday evenings")&amp;", "&amp;IF(OR(AA318=8,AA318=11,AA318=18),"an ","a ")&amp;AA318&amp;"-minute walk from your office, "&amp;IF(AF318&lt;&gt;"","£"&amp;IF(AF318=INT(AF318),TEXT(AF318,"0"),TEXT(AF318,"0.00")),"[PRICE PER PLAYER]")&amp;" a player. Happy to hold it for "&amp;F318&amp;"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LINK]")&amp;CHAR(10)&amp;CHAR(10)&amp;"Best,"&amp;CHAR(10)&amp;IF(AM318&lt;&gt;"",AM318,IF(Offer!$C$5&lt;&gt;"",Offer!$C$5,"[NAME]"))&amp;CHAR(10)&amp;"FC Urban"</f>
        <v/>
      </c>
      <c r="AL318" s="14">
        <f>IF(AH318="","No email yet",IF(ISNUMBER(SEARCH("[",AJ318)),"Fill placeholders",IF(ISNUMBER(AD318),"Ready to send","Ready · no fixed slot")))</f>
        <v/>
      </c>
      <c r="AO318" s="17" t="n"/>
      <c r="AP318" s="17" t="n"/>
    </row>
    <row r="319">
      <c r="A319" s="11" t="n">
        <v>317</v>
      </c>
      <c r="B319" s="11" t="n">
        <v>3</v>
      </c>
      <c r="C319" s="11" t="inlineStr">
        <is>
          <t>Insurance / broker</t>
        </is>
      </c>
      <c r="D319" s="11" t="inlineStr">
        <is>
          <t>City of London</t>
        </is>
      </c>
      <c r="E319" s="11" t="inlineStr">
        <is>
          <t>MX Underwriting Limited</t>
        </is>
      </c>
      <c r="F319" s="11" t="inlineStr">
        <is>
          <t>MX Underwriting</t>
        </is>
      </c>
      <c r="G319" s="12" t="inlineStr">
        <is>
          <t>https://mxunderwriting.com</t>
        </is>
      </c>
      <c r="H319" s="11" t="inlineStr">
        <is>
          <t>enquiries@mxunderwriting.com</t>
        </is>
      </c>
      <c r="I319" s="11" t="inlineStr">
        <is>
          <t>general</t>
        </is>
      </c>
      <c r="J319" s="12" t="inlineStr">
        <is>
          <t>Open page</t>
        </is>
      </c>
      <c r="K319" s="11" t="inlineStr">
        <is>
          <t>05545292</t>
        </is>
      </c>
      <c r="L319" s="12" t="inlineStr">
        <is>
          <t>Open</t>
        </is>
      </c>
      <c r="M319" s="11" t="inlineStr">
        <is>
          <t>Full</t>
        </is>
      </c>
      <c r="N319" s="13" t="n">
        <v>38588</v>
      </c>
      <c r="O319" s="11" t="inlineStr">
        <is>
          <t>7Th Floor, The St Botolph Building, 138 Houndsditch, London</t>
        </is>
      </c>
      <c r="P319" s="11" t="inlineStr">
        <is>
          <t>EC3A 7AW</t>
        </is>
      </c>
      <c r="Q319" s="11" t="inlineStr">
        <is>
          <t>No</t>
        </is>
      </c>
      <c r="W319" s="11" t="inlineStr">
        <is>
          <t>Liverpool St - Attlee Centre</t>
        </is>
      </c>
      <c r="X319" s="11" t="n">
        <v>7</v>
      </c>
      <c r="Y319" s="11" t="inlineStr">
        <is>
          <t>Shoreditch Powerleague (15.5); Whitechapel (18.6)</t>
        </is>
      </c>
      <c r="Z319" s="11" t="inlineStr">
        <is>
          <t>Shoreditch Powerleague</t>
        </is>
      </c>
      <c r="AA319" s="11" t="n">
        <v>16</v>
      </c>
      <c r="AB319" s="14">
        <f>IFERROR(INDEX(Venues!$E$2:$E$17,MATCH(Z319,Venues!$A$2:$A$17,0)),"Not checked")</f>
        <v/>
      </c>
      <c r="AC319" s="14">
        <f>IFERROR(INDEX(Venues!$F$2:$F$17,MATCH(Z319,Venues!$A$2:$A$17,0)),0)</f>
        <v/>
      </c>
      <c r="AD319" s="15">
        <f>IFERROR(INDEX(Venues!$M$2:$M$17,MATCH(Z319,Venues!$A$2:$A$17,0)),"")</f>
        <v/>
      </c>
      <c r="AE319" s="14">
        <f>IFERROR(INDEX(Venues!$N$2:$N$17,MATCH(Z319,Venues!$A$2:$A$17,0)),"5-a-side")</f>
        <v/>
      </c>
      <c r="AF319" s="16">
        <f>IF(Offer!$C$4="","",Offer!$C$4)</f>
        <v/>
      </c>
      <c r="AG319" s="14">
        <f>Z319&amp;" ("&amp;AA319&amp;" min walk) · "&amp;IF(ISNUMBER(AD319),TEXT(AD319,"ddd d mmm, hh:mm"),"slot to confirm with venue")&amp;" · "&amp;AE319&amp;" · "&amp;IF(AF319&lt;&gt;"","£"&amp;TEXT(AF319,"0.00")&amp;" pp","price TBC")</f>
        <v/>
      </c>
      <c r="AH319" s="14">
        <f>IF(U319&lt;&gt;"",U319,IF(H319&lt;&gt;"",H319,""))</f>
        <v/>
      </c>
      <c r="AI319" s="14">
        <f>"After-work football for "&amp;F319&amp;" · "&amp;Z319&amp;", "&amp;AA319&amp;" min from your office"</f>
        <v/>
      </c>
      <c r="AJ319" s="14">
        <f>"Hi "&amp;IF(R319&lt;&gt;"",R319,F319&amp;" team")&amp;","&amp;CHAR(10)&amp;CHAR(10)&amp;"I'm "&amp;IF(AM319&lt;&gt;"",AM319,IF(Offer!$C$5&lt;&gt;"",Offer!$C$5,"[NAME]"))&amp;" from FC Urban. We organise after-work football for teams in the City and Canary Wharf."&amp;CHAR(10)&amp;CHAR(10)&amp;"We have a "&amp;AE319&amp;" pitch at "&amp;Z319&amp;", "&amp;IF(OR(AA319=8,AA319=11,AA319=18),"an ","a ")&amp;AA319&amp;"-minute walk from your "&amp;P319&amp;" office, "&amp;IF(ISNUMBER(AD319),"on "&amp;TEXT(AD319,"dddd d mmmm")&amp;" at "&amp;TEXT(AD319,"hh:mm"),"on a weekday evening that suits your team")&amp;". It's "&amp;IF(AF319&lt;&gt;"","£"&amp;IF(AF319=INT(AF319),TEXT(AF319,"0"),TEXT(AF319,"0.00")),"[PRICE PER PLAYER]")&amp;" a player and we handle the pitch booking, sign-ups and payments, so all it takes is one person sharing a link with the team."&amp;CHAR(10)&amp;CHAR(10)&amp;"It works well as a team social or "&amp;IF(ISNUMBER(SEARCH(LEFT(F319,1),"AEIOU")),"an ","a ")&amp;F319&amp;"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LINK]")&amp;CHAR(10)&amp;CHAR(10)&amp;"Best,"&amp;CHAR(10)&amp;IF(AM319&lt;&gt;"",AM319,IF(Offer!$C$5&lt;&gt;"",Offer!$C$5,"[NAME]"))&amp;CHAR(10)&amp;"FC Urban"</f>
        <v/>
      </c>
      <c r="AK319" s="14">
        <f>"Hi "&amp;IF(R319&lt;&gt;"",R319,F319&amp;" team")&amp;","&amp;CHAR(10)&amp;CHAR(10)&amp;"Just bumping this up. The "&amp;AE319&amp;" pitch at "&amp;Z319&amp;" is still free "&amp;IF(ISNUMBER(AD319),TEXT(AD319,"ddd d mmm")&amp;", "&amp;TEXT(AD319,"hh:mm"),"weekday evenings")&amp;", "&amp;IF(OR(AA319=8,AA319=11,AA319=18),"an ","a ")&amp;AA319&amp;"-minute walk from your office, "&amp;IF(AF319&lt;&gt;"","£"&amp;IF(AF319=INT(AF319),TEXT(AF319,"0"),TEXT(AF319,"0.00")),"[PRICE PER PLAYER]")&amp;" a player. Happy to hold it for "&amp;F319&amp;"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LINK]")&amp;CHAR(10)&amp;CHAR(10)&amp;"Best,"&amp;CHAR(10)&amp;IF(AM319&lt;&gt;"",AM319,IF(Offer!$C$5&lt;&gt;"",Offer!$C$5,"[NAME]"))&amp;CHAR(10)&amp;"FC Urban"</f>
        <v/>
      </c>
      <c r="AL319" s="14">
        <f>IF(AH319="","No email yet",IF(ISNUMBER(SEARCH("[",AJ319)),"Fill placeholders",IF(ISNUMBER(AD319),"Ready to send","Ready · no fixed slot")))</f>
        <v/>
      </c>
      <c r="AO319" s="17" t="n"/>
      <c r="AP319" s="17" t="n"/>
    </row>
    <row r="320">
      <c r="A320" s="11" t="n">
        <v>318</v>
      </c>
      <c r="B320" s="11" t="n">
        <v>3</v>
      </c>
      <c r="C320" s="11" t="inlineStr">
        <is>
          <t>Insurance / broker</t>
        </is>
      </c>
      <c r="D320" s="11" t="inlineStr">
        <is>
          <t>City of London</t>
        </is>
      </c>
      <c r="E320" s="11" t="inlineStr">
        <is>
          <t>Qualis U.K. Limited</t>
        </is>
      </c>
      <c r="F320" s="11" t="inlineStr">
        <is>
          <t>Qualis U.K</t>
        </is>
      </c>
      <c r="G320" s="12" t="inlineStr">
        <is>
          <t>https://qualisuk.com</t>
        </is>
      </c>
      <c r="H320" s="11" t="inlineStr">
        <is>
          <t>info@qualisuk.com</t>
        </is>
      </c>
      <c r="I320" s="11" t="inlineStr">
        <is>
          <t>general</t>
        </is>
      </c>
      <c r="J320" s="12" t="inlineStr">
        <is>
          <t>Open page</t>
        </is>
      </c>
      <c r="K320" s="11" t="inlineStr">
        <is>
          <t>12099030</t>
        </is>
      </c>
      <c r="L320" s="12" t="inlineStr">
        <is>
          <t>Open</t>
        </is>
      </c>
      <c r="M320" s="11" t="inlineStr">
        <is>
          <t>Full</t>
        </is>
      </c>
      <c r="N320" s="13" t="n">
        <v>43658</v>
      </c>
      <c r="O320" s="11" t="inlineStr">
        <is>
          <t>Exchequer Court, 33 St. Mary Axe, London</t>
        </is>
      </c>
      <c r="P320" s="11" t="inlineStr">
        <is>
          <t>EC3A 8AA</t>
        </is>
      </c>
      <c r="Q320" s="11" t="inlineStr">
        <is>
          <t>No</t>
        </is>
      </c>
      <c r="W320" s="11" t="inlineStr">
        <is>
          <t>Liverpool St - Attlee Centre</t>
        </is>
      </c>
      <c r="X320" s="11" t="n">
        <v>10</v>
      </c>
      <c r="Y320" s="11" t="inlineStr">
        <is>
          <t>Shoreditch Powerleague (15.5)</t>
        </is>
      </c>
      <c r="Z320" s="11" t="inlineStr">
        <is>
          <t>Shoreditch Powerleague</t>
        </is>
      </c>
      <c r="AA320" s="11" t="n">
        <v>16</v>
      </c>
      <c r="AB320" s="14">
        <f>IFERROR(INDEX(Venues!$E$2:$E$17,MATCH(Z320,Venues!$A$2:$A$17,0)),"Not checked")</f>
        <v/>
      </c>
      <c r="AC320" s="14">
        <f>IFERROR(INDEX(Venues!$F$2:$F$17,MATCH(Z320,Venues!$A$2:$A$17,0)),0)</f>
        <v/>
      </c>
      <c r="AD320" s="15">
        <f>IFERROR(INDEX(Venues!$M$2:$M$17,MATCH(Z320,Venues!$A$2:$A$17,0)),"")</f>
        <v/>
      </c>
      <c r="AE320" s="14">
        <f>IFERROR(INDEX(Venues!$N$2:$N$17,MATCH(Z320,Venues!$A$2:$A$17,0)),"5-a-side")</f>
        <v/>
      </c>
      <c r="AF320" s="16">
        <f>IF(Offer!$C$4="","",Offer!$C$4)</f>
        <v/>
      </c>
      <c r="AG320" s="14">
        <f>Z320&amp;" ("&amp;AA320&amp;" min walk) · "&amp;IF(ISNUMBER(AD320),TEXT(AD320,"ddd d mmm, hh:mm"),"slot to confirm with venue")&amp;" · "&amp;AE320&amp;" · "&amp;IF(AF320&lt;&gt;"","£"&amp;TEXT(AF320,"0.00")&amp;" pp","price TBC")</f>
        <v/>
      </c>
      <c r="AH320" s="14">
        <f>IF(U320&lt;&gt;"",U320,IF(H320&lt;&gt;"",H320,""))</f>
        <v/>
      </c>
      <c r="AI320" s="14">
        <f>"After-work football for "&amp;F320&amp;" · "&amp;Z320&amp;", "&amp;AA320&amp;" min from your office"</f>
        <v/>
      </c>
      <c r="AJ320" s="14">
        <f>"Hi "&amp;IF(R320&lt;&gt;"",R320,F320&amp;" team")&amp;","&amp;CHAR(10)&amp;CHAR(10)&amp;"I'm "&amp;IF(AM320&lt;&gt;"",AM320,IF(Offer!$C$5&lt;&gt;"",Offer!$C$5,"[NAME]"))&amp;" from FC Urban. We organise after-work football for teams in the City and Canary Wharf."&amp;CHAR(10)&amp;CHAR(10)&amp;"We have a "&amp;AE320&amp;" pitch at "&amp;Z320&amp;", "&amp;IF(OR(AA320=8,AA320=11,AA320=18),"an ","a ")&amp;AA320&amp;"-minute walk from your "&amp;P320&amp;" office, "&amp;IF(ISNUMBER(AD320),"on "&amp;TEXT(AD320,"dddd d mmmm")&amp;" at "&amp;TEXT(AD320,"hh:mm"),"on a weekday evening that suits your team")&amp;". It's "&amp;IF(AF320&lt;&gt;"","£"&amp;IF(AF320=INT(AF320),TEXT(AF320,"0"),TEXT(AF320,"0.00")),"[PRICE PER PLAYER]")&amp;" a player and we handle the pitch booking, sign-ups and payments, so all it takes is one person sharing a link with the team."&amp;CHAR(10)&amp;CHAR(10)&amp;"It works well as a team social or "&amp;IF(ISNUMBER(SEARCH(LEFT(F320,1),"AEIOU")),"an ","a ")&amp;F320&amp;"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LINK]")&amp;CHAR(10)&amp;CHAR(10)&amp;"Best,"&amp;CHAR(10)&amp;IF(AM320&lt;&gt;"",AM320,IF(Offer!$C$5&lt;&gt;"",Offer!$C$5,"[NAME]"))&amp;CHAR(10)&amp;"FC Urban"</f>
        <v/>
      </c>
      <c r="AK320" s="14">
        <f>"Hi "&amp;IF(R320&lt;&gt;"",R320,F320&amp;" team")&amp;","&amp;CHAR(10)&amp;CHAR(10)&amp;"Just bumping this up. The "&amp;AE320&amp;" pitch at "&amp;Z320&amp;" is still free "&amp;IF(ISNUMBER(AD320),TEXT(AD320,"ddd d mmm")&amp;", "&amp;TEXT(AD320,"hh:mm"),"weekday evenings")&amp;", "&amp;IF(OR(AA320=8,AA320=11,AA320=18),"an ","a ")&amp;AA320&amp;"-minute walk from your office, "&amp;IF(AF320&lt;&gt;"","£"&amp;IF(AF320=INT(AF320),TEXT(AF320,"0"),TEXT(AF320,"0.00")),"[PRICE PER PLAYER]")&amp;" a player. Happy to hold it for "&amp;F320&amp;"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LINK]")&amp;CHAR(10)&amp;CHAR(10)&amp;"Best,"&amp;CHAR(10)&amp;IF(AM320&lt;&gt;"",AM320,IF(Offer!$C$5&lt;&gt;"",Offer!$C$5,"[NAME]"))&amp;CHAR(10)&amp;"FC Urban"</f>
        <v/>
      </c>
      <c r="AL320" s="14">
        <f>IF(AH320="","No email yet",IF(ISNUMBER(SEARCH("[",AJ320)),"Fill placeholders",IF(ISNUMBER(AD320),"Ready to send","Ready · no fixed slot")))</f>
        <v/>
      </c>
      <c r="AO320" s="17" t="n"/>
      <c r="AP320" s="17" t="n"/>
    </row>
    <row r="321">
      <c r="A321" s="11" t="n">
        <v>319</v>
      </c>
      <c r="B321" s="11" t="n">
        <v>3</v>
      </c>
      <c r="C321" s="11" t="inlineStr">
        <is>
          <t>Insurance / broker</t>
        </is>
      </c>
      <c r="D321" s="11" t="inlineStr">
        <is>
          <t>City of London</t>
        </is>
      </c>
      <c r="E321" s="11" t="inlineStr">
        <is>
          <t>Specialist Risk Insurance Solutions Limited</t>
        </is>
      </c>
      <c r="F321" s="11" t="inlineStr">
        <is>
          <t>Specialist Risk Insurance Solutions</t>
        </is>
      </c>
      <c r="G321" s="12" t="inlineStr">
        <is>
          <t>https://specialistrisk.com</t>
        </is>
      </c>
      <c r="H321" s="11" t="inlineStr">
        <is>
          <t>warren@specialistrisk.com</t>
        </is>
      </c>
      <c r="I321" s="11" t="inlineStr">
        <is>
          <t>named person</t>
        </is>
      </c>
      <c r="J321" s="12" t="inlineStr">
        <is>
          <t>Open page</t>
        </is>
      </c>
      <c r="K321" s="11" t="inlineStr">
        <is>
          <t>06368755</t>
        </is>
      </c>
      <c r="L321" s="12" t="inlineStr">
        <is>
          <t>Open</t>
        </is>
      </c>
      <c r="M321" s="11" t="inlineStr">
        <is>
          <t>Full</t>
        </is>
      </c>
      <c r="N321" s="13" t="n">
        <v>39337</v>
      </c>
      <c r="O321" s="11" t="inlineStr">
        <is>
          <t>7Th Floor, The St Botolph Building, 138 Houndsditch, London</t>
        </is>
      </c>
      <c r="P321" s="11" t="inlineStr">
        <is>
          <t>EC3A 7AW</t>
        </is>
      </c>
      <c r="Q321" s="11" t="inlineStr">
        <is>
          <t>No</t>
        </is>
      </c>
      <c r="W321" s="11" t="inlineStr">
        <is>
          <t>Liverpool St - Attlee Centre</t>
        </is>
      </c>
      <c r="X321" s="11" t="n">
        <v>7</v>
      </c>
      <c r="Y321" s="11" t="inlineStr">
        <is>
          <t>Shoreditch Powerleague (15.5); Whitechapel (18.6)</t>
        </is>
      </c>
      <c r="Z321" s="11" t="inlineStr">
        <is>
          <t>Shoreditch Powerleague</t>
        </is>
      </c>
      <c r="AA321" s="11" t="n">
        <v>16</v>
      </c>
      <c r="AB321" s="14">
        <f>IFERROR(INDEX(Venues!$E$2:$E$17,MATCH(Z321,Venues!$A$2:$A$17,0)),"Not checked")</f>
        <v/>
      </c>
      <c r="AC321" s="14">
        <f>IFERROR(INDEX(Venues!$F$2:$F$17,MATCH(Z321,Venues!$A$2:$A$17,0)),0)</f>
        <v/>
      </c>
      <c r="AD321" s="15">
        <f>IFERROR(INDEX(Venues!$M$2:$M$17,MATCH(Z321,Venues!$A$2:$A$17,0)),"")</f>
        <v/>
      </c>
      <c r="AE321" s="14">
        <f>IFERROR(INDEX(Venues!$N$2:$N$17,MATCH(Z321,Venues!$A$2:$A$17,0)),"5-a-side")</f>
        <v/>
      </c>
      <c r="AF321" s="16">
        <f>IF(Offer!$C$4="","",Offer!$C$4)</f>
        <v/>
      </c>
      <c r="AG321" s="14">
        <f>Z321&amp;" ("&amp;AA321&amp;" min walk) · "&amp;IF(ISNUMBER(AD321),TEXT(AD321,"ddd d mmm, hh:mm"),"slot to confirm with venue")&amp;" · "&amp;AE321&amp;" · "&amp;IF(AF321&lt;&gt;"","£"&amp;TEXT(AF321,"0.00")&amp;" pp","price TBC")</f>
        <v/>
      </c>
      <c r="AH321" s="14">
        <f>IF(U321&lt;&gt;"",U321,IF(H321&lt;&gt;"",H321,""))</f>
        <v/>
      </c>
      <c r="AI321" s="14">
        <f>"After-work football for "&amp;F321&amp;" · "&amp;Z321&amp;", "&amp;AA321&amp;" min from your office"</f>
        <v/>
      </c>
      <c r="AJ321" s="14">
        <f>"Hi "&amp;IF(R321&lt;&gt;"",R321,F321&amp;" team")&amp;","&amp;CHAR(10)&amp;CHAR(10)&amp;"I'm "&amp;IF(AM321&lt;&gt;"",AM321,IF(Offer!$C$5&lt;&gt;"",Offer!$C$5,"[NAME]"))&amp;" from FC Urban. We organise after-work football for teams in the City and Canary Wharf."&amp;CHAR(10)&amp;CHAR(10)&amp;"We have a "&amp;AE321&amp;" pitch at "&amp;Z321&amp;", "&amp;IF(OR(AA321=8,AA321=11,AA321=18),"an ","a ")&amp;AA321&amp;"-minute walk from your "&amp;P321&amp;" office, "&amp;IF(ISNUMBER(AD321),"on "&amp;TEXT(AD321,"dddd d mmmm")&amp;" at "&amp;TEXT(AD321,"hh:mm"),"on a weekday evening that suits your team")&amp;". It's "&amp;IF(AF321&lt;&gt;"","£"&amp;IF(AF321=INT(AF321),TEXT(AF321,"0"),TEXT(AF321,"0.00")),"[PRICE PER PLAYER]")&amp;" a player and we handle the pitch booking, sign-ups and payments, so all it takes is one person sharing a link with the team."&amp;CHAR(10)&amp;CHAR(10)&amp;"It works well as a team social or "&amp;IF(ISNUMBER(SEARCH(LEFT(F321,1),"AEIOU")),"an ","a ")&amp;F321&amp;"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LINK]")&amp;CHAR(10)&amp;CHAR(10)&amp;"Best,"&amp;CHAR(10)&amp;IF(AM321&lt;&gt;"",AM321,IF(Offer!$C$5&lt;&gt;"",Offer!$C$5,"[NAME]"))&amp;CHAR(10)&amp;"FC Urban"</f>
        <v/>
      </c>
      <c r="AK321" s="14">
        <f>"Hi "&amp;IF(R321&lt;&gt;"",R321,F321&amp;" team")&amp;","&amp;CHAR(10)&amp;CHAR(10)&amp;"Just bumping this up. The "&amp;AE321&amp;" pitch at "&amp;Z321&amp;" is still free "&amp;IF(ISNUMBER(AD321),TEXT(AD321,"ddd d mmm")&amp;", "&amp;TEXT(AD321,"hh:mm"),"weekday evenings")&amp;", "&amp;IF(OR(AA321=8,AA321=11,AA321=18),"an ","a ")&amp;AA321&amp;"-minute walk from your office, "&amp;IF(AF321&lt;&gt;"","£"&amp;IF(AF321=INT(AF321),TEXT(AF321,"0"),TEXT(AF321,"0.00")),"[PRICE PER PLAYER]")&amp;" a player. Happy to hold it for "&amp;F321&amp;"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LINK]")&amp;CHAR(10)&amp;CHAR(10)&amp;"Best,"&amp;CHAR(10)&amp;IF(AM321&lt;&gt;"",AM321,IF(Offer!$C$5&lt;&gt;"",Offer!$C$5,"[NAME]"))&amp;CHAR(10)&amp;"FC Urban"</f>
        <v/>
      </c>
      <c r="AL321" s="14">
        <f>IF(AH321="","No email yet",IF(ISNUMBER(SEARCH("[",AJ321)),"Fill placeholders",IF(ISNUMBER(AD321),"Ready to send","Ready · no fixed slot")))</f>
        <v/>
      </c>
      <c r="AO321" s="17" t="n"/>
      <c r="AP321" s="17" t="n"/>
    </row>
    <row r="322">
      <c r="A322" s="11" t="n">
        <v>320</v>
      </c>
      <c r="B322" s="11" t="n">
        <v>3</v>
      </c>
      <c r="C322" s="11" t="inlineStr">
        <is>
          <t>Fund / asset manager</t>
        </is>
      </c>
      <c r="D322" s="11" t="inlineStr">
        <is>
          <t>City of London</t>
        </is>
      </c>
      <c r="E322" s="11" t="inlineStr">
        <is>
          <t>Conv-Ex Advisors Limited</t>
        </is>
      </c>
      <c r="F322" s="11" t="inlineStr">
        <is>
          <t>Conv-Ex Advisors</t>
        </is>
      </c>
      <c r="G322" s="12" t="inlineStr">
        <is>
          <t>https://www.convex.com</t>
        </is>
      </c>
      <c r="H322" s="11" t="inlineStr">
        <is>
          <t>support@convex.com</t>
        </is>
      </c>
      <c r="I322" s="11" t="inlineStr">
        <is>
          <t>role (other)</t>
        </is>
      </c>
      <c r="J322" s="12" t="inlineStr">
        <is>
          <t>Open page</t>
        </is>
      </c>
      <c r="K322" s="11" t="inlineStr">
        <is>
          <t>08075698</t>
        </is>
      </c>
      <c r="L322" s="12" t="inlineStr">
        <is>
          <t>Open</t>
        </is>
      </c>
      <c r="M322" s="11" t="inlineStr">
        <is>
          <t>Full</t>
        </is>
      </c>
      <c r="N322" s="13" t="n">
        <v>41047</v>
      </c>
      <c r="O322" s="11" t="inlineStr">
        <is>
          <t>80 Coleman Street, London</t>
        </is>
      </c>
      <c r="P322" s="11" t="inlineStr">
        <is>
          <t>EC2R 5BJ</t>
        </is>
      </c>
      <c r="Q322" s="11" t="inlineStr">
        <is>
          <t>No</t>
        </is>
      </c>
      <c r="W322" s="11" t="inlineStr">
        <is>
          <t>City of London School (EC4V 3AL)</t>
        </is>
      </c>
      <c r="X322" s="11" t="n">
        <v>16</v>
      </c>
      <c r="Y322" s="11" t="inlineStr">
        <is>
          <t>Finsbury Leisure Centre (EC1V 3PU) (17.6); Liverpool St - Attlee Centre (18.7)</t>
        </is>
      </c>
      <c r="Z322" s="11" t="inlineStr">
        <is>
          <t>City of London School (EC4V 3AL)</t>
        </is>
      </c>
      <c r="AA322" s="11" t="n">
        <v>16</v>
      </c>
      <c r="AB322" s="14">
        <f>IFERROR(INDEX(Venues!$E$2:$E$17,MATCH(Z322,Venues!$A$2:$A$17,0)),"Not checked")</f>
        <v/>
      </c>
      <c r="AC322" s="14">
        <f>IFERROR(INDEX(Venues!$F$2:$F$17,MATCH(Z322,Venues!$A$2:$A$17,0)),0)</f>
        <v/>
      </c>
      <c r="AD322" s="15">
        <f>IFERROR(INDEX(Venues!$M$2:$M$17,MATCH(Z322,Venues!$A$2:$A$17,0)),"")</f>
        <v/>
      </c>
      <c r="AE322" s="14">
        <f>IFERROR(INDEX(Venues!$N$2:$N$17,MATCH(Z322,Venues!$A$2:$A$17,0)),"5-a-side")</f>
        <v/>
      </c>
      <c r="AF322" s="16">
        <f>IF(Offer!$C$4="","",Offer!$C$4)</f>
        <v/>
      </c>
      <c r="AG322" s="14">
        <f>Z322&amp;" ("&amp;AA322&amp;" min walk) · "&amp;IF(ISNUMBER(AD322),TEXT(AD322,"ddd d mmm, hh:mm"),"slot to confirm with venue")&amp;" · "&amp;AE322&amp;" · "&amp;IF(AF322&lt;&gt;"","£"&amp;TEXT(AF322,"0.00")&amp;" pp","price TBC")</f>
        <v/>
      </c>
      <c r="AH322" s="14">
        <f>IF(U322&lt;&gt;"",U322,IF(H322&lt;&gt;"",H322,""))</f>
        <v/>
      </c>
      <c r="AI322" s="14">
        <f>"After-work football for "&amp;F322&amp;" · "&amp;Z322&amp;", "&amp;AA322&amp;" min from your office"</f>
        <v/>
      </c>
      <c r="AJ322" s="14">
        <f>"Hi "&amp;IF(R322&lt;&gt;"",R322,F322&amp;" team")&amp;","&amp;CHAR(10)&amp;CHAR(10)&amp;"I'm "&amp;IF(AM322&lt;&gt;"",AM322,IF(Offer!$C$5&lt;&gt;"",Offer!$C$5,"[NAME]"))&amp;" from FC Urban. We organise after-work football for teams in the City and Canary Wharf."&amp;CHAR(10)&amp;CHAR(10)&amp;"We have a "&amp;AE322&amp;" pitch at "&amp;Z322&amp;", "&amp;IF(OR(AA322=8,AA322=11,AA322=18),"an ","a ")&amp;AA322&amp;"-minute walk from your "&amp;P322&amp;" office, "&amp;IF(ISNUMBER(AD322),"on "&amp;TEXT(AD322,"dddd d mmmm")&amp;" at "&amp;TEXT(AD322,"hh:mm"),"on a weekday evening that suits your team")&amp;". It's "&amp;IF(AF322&lt;&gt;"","£"&amp;IF(AF322=INT(AF322),TEXT(AF322,"0"),TEXT(AF322,"0.00")),"[PRICE PER PLAYER]")&amp;" a player and we handle the pitch booking, sign-ups and payments, so all it takes is one person sharing a link with the team."&amp;CHAR(10)&amp;CHAR(10)&amp;"It works well as a team social or "&amp;IF(ISNUMBER(SEARCH(LEFT(F322,1),"AEIOU")),"an ","a ")&amp;F322&amp;"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LINK]")&amp;CHAR(10)&amp;CHAR(10)&amp;"Best,"&amp;CHAR(10)&amp;IF(AM322&lt;&gt;"",AM322,IF(Offer!$C$5&lt;&gt;"",Offer!$C$5,"[NAME]"))&amp;CHAR(10)&amp;"FC Urban"</f>
        <v/>
      </c>
      <c r="AK322" s="14">
        <f>"Hi "&amp;IF(R322&lt;&gt;"",R322,F322&amp;" team")&amp;","&amp;CHAR(10)&amp;CHAR(10)&amp;"Just bumping this up. The "&amp;AE322&amp;" pitch at "&amp;Z322&amp;" is still free "&amp;IF(ISNUMBER(AD322),TEXT(AD322,"ddd d mmm")&amp;", "&amp;TEXT(AD322,"hh:mm"),"weekday evenings")&amp;", "&amp;IF(OR(AA322=8,AA322=11,AA322=18),"an ","a ")&amp;AA322&amp;"-minute walk from your office, "&amp;IF(AF322&lt;&gt;"","£"&amp;IF(AF322=INT(AF322),TEXT(AF322,"0"),TEXT(AF322,"0.00")),"[PRICE PER PLAYER]")&amp;" a player. Happy to hold it for "&amp;F322&amp;"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LINK]")&amp;CHAR(10)&amp;CHAR(10)&amp;"Best,"&amp;CHAR(10)&amp;IF(AM322&lt;&gt;"",AM322,IF(Offer!$C$5&lt;&gt;"",Offer!$C$5,"[NAME]"))&amp;CHAR(10)&amp;"FC Urban"</f>
        <v/>
      </c>
      <c r="AL322" s="14">
        <f>IF(AH322="","No email yet",IF(ISNUMBER(SEARCH("[",AJ322)),"Fill placeholders",IF(ISNUMBER(AD322),"Ready to send","Ready · no fixed slot")))</f>
        <v/>
      </c>
      <c r="AO322" s="17" t="n"/>
      <c r="AP322" s="17" t="n"/>
    </row>
    <row r="323">
      <c r="A323" s="11" t="n">
        <v>321</v>
      </c>
      <c r="B323" s="11" t="n">
        <v>3</v>
      </c>
      <c r="C323" s="11" t="inlineStr">
        <is>
          <t>Fund / asset manager</t>
        </is>
      </c>
      <c r="D323" s="11" t="inlineStr">
        <is>
          <t>City of London</t>
        </is>
      </c>
      <c r="E323" s="11" t="inlineStr">
        <is>
          <t>Emerging Markets Investment Management Limited</t>
        </is>
      </c>
      <c r="F323" s="11" t="inlineStr">
        <is>
          <t>Emerging Markets Investment Management</t>
        </is>
      </c>
      <c r="G323" s="12" t="inlineStr">
        <is>
          <t>https://www.emergingmarkets.com</t>
        </is>
      </c>
      <c r="H323" s="11" t="inlineStr">
        <is>
          <t>info@emergingmarkets.com</t>
        </is>
      </c>
      <c r="I323" s="11" t="inlineStr">
        <is>
          <t>general</t>
        </is>
      </c>
      <c r="J323" s="12" t="inlineStr">
        <is>
          <t>Open page</t>
        </is>
      </c>
      <c r="K323" s="11" t="inlineStr">
        <is>
          <t>10788629</t>
        </is>
      </c>
      <c r="L323" s="12" t="inlineStr">
        <is>
          <t>Open</t>
        </is>
      </c>
      <c r="M323" s="11" t="inlineStr">
        <is>
          <t>Full</t>
        </is>
      </c>
      <c r="N323" s="13" t="n">
        <v>42880</v>
      </c>
      <c r="O323" s="11" t="inlineStr">
        <is>
          <t>80 Coleman Street, London</t>
        </is>
      </c>
      <c r="P323" s="11" t="inlineStr">
        <is>
          <t>EC2R 5BJ</t>
        </is>
      </c>
      <c r="Q323" s="11" t="inlineStr">
        <is>
          <t>No</t>
        </is>
      </c>
      <c r="W323" s="11" t="inlineStr">
        <is>
          <t>City of London School (EC4V 3AL)</t>
        </is>
      </c>
      <c r="X323" s="11" t="n">
        <v>16</v>
      </c>
      <c r="Y323" s="11" t="inlineStr">
        <is>
          <t>Finsbury Leisure Centre (EC1V 3PU) (17.6); Liverpool St - Attlee Centre (18.7)</t>
        </is>
      </c>
      <c r="Z323" s="11" t="inlineStr">
        <is>
          <t>City of London School (EC4V 3AL)</t>
        </is>
      </c>
      <c r="AA323" s="11" t="n">
        <v>16</v>
      </c>
      <c r="AB323" s="14">
        <f>IFERROR(INDEX(Venues!$E$2:$E$17,MATCH(Z323,Venues!$A$2:$A$17,0)),"Not checked")</f>
        <v/>
      </c>
      <c r="AC323" s="14">
        <f>IFERROR(INDEX(Venues!$F$2:$F$17,MATCH(Z323,Venues!$A$2:$A$17,0)),0)</f>
        <v/>
      </c>
      <c r="AD323" s="15">
        <f>IFERROR(INDEX(Venues!$M$2:$M$17,MATCH(Z323,Venues!$A$2:$A$17,0)),"")</f>
        <v/>
      </c>
      <c r="AE323" s="14">
        <f>IFERROR(INDEX(Venues!$N$2:$N$17,MATCH(Z323,Venues!$A$2:$A$17,0)),"5-a-side")</f>
        <v/>
      </c>
      <c r="AF323" s="16">
        <f>IF(Offer!$C$4="","",Offer!$C$4)</f>
        <v/>
      </c>
      <c r="AG323" s="14">
        <f>Z323&amp;" ("&amp;AA323&amp;" min walk) · "&amp;IF(ISNUMBER(AD323),TEXT(AD323,"ddd d mmm, hh:mm"),"slot to confirm with venue")&amp;" · "&amp;AE323&amp;" · "&amp;IF(AF323&lt;&gt;"","£"&amp;TEXT(AF323,"0.00")&amp;" pp","price TBC")</f>
        <v/>
      </c>
      <c r="AH323" s="14">
        <f>IF(U323&lt;&gt;"",U323,IF(H323&lt;&gt;"",H323,""))</f>
        <v/>
      </c>
      <c r="AI323" s="14">
        <f>"After-work football for "&amp;F323&amp;" · "&amp;Z323&amp;", "&amp;AA323&amp;" min from your office"</f>
        <v/>
      </c>
      <c r="AJ323" s="14">
        <f>"Hi "&amp;IF(R323&lt;&gt;"",R323,F323&amp;" team")&amp;","&amp;CHAR(10)&amp;CHAR(10)&amp;"I'm "&amp;IF(AM323&lt;&gt;"",AM323,IF(Offer!$C$5&lt;&gt;"",Offer!$C$5,"[NAME]"))&amp;" from FC Urban. We organise after-work football for teams in the City and Canary Wharf."&amp;CHAR(10)&amp;CHAR(10)&amp;"We have a "&amp;AE323&amp;" pitch at "&amp;Z323&amp;", "&amp;IF(OR(AA323=8,AA323=11,AA323=18),"an ","a ")&amp;AA323&amp;"-minute walk from your "&amp;P323&amp;" office, "&amp;IF(ISNUMBER(AD323),"on "&amp;TEXT(AD323,"dddd d mmmm")&amp;" at "&amp;TEXT(AD323,"hh:mm"),"on a weekday evening that suits your team")&amp;". It's "&amp;IF(AF323&lt;&gt;"","£"&amp;IF(AF323=INT(AF323),TEXT(AF323,"0"),TEXT(AF323,"0.00")),"[PRICE PER PLAYER]")&amp;" a player and we handle the pitch booking, sign-ups and payments, so all it takes is one person sharing a link with the team."&amp;CHAR(10)&amp;CHAR(10)&amp;"It works well as a team social or "&amp;IF(ISNUMBER(SEARCH(LEFT(F323,1),"AEIOU")),"an ","a ")&amp;F323&amp;"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LINK]")&amp;CHAR(10)&amp;CHAR(10)&amp;"Best,"&amp;CHAR(10)&amp;IF(AM323&lt;&gt;"",AM323,IF(Offer!$C$5&lt;&gt;"",Offer!$C$5,"[NAME]"))&amp;CHAR(10)&amp;"FC Urban"</f>
        <v/>
      </c>
      <c r="AK323" s="14">
        <f>"Hi "&amp;IF(R323&lt;&gt;"",R323,F323&amp;" team")&amp;","&amp;CHAR(10)&amp;CHAR(10)&amp;"Just bumping this up. The "&amp;AE323&amp;" pitch at "&amp;Z323&amp;" is still free "&amp;IF(ISNUMBER(AD323),TEXT(AD323,"ddd d mmm")&amp;", "&amp;TEXT(AD323,"hh:mm"),"weekday evenings")&amp;", "&amp;IF(OR(AA323=8,AA323=11,AA323=18),"an ","a ")&amp;AA323&amp;"-minute walk from your office, "&amp;IF(AF323&lt;&gt;"","£"&amp;IF(AF323=INT(AF323),TEXT(AF323,"0"),TEXT(AF323,"0.00")),"[PRICE PER PLAYER]")&amp;" a player. Happy to hold it for "&amp;F323&amp;"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LINK]")&amp;CHAR(10)&amp;CHAR(10)&amp;"Best,"&amp;CHAR(10)&amp;IF(AM323&lt;&gt;"",AM323,IF(Offer!$C$5&lt;&gt;"",Offer!$C$5,"[NAME]"))&amp;CHAR(10)&amp;"FC Urban"</f>
        <v/>
      </c>
      <c r="AL323" s="14">
        <f>IF(AH323="","No email yet",IF(ISNUMBER(SEARCH("[",AJ323)),"Fill placeholders",IF(ISNUMBER(AD323),"Ready to send","Ready · no fixed slot")))</f>
        <v/>
      </c>
      <c r="AO323" s="17" t="n"/>
      <c r="AP323" s="17" t="n"/>
    </row>
    <row r="324">
      <c r="A324" s="11" t="n">
        <v>322</v>
      </c>
      <c r="B324" s="11" t="n">
        <v>3</v>
      </c>
      <c r="C324" s="11" t="inlineStr">
        <is>
          <t>Fund / asset manager</t>
        </is>
      </c>
      <c r="D324" s="11" t="inlineStr">
        <is>
          <t>City of London</t>
        </is>
      </c>
      <c r="E324" s="11" t="inlineStr">
        <is>
          <t>Lindisfarne Partners LLP</t>
        </is>
      </c>
      <c r="F324" s="11" t="inlineStr">
        <is>
          <t>Lindisfarne Partners</t>
        </is>
      </c>
      <c r="G324" s="12" t="inlineStr">
        <is>
          <t>https://www.lindisfarne.com</t>
        </is>
      </c>
      <c r="H324" s="11" t="inlineStr">
        <is>
          <t>enquire@lindisfarne.com</t>
        </is>
      </c>
      <c r="I324" s="11" t="inlineStr">
        <is>
          <t>named person</t>
        </is>
      </c>
      <c r="J324" s="12" t="inlineStr">
        <is>
          <t>Open page</t>
        </is>
      </c>
      <c r="K324" s="11" t="inlineStr">
        <is>
          <t>OC346898</t>
        </is>
      </c>
      <c r="L324" s="12" t="inlineStr">
        <is>
          <t>Open</t>
        </is>
      </c>
      <c r="M324" s="11" t="inlineStr">
        <is>
          <t>Full</t>
        </is>
      </c>
      <c r="N324" s="13" t="n">
        <v>39996</v>
      </c>
      <c r="O324" s="11" t="inlineStr">
        <is>
          <t>80 Coleman Street, London, Coleman Street, London</t>
        </is>
      </c>
      <c r="P324" s="11" t="inlineStr">
        <is>
          <t>EC2R 5BJ</t>
        </is>
      </c>
      <c r="Q324" s="11" t="inlineStr">
        <is>
          <t>No</t>
        </is>
      </c>
      <c r="W324" s="11" t="inlineStr">
        <is>
          <t>City of London School (EC4V 3AL)</t>
        </is>
      </c>
      <c r="X324" s="11" t="n">
        <v>16</v>
      </c>
      <c r="Y324" s="11" t="inlineStr">
        <is>
          <t>Finsbury Leisure Centre (EC1V 3PU) (17.6); Liverpool St - Attlee Centre (18.7)</t>
        </is>
      </c>
      <c r="Z324" s="11" t="inlineStr">
        <is>
          <t>City of London School (EC4V 3AL)</t>
        </is>
      </c>
      <c r="AA324" s="11" t="n">
        <v>16</v>
      </c>
      <c r="AB324" s="14">
        <f>IFERROR(INDEX(Venues!$E$2:$E$17,MATCH(Z324,Venues!$A$2:$A$17,0)),"Not checked")</f>
        <v/>
      </c>
      <c r="AC324" s="14">
        <f>IFERROR(INDEX(Venues!$F$2:$F$17,MATCH(Z324,Venues!$A$2:$A$17,0)),0)</f>
        <v/>
      </c>
      <c r="AD324" s="15">
        <f>IFERROR(INDEX(Venues!$M$2:$M$17,MATCH(Z324,Venues!$A$2:$A$17,0)),"")</f>
        <v/>
      </c>
      <c r="AE324" s="14">
        <f>IFERROR(INDEX(Venues!$N$2:$N$17,MATCH(Z324,Venues!$A$2:$A$17,0)),"5-a-side")</f>
        <v/>
      </c>
      <c r="AF324" s="16">
        <f>IF(Offer!$C$4="","",Offer!$C$4)</f>
        <v/>
      </c>
      <c r="AG324" s="14">
        <f>Z324&amp;" ("&amp;AA324&amp;" min walk) · "&amp;IF(ISNUMBER(AD324),TEXT(AD324,"ddd d mmm, hh:mm"),"slot to confirm with venue")&amp;" · "&amp;AE324&amp;" · "&amp;IF(AF324&lt;&gt;"","£"&amp;TEXT(AF324,"0.00")&amp;" pp","price TBC")</f>
        <v/>
      </c>
      <c r="AH324" s="14">
        <f>IF(U324&lt;&gt;"",U324,IF(H324&lt;&gt;"",H324,""))</f>
        <v/>
      </c>
      <c r="AI324" s="14">
        <f>"After-work football for "&amp;F324&amp;" · "&amp;Z324&amp;", "&amp;AA324&amp;" min from your office"</f>
        <v/>
      </c>
      <c r="AJ324" s="14">
        <f>"Hi "&amp;IF(R324&lt;&gt;"",R324,F324&amp;" team")&amp;","&amp;CHAR(10)&amp;CHAR(10)&amp;"I'm "&amp;IF(AM324&lt;&gt;"",AM324,IF(Offer!$C$5&lt;&gt;"",Offer!$C$5,"[NAME]"))&amp;" from FC Urban. We organise after-work football for teams in the City and Canary Wharf."&amp;CHAR(10)&amp;CHAR(10)&amp;"We have a "&amp;AE324&amp;" pitch at "&amp;Z324&amp;", "&amp;IF(OR(AA324=8,AA324=11,AA324=18),"an ","a ")&amp;AA324&amp;"-minute walk from your "&amp;P324&amp;" office, "&amp;IF(ISNUMBER(AD324),"on "&amp;TEXT(AD324,"dddd d mmmm")&amp;" at "&amp;TEXT(AD324,"hh:mm"),"on a weekday evening that suits your team")&amp;". It's "&amp;IF(AF324&lt;&gt;"","£"&amp;IF(AF324=INT(AF324),TEXT(AF324,"0"),TEXT(AF324,"0.00")),"[PRICE PER PLAYER]")&amp;" a player and we handle the pitch booking, sign-ups and payments, so all it takes is one person sharing a link with the team."&amp;CHAR(10)&amp;CHAR(10)&amp;"It works well as a team social or "&amp;IF(ISNUMBER(SEARCH(LEFT(F324,1),"AEIOU")),"an ","a ")&amp;F324&amp;"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LINK]")&amp;CHAR(10)&amp;CHAR(10)&amp;"Best,"&amp;CHAR(10)&amp;IF(AM324&lt;&gt;"",AM324,IF(Offer!$C$5&lt;&gt;"",Offer!$C$5,"[NAME]"))&amp;CHAR(10)&amp;"FC Urban"</f>
        <v/>
      </c>
      <c r="AK324" s="14">
        <f>"Hi "&amp;IF(R324&lt;&gt;"",R324,F324&amp;" team")&amp;","&amp;CHAR(10)&amp;CHAR(10)&amp;"Just bumping this up. The "&amp;AE324&amp;" pitch at "&amp;Z324&amp;" is still free "&amp;IF(ISNUMBER(AD324),TEXT(AD324,"ddd d mmm")&amp;", "&amp;TEXT(AD324,"hh:mm"),"weekday evenings")&amp;", "&amp;IF(OR(AA324=8,AA324=11,AA324=18),"an ","a ")&amp;AA324&amp;"-minute walk from your office, "&amp;IF(AF324&lt;&gt;"","£"&amp;IF(AF324=INT(AF324),TEXT(AF324,"0"),TEXT(AF324,"0.00")),"[PRICE PER PLAYER]")&amp;" a player. Happy to hold it for "&amp;F324&amp;"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LINK]")&amp;CHAR(10)&amp;CHAR(10)&amp;"Best,"&amp;CHAR(10)&amp;IF(AM324&lt;&gt;"",AM324,IF(Offer!$C$5&lt;&gt;"",Offer!$C$5,"[NAME]"))&amp;CHAR(10)&amp;"FC Urban"</f>
        <v/>
      </c>
      <c r="AL324" s="14">
        <f>IF(AH324="","No email yet",IF(ISNUMBER(SEARCH("[",AJ324)),"Fill placeholders",IF(ISNUMBER(AD324),"Ready to send","Ready · no fixed slot")))</f>
        <v/>
      </c>
      <c r="AO324" s="17" t="n"/>
      <c r="AP324" s="17" t="n"/>
    </row>
    <row r="325">
      <c r="A325" s="11" t="n">
        <v>323</v>
      </c>
      <c r="B325" s="11" t="n">
        <v>3</v>
      </c>
      <c r="C325" s="11" t="inlineStr">
        <is>
          <t>Fund / asset manager</t>
        </is>
      </c>
      <c r="D325" s="11" t="inlineStr">
        <is>
          <t>City of London</t>
        </is>
      </c>
      <c r="E325" s="11" t="inlineStr">
        <is>
          <t>Wm Capital Management Limited</t>
        </is>
      </c>
      <c r="F325" s="11" t="inlineStr">
        <is>
          <t>Wm Capital Management</t>
        </is>
      </c>
      <c r="G325" s="12" t="inlineStr">
        <is>
          <t>https://www.wmcapitalmanagement.com</t>
        </is>
      </c>
      <c r="H325" s="11" t="inlineStr">
        <is>
          <t>info@wmcapitalmanagement.com</t>
        </is>
      </c>
      <c r="I325" s="11" t="inlineStr">
        <is>
          <t>general</t>
        </is>
      </c>
      <c r="J325" s="12" t="inlineStr">
        <is>
          <t>Open page</t>
        </is>
      </c>
      <c r="K325" s="11" t="inlineStr">
        <is>
          <t>07042526</t>
        </is>
      </c>
      <c r="L325" s="12" t="inlineStr">
        <is>
          <t>Open</t>
        </is>
      </c>
      <c r="M325" s="11" t="inlineStr">
        <is>
          <t>Full</t>
        </is>
      </c>
      <c r="N325" s="13" t="n">
        <v>40100</v>
      </c>
      <c r="O325" s="11" t="inlineStr">
        <is>
          <t>80 Coleman Street, London</t>
        </is>
      </c>
      <c r="P325" s="11" t="inlineStr">
        <is>
          <t>EC2R 5BJ</t>
        </is>
      </c>
      <c r="Q325" s="11" t="inlineStr">
        <is>
          <t>No</t>
        </is>
      </c>
      <c r="W325" s="11" t="inlineStr">
        <is>
          <t>City of London School (EC4V 3AL)</t>
        </is>
      </c>
      <c r="X325" s="11" t="n">
        <v>16</v>
      </c>
      <c r="Y325" s="11" t="inlineStr">
        <is>
          <t>Finsbury Leisure Centre (EC1V 3PU) (17.6); Liverpool St - Attlee Centre (18.7)</t>
        </is>
      </c>
      <c r="Z325" s="11" t="inlineStr">
        <is>
          <t>City of London School (EC4V 3AL)</t>
        </is>
      </c>
      <c r="AA325" s="11" t="n">
        <v>16</v>
      </c>
      <c r="AB325" s="14">
        <f>IFERROR(INDEX(Venues!$E$2:$E$17,MATCH(Z325,Venues!$A$2:$A$17,0)),"Not checked")</f>
        <v/>
      </c>
      <c r="AC325" s="14">
        <f>IFERROR(INDEX(Venues!$F$2:$F$17,MATCH(Z325,Venues!$A$2:$A$17,0)),0)</f>
        <v/>
      </c>
      <c r="AD325" s="15">
        <f>IFERROR(INDEX(Venues!$M$2:$M$17,MATCH(Z325,Venues!$A$2:$A$17,0)),"")</f>
        <v/>
      </c>
      <c r="AE325" s="14">
        <f>IFERROR(INDEX(Venues!$N$2:$N$17,MATCH(Z325,Venues!$A$2:$A$17,0)),"5-a-side")</f>
        <v/>
      </c>
      <c r="AF325" s="16">
        <f>IF(Offer!$C$4="","",Offer!$C$4)</f>
        <v/>
      </c>
      <c r="AG325" s="14">
        <f>Z325&amp;" ("&amp;AA325&amp;" min walk) · "&amp;IF(ISNUMBER(AD325),TEXT(AD325,"ddd d mmm, hh:mm"),"slot to confirm with venue")&amp;" · "&amp;AE325&amp;" · "&amp;IF(AF325&lt;&gt;"","£"&amp;TEXT(AF325,"0.00")&amp;" pp","price TBC")</f>
        <v/>
      </c>
      <c r="AH325" s="14">
        <f>IF(U325&lt;&gt;"",U325,IF(H325&lt;&gt;"",H325,""))</f>
        <v/>
      </c>
      <c r="AI325" s="14">
        <f>"After-work football for "&amp;F325&amp;" · "&amp;Z325&amp;", "&amp;AA325&amp;" min from your office"</f>
        <v/>
      </c>
      <c r="AJ325" s="14">
        <f>"Hi "&amp;IF(R325&lt;&gt;"",R325,F325&amp;" team")&amp;","&amp;CHAR(10)&amp;CHAR(10)&amp;"I'm "&amp;IF(AM325&lt;&gt;"",AM325,IF(Offer!$C$5&lt;&gt;"",Offer!$C$5,"[NAME]"))&amp;" from FC Urban. We organise after-work football for teams in the City and Canary Wharf."&amp;CHAR(10)&amp;CHAR(10)&amp;"We have a "&amp;AE325&amp;" pitch at "&amp;Z325&amp;", "&amp;IF(OR(AA325=8,AA325=11,AA325=18),"an ","a ")&amp;AA325&amp;"-minute walk from your "&amp;P325&amp;" office, "&amp;IF(ISNUMBER(AD325),"on "&amp;TEXT(AD325,"dddd d mmmm")&amp;" at "&amp;TEXT(AD325,"hh:mm"),"on a weekday evening that suits your team")&amp;". It's "&amp;IF(AF325&lt;&gt;"","£"&amp;IF(AF325=INT(AF325),TEXT(AF325,"0"),TEXT(AF325,"0.00")),"[PRICE PER PLAYER]")&amp;" a player and we handle the pitch booking, sign-ups and payments, so all it takes is one person sharing a link with the team."&amp;CHAR(10)&amp;CHAR(10)&amp;"It works well as a team social or "&amp;IF(ISNUMBER(SEARCH(LEFT(F325,1),"AEIOU")),"an ","a ")&amp;F325&amp;"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LINK]")&amp;CHAR(10)&amp;CHAR(10)&amp;"Best,"&amp;CHAR(10)&amp;IF(AM325&lt;&gt;"",AM325,IF(Offer!$C$5&lt;&gt;"",Offer!$C$5,"[NAME]"))&amp;CHAR(10)&amp;"FC Urban"</f>
        <v/>
      </c>
      <c r="AK325" s="14">
        <f>"Hi "&amp;IF(R325&lt;&gt;"",R325,F325&amp;" team")&amp;","&amp;CHAR(10)&amp;CHAR(10)&amp;"Just bumping this up. The "&amp;AE325&amp;" pitch at "&amp;Z325&amp;" is still free "&amp;IF(ISNUMBER(AD325),TEXT(AD325,"ddd d mmm")&amp;", "&amp;TEXT(AD325,"hh:mm"),"weekday evenings")&amp;", "&amp;IF(OR(AA325=8,AA325=11,AA325=18),"an ","a ")&amp;AA325&amp;"-minute walk from your office, "&amp;IF(AF325&lt;&gt;"","£"&amp;IF(AF325=INT(AF325),TEXT(AF325,"0"),TEXT(AF325,"0.00")),"[PRICE PER PLAYER]")&amp;" a player. Happy to hold it for "&amp;F325&amp;"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LINK]")&amp;CHAR(10)&amp;CHAR(10)&amp;"Best,"&amp;CHAR(10)&amp;IF(AM325&lt;&gt;"",AM325,IF(Offer!$C$5&lt;&gt;"",Offer!$C$5,"[NAME]"))&amp;CHAR(10)&amp;"FC Urban"</f>
        <v/>
      </c>
      <c r="AL325" s="14">
        <f>IF(AH325="","No email yet",IF(ISNUMBER(SEARCH("[",AJ325)),"Fill placeholders",IF(ISNUMBER(AD325),"Ready to send","Ready · no fixed slot")))</f>
        <v/>
      </c>
      <c r="AO325" s="17" t="n"/>
      <c r="AP325" s="17" t="n"/>
    </row>
    <row r="326">
      <c r="A326" s="11" t="n">
        <v>324</v>
      </c>
      <c r="B326" s="11" t="n">
        <v>3</v>
      </c>
      <c r="C326" s="11" t="inlineStr">
        <is>
          <t>Insurance / broker</t>
        </is>
      </c>
      <c r="D326" s="11" t="inlineStr">
        <is>
          <t>City of London</t>
        </is>
      </c>
      <c r="E326" s="11" t="inlineStr">
        <is>
          <t>Amtrust Specialty Limited</t>
        </is>
      </c>
      <c r="F326" s="11" t="inlineStr">
        <is>
          <t>Amtrust Specialty</t>
        </is>
      </c>
      <c r="G326" s="11" t="n"/>
      <c r="H326" s="11" t="n"/>
      <c r="I326" s="11" t="inlineStr">
        <is>
          <t>Not found</t>
        </is>
      </c>
      <c r="J326" s="11" t="n"/>
      <c r="K326" s="11" t="inlineStr">
        <is>
          <t>01229676</t>
        </is>
      </c>
      <c r="L326" s="12" t="inlineStr">
        <is>
          <t>Open</t>
        </is>
      </c>
      <c r="M326" s="11" t="inlineStr">
        <is>
          <t>Full</t>
        </is>
      </c>
      <c r="N326" s="13" t="n">
        <v>27681</v>
      </c>
      <c r="O326" s="11" t="inlineStr">
        <is>
          <t>Exchequer Court, 33 St. Mary Axe, London</t>
        </is>
      </c>
      <c r="P326" s="11" t="inlineStr">
        <is>
          <t>EC3A 8AA</t>
        </is>
      </c>
      <c r="Q326" s="11" t="inlineStr">
        <is>
          <t>No</t>
        </is>
      </c>
      <c r="W326" s="11" t="inlineStr">
        <is>
          <t>Liverpool St - Attlee Centre</t>
        </is>
      </c>
      <c r="X326" s="11" t="n">
        <v>10</v>
      </c>
      <c r="Y326" s="11" t="inlineStr">
        <is>
          <t>Shoreditch Powerleague (15.5)</t>
        </is>
      </c>
      <c r="Z326" s="11" t="inlineStr">
        <is>
          <t>Shoreditch Powerleague</t>
        </is>
      </c>
      <c r="AA326" s="11" t="n">
        <v>16</v>
      </c>
      <c r="AB326" s="14">
        <f>IFERROR(INDEX(Venues!$E$2:$E$17,MATCH(Z326,Venues!$A$2:$A$17,0)),"Not checked")</f>
        <v/>
      </c>
      <c r="AC326" s="14">
        <f>IFERROR(INDEX(Venues!$F$2:$F$17,MATCH(Z326,Venues!$A$2:$A$17,0)),0)</f>
        <v/>
      </c>
      <c r="AD326" s="15">
        <f>IFERROR(INDEX(Venues!$M$2:$M$17,MATCH(Z326,Venues!$A$2:$A$17,0)),"")</f>
        <v/>
      </c>
      <c r="AE326" s="14">
        <f>IFERROR(INDEX(Venues!$N$2:$N$17,MATCH(Z326,Venues!$A$2:$A$17,0)),"5-a-side")</f>
        <v/>
      </c>
      <c r="AF326" s="16">
        <f>IF(Offer!$C$4="","",Offer!$C$4)</f>
        <v/>
      </c>
      <c r="AG326" s="14">
        <f>Z326&amp;" ("&amp;AA326&amp;" min walk) · "&amp;IF(ISNUMBER(AD326),TEXT(AD326,"ddd d mmm, hh:mm"),"slot to confirm with venue")&amp;" · "&amp;AE326&amp;" · "&amp;IF(AF326&lt;&gt;"","£"&amp;TEXT(AF326,"0.00")&amp;" pp","price TBC")</f>
        <v/>
      </c>
      <c r="AH326" s="14">
        <f>IF(U326&lt;&gt;"",U326,IF(H326&lt;&gt;"",H326,""))</f>
        <v/>
      </c>
      <c r="AI326" s="14">
        <f>"After-work football for "&amp;F326&amp;" · "&amp;Z326&amp;", "&amp;AA326&amp;" min from your office"</f>
        <v/>
      </c>
      <c r="AJ326" s="14">
        <f>"Hi "&amp;IF(R326&lt;&gt;"",R326,F326&amp;" team")&amp;","&amp;CHAR(10)&amp;CHAR(10)&amp;"I'm "&amp;IF(AM326&lt;&gt;"",AM326,IF(Offer!$C$5&lt;&gt;"",Offer!$C$5,"[NAME]"))&amp;" from FC Urban. We organise after-work football for teams in the City and Canary Wharf."&amp;CHAR(10)&amp;CHAR(10)&amp;"We have a "&amp;AE326&amp;" pitch at "&amp;Z326&amp;", "&amp;IF(OR(AA326=8,AA326=11,AA326=18),"an ","a ")&amp;AA326&amp;"-minute walk from your "&amp;P326&amp;" office, "&amp;IF(ISNUMBER(AD326),"on "&amp;TEXT(AD326,"dddd d mmmm")&amp;" at "&amp;TEXT(AD326,"hh:mm"),"on a weekday evening that suits your team")&amp;". It's "&amp;IF(AF326&lt;&gt;"","£"&amp;IF(AF326=INT(AF326),TEXT(AF326,"0"),TEXT(AF326,"0.00")),"[PRICE PER PLAYER]")&amp;" a player and we handle the pitch booking, sign-ups and payments, so all it takes is one person sharing a link with the team."&amp;CHAR(10)&amp;CHAR(10)&amp;"It works well as a team social or "&amp;IF(ISNUMBER(SEARCH(LEFT(F326,1),"AEIOU")),"an ","a ")&amp;F326&amp;"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LINK]")&amp;CHAR(10)&amp;CHAR(10)&amp;"Best,"&amp;CHAR(10)&amp;IF(AM326&lt;&gt;"",AM326,IF(Offer!$C$5&lt;&gt;"",Offer!$C$5,"[NAME]"))&amp;CHAR(10)&amp;"FC Urban"</f>
        <v/>
      </c>
      <c r="AK326" s="14">
        <f>"Hi "&amp;IF(R326&lt;&gt;"",R326,F326&amp;" team")&amp;","&amp;CHAR(10)&amp;CHAR(10)&amp;"Just bumping this up. The "&amp;AE326&amp;" pitch at "&amp;Z326&amp;" is still free "&amp;IF(ISNUMBER(AD326),TEXT(AD326,"ddd d mmm")&amp;", "&amp;TEXT(AD326,"hh:mm"),"weekday evenings")&amp;", "&amp;IF(OR(AA326=8,AA326=11,AA326=18),"an ","a ")&amp;AA326&amp;"-minute walk from your office, "&amp;IF(AF326&lt;&gt;"","£"&amp;IF(AF326=INT(AF326),TEXT(AF326,"0"),TEXT(AF326,"0.00")),"[PRICE PER PLAYER]")&amp;" a player. Happy to hold it for "&amp;F326&amp;"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LINK]")&amp;CHAR(10)&amp;CHAR(10)&amp;"Best,"&amp;CHAR(10)&amp;IF(AM326&lt;&gt;"",AM326,IF(Offer!$C$5&lt;&gt;"",Offer!$C$5,"[NAME]"))&amp;CHAR(10)&amp;"FC Urban"</f>
        <v/>
      </c>
      <c r="AL326" s="14">
        <f>IF(AH326="","No email yet",IF(ISNUMBER(SEARCH("[",AJ326)),"Fill placeholders",IF(ISNUMBER(AD326),"Ready to send","Ready · no fixed slot")))</f>
        <v/>
      </c>
      <c r="AO326" s="17" t="n"/>
      <c r="AP326" s="17" t="n"/>
    </row>
    <row r="327">
      <c r="A327" s="11" t="n">
        <v>325</v>
      </c>
      <c r="B327" s="11" t="n">
        <v>3</v>
      </c>
      <c r="C327" s="11" t="inlineStr">
        <is>
          <t>Insurance / broker</t>
        </is>
      </c>
      <c r="D327" s="11" t="inlineStr">
        <is>
          <t>City of London</t>
        </is>
      </c>
      <c r="E327" s="11" t="inlineStr">
        <is>
          <t>British Aviation Insurance Company Limited</t>
        </is>
      </c>
      <c r="F327" s="11" t="inlineStr">
        <is>
          <t>British Aviation Insurance Company</t>
        </is>
      </c>
      <c r="G327" s="12" t="inlineStr">
        <is>
          <t>https://british-aviation.co.uk</t>
        </is>
      </c>
      <c r="H327" s="11" t="n"/>
      <c r="I327" s="11" t="inlineStr">
        <is>
          <t>Not found</t>
        </is>
      </c>
      <c r="J327" s="11" t="n"/>
      <c r="K327" s="11" t="inlineStr">
        <is>
          <t>00246018</t>
        </is>
      </c>
      <c r="L327" s="12" t="inlineStr">
        <is>
          <t>Open</t>
        </is>
      </c>
      <c r="M327" s="11" t="inlineStr">
        <is>
          <t>Full</t>
        </is>
      </c>
      <c r="N327" s="13" t="n">
        <v>11013</v>
      </c>
      <c r="O327" s="11" t="inlineStr">
        <is>
          <t>4Th Floor, The St Botolph Building, 138 Houndsditch, London</t>
        </is>
      </c>
      <c r="P327" s="11" t="inlineStr">
        <is>
          <t>EC3A 7AW</t>
        </is>
      </c>
      <c r="Q327" s="11" t="inlineStr">
        <is>
          <t>No</t>
        </is>
      </c>
      <c r="W327" s="11" t="inlineStr">
        <is>
          <t>Liverpool St - Attlee Centre</t>
        </is>
      </c>
      <c r="X327" s="11" t="n">
        <v>7</v>
      </c>
      <c r="Y327" s="11" t="inlineStr">
        <is>
          <t>Shoreditch Powerleague (15.5); Whitechapel (18.6)</t>
        </is>
      </c>
      <c r="Z327" s="11" t="inlineStr">
        <is>
          <t>Shoreditch Powerleague</t>
        </is>
      </c>
      <c r="AA327" s="11" t="n">
        <v>16</v>
      </c>
      <c r="AB327" s="14">
        <f>IFERROR(INDEX(Venues!$E$2:$E$17,MATCH(Z327,Venues!$A$2:$A$17,0)),"Not checked")</f>
        <v/>
      </c>
      <c r="AC327" s="14">
        <f>IFERROR(INDEX(Venues!$F$2:$F$17,MATCH(Z327,Venues!$A$2:$A$17,0)),0)</f>
        <v/>
      </c>
      <c r="AD327" s="15">
        <f>IFERROR(INDEX(Venues!$M$2:$M$17,MATCH(Z327,Venues!$A$2:$A$17,0)),"")</f>
        <v/>
      </c>
      <c r="AE327" s="14">
        <f>IFERROR(INDEX(Venues!$N$2:$N$17,MATCH(Z327,Venues!$A$2:$A$17,0)),"5-a-side")</f>
        <v/>
      </c>
      <c r="AF327" s="16">
        <f>IF(Offer!$C$4="","",Offer!$C$4)</f>
        <v/>
      </c>
      <c r="AG327" s="14">
        <f>Z327&amp;" ("&amp;AA327&amp;" min walk) · "&amp;IF(ISNUMBER(AD327),TEXT(AD327,"ddd d mmm, hh:mm"),"slot to confirm with venue")&amp;" · "&amp;AE327&amp;" · "&amp;IF(AF327&lt;&gt;"","£"&amp;TEXT(AF327,"0.00")&amp;" pp","price TBC")</f>
        <v/>
      </c>
      <c r="AH327" s="14">
        <f>IF(U327&lt;&gt;"",U327,IF(H327&lt;&gt;"",H327,""))</f>
        <v/>
      </c>
      <c r="AI327" s="14">
        <f>"After-work football for "&amp;F327&amp;" · "&amp;Z327&amp;", "&amp;AA327&amp;" min from your office"</f>
        <v/>
      </c>
      <c r="AJ327" s="14">
        <f>"Hi "&amp;IF(R327&lt;&gt;"",R327,F327&amp;" team")&amp;","&amp;CHAR(10)&amp;CHAR(10)&amp;"I'm "&amp;IF(AM327&lt;&gt;"",AM327,IF(Offer!$C$5&lt;&gt;"",Offer!$C$5,"[NAME]"))&amp;" from FC Urban. We organise after-work football for teams in the City and Canary Wharf."&amp;CHAR(10)&amp;CHAR(10)&amp;"We have a "&amp;AE327&amp;" pitch at "&amp;Z327&amp;", "&amp;IF(OR(AA327=8,AA327=11,AA327=18),"an ","a ")&amp;AA327&amp;"-minute walk from your "&amp;P327&amp;" office, "&amp;IF(ISNUMBER(AD327),"on "&amp;TEXT(AD327,"dddd d mmmm")&amp;" at "&amp;TEXT(AD327,"hh:mm"),"on a weekday evening that suits your team")&amp;". It's "&amp;IF(AF327&lt;&gt;"","£"&amp;IF(AF327=INT(AF327),TEXT(AF327,"0"),TEXT(AF327,"0.00")),"[PRICE PER PLAYER]")&amp;" a player and we handle the pitch booking, sign-ups and payments, so all it takes is one person sharing a link with the team."&amp;CHAR(10)&amp;CHAR(10)&amp;"It works well as a team social or "&amp;IF(ISNUMBER(SEARCH(LEFT(F327,1),"AEIOU")),"an ","a ")&amp;F327&amp;"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LINK]")&amp;CHAR(10)&amp;CHAR(10)&amp;"Best,"&amp;CHAR(10)&amp;IF(AM327&lt;&gt;"",AM327,IF(Offer!$C$5&lt;&gt;"",Offer!$C$5,"[NAME]"))&amp;CHAR(10)&amp;"FC Urban"</f>
        <v/>
      </c>
      <c r="AK327" s="14">
        <f>"Hi "&amp;IF(R327&lt;&gt;"",R327,F327&amp;" team")&amp;","&amp;CHAR(10)&amp;CHAR(10)&amp;"Just bumping this up. The "&amp;AE327&amp;" pitch at "&amp;Z327&amp;" is still free "&amp;IF(ISNUMBER(AD327),TEXT(AD327,"ddd d mmm")&amp;", "&amp;TEXT(AD327,"hh:mm"),"weekday evenings")&amp;", "&amp;IF(OR(AA327=8,AA327=11,AA327=18),"an ","a ")&amp;AA327&amp;"-minute walk from your office, "&amp;IF(AF327&lt;&gt;"","£"&amp;IF(AF327=INT(AF327),TEXT(AF327,"0"),TEXT(AF327,"0.00")),"[PRICE PER PLAYER]")&amp;" a player. Happy to hold it for "&amp;F327&amp;"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LINK]")&amp;CHAR(10)&amp;CHAR(10)&amp;"Best,"&amp;CHAR(10)&amp;IF(AM327&lt;&gt;"",AM327,IF(Offer!$C$5&lt;&gt;"",Offer!$C$5,"[NAME]"))&amp;CHAR(10)&amp;"FC Urban"</f>
        <v/>
      </c>
      <c r="AL327" s="14">
        <f>IF(AH327="","No email yet",IF(ISNUMBER(SEARCH("[",AJ327)),"Fill placeholders",IF(ISNUMBER(AD327),"Ready to send","Ready · no fixed slot")))</f>
        <v/>
      </c>
      <c r="AO327" s="17" t="n"/>
      <c r="AP327" s="17" t="n"/>
    </row>
    <row r="328">
      <c r="A328" s="11" t="n">
        <v>326</v>
      </c>
      <c r="B328" s="11" t="n">
        <v>3</v>
      </c>
      <c r="C328" s="11" t="inlineStr">
        <is>
          <t>Insurance / broker</t>
        </is>
      </c>
      <c r="D328" s="11" t="inlineStr">
        <is>
          <t>City of London</t>
        </is>
      </c>
      <c r="E328" s="11" t="inlineStr">
        <is>
          <t>CBC UK Limited</t>
        </is>
      </c>
      <c r="F328" s="11" t="inlineStr">
        <is>
          <t>CBC</t>
        </is>
      </c>
      <c r="G328" s="12" t="inlineStr">
        <is>
          <t>https://cbc.co.uk</t>
        </is>
      </c>
      <c r="H328" s="11" t="n"/>
      <c r="I328" s="11" t="inlineStr">
        <is>
          <t>Not found</t>
        </is>
      </c>
      <c r="J328" s="11" t="n"/>
      <c r="K328" s="11" t="inlineStr">
        <is>
          <t>01973536</t>
        </is>
      </c>
      <c r="L328" s="12" t="inlineStr">
        <is>
          <t>Open</t>
        </is>
      </c>
      <c r="M328" s="11" t="inlineStr">
        <is>
          <t>Full</t>
        </is>
      </c>
      <c r="N328" s="13" t="n">
        <v>31404</v>
      </c>
      <c r="O328" s="11" t="inlineStr">
        <is>
          <t>7Th Floor, The St Botolph Building, 138 Houndsditch, London</t>
        </is>
      </c>
      <c r="P328" s="11" t="inlineStr">
        <is>
          <t>EC3A 7AW</t>
        </is>
      </c>
      <c r="Q328" s="11" t="inlineStr">
        <is>
          <t>No</t>
        </is>
      </c>
      <c r="W328" s="11" t="inlineStr">
        <is>
          <t>Liverpool St - Attlee Centre</t>
        </is>
      </c>
      <c r="X328" s="11" t="n">
        <v>7</v>
      </c>
      <c r="Y328" s="11" t="inlineStr">
        <is>
          <t>Shoreditch Powerleague (15.5); Whitechapel (18.6)</t>
        </is>
      </c>
      <c r="Z328" s="11" t="inlineStr">
        <is>
          <t>Shoreditch Powerleague</t>
        </is>
      </c>
      <c r="AA328" s="11" t="n">
        <v>16</v>
      </c>
      <c r="AB328" s="14">
        <f>IFERROR(INDEX(Venues!$E$2:$E$17,MATCH(Z328,Venues!$A$2:$A$17,0)),"Not checked")</f>
        <v/>
      </c>
      <c r="AC328" s="14">
        <f>IFERROR(INDEX(Venues!$F$2:$F$17,MATCH(Z328,Venues!$A$2:$A$17,0)),0)</f>
        <v/>
      </c>
      <c r="AD328" s="15">
        <f>IFERROR(INDEX(Venues!$M$2:$M$17,MATCH(Z328,Venues!$A$2:$A$17,0)),"")</f>
        <v/>
      </c>
      <c r="AE328" s="14">
        <f>IFERROR(INDEX(Venues!$N$2:$N$17,MATCH(Z328,Venues!$A$2:$A$17,0)),"5-a-side")</f>
        <v/>
      </c>
      <c r="AF328" s="16">
        <f>IF(Offer!$C$4="","",Offer!$C$4)</f>
        <v/>
      </c>
      <c r="AG328" s="14">
        <f>Z328&amp;" ("&amp;AA328&amp;" min walk) · "&amp;IF(ISNUMBER(AD328),TEXT(AD328,"ddd d mmm, hh:mm"),"slot to confirm with venue")&amp;" · "&amp;AE328&amp;" · "&amp;IF(AF328&lt;&gt;"","£"&amp;TEXT(AF328,"0.00")&amp;" pp","price TBC")</f>
        <v/>
      </c>
      <c r="AH328" s="14">
        <f>IF(U328&lt;&gt;"",U328,IF(H328&lt;&gt;"",H328,""))</f>
        <v/>
      </c>
      <c r="AI328" s="14">
        <f>"After-work football for "&amp;F328&amp;" · "&amp;Z328&amp;", "&amp;AA328&amp;" min from your office"</f>
        <v/>
      </c>
      <c r="AJ328" s="14">
        <f>"Hi "&amp;IF(R328&lt;&gt;"",R328,F328&amp;" team")&amp;","&amp;CHAR(10)&amp;CHAR(10)&amp;"I'm "&amp;IF(AM328&lt;&gt;"",AM328,IF(Offer!$C$5&lt;&gt;"",Offer!$C$5,"[NAME]"))&amp;" from FC Urban. We organise after-work football for teams in the City and Canary Wharf."&amp;CHAR(10)&amp;CHAR(10)&amp;"We have a "&amp;AE328&amp;" pitch at "&amp;Z328&amp;", "&amp;IF(OR(AA328=8,AA328=11,AA328=18),"an ","a ")&amp;AA328&amp;"-minute walk from your "&amp;P328&amp;" office, "&amp;IF(ISNUMBER(AD328),"on "&amp;TEXT(AD328,"dddd d mmmm")&amp;" at "&amp;TEXT(AD328,"hh:mm"),"on a weekday evening that suits your team")&amp;". It's "&amp;IF(AF328&lt;&gt;"","£"&amp;IF(AF328=INT(AF328),TEXT(AF328,"0"),TEXT(AF328,"0.00")),"[PRICE PER PLAYER]")&amp;" a player and we handle the pitch booking, sign-ups and payments, so all it takes is one person sharing a link with the team."&amp;CHAR(10)&amp;CHAR(10)&amp;"It works well as a team social or "&amp;IF(ISNUMBER(SEARCH(LEFT(F328,1),"AEIOU")),"an ","a ")&amp;F328&amp;"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LINK]")&amp;CHAR(10)&amp;CHAR(10)&amp;"Best,"&amp;CHAR(10)&amp;IF(AM328&lt;&gt;"",AM328,IF(Offer!$C$5&lt;&gt;"",Offer!$C$5,"[NAME]"))&amp;CHAR(10)&amp;"FC Urban"</f>
        <v/>
      </c>
      <c r="AK328" s="14">
        <f>"Hi "&amp;IF(R328&lt;&gt;"",R328,F328&amp;" team")&amp;","&amp;CHAR(10)&amp;CHAR(10)&amp;"Just bumping this up. The "&amp;AE328&amp;" pitch at "&amp;Z328&amp;" is still free "&amp;IF(ISNUMBER(AD328),TEXT(AD328,"ddd d mmm")&amp;", "&amp;TEXT(AD328,"hh:mm"),"weekday evenings")&amp;", "&amp;IF(OR(AA328=8,AA328=11,AA328=18),"an ","a ")&amp;AA328&amp;"-minute walk from your office, "&amp;IF(AF328&lt;&gt;"","£"&amp;IF(AF328=INT(AF328),TEXT(AF328,"0"),TEXT(AF328,"0.00")),"[PRICE PER PLAYER]")&amp;" a player. Happy to hold it for "&amp;F328&amp;"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LINK]")&amp;CHAR(10)&amp;CHAR(10)&amp;"Best,"&amp;CHAR(10)&amp;IF(AM328&lt;&gt;"",AM328,IF(Offer!$C$5&lt;&gt;"",Offer!$C$5,"[NAME]"))&amp;CHAR(10)&amp;"FC Urban"</f>
        <v/>
      </c>
      <c r="AL328" s="14">
        <f>IF(AH328="","No email yet",IF(ISNUMBER(SEARCH("[",AJ328)),"Fill placeholders",IF(ISNUMBER(AD328),"Ready to send","Ready · no fixed slot")))</f>
        <v/>
      </c>
      <c r="AO328" s="17" t="n"/>
      <c r="AP328" s="17" t="n"/>
    </row>
    <row r="329">
      <c r="A329" s="11" t="n">
        <v>327</v>
      </c>
      <c r="B329" s="11" t="n">
        <v>3</v>
      </c>
      <c r="C329" s="11" t="inlineStr">
        <is>
          <t>Insurance / broker</t>
        </is>
      </c>
      <c r="D329" s="11" t="inlineStr">
        <is>
          <t>City of London</t>
        </is>
      </c>
      <c r="E329" s="11" t="inlineStr">
        <is>
          <t>KBIS Limited</t>
        </is>
      </c>
      <c r="F329" s="11" t="inlineStr">
        <is>
          <t>KBIS</t>
        </is>
      </c>
      <c r="G329" s="12" t="inlineStr">
        <is>
          <t>https://kbis.com</t>
        </is>
      </c>
      <c r="H329" s="11" t="n"/>
      <c r="I329" s="11" t="inlineStr">
        <is>
          <t>Not found</t>
        </is>
      </c>
      <c r="J329" s="11" t="n"/>
      <c r="K329" s="11" t="inlineStr">
        <is>
          <t>02208091</t>
        </is>
      </c>
      <c r="L329" s="12" t="inlineStr">
        <is>
          <t>Open</t>
        </is>
      </c>
      <c r="M329" s="11" t="inlineStr">
        <is>
          <t>Full</t>
        </is>
      </c>
      <c r="N329" s="13" t="n">
        <v>32135</v>
      </c>
      <c r="O329" s="11" t="inlineStr">
        <is>
          <t>7Th Floor, The St Botolph Building, 138 Houndsditch, London</t>
        </is>
      </c>
      <c r="P329" s="11" t="inlineStr">
        <is>
          <t>EC3A 7AW</t>
        </is>
      </c>
      <c r="Q329" s="11" t="inlineStr">
        <is>
          <t>No</t>
        </is>
      </c>
      <c r="W329" s="11" t="inlineStr">
        <is>
          <t>Liverpool St - Attlee Centre</t>
        </is>
      </c>
      <c r="X329" s="11" t="n">
        <v>7</v>
      </c>
      <c r="Y329" s="11" t="inlineStr">
        <is>
          <t>Shoreditch Powerleague (15.5); Whitechapel (18.6)</t>
        </is>
      </c>
      <c r="Z329" s="11" t="inlineStr">
        <is>
          <t>Shoreditch Powerleague</t>
        </is>
      </c>
      <c r="AA329" s="11" t="n">
        <v>16</v>
      </c>
      <c r="AB329" s="14">
        <f>IFERROR(INDEX(Venues!$E$2:$E$17,MATCH(Z329,Venues!$A$2:$A$17,0)),"Not checked")</f>
        <v/>
      </c>
      <c r="AC329" s="14">
        <f>IFERROR(INDEX(Venues!$F$2:$F$17,MATCH(Z329,Venues!$A$2:$A$17,0)),0)</f>
        <v/>
      </c>
      <c r="AD329" s="15">
        <f>IFERROR(INDEX(Venues!$M$2:$M$17,MATCH(Z329,Venues!$A$2:$A$17,0)),"")</f>
        <v/>
      </c>
      <c r="AE329" s="14">
        <f>IFERROR(INDEX(Venues!$N$2:$N$17,MATCH(Z329,Venues!$A$2:$A$17,0)),"5-a-side")</f>
        <v/>
      </c>
      <c r="AF329" s="16">
        <f>IF(Offer!$C$4="","",Offer!$C$4)</f>
        <v/>
      </c>
      <c r="AG329" s="14">
        <f>Z329&amp;" ("&amp;AA329&amp;" min walk) · "&amp;IF(ISNUMBER(AD329),TEXT(AD329,"ddd d mmm, hh:mm"),"slot to confirm with venue")&amp;" · "&amp;AE329&amp;" · "&amp;IF(AF329&lt;&gt;"","£"&amp;TEXT(AF329,"0.00")&amp;" pp","price TBC")</f>
        <v/>
      </c>
      <c r="AH329" s="14">
        <f>IF(U329&lt;&gt;"",U329,IF(H329&lt;&gt;"",H329,""))</f>
        <v/>
      </c>
      <c r="AI329" s="14">
        <f>"After-work football for "&amp;F329&amp;" · "&amp;Z329&amp;", "&amp;AA329&amp;" min from your office"</f>
        <v/>
      </c>
      <c r="AJ329" s="14">
        <f>"Hi "&amp;IF(R329&lt;&gt;"",R329,F329&amp;" team")&amp;","&amp;CHAR(10)&amp;CHAR(10)&amp;"I'm "&amp;IF(AM329&lt;&gt;"",AM329,IF(Offer!$C$5&lt;&gt;"",Offer!$C$5,"[NAME]"))&amp;" from FC Urban. We organise after-work football for teams in the City and Canary Wharf."&amp;CHAR(10)&amp;CHAR(10)&amp;"We have a "&amp;AE329&amp;" pitch at "&amp;Z329&amp;", "&amp;IF(OR(AA329=8,AA329=11,AA329=18),"an ","a ")&amp;AA329&amp;"-minute walk from your "&amp;P329&amp;" office, "&amp;IF(ISNUMBER(AD329),"on "&amp;TEXT(AD329,"dddd d mmmm")&amp;" at "&amp;TEXT(AD329,"hh:mm"),"on a weekday evening that suits your team")&amp;". It's "&amp;IF(AF329&lt;&gt;"","£"&amp;IF(AF329=INT(AF329),TEXT(AF329,"0"),TEXT(AF329,"0.00")),"[PRICE PER PLAYER]")&amp;" a player and we handle the pitch booking, sign-ups and payments, so all it takes is one person sharing a link with the team."&amp;CHAR(10)&amp;CHAR(10)&amp;"It works well as a team social or "&amp;IF(ISNUMBER(SEARCH(LEFT(F329,1),"AEIOU")),"an ","a ")&amp;F329&amp;"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LINK]")&amp;CHAR(10)&amp;CHAR(10)&amp;"Best,"&amp;CHAR(10)&amp;IF(AM329&lt;&gt;"",AM329,IF(Offer!$C$5&lt;&gt;"",Offer!$C$5,"[NAME]"))&amp;CHAR(10)&amp;"FC Urban"</f>
        <v/>
      </c>
      <c r="AK329" s="14">
        <f>"Hi "&amp;IF(R329&lt;&gt;"",R329,F329&amp;" team")&amp;","&amp;CHAR(10)&amp;CHAR(10)&amp;"Just bumping this up. The "&amp;AE329&amp;" pitch at "&amp;Z329&amp;" is still free "&amp;IF(ISNUMBER(AD329),TEXT(AD329,"ddd d mmm")&amp;", "&amp;TEXT(AD329,"hh:mm"),"weekday evenings")&amp;", "&amp;IF(OR(AA329=8,AA329=11,AA329=18),"an ","a ")&amp;AA329&amp;"-minute walk from your office, "&amp;IF(AF329&lt;&gt;"","£"&amp;IF(AF329=INT(AF329),TEXT(AF329,"0"),TEXT(AF329,"0.00")),"[PRICE PER PLAYER]")&amp;" a player. Happy to hold it for "&amp;F329&amp;"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LINK]")&amp;CHAR(10)&amp;CHAR(10)&amp;"Best,"&amp;CHAR(10)&amp;IF(AM329&lt;&gt;"",AM329,IF(Offer!$C$5&lt;&gt;"",Offer!$C$5,"[NAME]"))&amp;CHAR(10)&amp;"FC Urban"</f>
        <v/>
      </c>
      <c r="AL329" s="14">
        <f>IF(AH329="","No email yet",IF(ISNUMBER(SEARCH("[",AJ329)),"Fill placeholders",IF(ISNUMBER(AD329),"Ready to send","Ready · no fixed slot")))</f>
        <v/>
      </c>
      <c r="AO329" s="17" t="n"/>
      <c r="AP329" s="17" t="n"/>
    </row>
    <row r="330">
      <c r="A330" s="11" t="n">
        <v>328</v>
      </c>
      <c r="B330" s="11" t="n">
        <v>3</v>
      </c>
      <c r="C330" s="11" t="inlineStr">
        <is>
          <t>Insurance / broker</t>
        </is>
      </c>
      <c r="D330" s="11" t="inlineStr">
        <is>
          <t>City of London</t>
        </is>
      </c>
      <c r="E330" s="11" t="inlineStr">
        <is>
          <t>Kyoei Fire &amp; Marine Insurance Co. (U.K.) Limited</t>
        </is>
      </c>
      <c r="F330" s="11" t="inlineStr">
        <is>
          <t>Kyoei Fire &amp; Marine Insurance Co</t>
        </is>
      </c>
      <c r="G330" s="11" t="n"/>
      <c r="H330" s="11" t="n"/>
      <c r="I330" s="11" t="inlineStr">
        <is>
          <t>Not found</t>
        </is>
      </c>
      <c r="J330" s="11" t="n"/>
      <c r="K330" s="11" t="inlineStr">
        <is>
          <t>01235521</t>
        </is>
      </c>
      <c r="L330" s="12" t="inlineStr">
        <is>
          <t>Open</t>
        </is>
      </c>
      <c r="M330" s="11" t="inlineStr">
        <is>
          <t>Full</t>
        </is>
      </c>
      <c r="N330" s="13" t="n">
        <v>27725</v>
      </c>
      <c r="O330" s="11" t="inlineStr">
        <is>
          <t>4Th Floor, The St Botolph Building, 138 Houndsditch, London</t>
        </is>
      </c>
      <c r="P330" s="11" t="inlineStr">
        <is>
          <t>EC3A 7AW</t>
        </is>
      </c>
      <c r="Q330" s="11" t="inlineStr">
        <is>
          <t>No</t>
        </is>
      </c>
      <c r="W330" s="11" t="inlineStr">
        <is>
          <t>Liverpool St - Attlee Centre</t>
        </is>
      </c>
      <c r="X330" s="11" t="n">
        <v>7</v>
      </c>
      <c r="Y330" s="11" t="inlineStr">
        <is>
          <t>Shoreditch Powerleague (15.5); Whitechapel (18.6)</t>
        </is>
      </c>
      <c r="Z330" s="11" t="inlineStr">
        <is>
          <t>Shoreditch Powerleague</t>
        </is>
      </c>
      <c r="AA330" s="11" t="n">
        <v>16</v>
      </c>
      <c r="AB330" s="14">
        <f>IFERROR(INDEX(Venues!$E$2:$E$17,MATCH(Z330,Venues!$A$2:$A$17,0)),"Not checked")</f>
        <v/>
      </c>
      <c r="AC330" s="14">
        <f>IFERROR(INDEX(Venues!$F$2:$F$17,MATCH(Z330,Venues!$A$2:$A$17,0)),0)</f>
        <v/>
      </c>
      <c r="AD330" s="15">
        <f>IFERROR(INDEX(Venues!$M$2:$M$17,MATCH(Z330,Venues!$A$2:$A$17,0)),"")</f>
        <v/>
      </c>
      <c r="AE330" s="14">
        <f>IFERROR(INDEX(Venues!$N$2:$N$17,MATCH(Z330,Venues!$A$2:$A$17,0)),"5-a-side")</f>
        <v/>
      </c>
      <c r="AF330" s="16">
        <f>IF(Offer!$C$4="","",Offer!$C$4)</f>
        <v/>
      </c>
      <c r="AG330" s="14">
        <f>Z330&amp;" ("&amp;AA330&amp;" min walk) · "&amp;IF(ISNUMBER(AD330),TEXT(AD330,"ddd d mmm, hh:mm"),"slot to confirm with venue")&amp;" · "&amp;AE330&amp;" · "&amp;IF(AF330&lt;&gt;"","£"&amp;TEXT(AF330,"0.00")&amp;" pp","price TBC")</f>
        <v/>
      </c>
      <c r="AH330" s="14">
        <f>IF(U330&lt;&gt;"",U330,IF(H330&lt;&gt;"",H330,""))</f>
        <v/>
      </c>
      <c r="AI330" s="14">
        <f>"After-work football for "&amp;F330&amp;" · "&amp;Z330&amp;", "&amp;AA330&amp;" min from your office"</f>
        <v/>
      </c>
      <c r="AJ330" s="14">
        <f>"Hi "&amp;IF(R330&lt;&gt;"",R330,F330&amp;" team")&amp;","&amp;CHAR(10)&amp;CHAR(10)&amp;"I'm "&amp;IF(AM330&lt;&gt;"",AM330,IF(Offer!$C$5&lt;&gt;"",Offer!$C$5,"[NAME]"))&amp;" from FC Urban. We organise after-work football for teams in the City and Canary Wharf."&amp;CHAR(10)&amp;CHAR(10)&amp;"We have a "&amp;AE330&amp;" pitch at "&amp;Z330&amp;", "&amp;IF(OR(AA330=8,AA330=11,AA330=18),"an ","a ")&amp;AA330&amp;"-minute walk from your "&amp;P330&amp;" office, "&amp;IF(ISNUMBER(AD330),"on "&amp;TEXT(AD330,"dddd d mmmm")&amp;" at "&amp;TEXT(AD330,"hh:mm"),"on a weekday evening that suits your team")&amp;". It's "&amp;IF(AF330&lt;&gt;"","£"&amp;IF(AF330=INT(AF330),TEXT(AF330,"0"),TEXT(AF330,"0.00")),"[PRICE PER PLAYER]")&amp;" a player and we handle the pitch booking, sign-ups and payments, so all it takes is one person sharing a link with the team."&amp;CHAR(10)&amp;CHAR(10)&amp;"It works well as a team social or "&amp;IF(ISNUMBER(SEARCH(LEFT(F330,1),"AEIOU")),"an ","a ")&amp;F330&amp;"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LINK]")&amp;CHAR(10)&amp;CHAR(10)&amp;"Best,"&amp;CHAR(10)&amp;IF(AM330&lt;&gt;"",AM330,IF(Offer!$C$5&lt;&gt;"",Offer!$C$5,"[NAME]"))&amp;CHAR(10)&amp;"FC Urban"</f>
        <v/>
      </c>
      <c r="AK330" s="14">
        <f>"Hi "&amp;IF(R330&lt;&gt;"",R330,F330&amp;" team")&amp;","&amp;CHAR(10)&amp;CHAR(10)&amp;"Just bumping this up. The "&amp;AE330&amp;" pitch at "&amp;Z330&amp;" is still free "&amp;IF(ISNUMBER(AD330),TEXT(AD330,"ddd d mmm")&amp;", "&amp;TEXT(AD330,"hh:mm"),"weekday evenings")&amp;", "&amp;IF(OR(AA330=8,AA330=11,AA330=18),"an ","a ")&amp;AA330&amp;"-minute walk from your office, "&amp;IF(AF330&lt;&gt;"","£"&amp;IF(AF330=INT(AF330),TEXT(AF330,"0"),TEXT(AF330,"0.00")),"[PRICE PER PLAYER]")&amp;" a player. Happy to hold it for "&amp;F330&amp;"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LINK]")&amp;CHAR(10)&amp;CHAR(10)&amp;"Best,"&amp;CHAR(10)&amp;IF(AM330&lt;&gt;"",AM330,IF(Offer!$C$5&lt;&gt;"",Offer!$C$5,"[NAME]"))&amp;CHAR(10)&amp;"FC Urban"</f>
        <v/>
      </c>
      <c r="AL330" s="14">
        <f>IF(AH330="","No email yet",IF(ISNUMBER(SEARCH("[",AJ330)),"Fill placeholders",IF(ISNUMBER(AD330),"Ready to send","Ready · no fixed slot")))</f>
        <v/>
      </c>
      <c r="AO330" s="17" t="n"/>
      <c r="AP330" s="17" t="n"/>
    </row>
    <row r="331">
      <c r="A331" s="11" t="n">
        <v>329</v>
      </c>
      <c r="B331" s="11" t="n">
        <v>3</v>
      </c>
      <c r="C331" s="11" t="inlineStr">
        <is>
          <t>Insurance / broker</t>
        </is>
      </c>
      <c r="D331" s="11" t="inlineStr">
        <is>
          <t>City of London</t>
        </is>
      </c>
      <c r="E331" s="11" t="inlineStr">
        <is>
          <t>Legal and General Assurance Society Limited</t>
        </is>
      </c>
      <c r="F331" s="11" t="inlineStr">
        <is>
          <t>Legal and General Assurance Society</t>
        </is>
      </c>
      <c r="G331" s="11" t="n"/>
      <c r="H331" s="11" t="inlineStr">
        <is>
          <t>social@landg.com</t>
        </is>
      </c>
      <c r="I331" s="11" t="inlineStr">
        <is>
          <t>role (press / marketing)</t>
        </is>
      </c>
      <c r="J331" s="12" t="inlineStr">
        <is>
          <t>Open page</t>
        </is>
      </c>
      <c r="K331" s="11" t="inlineStr">
        <is>
          <t>00166055</t>
        </is>
      </c>
      <c r="L331" s="12" t="inlineStr">
        <is>
          <t>Open</t>
        </is>
      </c>
      <c r="M331" s="11" t="inlineStr">
        <is>
          <t>Full</t>
        </is>
      </c>
      <c r="N331" s="13" t="n">
        <v>7397</v>
      </c>
      <c r="O331" s="11" t="inlineStr">
        <is>
          <t>One Coleman Street, London</t>
        </is>
      </c>
      <c r="P331" s="11" t="inlineStr">
        <is>
          <t>EC2R 5AA</t>
        </is>
      </c>
      <c r="Q331" s="11" t="inlineStr">
        <is>
          <t>No</t>
        </is>
      </c>
      <c r="W331" s="11" t="inlineStr">
        <is>
          <t>City of London School (EC4V 3AL)</t>
        </is>
      </c>
      <c r="X331" s="11" t="n">
        <v>16</v>
      </c>
      <c r="Y331" s="11" t="inlineStr">
        <is>
          <t>Finsbury Leisure Centre (EC1V 3PU) (17.2); Liverpool St - Attlee Centre (19)</t>
        </is>
      </c>
      <c r="Z331" s="11" t="inlineStr">
        <is>
          <t>City of London School (EC4V 3AL)</t>
        </is>
      </c>
      <c r="AA331" s="11" t="n">
        <v>16</v>
      </c>
      <c r="AB331" s="14">
        <f>IFERROR(INDEX(Venues!$E$2:$E$17,MATCH(Z331,Venues!$A$2:$A$17,0)),"Not checked")</f>
        <v/>
      </c>
      <c r="AC331" s="14">
        <f>IFERROR(INDEX(Venues!$F$2:$F$17,MATCH(Z331,Venues!$A$2:$A$17,0)),0)</f>
        <v/>
      </c>
      <c r="AD331" s="15">
        <f>IFERROR(INDEX(Venues!$M$2:$M$17,MATCH(Z331,Venues!$A$2:$A$17,0)),"")</f>
        <v/>
      </c>
      <c r="AE331" s="14">
        <f>IFERROR(INDEX(Venues!$N$2:$N$17,MATCH(Z331,Venues!$A$2:$A$17,0)),"5-a-side")</f>
        <v/>
      </c>
      <c r="AF331" s="16">
        <f>IF(Offer!$C$4="","",Offer!$C$4)</f>
        <v/>
      </c>
      <c r="AG331" s="14">
        <f>Z331&amp;" ("&amp;AA331&amp;" min walk) · "&amp;IF(ISNUMBER(AD331),TEXT(AD331,"ddd d mmm, hh:mm"),"slot to confirm with venue")&amp;" · "&amp;AE331&amp;" · "&amp;IF(AF331&lt;&gt;"","£"&amp;TEXT(AF331,"0.00")&amp;" pp","price TBC")</f>
        <v/>
      </c>
      <c r="AH331" s="14">
        <f>IF(U331&lt;&gt;"",U331,IF(H331&lt;&gt;"",H331,""))</f>
        <v/>
      </c>
      <c r="AI331" s="14">
        <f>"After-work football for "&amp;F331&amp;" · "&amp;Z331&amp;", "&amp;AA331&amp;" min from your office"</f>
        <v/>
      </c>
      <c r="AJ331" s="14">
        <f>"Hi "&amp;IF(R331&lt;&gt;"",R331,F331&amp;" team")&amp;","&amp;CHAR(10)&amp;CHAR(10)&amp;"I'm "&amp;IF(AM331&lt;&gt;"",AM331,IF(Offer!$C$5&lt;&gt;"",Offer!$C$5,"[NAME]"))&amp;" from FC Urban. We organise after-work football for teams in the City and Canary Wharf."&amp;CHAR(10)&amp;CHAR(10)&amp;"We have a "&amp;AE331&amp;" pitch at "&amp;Z331&amp;", "&amp;IF(OR(AA331=8,AA331=11,AA331=18),"an ","a ")&amp;AA331&amp;"-minute walk from your "&amp;P331&amp;" office, "&amp;IF(ISNUMBER(AD331),"on "&amp;TEXT(AD331,"dddd d mmmm")&amp;" at "&amp;TEXT(AD331,"hh:mm"),"on a weekday evening that suits your team")&amp;". It's "&amp;IF(AF331&lt;&gt;"","£"&amp;IF(AF331=INT(AF331),TEXT(AF331,"0"),TEXT(AF331,"0.00")),"[PRICE PER PLAYER]")&amp;" a player and we handle the pitch booking, sign-ups and payments, so all it takes is one person sharing a link with the team."&amp;CHAR(10)&amp;CHAR(10)&amp;"It works well as a team social or "&amp;IF(ISNUMBER(SEARCH(LEFT(F331,1),"AEIOU")),"an ","a ")&amp;F331&amp;"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LINK]")&amp;CHAR(10)&amp;CHAR(10)&amp;"Best,"&amp;CHAR(10)&amp;IF(AM331&lt;&gt;"",AM331,IF(Offer!$C$5&lt;&gt;"",Offer!$C$5,"[NAME]"))&amp;CHAR(10)&amp;"FC Urban"</f>
        <v/>
      </c>
      <c r="AK331" s="14">
        <f>"Hi "&amp;IF(R331&lt;&gt;"",R331,F331&amp;" team")&amp;","&amp;CHAR(10)&amp;CHAR(10)&amp;"Just bumping this up. The "&amp;AE331&amp;" pitch at "&amp;Z331&amp;" is still free "&amp;IF(ISNUMBER(AD331),TEXT(AD331,"ddd d mmm")&amp;", "&amp;TEXT(AD331,"hh:mm"),"weekday evenings")&amp;", "&amp;IF(OR(AA331=8,AA331=11,AA331=18),"an ","a ")&amp;AA331&amp;"-minute walk from your office, "&amp;IF(AF331&lt;&gt;"","£"&amp;IF(AF331=INT(AF331),TEXT(AF331,"0"),TEXT(AF331,"0.00")),"[PRICE PER PLAYER]")&amp;" a player. Happy to hold it for "&amp;F331&amp;"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LINK]")&amp;CHAR(10)&amp;CHAR(10)&amp;"Best,"&amp;CHAR(10)&amp;IF(AM331&lt;&gt;"",AM331,IF(Offer!$C$5&lt;&gt;"",Offer!$C$5,"[NAME]"))&amp;CHAR(10)&amp;"FC Urban"</f>
        <v/>
      </c>
      <c r="AL331" s="14">
        <f>IF(AH331="","No email yet",IF(ISNUMBER(SEARCH("[",AJ331)),"Fill placeholders",IF(ISNUMBER(AD331),"Ready to send","Ready · no fixed slot")))</f>
        <v/>
      </c>
      <c r="AO331" s="17" t="n"/>
      <c r="AP331" s="17" t="n"/>
    </row>
    <row r="332">
      <c r="A332" s="11" t="n">
        <v>330</v>
      </c>
      <c r="B332" s="11" t="n">
        <v>3</v>
      </c>
      <c r="C332" s="11" t="inlineStr">
        <is>
          <t>Advisory / accountancy</t>
        </is>
      </c>
      <c r="D332" s="11" t="inlineStr">
        <is>
          <t>City of London</t>
        </is>
      </c>
      <c r="E332" s="11" t="inlineStr">
        <is>
          <t>Centerview Partners UK LLP</t>
        </is>
      </c>
      <c r="F332" s="11" t="inlineStr">
        <is>
          <t>Centerview Partners</t>
        </is>
      </c>
      <c r="G332" s="12" t="inlineStr">
        <is>
          <t>https://www.centerviewpartners.com</t>
        </is>
      </c>
      <c r="H332" s="11" t="n"/>
      <c r="I332" s="11" t="inlineStr">
        <is>
          <t>Not found</t>
        </is>
      </c>
      <c r="J332" s="11" t="n"/>
      <c r="K332" s="11" t="inlineStr">
        <is>
          <t>OC345806</t>
        </is>
      </c>
      <c r="L332" s="12" t="inlineStr">
        <is>
          <t>Open</t>
        </is>
      </c>
      <c r="M332" s="11" t="inlineStr">
        <is>
          <t>Full</t>
        </is>
      </c>
      <c r="N332" s="13" t="n">
        <v>39953</v>
      </c>
      <c r="O332" s="11" t="inlineStr">
        <is>
          <t>10 Norwich Street, London</t>
        </is>
      </c>
      <c r="P332" s="11" t="inlineStr">
        <is>
          <t>EC4A 1BD</t>
        </is>
      </c>
      <c r="Q332" s="11" t="inlineStr">
        <is>
          <t>No</t>
        </is>
      </c>
      <c r="W332" s="11" t="inlineStr">
        <is>
          <t>City of London School (EC4V 3AL)</t>
        </is>
      </c>
      <c r="X332" s="11" t="n">
        <v>16</v>
      </c>
      <c r="Y332" s="11" t="n"/>
      <c r="Z332" s="11" t="inlineStr">
        <is>
          <t>City of London School (EC4V 3AL)</t>
        </is>
      </c>
      <c r="AA332" s="11" t="n">
        <v>16</v>
      </c>
      <c r="AB332" s="14">
        <f>IFERROR(INDEX(Venues!$E$2:$E$17,MATCH(Z332,Venues!$A$2:$A$17,0)),"Not checked")</f>
        <v/>
      </c>
      <c r="AC332" s="14">
        <f>IFERROR(INDEX(Venues!$F$2:$F$17,MATCH(Z332,Venues!$A$2:$A$17,0)),0)</f>
        <v/>
      </c>
      <c r="AD332" s="15">
        <f>IFERROR(INDEX(Venues!$M$2:$M$17,MATCH(Z332,Venues!$A$2:$A$17,0)),"")</f>
        <v/>
      </c>
      <c r="AE332" s="14">
        <f>IFERROR(INDEX(Venues!$N$2:$N$17,MATCH(Z332,Venues!$A$2:$A$17,0)),"5-a-side")</f>
        <v/>
      </c>
      <c r="AF332" s="16">
        <f>IF(Offer!$C$4="","",Offer!$C$4)</f>
        <v/>
      </c>
      <c r="AG332" s="14">
        <f>Z332&amp;" ("&amp;AA332&amp;" min walk) · "&amp;IF(ISNUMBER(AD332),TEXT(AD332,"ddd d mmm, hh:mm"),"slot to confirm with venue")&amp;" · "&amp;AE332&amp;" · "&amp;IF(AF332&lt;&gt;"","£"&amp;TEXT(AF332,"0.00")&amp;" pp","price TBC")</f>
        <v/>
      </c>
      <c r="AH332" s="14">
        <f>IF(U332&lt;&gt;"",U332,IF(H332&lt;&gt;"",H332,""))</f>
        <v/>
      </c>
      <c r="AI332" s="14">
        <f>"After-work football for "&amp;F332&amp;" · "&amp;Z332&amp;", "&amp;AA332&amp;" min from your office"</f>
        <v/>
      </c>
      <c r="AJ332" s="14">
        <f>"Hi "&amp;IF(R332&lt;&gt;"",R332,F332&amp;" team")&amp;","&amp;CHAR(10)&amp;CHAR(10)&amp;"I'm "&amp;IF(AM332&lt;&gt;"",AM332,IF(Offer!$C$5&lt;&gt;"",Offer!$C$5,"[NAME]"))&amp;" from FC Urban. We organise after-work football for teams in the City and Canary Wharf."&amp;CHAR(10)&amp;CHAR(10)&amp;"We have a "&amp;AE332&amp;" pitch at "&amp;Z332&amp;", "&amp;IF(OR(AA332=8,AA332=11,AA332=18),"an ","a ")&amp;AA332&amp;"-minute walk from your "&amp;P332&amp;" office, "&amp;IF(ISNUMBER(AD332),"on "&amp;TEXT(AD332,"dddd d mmmm")&amp;" at "&amp;TEXT(AD332,"hh:mm"),"on a weekday evening that suits your team")&amp;". It's "&amp;IF(AF332&lt;&gt;"","£"&amp;IF(AF332=INT(AF332),TEXT(AF332,"0"),TEXT(AF332,"0.00")),"[PRICE PER PLAYER]")&amp;" a player and we handle the pitch booking, sign-ups and payments, so all it takes is one person sharing a link with the team."&amp;CHAR(10)&amp;CHAR(10)&amp;"It works well as a team social or "&amp;IF(ISNUMBER(SEARCH(LEFT(F332,1),"AEIOU")),"an ","a ")&amp;F332&amp;"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LINK]")&amp;CHAR(10)&amp;CHAR(10)&amp;"Best,"&amp;CHAR(10)&amp;IF(AM332&lt;&gt;"",AM332,IF(Offer!$C$5&lt;&gt;"",Offer!$C$5,"[NAME]"))&amp;CHAR(10)&amp;"FC Urban"</f>
        <v/>
      </c>
      <c r="AK332" s="14">
        <f>"Hi "&amp;IF(R332&lt;&gt;"",R332,F332&amp;" team")&amp;","&amp;CHAR(10)&amp;CHAR(10)&amp;"Just bumping this up. The "&amp;AE332&amp;" pitch at "&amp;Z332&amp;" is still free "&amp;IF(ISNUMBER(AD332),TEXT(AD332,"ddd d mmm")&amp;", "&amp;TEXT(AD332,"hh:mm"),"weekday evenings")&amp;", "&amp;IF(OR(AA332=8,AA332=11,AA332=18),"an ","a ")&amp;AA332&amp;"-minute walk from your office, "&amp;IF(AF332&lt;&gt;"","£"&amp;IF(AF332=INT(AF332),TEXT(AF332,"0"),TEXT(AF332,"0.00")),"[PRICE PER PLAYER]")&amp;" a player. Happy to hold it for "&amp;F332&amp;"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LINK]")&amp;CHAR(10)&amp;CHAR(10)&amp;"Best,"&amp;CHAR(10)&amp;IF(AM332&lt;&gt;"",AM332,IF(Offer!$C$5&lt;&gt;"",Offer!$C$5,"[NAME]"))&amp;CHAR(10)&amp;"FC Urban"</f>
        <v/>
      </c>
      <c r="AL332" s="14">
        <f>IF(AH332="","No email yet",IF(ISNUMBER(SEARCH("[",AJ332)),"Fill placeholders",IF(ISNUMBER(AD332),"Ready to send","Ready · no fixed slot")))</f>
        <v/>
      </c>
      <c r="AO332" s="17" t="n"/>
      <c r="AP332" s="17" t="n"/>
    </row>
    <row r="333">
      <c r="A333" s="11" t="n">
        <v>331</v>
      </c>
      <c r="B333" s="11" t="n">
        <v>3</v>
      </c>
      <c r="C333" s="11" t="inlineStr">
        <is>
          <t>Insurance / broker</t>
        </is>
      </c>
      <c r="D333" s="11" t="inlineStr">
        <is>
          <t>City of London</t>
        </is>
      </c>
      <c r="E333" s="11" t="inlineStr">
        <is>
          <t>Hartford Underwriting Agency Limited</t>
        </is>
      </c>
      <c r="F333" s="11" t="inlineStr">
        <is>
          <t>Hartford Underwriting Agency</t>
        </is>
      </c>
      <c r="G333" s="12" t="inlineStr">
        <is>
          <t>https://hartford.com</t>
        </is>
      </c>
      <c r="H333" s="11" t="inlineStr">
        <is>
          <t>keanureeves@hartford.com</t>
        </is>
      </c>
      <c r="I333" s="11" t="inlineStr">
        <is>
          <t>named person</t>
        </is>
      </c>
      <c r="J333" s="12" t="inlineStr">
        <is>
          <t>Open page</t>
        </is>
      </c>
      <c r="K333" s="11" t="inlineStr">
        <is>
          <t>01380715</t>
        </is>
      </c>
      <c r="L333" s="12" t="inlineStr">
        <is>
          <t>Open</t>
        </is>
      </c>
      <c r="M333" s="11" t="inlineStr">
        <is>
          <t>Full</t>
        </is>
      </c>
      <c r="N333" s="13" t="n">
        <v>28698</v>
      </c>
      <c r="O333" s="11" t="inlineStr">
        <is>
          <t>6 Bevis Marks, 8Th Floor, London</t>
        </is>
      </c>
      <c r="P333" s="11" t="inlineStr">
        <is>
          <t>EC3A 7BA</t>
        </is>
      </c>
      <c r="Q333" s="11" t="inlineStr">
        <is>
          <t>No</t>
        </is>
      </c>
      <c r="W333" s="11" t="inlineStr">
        <is>
          <t>Liverpool St - Attlee Centre</t>
        </is>
      </c>
      <c r="X333" s="11" t="n">
        <v>9</v>
      </c>
      <c r="Y333" s="11" t="inlineStr">
        <is>
          <t>Shoreditch Powerleague (15.6)</t>
        </is>
      </c>
      <c r="Z333" s="11" t="inlineStr">
        <is>
          <t>Shoreditch Powerleague</t>
        </is>
      </c>
      <c r="AA333" s="11" t="n">
        <v>16</v>
      </c>
      <c r="AB333" s="14">
        <f>IFERROR(INDEX(Venues!$E$2:$E$17,MATCH(Z333,Venues!$A$2:$A$17,0)),"Not checked")</f>
        <v/>
      </c>
      <c r="AC333" s="14">
        <f>IFERROR(INDEX(Venues!$F$2:$F$17,MATCH(Z333,Venues!$A$2:$A$17,0)),0)</f>
        <v/>
      </c>
      <c r="AD333" s="15">
        <f>IFERROR(INDEX(Venues!$M$2:$M$17,MATCH(Z333,Venues!$A$2:$A$17,0)),"")</f>
        <v/>
      </c>
      <c r="AE333" s="14">
        <f>IFERROR(INDEX(Venues!$N$2:$N$17,MATCH(Z333,Venues!$A$2:$A$17,0)),"5-a-side")</f>
        <v/>
      </c>
      <c r="AF333" s="16">
        <f>IF(Offer!$C$4="","",Offer!$C$4)</f>
        <v/>
      </c>
      <c r="AG333" s="14">
        <f>Z333&amp;" ("&amp;AA333&amp;" min walk) · "&amp;IF(ISNUMBER(AD333),TEXT(AD333,"ddd d mmm, hh:mm"),"slot to confirm with venue")&amp;" · "&amp;AE333&amp;" · "&amp;IF(AF333&lt;&gt;"","£"&amp;TEXT(AF333,"0.00")&amp;" pp","price TBC")</f>
        <v/>
      </c>
      <c r="AH333" s="14">
        <f>IF(U333&lt;&gt;"",U333,IF(H333&lt;&gt;"",H333,""))</f>
        <v/>
      </c>
      <c r="AI333" s="14">
        <f>"After-work football for "&amp;F333&amp;" · "&amp;Z333&amp;", "&amp;AA333&amp;" min from your office"</f>
        <v/>
      </c>
      <c r="AJ333" s="14">
        <f>"Hi "&amp;IF(R333&lt;&gt;"",R333,F333&amp;" team")&amp;","&amp;CHAR(10)&amp;CHAR(10)&amp;"I'm "&amp;IF(AM333&lt;&gt;"",AM333,IF(Offer!$C$5&lt;&gt;"",Offer!$C$5,"[NAME]"))&amp;" from FC Urban. We organise after-work football for teams in the City and Canary Wharf."&amp;CHAR(10)&amp;CHAR(10)&amp;"We have a "&amp;AE333&amp;" pitch at "&amp;Z333&amp;", "&amp;IF(OR(AA333=8,AA333=11,AA333=18),"an ","a ")&amp;AA333&amp;"-minute walk from your "&amp;P333&amp;" office, "&amp;IF(ISNUMBER(AD333),"on "&amp;TEXT(AD333,"dddd d mmmm")&amp;" at "&amp;TEXT(AD333,"hh:mm"),"on a weekday evening that suits your team")&amp;". It's "&amp;IF(AF333&lt;&gt;"","£"&amp;IF(AF333=INT(AF333),TEXT(AF333,"0"),TEXT(AF333,"0.00")),"[PRICE PER PLAYER]")&amp;" a player and we handle the pitch booking, sign-ups and payments, so all it takes is one person sharing a link with the team."&amp;CHAR(10)&amp;CHAR(10)&amp;"It works well as a team social or "&amp;IF(ISNUMBER(SEARCH(LEFT(F333,1),"AEIOU")),"an ","a ")&amp;F333&amp;"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LINK]")&amp;CHAR(10)&amp;CHAR(10)&amp;"Best,"&amp;CHAR(10)&amp;IF(AM333&lt;&gt;"",AM333,IF(Offer!$C$5&lt;&gt;"",Offer!$C$5,"[NAME]"))&amp;CHAR(10)&amp;"FC Urban"</f>
        <v/>
      </c>
      <c r="AK333" s="14">
        <f>"Hi "&amp;IF(R333&lt;&gt;"",R333,F333&amp;" team")&amp;","&amp;CHAR(10)&amp;CHAR(10)&amp;"Just bumping this up. The "&amp;AE333&amp;" pitch at "&amp;Z333&amp;" is still free "&amp;IF(ISNUMBER(AD333),TEXT(AD333,"ddd d mmm")&amp;", "&amp;TEXT(AD333,"hh:mm"),"weekday evenings")&amp;", "&amp;IF(OR(AA333=8,AA333=11,AA333=18),"an ","a ")&amp;AA333&amp;"-minute walk from your office, "&amp;IF(AF333&lt;&gt;"","£"&amp;IF(AF333=INT(AF333),TEXT(AF333,"0"),TEXT(AF333,"0.00")),"[PRICE PER PLAYER]")&amp;" a player. Happy to hold it for "&amp;F333&amp;"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LINK]")&amp;CHAR(10)&amp;CHAR(10)&amp;"Best,"&amp;CHAR(10)&amp;IF(AM333&lt;&gt;"",AM333,IF(Offer!$C$5&lt;&gt;"",Offer!$C$5,"[NAME]"))&amp;CHAR(10)&amp;"FC Urban"</f>
        <v/>
      </c>
      <c r="AL333" s="14">
        <f>IF(AH333="","No email yet",IF(ISNUMBER(SEARCH("[",AJ333)),"Fill placeholders",IF(ISNUMBER(AD333),"Ready to send","Ready · no fixed slot")))</f>
        <v/>
      </c>
      <c r="AO333" s="17" t="n"/>
      <c r="AP333" s="17" t="n"/>
    </row>
    <row r="334">
      <c r="A334" s="11" t="n">
        <v>332</v>
      </c>
      <c r="B334" s="11" t="n">
        <v>3</v>
      </c>
      <c r="C334" s="11" t="inlineStr">
        <is>
          <t>Insurance / broker</t>
        </is>
      </c>
      <c r="D334" s="11" t="inlineStr">
        <is>
          <t>City of London</t>
        </is>
      </c>
      <c r="E334" s="11" t="inlineStr">
        <is>
          <t>Marco Gamma Limited</t>
        </is>
      </c>
      <c r="F334" s="11" t="inlineStr">
        <is>
          <t>Marco Gamma</t>
        </is>
      </c>
      <c r="G334" s="12" t="inlineStr">
        <is>
          <t>https://marcocapital.net</t>
        </is>
      </c>
      <c r="H334" s="11" t="inlineStr">
        <is>
          <t>contact@marcocapital.net</t>
        </is>
      </c>
      <c r="I334" s="11" t="inlineStr">
        <is>
          <t>general</t>
        </is>
      </c>
      <c r="J334" s="12" t="inlineStr">
        <is>
          <t>Open page</t>
        </is>
      </c>
      <c r="K334" s="11" t="inlineStr">
        <is>
          <t>01335239</t>
        </is>
      </c>
      <c r="L334" s="12" t="inlineStr">
        <is>
          <t>Open</t>
        </is>
      </c>
      <c r="M334" s="11" t="inlineStr">
        <is>
          <t>Full</t>
        </is>
      </c>
      <c r="N334" s="13" t="n">
        <v>28422</v>
      </c>
      <c r="O334" s="11" t="inlineStr">
        <is>
          <t>24 Monument Street, 4Th Floor, London</t>
        </is>
      </c>
      <c r="P334" s="11" t="inlineStr">
        <is>
          <t>EC3R 8AJ</t>
        </is>
      </c>
      <c r="Q334" s="11" t="inlineStr">
        <is>
          <t>No</t>
        </is>
      </c>
      <c r="W334" s="11" t="inlineStr">
        <is>
          <t>Marlborough Sports Garden (SE1 1SD)</t>
        </is>
      </c>
      <c r="X334" s="11" t="n">
        <v>14</v>
      </c>
      <c r="Y334" s="11" t="inlineStr">
        <is>
          <t>City of London School (EC4V 3AL) (15.6)</t>
        </is>
      </c>
      <c r="Z334" s="11" t="inlineStr">
        <is>
          <t>City of London School (EC4V 3AL)</t>
        </is>
      </c>
      <c r="AA334" s="11" t="n">
        <v>16</v>
      </c>
      <c r="AB334" s="14">
        <f>IFERROR(INDEX(Venues!$E$2:$E$17,MATCH(Z334,Venues!$A$2:$A$17,0)),"Not checked")</f>
        <v/>
      </c>
      <c r="AC334" s="14">
        <f>IFERROR(INDEX(Venues!$F$2:$F$17,MATCH(Z334,Venues!$A$2:$A$17,0)),0)</f>
        <v/>
      </c>
      <c r="AD334" s="15">
        <f>IFERROR(INDEX(Venues!$M$2:$M$17,MATCH(Z334,Venues!$A$2:$A$17,0)),"")</f>
        <v/>
      </c>
      <c r="AE334" s="14">
        <f>IFERROR(INDEX(Venues!$N$2:$N$17,MATCH(Z334,Venues!$A$2:$A$17,0)),"5-a-side")</f>
        <v/>
      </c>
      <c r="AF334" s="16">
        <f>IF(Offer!$C$4="","",Offer!$C$4)</f>
        <v/>
      </c>
      <c r="AG334" s="14">
        <f>Z334&amp;" ("&amp;AA334&amp;" min walk) · "&amp;IF(ISNUMBER(AD334),TEXT(AD334,"ddd d mmm, hh:mm"),"slot to confirm with venue")&amp;" · "&amp;AE334&amp;" · "&amp;IF(AF334&lt;&gt;"","£"&amp;TEXT(AF334,"0.00")&amp;" pp","price TBC")</f>
        <v/>
      </c>
      <c r="AH334" s="14">
        <f>IF(U334&lt;&gt;"",U334,IF(H334&lt;&gt;"",H334,""))</f>
        <v/>
      </c>
      <c r="AI334" s="14">
        <f>"After-work football for "&amp;F334&amp;" · "&amp;Z334&amp;", "&amp;AA334&amp;" min from your office"</f>
        <v/>
      </c>
      <c r="AJ334" s="14">
        <f>"Hi "&amp;IF(R334&lt;&gt;"",R334,F334&amp;" team")&amp;","&amp;CHAR(10)&amp;CHAR(10)&amp;"I'm "&amp;IF(AM334&lt;&gt;"",AM334,IF(Offer!$C$5&lt;&gt;"",Offer!$C$5,"[NAME]"))&amp;" from FC Urban. We organise after-work football for teams in the City and Canary Wharf."&amp;CHAR(10)&amp;CHAR(10)&amp;"We have a "&amp;AE334&amp;" pitch at "&amp;Z334&amp;", "&amp;IF(OR(AA334=8,AA334=11,AA334=18),"an ","a ")&amp;AA334&amp;"-minute walk from your "&amp;P334&amp;" office, "&amp;IF(ISNUMBER(AD334),"on "&amp;TEXT(AD334,"dddd d mmmm")&amp;" at "&amp;TEXT(AD334,"hh:mm"),"on a weekday evening that suits your team")&amp;". It's "&amp;IF(AF334&lt;&gt;"","£"&amp;IF(AF334=INT(AF334),TEXT(AF334,"0"),TEXT(AF334,"0.00")),"[PRICE PER PLAYER]")&amp;" a player and we handle the pitch booking, sign-ups and payments, so all it takes is one person sharing a link with the team."&amp;CHAR(10)&amp;CHAR(10)&amp;"It works well as a team social or "&amp;IF(ISNUMBER(SEARCH(LEFT(F334,1),"AEIOU")),"an ","a ")&amp;F334&amp;"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LINK]")&amp;CHAR(10)&amp;CHAR(10)&amp;"Best,"&amp;CHAR(10)&amp;IF(AM334&lt;&gt;"",AM334,IF(Offer!$C$5&lt;&gt;"",Offer!$C$5,"[NAME]"))&amp;CHAR(10)&amp;"FC Urban"</f>
        <v/>
      </c>
      <c r="AK334" s="14">
        <f>"Hi "&amp;IF(R334&lt;&gt;"",R334,F334&amp;" team")&amp;","&amp;CHAR(10)&amp;CHAR(10)&amp;"Just bumping this up. The "&amp;AE334&amp;" pitch at "&amp;Z334&amp;" is still free "&amp;IF(ISNUMBER(AD334),TEXT(AD334,"ddd d mmm")&amp;", "&amp;TEXT(AD334,"hh:mm"),"weekday evenings")&amp;", "&amp;IF(OR(AA334=8,AA334=11,AA334=18),"an ","a ")&amp;AA334&amp;"-minute walk from your office, "&amp;IF(AF334&lt;&gt;"","£"&amp;IF(AF334=INT(AF334),TEXT(AF334,"0"),TEXT(AF334,"0.00")),"[PRICE PER PLAYER]")&amp;" a player. Happy to hold it for "&amp;F334&amp;"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LINK]")&amp;CHAR(10)&amp;CHAR(10)&amp;"Best,"&amp;CHAR(10)&amp;IF(AM334&lt;&gt;"",AM334,IF(Offer!$C$5&lt;&gt;"",Offer!$C$5,"[NAME]"))&amp;CHAR(10)&amp;"FC Urban"</f>
        <v/>
      </c>
      <c r="AL334" s="14">
        <f>IF(AH334="","No email yet",IF(ISNUMBER(SEARCH("[",AJ334)),"Fill placeholders",IF(ISNUMBER(AD334),"Ready to send","Ready · no fixed slot")))</f>
        <v/>
      </c>
      <c r="AO334" s="17" t="n"/>
      <c r="AP334" s="17" t="n"/>
    </row>
    <row r="335">
      <c r="A335" s="11" t="n">
        <v>333</v>
      </c>
      <c r="B335" s="11" t="n">
        <v>3</v>
      </c>
      <c r="C335" s="11" t="inlineStr">
        <is>
          <t>Insurance / broker</t>
        </is>
      </c>
      <c r="D335" s="11" t="inlineStr">
        <is>
          <t>City of London</t>
        </is>
      </c>
      <c r="E335" s="11" t="inlineStr">
        <is>
          <t>Renaissance Asset Finance Limited</t>
        </is>
      </c>
      <c r="F335" s="11" t="inlineStr">
        <is>
          <t>Renaissance Asset Finance</t>
        </is>
      </c>
      <c r="G335" s="12" t="inlineStr">
        <is>
          <t>https://renaissanceaf.com</t>
        </is>
      </c>
      <c r="H335" s="11" t="inlineStr">
        <is>
          <t>info@renaissanceaf.com</t>
        </is>
      </c>
      <c r="I335" s="11" t="inlineStr">
        <is>
          <t>general</t>
        </is>
      </c>
      <c r="J335" s="12" t="inlineStr">
        <is>
          <t>Open page</t>
        </is>
      </c>
      <c r="K335" s="11" t="inlineStr">
        <is>
          <t>08885289</t>
        </is>
      </c>
      <c r="L335" s="12" t="inlineStr">
        <is>
          <t>Open</t>
        </is>
      </c>
      <c r="M335" s="11" t="inlineStr">
        <is>
          <t>Full</t>
        </is>
      </c>
      <c r="N335" s="13" t="n">
        <v>41681</v>
      </c>
      <c r="O335" s="11" t="inlineStr">
        <is>
          <t>Arbuthnot House, 20 Finsbury Circus, London</t>
        </is>
      </c>
      <c r="P335" s="11" t="inlineStr">
        <is>
          <t>EC2M 7EA</t>
        </is>
      </c>
      <c r="Q335" s="11" t="inlineStr">
        <is>
          <t>No</t>
        </is>
      </c>
      <c r="W335" s="11" t="inlineStr">
        <is>
          <t>Liverpool St - Attlee Centre</t>
        </is>
      </c>
      <c r="X335" s="11" t="n">
        <v>15</v>
      </c>
      <c r="Y335" s="11" t="inlineStr">
        <is>
          <t>Shoreditch Powerleague (15.7); City of London School (EC4V 3AL) (18.9)</t>
        </is>
      </c>
      <c r="Z335" s="11" t="inlineStr">
        <is>
          <t>Shoreditch Powerleague</t>
        </is>
      </c>
      <c r="AA335" s="11" t="n">
        <v>16</v>
      </c>
      <c r="AB335" s="14">
        <f>IFERROR(INDEX(Venues!$E$2:$E$17,MATCH(Z335,Venues!$A$2:$A$17,0)),"Not checked")</f>
        <v/>
      </c>
      <c r="AC335" s="14">
        <f>IFERROR(INDEX(Venues!$F$2:$F$17,MATCH(Z335,Venues!$A$2:$A$17,0)),0)</f>
        <v/>
      </c>
      <c r="AD335" s="15">
        <f>IFERROR(INDEX(Venues!$M$2:$M$17,MATCH(Z335,Venues!$A$2:$A$17,0)),"")</f>
        <v/>
      </c>
      <c r="AE335" s="14">
        <f>IFERROR(INDEX(Venues!$N$2:$N$17,MATCH(Z335,Venues!$A$2:$A$17,0)),"5-a-side")</f>
        <v/>
      </c>
      <c r="AF335" s="16">
        <f>IF(Offer!$C$4="","",Offer!$C$4)</f>
        <v/>
      </c>
      <c r="AG335" s="14">
        <f>Z335&amp;" ("&amp;AA335&amp;" min walk) · "&amp;IF(ISNUMBER(AD335),TEXT(AD335,"ddd d mmm, hh:mm"),"slot to confirm with venue")&amp;" · "&amp;AE335&amp;" · "&amp;IF(AF335&lt;&gt;"","£"&amp;TEXT(AF335,"0.00")&amp;" pp","price TBC")</f>
        <v/>
      </c>
      <c r="AH335" s="14">
        <f>IF(U335&lt;&gt;"",U335,IF(H335&lt;&gt;"",H335,""))</f>
        <v/>
      </c>
      <c r="AI335" s="14">
        <f>"After-work football for "&amp;F335&amp;" · "&amp;Z335&amp;", "&amp;AA335&amp;" min from your office"</f>
        <v/>
      </c>
      <c r="AJ335" s="14">
        <f>"Hi "&amp;IF(R335&lt;&gt;"",R335,F335&amp;" team")&amp;","&amp;CHAR(10)&amp;CHAR(10)&amp;"I'm "&amp;IF(AM335&lt;&gt;"",AM335,IF(Offer!$C$5&lt;&gt;"",Offer!$C$5,"[NAME]"))&amp;" from FC Urban. We organise after-work football for teams in the City and Canary Wharf."&amp;CHAR(10)&amp;CHAR(10)&amp;"We have a "&amp;AE335&amp;" pitch at "&amp;Z335&amp;", "&amp;IF(OR(AA335=8,AA335=11,AA335=18),"an ","a ")&amp;AA335&amp;"-minute walk from your "&amp;P335&amp;" office, "&amp;IF(ISNUMBER(AD335),"on "&amp;TEXT(AD335,"dddd d mmmm")&amp;" at "&amp;TEXT(AD335,"hh:mm"),"on a weekday evening that suits your team")&amp;". It's "&amp;IF(AF335&lt;&gt;"","£"&amp;IF(AF335=INT(AF335),TEXT(AF335,"0"),TEXT(AF335,"0.00")),"[PRICE PER PLAYER]")&amp;" a player and we handle the pitch booking, sign-ups and payments, so all it takes is one person sharing a link with the team."&amp;CHAR(10)&amp;CHAR(10)&amp;"It works well as a team social or "&amp;IF(ISNUMBER(SEARCH(LEFT(F335,1),"AEIOU")),"an ","a ")&amp;F335&amp;"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LINK]")&amp;CHAR(10)&amp;CHAR(10)&amp;"Best,"&amp;CHAR(10)&amp;IF(AM335&lt;&gt;"",AM335,IF(Offer!$C$5&lt;&gt;"",Offer!$C$5,"[NAME]"))&amp;CHAR(10)&amp;"FC Urban"</f>
        <v/>
      </c>
      <c r="AK335" s="14">
        <f>"Hi "&amp;IF(R335&lt;&gt;"",R335,F335&amp;" team")&amp;","&amp;CHAR(10)&amp;CHAR(10)&amp;"Just bumping this up. The "&amp;AE335&amp;" pitch at "&amp;Z335&amp;" is still free "&amp;IF(ISNUMBER(AD335),TEXT(AD335,"ddd d mmm")&amp;", "&amp;TEXT(AD335,"hh:mm"),"weekday evenings")&amp;", "&amp;IF(OR(AA335=8,AA335=11,AA335=18),"an ","a ")&amp;AA335&amp;"-minute walk from your office, "&amp;IF(AF335&lt;&gt;"","£"&amp;IF(AF335=INT(AF335),TEXT(AF335,"0"),TEXT(AF335,"0.00")),"[PRICE PER PLAYER]")&amp;" a player. Happy to hold it for "&amp;F335&amp;"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LINK]")&amp;CHAR(10)&amp;CHAR(10)&amp;"Best,"&amp;CHAR(10)&amp;IF(AM335&lt;&gt;"",AM335,IF(Offer!$C$5&lt;&gt;"",Offer!$C$5,"[NAME]"))&amp;CHAR(10)&amp;"FC Urban"</f>
        <v/>
      </c>
      <c r="AL335" s="14">
        <f>IF(AH335="","No email yet",IF(ISNUMBER(SEARCH("[",AJ335)),"Fill placeholders",IF(ISNUMBER(AD335),"Ready to send","Ready · no fixed slot")))</f>
        <v/>
      </c>
      <c r="AO335" s="17" t="n"/>
      <c r="AP335" s="17" t="n"/>
    </row>
    <row r="336">
      <c r="A336" s="11" t="n">
        <v>334</v>
      </c>
      <c r="B336" s="11" t="n">
        <v>3</v>
      </c>
      <c r="C336" s="11" t="inlineStr">
        <is>
          <t>Insurance / broker</t>
        </is>
      </c>
      <c r="D336" s="11" t="inlineStr">
        <is>
          <t>City of London</t>
        </is>
      </c>
      <c r="E336" s="11" t="inlineStr">
        <is>
          <t>Walsham Brothers &amp; Co. Limited</t>
        </is>
      </c>
      <c r="F336" s="11" t="inlineStr">
        <is>
          <t>Walsham Brothers &amp; Co</t>
        </is>
      </c>
      <c r="G336" s="12" t="inlineStr">
        <is>
          <t>https://walshams.co.uk</t>
        </is>
      </c>
      <c r="H336" s="11" t="inlineStr">
        <is>
          <t>support@walshams.co.uk</t>
        </is>
      </c>
      <c r="I336" s="11" t="inlineStr">
        <is>
          <t>role (other)</t>
        </is>
      </c>
      <c r="J336" s="12" t="inlineStr">
        <is>
          <t>Open page</t>
        </is>
      </c>
      <c r="K336" s="11" t="inlineStr">
        <is>
          <t>00162264</t>
        </is>
      </c>
      <c r="L336" s="12" t="inlineStr">
        <is>
          <t>Open</t>
        </is>
      </c>
      <c r="M336" s="11" t="inlineStr">
        <is>
          <t>Full</t>
        </is>
      </c>
      <c r="N336" s="13" t="n">
        <v>7305</v>
      </c>
      <c r="O336" s="11" t="inlineStr">
        <is>
          <t>52-54 Gracechurch Street, 4Th Floor, London</t>
        </is>
      </c>
      <c r="P336" s="11" t="inlineStr">
        <is>
          <t>EC3V 0EH</t>
        </is>
      </c>
      <c r="Q336" s="11" t="inlineStr">
        <is>
          <t>Yes</t>
        </is>
      </c>
      <c r="W336" s="11" t="inlineStr">
        <is>
          <t>City of London School (EC4V 3AL)</t>
        </is>
      </c>
      <c r="X336" s="11" t="n">
        <v>16</v>
      </c>
      <c r="Y336" s="11" t="inlineStr">
        <is>
          <t>Marlborough Sports Garden (SE1 1SD) (16.4); Liverpool St - Attlee Centre (18.6)</t>
        </is>
      </c>
      <c r="Z336" s="11" t="inlineStr">
        <is>
          <t>City of London School (EC4V 3AL)</t>
        </is>
      </c>
      <c r="AA336" s="11" t="n">
        <v>16</v>
      </c>
      <c r="AB336" s="14">
        <f>IFERROR(INDEX(Venues!$E$2:$E$17,MATCH(Z336,Venues!$A$2:$A$17,0)),"Not checked")</f>
        <v/>
      </c>
      <c r="AC336" s="14">
        <f>IFERROR(INDEX(Venues!$F$2:$F$17,MATCH(Z336,Venues!$A$2:$A$17,0)),0)</f>
        <v/>
      </c>
      <c r="AD336" s="15">
        <f>IFERROR(INDEX(Venues!$M$2:$M$17,MATCH(Z336,Venues!$A$2:$A$17,0)),"")</f>
        <v/>
      </c>
      <c r="AE336" s="14">
        <f>IFERROR(INDEX(Venues!$N$2:$N$17,MATCH(Z336,Venues!$A$2:$A$17,0)),"5-a-side")</f>
        <v/>
      </c>
      <c r="AF336" s="16">
        <f>IF(Offer!$C$4="","",Offer!$C$4)</f>
        <v/>
      </c>
      <c r="AG336" s="14">
        <f>Z336&amp;" ("&amp;AA336&amp;" min walk) · "&amp;IF(ISNUMBER(AD336),TEXT(AD336,"ddd d mmm, hh:mm"),"slot to confirm with venue")&amp;" · "&amp;AE336&amp;" · "&amp;IF(AF336&lt;&gt;"","£"&amp;TEXT(AF336,"0.00")&amp;" pp","price TBC")</f>
        <v/>
      </c>
      <c r="AH336" s="14">
        <f>IF(U336&lt;&gt;"",U336,IF(H336&lt;&gt;"",H336,""))</f>
        <v/>
      </c>
      <c r="AI336" s="14">
        <f>"After-work football for "&amp;F336&amp;" · "&amp;Z336&amp;", "&amp;AA336&amp;" min from your office"</f>
        <v/>
      </c>
      <c r="AJ336" s="14">
        <f>"Hi "&amp;IF(R336&lt;&gt;"",R336,F336&amp;" team")&amp;","&amp;CHAR(10)&amp;CHAR(10)&amp;"I'm "&amp;IF(AM336&lt;&gt;"",AM336,IF(Offer!$C$5&lt;&gt;"",Offer!$C$5,"[NAME]"))&amp;" from FC Urban. We organise after-work football for teams in the City and Canary Wharf."&amp;CHAR(10)&amp;CHAR(10)&amp;"We have a "&amp;AE336&amp;" pitch at "&amp;Z336&amp;", "&amp;IF(OR(AA336=8,AA336=11,AA336=18),"an ","a ")&amp;AA336&amp;"-minute walk from your "&amp;P336&amp;" office, "&amp;IF(ISNUMBER(AD336),"on "&amp;TEXT(AD336,"dddd d mmmm")&amp;" at "&amp;TEXT(AD336,"hh:mm"),"on a weekday evening that suits your team")&amp;". It's "&amp;IF(AF336&lt;&gt;"","£"&amp;IF(AF336=INT(AF336),TEXT(AF336,"0"),TEXT(AF336,"0.00")),"[PRICE PER PLAYER]")&amp;" a player and we handle the pitch booking, sign-ups and payments, so all it takes is one person sharing a link with the team."&amp;CHAR(10)&amp;CHAR(10)&amp;"It works well as a team social or "&amp;IF(ISNUMBER(SEARCH(LEFT(F336,1),"AEIOU")),"an ","a ")&amp;F336&amp;"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LINK]")&amp;CHAR(10)&amp;CHAR(10)&amp;"Best,"&amp;CHAR(10)&amp;IF(AM336&lt;&gt;"",AM336,IF(Offer!$C$5&lt;&gt;"",Offer!$C$5,"[NAME]"))&amp;CHAR(10)&amp;"FC Urban"</f>
        <v/>
      </c>
      <c r="AK336" s="14">
        <f>"Hi "&amp;IF(R336&lt;&gt;"",R336,F336&amp;" team")&amp;","&amp;CHAR(10)&amp;CHAR(10)&amp;"Just bumping this up. The "&amp;AE336&amp;" pitch at "&amp;Z336&amp;" is still free "&amp;IF(ISNUMBER(AD336),TEXT(AD336,"ddd d mmm")&amp;", "&amp;TEXT(AD336,"hh:mm"),"weekday evenings")&amp;", "&amp;IF(OR(AA336=8,AA336=11,AA336=18),"an ","a ")&amp;AA336&amp;"-minute walk from your office, "&amp;IF(AF336&lt;&gt;"","£"&amp;IF(AF336=INT(AF336),TEXT(AF336,"0"),TEXT(AF336,"0.00")),"[PRICE PER PLAYER]")&amp;" a player. Happy to hold it for "&amp;F336&amp;"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LINK]")&amp;CHAR(10)&amp;CHAR(10)&amp;"Best,"&amp;CHAR(10)&amp;IF(AM336&lt;&gt;"",AM336,IF(Offer!$C$5&lt;&gt;"",Offer!$C$5,"[NAME]"))&amp;CHAR(10)&amp;"FC Urban"</f>
        <v/>
      </c>
      <c r="AL336" s="14">
        <f>IF(AH336="","No email yet",IF(ISNUMBER(SEARCH("[",AJ336)),"Fill placeholders",IF(ISNUMBER(AD336),"Ready to send","Ready · no fixed slot")))</f>
        <v/>
      </c>
      <c r="AO336" s="17" t="n"/>
      <c r="AP336" s="17" t="n"/>
    </row>
    <row r="337">
      <c r="A337" s="11" t="n">
        <v>335</v>
      </c>
      <c r="B337" s="11" t="n">
        <v>3</v>
      </c>
      <c r="C337" s="11" t="inlineStr">
        <is>
          <t>Fund / asset manager</t>
        </is>
      </c>
      <c r="D337" s="11" t="inlineStr">
        <is>
          <t>City of London</t>
        </is>
      </c>
      <c r="E337" s="11" t="inlineStr">
        <is>
          <t>Partners Group (UK) Limited</t>
        </is>
      </c>
      <c r="F337" s="11" t="inlineStr">
        <is>
          <t>Partners</t>
        </is>
      </c>
      <c r="G337" s="12" t="inlineStr">
        <is>
          <t>https://www.partners.com</t>
        </is>
      </c>
      <c r="H337" s="11" t="inlineStr">
        <is>
          <t>admin@partners.com</t>
        </is>
      </c>
      <c r="I337" s="11" t="inlineStr">
        <is>
          <t>general</t>
        </is>
      </c>
      <c r="J337" s="12" t="inlineStr">
        <is>
          <t>Open page</t>
        </is>
      </c>
      <c r="K337" s="11" t="inlineStr">
        <is>
          <t>05113447</t>
        </is>
      </c>
      <c r="L337" s="12" t="inlineStr">
        <is>
          <t>Open</t>
        </is>
      </c>
      <c r="M337" s="11" t="inlineStr">
        <is>
          <t>Full</t>
        </is>
      </c>
      <c r="N337" s="13" t="n">
        <v>38104</v>
      </c>
      <c r="O337" s="11" t="inlineStr">
        <is>
          <t>33 Charterhouse Street, London</t>
        </is>
      </c>
      <c r="P337" s="11" t="inlineStr">
        <is>
          <t>EC1M 6HA</t>
        </is>
      </c>
      <c r="Q337" s="11" t="inlineStr">
        <is>
          <t>No</t>
        </is>
      </c>
      <c r="W337" s="11" t="inlineStr">
        <is>
          <t>City of London School (EC4V 3AL)</t>
        </is>
      </c>
      <c r="X337" s="11" t="n">
        <v>16</v>
      </c>
      <c r="Y337" s="11" t="inlineStr">
        <is>
          <t>Finsbury Leisure Centre (EC1V 3PU) (15.7); Old St - Moreland Primary School (18.5)</t>
        </is>
      </c>
      <c r="Z337" s="11" t="inlineStr">
        <is>
          <t>City of London School (EC4V 3AL)</t>
        </is>
      </c>
      <c r="AA337" s="11" t="n">
        <v>16</v>
      </c>
      <c r="AB337" s="14">
        <f>IFERROR(INDEX(Venues!$E$2:$E$17,MATCH(Z337,Venues!$A$2:$A$17,0)),"Not checked")</f>
        <v/>
      </c>
      <c r="AC337" s="14">
        <f>IFERROR(INDEX(Venues!$F$2:$F$17,MATCH(Z337,Venues!$A$2:$A$17,0)),0)</f>
        <v/>
      </c>
      <c r="AD337" s="15">
        <f>IFERROR(INDEX(Venues!$M$2:$M$17,MATCH(Z337,Venues!$A$2:$A$17,0)),"")</f>
        <v/>
      </c>
      <c r="AE337" s="14">
        <f>IFERROR(INDEX(Venues!$N$2:$N$17,MATCH(Z337,Venues!$A$2:$A$17,0)),"5-a-side")</f>
        <v/>
      </c>
      <c r="AF337" s="16">
        <f>IF(Offer!$C$4="","",Offer!$C$4)</f>
        <v/>
      </c>
      <c r="AG337" s="14">
        <f>Z337&amp;" ("&amp;AA337&amp;" min walk) · "&amp;IF(ISNUMBER(AD337),TEXT(AD337,"ddd d mmm, hh:mm"),"slot to confirm with venue")&amp;" · "&amp;AE337&amp;" · "&amp;IF(AF337&lt;&gt;"","£"&amp;TEXT(AF337,"0.00")&amp;" pp","price TBC")</f>
        <v/>
      </c>
      <c r="AH337" s="14">
        <f>IF(U337&lt;&gt;"",U337,IF(H337&lt;&gt;"",H337,""))</f>
        <v/>
      </c>
      <c r="AI337" s="14">
        <f>"After-work football for "&amp;F337&amp;" · "&amp;Z337&amp;", "&amp;AA337&amp;" min from your office"</f>
        <v/>
      </c>
      <c r="AJ337" s="14">
        <f>"Hi "&amp;IF(R337&lt;&gt;"",R337,F337&amp;" team")&amp;","&amp;CHAR(10)&amp;CHAR(10)&amp;"I'm "&amp;IF(AM337&lt;&gt;"",AM337,IF(Offer!$C$5&lt;&gt;"",Offer!$C$5,"[NAME]"))&amp;" from FC Urban. We organise after-work football for teams in the City and Canary Wharf."&amp;CHAR(10)&amp;CHAR(10)&amp;"We have a "&amp;AE337&amp;" pitch at "&amp;Z337&amp;", "&amp;IF(OR(AA337=8,AA337=11,AA337=18),"an ","a ")&amp;AA337&amp;"-minute walk from your "&amp;P337&amp;" office, "&amp;IF(ISNUMBER(AD337),"on "&amp;TEXT(AD337,"dddd d mmmm")&amp;" at "&amp;TEXT(AD337,"hh:mm"),"on a weekday evening that suits your team")&amp;". It's "&amp;IF(AF337&lt;&gt;"","£"&amp;IF(AF337=INT(AF337),TEXT(AF337,"0"),TEXT(AF337,"0.00")),"[PRICE PER PLAYER]")&amp;" a player and we handle the pitch booking, sign-ups and payments, so all it takes is one person sharing a link with the team."&amp;CHAR(10)&amp;CHAR(10)&amp;"It works well as a team social or "&amp;IF(ISNUMBER(SEARCH(LEFT(F337,1),"AEIOU")),"an ","a ")&amp;F337&amp;"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LINK]")&amp;CHAR(10)&amp;CHAR(10)&amp;"Best,"&amp;CHAR(10)&amp;IF(AM337&lt;&gt;"",AM337,IF(Offer!$C$5&lt;&gt;"",Offer!$C$5,"[NAME]"))&amp;CHAR(10)&amp;"FC Urban"</f>
        <v/>
      </c>
      <c r="AK337" s="14">
        <f>"Hi "&amp;IF(R337&lt;&gt;"",R337,F337&amp;" team")&amp;","&amp;CHAR(10)&amp;CHAR(10)&amp;"Just bumping this up. The "&amp;AE337&amp;" pitch at "&amp;Z337&amp;" is still free "&amp;IF(ISNUMBER(AD337),TEXT(AD337,"ddd d mmm")&amp;", "&amp;TEXT(AD337,"hh:mm"),"weekday evenings")&amp;", "&amp;IF(OR(AA337=8,AA337=11,AA337=18),"an ","a ")&amp;AA337&amp;"-minute walk from your office, "&amp;IF(AF337&lt;&gt;"","£"&amp;IF(AF337=INT(AF337),TEXT(AF337,"0"),TEXT(AF337,"0.00")),"[PRICE PER PLAYER]")&amp;" a player. Happy to hold it for "&amp;F337&amp;"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LINK]")&amp;CHAR(10)&amp;CHAR(10)&amp;"Best,"&amp;CHAR(10)&amp;IF(AM337&lt;&gt;"",AM337,IF(Offer!$C$5&lt;&gt;"",Offer!$C$5,"[NAME]"))&amp;CHAR(10)&amp;"FC Urban"</f>
        <v/>
      </c>
      <c r="AL337" s="14">
        <f>IF(AH337="","No email yet",IF(ISNUMBER(SEARCH("[",AJ337)),"Fill placeholders",IF(ISNUMBER(AD337),"Ready to send","Ready · no fixed slot")))</f>
        <v/>
      </c>
      <c r="AO337" s="17" t="n"/>
      <c r="AP337" s="17" t="n"/>
    </row>
    <row r="338">
      <c r="A338" s="11" t="n">
        <v>336</v>
      </c>
      <c r="B338" s="11" t="n">
        <v>3</v>
      </c>
      <c r="C338" s="11" t="inlineStr">
        <is>
          <t>Insurance / broker</t>
        </is>
      </c>
      <c r="D338" s="11" t="inlineStr">
        <is>
          <t>City of London</t>
        </is>
      </c>
      <c r="E338" s="11" t="inlineStr">
        <is>
          <t>Iprism Underwriting Agency Limited</t>
        </is>
      </c>
      <c r="F338" s="11" t="inlineStr">
        <is>
          <t>Iprism Underwriting Agency</t>
        </is>
      </c>
      <c r="G338" s="12" t="inlineStr">
        <is>
          <t>https://www.iprism.co.uk</t>
        </is>
      </c>
      <c r="H338" s="11" t="inlineStr">
        <is>
          <t>info@iprism.co.uk</t>
        </is>
      </c>
      <c r="I338" s="11" t="inlineStr">
        <is>
          <t>general</t>
        </is>
      </c>
      <c r="J338" s="12" t="inlineStr">
        <is>
          <t>Open page</t>
        </is>
      </c>
      <c r="K338" s="11" t="inlineStr">
        <is>
          <t>05604278</t>
        </is>
      </c>
      <c r="L338" s="12" t="inlineStr">
        <is>
          <t>Open</t>
        </is>
      </c>
      <c r="M338" s="11" t="inlineStr">
        <is>
          <t>Full</t>
        </is>
      </c>
      <c r="N338" s="13" t="n">
        <v>38651</v>
      </c>
      <c r="O338" s="11" t="inlineStr">
        <is>
          <t>1St Floor, 17 Bevis Marks, London</t>
        </is>
      </c>
      <c r="P338" s="11" t="inlineStr">
        <is>
          <t>EC3A 7LN</t>
        </is>
      </c>
      <c r="Q338" s="11" t="inlineStr">
        <is>
          <t>No</t>
        </is>
      </c>
      <c r="W338" s="11" t="inlineStr">
        <is>
          <t>Liverpool St - Attlee Centre</t>
        </is>
      </c>
      <c r="X338" s="11" t="n">
        <v>8</v>
      </c>
      <c r="Y338" s="11" t="inlineStr">
        <is>
          <t>Shoreditch Powerleague (15.9)</t>
        </is>
      </c>
      <c r="Z338" s="11" t="inlineStr">
        <is>
          <t>Shoreditch Powerleague</t>
        </is>
      </c>
      <c r="AA338" s="11" t="n">
        <v>16</v>
      </c>
      <c r="AB338" s="14">
        <f>IFERROR(INDEX(Venues!$E$2:$E$17,MATCH(Z338,Venues!$A$2:$A$17,0)),"Not checked")</f>
        <v/>
      </c>
      <c r="AC338" s="14">
        <f>IFERROR(INDEX(Venues!$F$2:$F$17,MATCH(Z338,Venues!$A$2:$A$17,0)),0)</f>
        <v/>
      </c>
      <c r="AD338" s="15">
        <f>IFERROR(INDEX(Venues!$M$2:$M$17,MATCH(Z338,Venues!$A$2:$A$17,0)),"")</f>
        <v/>
      </c>
      <c r="AE338" s="14">
        <f>IFERROR(INDEX(Venues!$N$2:$N$17,MATCH(Z338,Venues!$A$2:$A$17,0)),"5-a-side")</f>
        <v/>
      </c>
      <c r="AF338" s="16">
        <f>IF(Offer!$C$4="","",Offer!$C$4)</f>
        <v/>
      </c>
      <c r="AG338" s="14">
        <f>Z338&amp;" ("&amp;AA338&amp;" min walk) · "&amp;IF(ISNUMBER(AD338),TEXT(AD338,"ddd d mmm, hh:mm"),"slot to confirm with venue")&amp;" · "&amp;AE338&amp;" · "&amp;IF(AF338&lt;&gt;"","£"&amp;TEXT(AF338,"0.00")&amp;" pp","price TBC")</f>
        <v/>
      </c>
      <c r="AH338" s="14">
        <f>IF(U338&lt;&gt;"",U338,IF(H338&lt;&gt;"",H338,""))</f>
        <v/>
      </c>
      <c r="AI338" s="14">
        <f>"After-work football for "&amp;F338&amp;" · "&amp;Z338&amp;", "&amp;AA338&amp;" min from your office"</f>
        <v/>
      </c>
      <c r="AJ338" s="14">
        <f>"Hi "&amp;IF(R338&lt;&gt;"",R338,F338&amp;" team")&amp;","&amp;CHAR(10)&amp;CHAR(10)&amp;"I'm "&amp;IF(AM338&lt;&gt;"",AM338,IF(Offer!$C$5&lt;&gt;"",Offer!$C$5,"[NAME]"))&amp;" from FC Urban. We organise after-work football for teams in the City and Canary Wharf."&amp;CHAR(10)&amp;CHAR(10)&amp;"We have a "&amp;AE338&amp;" pitch at "&amp;Z338&amp;", "&amp;IF(OR(AA338=8,AA338=11,AA338=18),"an ","a ")&amp;AA338&amp;"-minute walk from your "&amp;P338&amp;" office, "&amp;IF(ISNUMBER(AD338),"on "&amp;TEXT(AD338,"dddd d mmmm")&amp;" at "&amp;TEXT(AD338,"hh:mm"),"on a weekday evening that suits your team")&amp;". It's "&amp;IF(AF338&lt;&gt;"","£"&amp;IF(AF338=INT(AF338),TEXT(AF338,"0"),TEXT(AF338,"0.00")),"[PRICE PER PLAYER]")&amp;" a player and we handle the pitch booking, sign-ups and payments, so all it takes is one person sharing a link with the team."&amp;CHAR(10)&amp;CHAR(10)&amp;"It works well as a team social or "&amp;IF(ISNUMBER(SEARCH(LEFT(F338,1),"AEIOU")),"an ","a ")&amp;F338&amp;"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LINK]")&amp;CHAR(10)&amp;CHAR(10)&amp;"Best,"&amp;CHAR(10)&amp;IF(AM338&lt;&gt;"",AM338,IF(Offer!$C$5&lt;&gt;"",Offer!$C$5,"[NAME]"))&amp;CHAR(10)&amp;"FC Urban"</f>
        <v/>
      </c>
      <c r="AK338" s="14">
        <f>"Hi "&amp;IF(R338&lt;&gt;"",R338,F338&amp;" team")&amp;","&amp;CHAR(10)&amp;CHAR(10)&amp;"Just bumping this up. The "&amp;AE338&amp;" pitch at "&amp;Z338&amp;" is still free "&amp;IF(ISNUMBER(AD338),TEXT(AD338,"ddd d mmm")&amp;", "&amp;TEXT(AD338,"hh:mm"),"weekday evenings")&amp;", "&amp;IF(OR(AA338=8,AA338=11,AA338=18),"an ","a ")&amp;AA338&amp;"-minute walk from your office, "&amp;IF(AF338&lt;&gt;"","£"&amp;IF(AF338=INT(AF338),TEXT(AF338,"0"),TEXT(AF338,"0.00")),"[PRICE PER PLAYER]")&amp;" a player. Happy to hold it for "&amp;F338&amp;"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LINK]")&amp;CHAR(10)&amp;CHAR(10)&amp;"Best,"&amp;CHAR(10)&amp;IF(AM338&lt;&gt;"",AM338,IF(Offer!$C$5&lt;&gt;"",Offer!$C$5,"[NAME]"))&amp;CHAR(10)&amp;"FC Urban"</f>
        <v/>
      </c>
      <c r="AL338" s="14">
        <f>IF(AH338="","No email yet",IF(ISNUMBER(SEARCH("[",AJ338)),"Fill placeholders",IF(ISNUMBER(AD338),"Ready to send","Ready · no fixed slot")))</f>
        <v/>
      </c>
      <c r="AO338" s="17" t="n"/>
      <c r="AP338" s="17" t="n"/>
    </row>
    <row r="339">
      <c r="A339" s="11" t="n">
        <v>337</v>
      </c>
      <c r="B339" s="11" t="n">
        <v>3</v>
      </c>
      <c r="C339" s="11" t="inlineStr">
        <is>
          <t>Fund / asset manager</t>
        </is>
      </c>
      <c r="D339" s="11" t="inlineStr">
        <is>
          <t>City of London</t>
        </is>
      </c>
      <c r="E339" s="11" t="inlineStr">
        <is>
          <t>Alphidence Capital Limited</t>
        </is>
      </c>
      <c r="F339" s="11" t="inlineStr">
        <is>
          <t>Alphidence Capital</t>
        </is>
      </c>
      <c r="G339" s="12" t="inlineStr">
        <is>
          <t>https://alphidence.capital</t>
        </is>
      </c>
      <c r="H339" s="11" t="inlineStr">
        <is>
          <t>info@alphidence.capital</t>
        </is>
      </c>
      <c r="I339" s="11" t="inlineStr">
        <is>
          <t>general</t>
        </is>
      </c>
      <c r="J339" s="12" t="inlineStr">
        <is>
          <t>Open page</t>
        </is>
      </c>
      <c r="K339" s="11" t="inlineStr">
        <is>
          <t>12590895</t>
        </is>
      </c>
      <c r="L339" s="12" t="inlineStr">
        <is>
          <t>Open</t>
        </is>
      </c>
      <c r="M339" s="11" t="inlineStr">
        <is>
          <t>Full</t>
        </is>
      </c>
      <c r="N339" s="13" t="n">
        <v>43958</v>
      </c>
      <c r="O339" s="11" t="inlineStr">
        <is>
          <t>14 Gray'S Inn Road, London</t>
        </is>
      </c>
      <c r="P339" s="11" t="inlineStr">
        <is>
          <t>WC1X 8HN</t>
        </is>
      </c>
      <c r="Q339" s="11" t="inlineStr">
        <is>
          <t>No</t>
        </is>
      </c>
      <c r="W339" s="11" t="inlineStr">
        <is>
          <t>St Pancras - Coram's Fields 3G</t>
        </is>
      </c>
      <c r="X339" s="11" t="n">
        <v>16</v>
      </c>
      <c r="Y339" s="11" t="n"/>
      <c r="Z339" s="11" t="inlineStr">
        <is>
          <t>St Pancras - Coram's Fields 3G</t>
        </is>
      </c>
      <c r="AA339" s="11" t="n">
        <v>16</v>
      </c>
      <c r="AB339" s="14">
        <f>IFERROR(INDEX(Venues!$E$2:$E$17,MATCH(Z339,Venues!$A$2:$A$17,0)),"Not checked")</f>
        <v/>
      </c>
      <c r="AC339" s="14">
        <f>IFERROR(INDEX(Venues!$F$2:$F$17,MATCH(Z339,Venues!$A$2:$A$17,0)),0)</f>
        <v/>
      </c>
      <c r="AD339" s="15">
        <f>IFERROR(INDEX(Venues!$M$2:$M$17,MATCH(Z339,Venues!$A$2:$A$17,0)),"")</f>
        <v/>
      </c>
      <c r="AE339" s="14">
        <f>IFERROR(INDEX(Venues!$N$2:$N$17,MATCH(Z339,Venues!$A$2:$A$17,0)),"5-a-side")</f>
        <v/>
      </c>
      <c r="AF339" s="16">
        <f>IF(Offer!$C$4="","",Offer!$C$4)</f>
        <v/>
      </c>
      <c r="AG339" s="14">
        <f>Z339&amp;" ("&amp;AA339&amp;" min walk) · "&amp;IF(ISNUMBER(AD339),TEXT(AD339,"ddd d mmm, hh:mm"),"slot to confirm with venue")&amp;" · "&amp;AE339&amp;" · "&amp;IF(AF339&lt;&gt;"","£"&amp;TEXT(AF339,"0.00")&amp;" pp","price TBC")</f>
        <v/>
      </c>
      <c r="AH339" s="14">
        <f>IF(U339&lt;&gt;"",U339,IF(H339&lt;&gt;"",H339,""))</f>
        <v/>
      </c>
      <c r="AI339" s="14">
        <f>"After-work football for "&amp;F339&amp;" · "&amp;Z339&amp;", "&amp;AA339&amp;" min from your office"</f>
        <v/>
      </c>
      <c r="AJ339" s="14">
        <f>"Hi "&amp;IF(R339&lt;&gt;"",R339,F339&amp;" team")&amp;","&amp;CHAR(10)&amp;CHAR(10)&amp;"I'm "&amp;IF(AM339&lt;&gt;"",AM339,IF(Offer!$C$5&lt;&gt;"",Offer!$C$5,"[NAME]"))&amp;" from FC Urban. We organise after-work football for teams in the City and Canary Wharf."&amp;CHAR(10)&amp;CHAR(10)&amp;"We have a "&amp;AE339&amp;" pitch at "&amp;Z339&amp;", "&amp;IF(OR(AA339=8,AA339=11,AA339=18),"an ","a ")&amp;AA339&amp;"-minute walk from your "&amp;P339&amp;" office, "&amp;IF(ISNUMBER(AD339),"on "&amp;TEXT(AD339,"dddd d mmmm")&amp;" at "&amp;TEXT(AD339,"hh:mm"),"on a weekday evening that suits your team")&amp;". It's "&amp;IF(AF339&lt;&gt;"","£"&amp;IF(AF339=INT(AF339),TEXT(AF339,"0"),TEXT(AF339,"0.00")),"[PRICE PER PLAYER]")&amp;" a player and we handle the pitch booking, sign-ups and payments, so all it takes is one person sharing a link with the team."&amp;CHAR(10)&amp;CHAR(10)&amp;"It works well as a team social or "&amp;IF(ISNUMBER(SEARCH(LEFT(F339,1),"AEIOU")),"an ","a ")&amp;F339&amp;"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LINK]")&amp;CHAR(10)&amp;CHAR(10)&amp;"Best,"&amp;CHAR(10)&amp;IF(AM339&lt;&gt;"",AM339,IF(Offer!$C$5&lt;&gt;"",Offer!$C$5,"[NAME]"))&amp;CHAR(10)&amp;"FC Urban"</f>
        <v/>
      </c>
      <c r="AK339" s="14">
        <f>"Hi "&amp;IF(R339&lt;&gt;"",R339,F339&amp;" team")&amp;","&amp;CHAR(10)&amp;CHAR(10)&amp;"Just bumping this up. The "&amp;AE339&amp;" pitch at "&amp;Z339&amp;" is still free "&amp;IF(ISNUMBER(AD339),TEXT(AD339,"ddd d mmm")&amp;", "&amp;TEXT(AD339,"hh:mm"),"weekday evenings")&amp;", "&amp;IF(OR(AA339=8,AA339=11,AA339=18),"an ","a ")&amp;AA339&amp;"-minute walk from your office, "&amp;IF(AF339&lt;&gt;"","£"&amp;IF(AF339=INT(AF339),TEXT(AF339,"0"),TEXT(AF339,"0.00")),"[PRICE PER PLAYER]")&amp;" a player. Happy to hold it for "&amp;F339&amp;"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LINK]")&amp;CHAR(10)&amp;CHAR(10)&amp;"Best,"&amp;CHAR(10)&amp;IF(AM339&lt;&gt;"",AM339,IF(Offer!$C$5&lt;&gt;"",Offer!$C$5,"[NAME]"))&amp;CHAR(10)&amp;"FC Urban"</f>
        <v/>
      </c>
      <c r="AL339" s="14">
        <f>IF(AH339="","No email yet",IF(ISNUMBER(SEARCH("[",AJ339)),"Fill placeholders",IF(ISNUMBER(AD339),"Ready to send","Ready · no fixed slot")))</f>
        <v/>
      </c>
      <c r="AO339" s="17" t="n"/>
      <c r="AP339" s="17" t="n"/>
    </row>
    <row r="340">
      <c r="A340" s="11" t="n">
        <v>338</v>
      </c>
      <c r="B340" s="11" t="n">
        <v>3</v>
      </c>
      <c r="C340" s="11" t="inlineStr">
        <is>
          <t>Insurance / broker</t>
        </is>
      </c>
      <c r="D340" s="11" t="inlineStr">
        <is>
          <t>City of London</t>
        </is>
      </c>
      <c r="E340" s="11" t="inlineStr">
        <is>
          <t>St Andrew's Insurance PLC</t>
        </is>
      </c>
      <c r="F340" s="11" t="inlineStr">
        <is>
          <t>St Andrew's Insurance</t>
        </is>
      </c>
      <c r="G340" s="12" t="inlineStr">
        <is>
          <t>https://standrewsinsurance.com</t>
        </is>
      </c>
      <c r="H340" s="11" t="inlineStr">
        <is>
          <t>joe@standrewsinsurance.com</t>
        </is>
      </c>
      <c r="I340" s="11" t="inlineStr">
        <is>
          <t>named person</t>
        </is>
      </c>
      <c r="J340" s="12" t="inlineStr">
        <is>
          <t>Open page</t>
        </is>
      </c>
      <c r="K340" s="11" t="inlineStr">
        <is>
          <t>03104671</t>
        </is>
      </c>
      <c r="L340" s="12" t="inlineStr">
        <is>
          <t>Open</t>
        </is>
      </c>
      <c r="M340" s="11" t="inlineStr">
        <is>
          <t>Full</t>
        </is>
      </c>
      <c r="N340" s="13" t="n">
        <v>34957</v>
      </c>
      <c r="O340" s="11" t="inlineStr">
        <is>
          <t>33 Old Broad Street, London</t>
        </is>
      </c>
      <c r="P340" s="11" t="inlineStr">
        <is>
          <t>EC2N 1HZ</t>
        </is>
      </c>
      <c r="Q340" s="11" t="inlineStr">
        <is>
          <t>No</t>
        </is>
      </c>
      <c r="W340" s="11" t="inlineStr">
        <is>
          <t>Liverpool St - Attlee Centre</t>
        </is>
      </c>
      <c r="X340" s="11" t="n">
        <v>13</v>
      </c>
      <c r="Y340" s="11" t="inlineStr">
        <is>
          <t>Shoreditch Powerleague (16)</t>
        </is>
      </c>
      <c r="Z340" s="11" t="inlineStr">
        <is>
          <t>Shoreditch Powerleague</t>
        </is>
      </c>
      <c r="AA340" s="11" t="n">
        <v>16</v>
      </c>
      <c r="AB340" s="14">
        <f>IFERROR(INDEX(Venues!$E$2:$E$17,MATCH(Z340,Venues!$A$2:$A$17,0)),"Not checked")</f>
        <v/>
      </c>
      <c r="AC340" s="14">
        <f>IFERROR(INDEX(Venues!$F$2:$F$17,MATCH(Z340,Venues!$A$2:$A$17,0)),0)</f>
        <v/>
      </c>
      <c r="AD340" s="15">
        <f>IFERROR(INDEX(Venues!$M$2:$M$17,MATCH(Z340,Venues!$A$2:$A$17,0)),"")</f>
        <v/>
      </c>
      <c r="AE340" s="14">
        <f>IFERROR(INDEX(Venues!$N$2:$N$17,MATCH(Z340,Venues!$A$2:$A$17,0)),"5-a-side")</f>
        <v/>
      </c>
      <c r="AF340" s="16">
        <f>IF(Offer!$C$4="","",Offer!$C$4)</f>
        <v/>
      </c>
      <c r="AG340" s="14">
        <f>Z340&amp;" ("&amp;AA340&amp;" min walk) · "&amp;IF(ISNUMBER(AD340),TEXT(AD340,"ddd d mmm, hh:mm"),"slot to confirm with venue")&amp;" · "&amp;AE340&amp;" · "&amp;IF(AF340&lt;&gt;"","£"&amp;TEXT(AF340,"0.00")&amp;" pp","price TBC")</f>
        <v/>
      </c>
      <c r="AH340" s="14">
        <f>IF(U340&lt;&gt;"",U340,IF(H340&lt;&gt;"",H340,""))</f>
        <v/>
      </c>
      <c r="AI340" s="14">
        <f>"After-work football for "&amp;F340&amp;" · "&amp;Z340&amp;", "&amp;AA340&amp;" min from your office"</f>
        <v/>
      </c>
      <c r="AJ340" s="14">
        <f>"Hi "&amp;IF(R340&lt;&gt;"",R340,F340&amp;" team")&amp;","&amp;CHAR(10)&amp;CHAR(10)&amp;"I'm "&amp;IF(AM340&lt;&gt;"",AM340,IF(Offer!$C$5&lt;&gt;"",Offer!$C$5,"[NAME]"))&amp;" from FC Urban. We organise after-work football for teams in the City and Canary Wharf."&amp;CHAR(10)&amp;CHAR(10)&amp;"We have a "&amp;AE340&amp;" pitch at "&amp;Z340&amp;", "&amp;IF(OR(AA340=8,AA340=11,AA340=18),"an ","a ")&amp;AA340&amp;"-minute walk from your "&amp;P340&amp;" office, "&amp;IF(ISNUMBER(AD340),"on "&amp;TEXT(AD340,"dddd d mmmm")&amp;" at "&amp;TEXT(AD340,"hh:mm"),"on a weekday evening that suits your team")&amp;". It's "&amp;IF(AF340&lt;&gt;"","£"&amp;IF(AF340=INT(AF340),TEXT(AF340,"0"),TEXT(AF340,"0.00")),"[PRICE PER PLAYER]")&amp;" a player and we handle the pitch booking, sign-ups and payments, so all it takes is one person sharing a link with the team."&amp;CHAR(10)&amp;CHAR(10)&amp;"It works well as a team social or "&amp;IF(ISNUMBER(SEARCH(LEFT(F340,1),"AEIOU")),"an ","a ")&amp;F340&amp;"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LINK]")&amp;CHAR(10)&amp;CHAR(10)&amp;"Best,"&amp;CHAR(10)&amp;IF(AM340&lt;&gt;"",AM340,IF(Offer!$C$5&lt;&gt;"",Offer!$C$5,"[NAME]"))&amp;CHAR(10)&amp;"FC Urban"</f>
        <v/>
      </c>
      <c r="AK340" s="14">
        <f>"Hi "&amp;IF(R340&lt;&gt;"",R340,F340&amp;" team")&amp;","&amp;CHAR(10)&amp;CHAR(10)&amp;"Just bumping this up. The "&amp;AE340&amp;" pitch at "&amp;Z340&amp;" is still free "&amp;IF(ISNUMBER(AD340),TEXT(AD340,"ddd d mmm")&amp;", "&amp;TEXT(AD340,"hh:mm"),"weekday evenings")&amp;", "&amp;IF(OR(AA340=8,AA340=11,AA340=18),"an ","a ")&amp;AA340&amp;"-minute walk from your office, "&amp;IF(AF340&lt;&gt;"","£"&amp;IF(AF340=INT(AF340),TEXT(AF340,"0"),TEXT(AF340,"0.00")),"[PRICE PER PLAYER]")&amp;" a player. Happy to hold it for "&amp;F340&amp;"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LINK]")&amp;CHAR(10)&amp;CHAR(10)&amp;"Best,"&amp;CHAR(10)&amp;IF(AM340&lt;&gt;"",AM340,IF(Offer!$C$5&lt;&gt;"",Offer!$C$5,"[NAME]"))&amp;CHAR(10)&amp;"FC Urban"</f>
        <v/>
      </c>
      <c r="AL340" s="14">
        <f>IF(AH340="","No email yet",IF(ISNUMBER(SEARCH("[",AJ340)),"Fill placeholders",IF(ISNUMBER(AD340),"Ready to send","Ready · no fixed slot")))</f>
        <v/>
      </c>
      <c r="AO340" s="17" t="n"/>
      <c r="AP340" s="17" t="n"/>
    </row>
    <row r="341">
      <c r="A341" s="11" t="n">
        <v>339</v>
      </c>
      <c r="B341" s="11" t="n">
        <v>3</v>
      </c>
      <c r="C341" s="11" t="inlineStr">
        <is>
          <t>Fund / asset manager</t>
        </is>
      </c>
      <c r="D341" s="11" t="inlineStr">
        <is>
          <t>City of London</t>
        </is>
      </c>
      <c r="E341" s="11" t="inlineStr">
        <is>
          <t>Embark Investments Limited</t>
        </is>
      </c>
      <c r="F341" s="11" t="inlineStr">
        <is>
          <t>Embark Investments</t>
        </is>
      </c>
      <c r="G341" s="12" t="inlineStr">
        <is>
          <t>https://www.embark.com</t>
        </is>
      </c>
      <c r="H341" s="11" t="inlineStr">
        <is>
          <t>help@embark.com</t>
        </is>
      </c>
      <c r="I341" s="11" t="inlineStr">
        <is>
          <t>general</t>
        </is>
      </c>
      <c r="J341" s="12" t="inlineStr">
        <is>
          <t>Open page</t>
        </is>
      </c>
      <c r="K341" s="11" t="inlineStr">
        <is>
          <t>03383730</t>
        </is>
      </c>
      <c r="L341" s="12" t="inlineStr">
        <is>
          <t>Open</t>
        </is>
      </c>
      <c r="M341" s="11" t="inlineStr">
        <is>
          <t>Full</t>
        </is>
      </c>
      <c r="N341" s="13" t="n">
        <v>35590</v>
      </c>
      <c r="O341" s="11" t="inlineStr">
        <is>
          <t>33 Old Broad Street, London</t>
        </is>
      </c>
      <c r="P341" s="11" t="inlineStr">
        <is>
          <t>EC2N 1HZ</t>
        </is>
      </c>
      <c r="Q341" s="11" t="inlineStr">
        <is>
          <t>No</t>
        </is>
      </c>
      <c r="W341" s="11" t="inlineStr">
        <is>
          <t>Liverpool St - Attlee Centre</t>
        </is>
      </c>
      <c r="X341" s="11" t="n">
        <v>13</v>
      </c>
      <c r="Y341" s="11" t="inlineStr">
        <is>
          <t>Shoreditch Powerleague (16)</t>
        </is>
      </c>
      <c r="Z341" s="11" t="inlineStr">
        <is>
          <t>Shoreditch Powerleague</t>
        </is>
      </c>
      <c r="AA341" s="11" t="n">
        <v>16</v>
      </c>
      <c r="AB341" s="14">
        <f>IFERROR(INDEX(Venues!$E$2:$E$17,MATCH(Z341,Venues!$A$2:$A$17,0)),"Not checked")</f>
        <v/>
      </c>
      <c r="AC341" s="14">
        <f>IFERROR(INDEX(Venues!$F$2:$F$17,MATCH(Z341,Venues!$A$2:$A$17,0)),0)</f>
        <v/>
      </c>
      <c r="AD341" s="15">
        <f>IFERROR(INDEX(Venues!$M$2:$M$17,MATCH(Z341,Venues!$A$2:$A$17,0)),"")</f>
        <v/>
      </c>
      <c r="AE341" s="14">
        <f>IFERROR(INDEX(Venues!$N$2:$N$17,MATCH(Z341,Venues!$A$2:$A$17,0)),"5-a-side")</f>
        <v/>
      </c>
      <c r="AF341" s="16">
        <f>IF(Offer!$C$4="","",Offer!$C$4)</f>
        <v/>
      </c>
      <c r="AG341" s="14">
        <f>Z341&amp;" ("&amp;AA341&amp;" min walk) · "&amp;IF(ISNUMBER(AD341),TEXT(AD341,"ddd d mmm, hh:mm"),"slot to confirm with venue")&amp;" · "&amp;AE341&amp;" · "&amp;IF(AF341&lt;&gt;"","£"&amp;TEXT(AF341,"0.00")&amp;" pp","price TBC")</f>
        <v/>
      </c>
      <c r="AH341" s="14">
        <f>IF(U341&lt;&gt;"",U341,IF(H341&lt;&gt;"",H341,""))</f>
        <v/>
      </c>
      <c r="AI341" s="14">
        <f>"After-work football for "&amp;F341&amp;" · "&amp;Z341&amp;", "&amp;AA341&amp;" min from your office"</f>
        <v/>
      </c>
      <c r="AJ341" s="14">
        <f>"Hi "&amp;IF(R341&lt;&gt;"",R341,F341&amp;" team")&amp;","&amp;CHAR(10)&amp;CHAR(10)&amp;"I'm "&amp;IF(AM341&lt;&gt;"",AM341,IF(Offer!$C$5&lt;&gt;"",Offer!$C$5,"[NAME]"))&amp;" from FC Urban. We organise after-work football for teams in the City and Canary Wharf."&amp;CHAR(10)&amp;CHAR(10)&amp;"We have a "&amp;AE341&amp;" pitch at "&amp;Z341&amp;", "&amp;IF(OR(AA341=8,AA341=11,AA341=18),"an ","a ")&amp;AA341&amp;"-minute walk from your "&amp;P341&amp;" office, "&amp;IF(ISNUMBER(AD341),"on "&amp;TEXT(AD341,"dddd d mmmm")&amp;" at "&amp;TEXT(AD341,"hh:mm"),"on a weekday evening that suits your team")&amp;". It's "&amp;IF(AF341&lt;&gt;"","£"&amp;IF(AF341=INT(AF341),TEXT(AF341,"0"),TEXT(AF341,"0.00")),"[PRICE PER PLAYER]")&amp;" a player and we handle the pitch booking, sign-ups and payments, so all it takes is one person sharing a link with the team."&amp;CHAR(10)&amp;CHAR(10)&amp;"It works well as a team social or "&amp;IF(ISNUMBER(SEARCH(LEFT(F341,1),"AEIOU")),"an ","a ")&amp;F341&amp;"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LINK]")&amp;CHAR(10)&amp;CHAR(10)&amp;"Best,"&amp;CHAR(10)&amp;IF(AM341&lt;&gt;"",AM341,IF(Offer!$C$5&lt;&gt;"",Offer!$C$5,"[NAME]"))&amp;CHAR(10)&amp;"FC Urban"</f>
        <v/>
      </c>
      <c r="AK341" s="14">
        <f>"Hi "&amp;IF(R341&lt;&gt;"",R341,F341&amp;" team")&amp;","&amp;CHAR(10)&amp;CHAR(10)&amp;"Just bumping this up. The "&amp;AE341&amp;" pitch at "&amp;Z341&amp;" is still free "&amp;IF(ISNUMBER(AD341),TEXT(AD341,"ddd d mmm")&amp;", "&amp;TEXT(AD341,"hh:mm"),"weekday evenings")&amp;", "&amp;IF(OR(AA341=8,AA341=11,AA341=18),"an ","a ")&amp;AA341&amp;"-minute walk from your office, "&amp;IF(AF341&lt;&gt;"","£"&amp;IF(AF341=INT(AF341),TEXT(AF341,"0"),TEXT(AF341,"0.00")),"[PRICE PER PLAYER]")&amp;" a player. Happy to hold it for "&amp;F341&amp;"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LINK]")&amp;CHAR(10)&amp;CHAR(10)&amp;"Best,"&amp;CHAR(10)&amp;IF(AM341&lt;&gt;"",AM341,IF(Offer!$C$5&lt;&gt;"",Offer!$C$5,"[NAME]"))&amp;CHAR(10)&amp;"FC Urban"</f>
        <v/>
      </c>
      <c r="AL341" s="14">
        <f>IF(AH341="","No email yet",IF(ISNUMBER(SEARCH("[",AJ341)),"Fill placeholders",IF(ISNUMBER(AD341),"Ready to send","Ready · no fixed slot")))</f>
        <v/>
      </c>
      <c r="AO341" s="17" t="n"/>
      <c r="AP341" s="17" t="n"/>
    </row>
    <row r="342">
      <c r="A342" s="11" t="n">
        <v>340</v>
      </c>
      <c r="B342" s="11" t="n">
        <v>3</v>
      </c>
      <c r="C342" s="11" t="inlineStr">
        <is>
          <t>Fund / asset manager</t>
        </is>
      </c>
      <c r="D342" s="11" t="inlineStr">
        <is>
          <t>City of London</t>
        </is>
      </c>
      <c r="E342" s="11" t="inlineStr">
        <is>
          <t>John Street Capital Limited</t>
        </is>
      </c>
      <c r="F342" s="11" t="inlineStr">
        <is>
          <t>John Street Capital</t>
        </is>
      </c>
      <c r="G342" s="12" t="inlineStr">
        <is>
          <t>https://www.johnstreetcapital.com</t>
        </is>
      </c>
      <c r="H342" s="11" t="inlineStr">
        <is>
          <t>enquiries@johnstreetcapital.com</t>
        </is>
      </c>
      <c r="I342" s="11" t="inlineStr">
        <is>
          <t>general</t>
        </is>
      </c>
      <c r="J342" s="12" t="inlineStr">
        <is>
          <t>Open page</t>
        </is>
      </c>
      <c r="K342" s="11" t="inlineStr">
        <is>
          <t>12142117</t>
        </is>
      </c>
      <c r="L342" s="12" t="inlineStr">
        <is>
          <t>Open</t>
        </is>
      </c>
      <c r="M342" s="11" t="inlineStr">
        <is>
          <t>Full</t>
        </is>
      </c>
      <c r="N342" s="13" t="n">
        <v>43683</v>
      </c>
      <c r="O342" s="11" t="inlineStr">
        <is>
          <t>29-30 Ely Place, London</t>
        </is>
      </c>
      <c r="P342" s="11" t="inlineStr">
        <is>
          <t>EC1N 6TD</t>
        </is>
      </c>
      <c r="Q342" s="11" t="inlineStr">
        <is>
          <t>Yes</t>
        </is>
      </c>
      <c r="W342" s="11" t="inlineStr">
        <is>
          <t>City of London School (EC4V 3AL)</t>
        </is>
      </c>
      <c r="X342" s="11" t="n">
        <v>16</v>
      </c>
      <c r="Y342" s="11" t="inlineStr">
        <is>
          <t>Finsbury Leisure Centre (EC1V 3PU) (18.9)</t>
        </is>
      </c>
      <c r="Z342" s="11" t="inlineStr">
        <is>
          <t>City of London School (EC4V 3AL)</t>
        </is>
      </c>
      <c r="AA342" s="11" t="n">
        <v>16</v>
      </c>
      <c r="AB342" s="14">
        <f>IFERROR(INDEX(Venues!$E$2:$E$17,MATCH(Z342,Venues!$A$2:$A$17,0)),"Not checked")</f>
        <v/>
      </c>
      <c r="AC342" s="14">
        <f>IFERROR(INDEX(Venues!$F$2:$F$17,MATCH(Z342,Venues!$A$2:$A$17,0)),0)</f>
        <v/>
      </c>
      <c r="AD342" s="15">
        <f>IFERROR(INDEX(Venues!$M$2:$M$17,MATCH(Z342,Venues!$A$2:$A$17,0)),"")</f>
        <v/>
      </c>
      <c r="AE342" s="14">
        <f>IFERROR(INDEX(Venues!$N$2:$N$17,MATCH(Z342,Venues!$A$2:$A$17,0)),"5-a-side")</f>
        <v/>
      </c>
      <c r="AF342" s="16">
        <f>IF(Offer!$C$4="","",Offer!$C$4)</f>
        <v/>
      </c>
      <c r="AG342" s="14">
        <f>Z342&amp;" ("&amp;AA342&amp;" min walk) · "&amp;IF(ISNUMBER(AD342),TEXT(AD342,"ddd d mmm, hh:mm"),"slot to confirm with venue")&amp;" · "&amp;AE342&amp;" · "&amp;IF(AF342&lt;&gt;"","£"&amp;TEXT(AF342,"0.00")&amp;" pp","price TBC")</f>
        <v/>
      </c>
      <c r="AH342" s="14">
        <f>IF(U342&lt;&gt;"",U342,IF(H342&lt;&gt;"",H342,""))</f>
        <v/>
      </c>
      <c r="AI342" s="14">
        <f>"After-work football for "&amp;F342&amp;" · "&amp;Z342&amp;", "&amp;AA342&amp;" min from your office"</f>
        <v/>
      </c>
      <c r="AJ342" s="14">
        <f>"Hi "&amp;IF(R342&lt;&gt;"",R342,F342&amp;" team")&amp;","&amp;CHAR(10)&amp;CHAR(10)&amp;"I'm "&amp;IF(AM342&lt;&gt;"",AM342,IF(Offer!$C$5&lt;&gt;"",Offer!$C$5,"[NAME]"))&amp;" from FC Urban. We organise after-work football for teams in the City and Canary Wharf."&amp;CHAR(10)&amp;CHAR(10)&amp;"We have a "&amp;AE342&amp;" pitch at "&amp;Z342&amp;", "&amp;IF(OR(AA342=8,AA342=11,AA342=18),"an ","a ")&amp;AA342&amp;"-minute walk from your "&amp;P342&amp;" office, "&amp;IF(ISNUMBER(AD342),"on "&amp;TEXT(AD342,"dddd d mmmm")&amp;" at "&amp;TEXT(AD342,"hh:mm"),"on a weekday evening that suits your team")&amp;". It's "&amp;IF(AF342&lt;&gt;"","£"&amp;IF(AF342=INT(AF342),TEXT(AF342,"0"),TEXT(AF342,"0.00")),"[PRICE PER PLAYER]")&amp;" a player and we handle the pitch booking, sign-ups and payments, so all it takes is one person sharing a link with the team."&amp;CHAR(10)&amp;CHAR(10)&amp;"It works well as a team social or "&amp;IF(ISNUMBER(SEARCH(LEFT(F342,1),"AEIOU")),"an ","a ")&amp;F342&amp;"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LINK]")&amp;CHAR(10)&amp;CHAR(10)&amp;"Best,"&amp;CHAR(10)&amp;IF(AM342&lt;&gt;"",AM342,IF(Offer!$C$5&lt;&gt;"",Offer!$C$5,"[NAME]"))&amp;CHAR(10)&amp;"FC Urban"</f>
        <v/>
      </c>
      <c r="AK342" s="14">
        <f>"Hi "&amp;IF(R342&lt;&gt;"",R342,F342&amp;" team")&amp;","&amp;CHAR(10)&amp;CHAR(10)&amp;"Just bumping this up. The "&amp;AE342&amp;" pitch at "&amp;Z342&amp;" is still free "&amp;IF(ISNUMBER(AD342),TEXT(AD342,"ddd d mmm")&amp;", "&amp;TEXT(AD342,"hh:mm"),"weekday evenings")&amp;", "&amp;IF(OR(AA342=8,AA342=11,AA342=18),"an ","a ")&amp;AA342&amp;"-minute walk from your office, "&amp;IF(AF342&lt;&gt;"","£"&amp;IF(AF342=INT(AF342),TEXT(AF342,"0"),TEXT(AF342,"0.00")),"[PRICE PER PLAYER]")&amp;" a player. Happy to hold it for "&amp;F342&amp;"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LINK]")&amp;CHAR(10)&amp;CHAR(10)&amp;"Best,"&amp;CHAR(10)&amp;IF(AM342&lt;&gt;"",AM342,IF(Offer!$C$5&lt;&gt;"",Offer!$C$5,"[NAME]"))&amp;CHAR(10)&amp;"FC Urban"</f>
        <v/>
      </c>
      <c r="AL342" s="14">
        <f>IF(AH342="","No email yet",IF(ISNUMBER(SEARCH("[",AJ342)),"Fill placeholders",IF(ISNUMBER(AD342),"Ready to send","Ready · no fixed slot")))</f>
        <v/>
      </c>
      <c r="AO342" s="17" t="n"/>
      <c r="AP342" s="17" t="n"/>
    </row>
    <row r="343">
      <c r="A343" s="11" t="n">
        <v>341</v>
      </c>
      <c r="B343" s="11" t="n">
        <v>3</v>
      </c>
      <c r="C343" s="11" t="inlineStr">
        <is>
          <t>Insurance / broker</t>
        </is>
      </c>
      <c r="D343" s="11" t="inlineStr">
        <is>
          <t>City of London</t>
        </is>
      </c>
      <c r="E343" s="11" t="inlineStr">
        <is>
          <t>China Taiping Insurance (UK) Co Ltd</t>
        </is>
      </c>
      <c r="F343" s="11" t="inlineStr">
        <is>
          <t>China Taiping Insurance Co</t>
        </is>
      </c>
      <c r="G343" s="12" t="inlineStr">
        <is>
          <t>https://uk.cntaiping.com</t>
        </is>
      </c>
      <c r="H343" s="11" t="inlineStr">
        <is>
          <t>tpuk@uk.cntaiping.com</t>
        </is>
      </c>
      <c r="I343" s="11" t="inlineStr">
        <is>
          <t>named person</t>
        </is>
      </c>
      <c r="J343" s="12" t="inlineStr">
        <is>
          <t>Open page</t>
        </is>
      </c>
      <c r="K343" s="11" t="inlineStr">
        <is>
          <t>01766035</t>
        </is>
      </c>
      <c r="L343" s="12" t="inlineStr">
        <is>
          <t>Open</t>
        </is>
      </c>
      <c r="M343" s="11" t="inlineStr">
        <is>
          <t>Full</t>
        </is>
      </c>
      <c r="N343" s="13" t="n">
        <v>30620</v>
      </c>
      <c r="O343" s="11" t="inlineStr">
        <is>
          <t>2 Finch Lane, London</t>
        </is>
      </c>
      <c r="P343" s="11" t="inlineStr">
        <is>
          <t>EC3V 3NA</t>
        </is>
      </c>
      <c r="Q343" s="11" t="inlineStr">
        <is>
          <t>Yes</t>
        </is>
      </c>
      <c r="W343" s="11" t="inlineStr">
        <is>
          <t>City of London School (EC4V 3AL)</t>
        </is>
      </c>
      <c r="X343" s="11" t="n">
        <v>16</v>
      </c>
      <c r="Y343" s="11" t="inlineStr">
        <is>
          <t>Liverpool St - Attlee Centre (16.3)</t>
        </is>
      </c>
      <c r="Z343" s="11" t="inlineStr">
        <is>
          <t>City of London School (EC4V 3AL)</t>
        </is>
      </c>
      <c r="AA343" s="11" t="n">
        <v>16</v>
      </c>
      <c r="AB343" s="14">
        <f>IFERROR(INDEX(Venues!$E$2:$E$17,MATCH(Z343,Venues!$A$2:$A$17,0)),"Not checked")</f>
        <v/>
      </c>
      <c r="AC343" s="14">
        <f>IFERROR(INDEX(Venues!$F$2:$F$17,MATCH(Z343,Venues!$A$2:$A$17,0)),0)</f>
        <v/>
      </c>
      <c r="AD343" s="15">
        <f>IFERROR(INDEX(Venues!$M$2:$M$17,MATCH(Z343,Venues!$A$2:$A$17,0)),"")</f>
        <v/>
      </c>
      <c r="AE343" s="14">
        <f>IFERROR(INDEX(Venues!$N$2:$N$17,MATCH(Z343,Venues!$A$2:$A$17,0)),"5-a-side")</f>
        <v/>
      </c>
      <c r="AF343" s="16">
        <f>IF(Offer!$C$4="","",Offer!$C$4)</f>
        <v/>
      </c>
      <c r="AG343" s="14">
        <f>Z343&amp;" ("&amp;AA343&amp;" min walk) · "&amp;IF(ISNUMBER(AD343),TEXT(AD343,"ddd d mmm, hh:mm"),"slot to confirm with venue")&amp;" · "&amp;AE343&amp;" · "&amp;IF(AF343&lt;&gt;"","£"&amp;TEXT(AF343,"0.00")&amp;" pp","price TBC")</f>
        <v/>
      </c>
      <c r="AH343" s="14">
        <f>IF(U343&lt;&gt;"",U343,IF(H343&lt;&gt;"",H343,""))</f>
        <v/>
      </c>
      <c r="AI343" s="14">
        <f>"After-work football for "&amp;F343&amp;" · "&amp;Z343&amp;", "&amp;AA343&amp;" min from your office"</f>
        <v/>
      </c>
      <c r="AJ343" s="14">
        <f>"Hi "&amp;IF(R343&lt;&gt;"",R343,F343&amp;" team")&amp;","&amp;CHAR(10)&amp;CHAR(10)&amp;"I'm "&amp;IF(AM343&lt;&gt;"",AM343,IF(Offer!$C$5&lt;&gt;"",Offer!$C$5,"[NAME]"))&amp;" from FC Urban. We organise after-work football for teams in the City and Canary Wharf."&amp;CHAR(10)&amp;CHAR(10)&amp;"We have a "&amp;AE343&amp;" pitch at "&amp;Z343&amp;", "&amp;IF(OR(AA343=8,AA343=11,AA343=18),"an ","a ")&amp;AA343&amp;"-minute walk from your "&amp;P343&amp;" office, "&amp;IF(ISNUMBER(AD343),"on "&amp;TEXT(AD343,"dddd d mmmm")&amp;" at "&amp;TEXT(AD343,"hh:mm"),"on a weekday evening that suits your team")&amp;". It's "&amp;IF(AF343&lt;&gt;"","£"&amp;IF(AF343=INT(AF343),TEXT(AF343,"0"),TEXT(AF343,"0.00")),"[PRICE PER PLAYER]")&amp;" a player and we handle the pitch booking, sign-ups and payments, so all it takes is one person sharing a link with the team."&amp;CHAR(10)&amp;CHAR(10)&amp;"It works well as a team social or "&amp;IF(ISNUMBER(SEARCH(LEFT(F343,1),"AEIOU")),"an ","a ")&amp;F343&amp;"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LINK]")&amp;CHAR(10)&amp;CHAR(10)&amp;"Best,"&amp;CHAR(10)&amp;IF(AM343&lt;&gt;"",AM343,IF(Offer!$C$5&lt;&gt;"",Offer!$C$5,"[NAME]"))&amp;CHAR(10)&amp;"FC Urban"</f>
        <v/>
      </c>
      <c r="AK343" s="14">
        <f>"Hi "&amp;IF(R343&lt;&gt;"",R343,F343&amp;" team")&amp;","&amp;CHAR(10)&amp;CHAR(10)&amp;"Just bumping this up. The "&amp;AE343&amp;" pitch at "&amp;Z343&amp;" is still free "&amp;IF(ISNUMBER(AD343),TEXT(AD343,"ddd d mmm")&amp;", "&amp;TEXT(AD343,"hh:mm"),"weekday evenings")&amp;", "&amp;IF(OR(AA343=8,AA343=11,AA343=18),"an ","a ")&amp;AA343&amp;"-minute walk from your office, "&amp;IF(AF343&lt;&gt;"","£"&amp;IF(AF343=INT(AF343),TEXT(AF343,"0"),TEXT(AF343,"0.00")),"[PRICE PER PLAYER]")&amp;" a player. Happy to hold it for "&amp;F343&amp;"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LINK]")&amp;CHAR(10)&amp;CHAR(10)&amp;"Best,"&amp;CHAR(10)&amp;IF(AM343&lt;&gt;"",AM343,IF(Offer!$C$5&lt;&gt;"",Offer!$C$5,"[NAME]"))&amp;CHAR(10)&amp;"FC Urban"</f>
        <v/>
      </c>
      <c r="AL343" s="14">
        <f>IF(AH343="","No email yet",IF(ISNUMBER(SEARCH("[",AJ343)),"Fill placeholders",IF(ISNUMBER(AD343),"Ready to send","Ready · no fixed slot")))</f>
        <v/>
      </c>
      <c r="AO343" s="17" t="n"/>
      <c r="AP343" s="17" t="n"/>
    </row>
    <row r="344">
      <c r="A344" s="11" t="n">
        <v>342</v>
      </c>
      <c r="B344" s="11" t="n">
        <v>3</v>
      </c>
      <c r="C344" s="11" t="inlineStr">
        <is>
          <t>Fund / asset manager</t>
        </is>
      </c>
      <c r="D344" s="11" t="inlineStr">
        <is>
          <t>City of London</t>
        </is>
      </c>
      <c r="E344" s="11" t="inlineStr">
        <is>
          <t>Sidekick Money Ltd</t>
        </is>
      </c>
      <c r="F344" s="11" t="inlineStr">
        <is>
          <t>Sidekick Money</t>
        </is>
      </c>
      <c r="G344" s="12" t="inlineStr">
        <is>
          <t>https://www.sidekickmoney.com</t>
        </is>
      </c>
      <c r="H344" s="11" t="inlineStr">
        <is>
          <t>support@sidekickmoney.com</t>
        </is>
      </c>
      <c r="I344" s="11" t="inlineStr">
        <is>
          <t>role (other)</t>
        </is>
      </c>
      <c r="J344" s="12" t="inlineStr">
        <is>
          <t>Open page</t>
        </is>
      </c>
      <c r="K344" s="11" t="inlineStr">
        <is>
          <t>13882980</t>
        </is>
      </c>
      <c r="L344" s="12" t="inlineStr">
        <is>
          <t>Open</t>
        </is>
      </c>
      <c r="M344" s="11" t="inlineStr">
        <is>
          <t>Full</t>
        </is>
      </c>
      <c r="N344" s="13" t="n">
        <v>44592</v>
      </c>
      <c r="O344" s="11" t="inlineStr">
        <is>
          <t>6-7 St. Cross Street, London</t>
        </is>
      </c>
      <c r="P344" s="11" t="inlineStr">
        <is>
          <t>EC1N 8UB</t>
        </is>
      </c>
      <c r="Q344" s="11" t="inlineStr">
        <is>
          <t>Yes</t>
        </is>
      </c>
      <c r="W344" s="11" t="inlineStr">
        <is>
          <t>St Pancras - Coram's Fields 3G</t>
        </is>
      </c>
      <c r="X344" s="11" t="n">
        <v>16</v>
      </c>
      <c r="Y344" s="11" t="inlineStr">
        <is>
          <t>Angel Centre (EC1V 7DD) (18.5); Finsbury Leisure Centre (EC1V 3PU) (18.6)</t>
        </is>
      </c>
      <c r="Z344" s="11" t="inlineStr">
        <is>
          <t>St Pancras - Coram's Fields 3G</t>
        </is>
      </c>
      <c r="AA344" s="11" t="n">
        <v>16</v>
      </c>
      <c r="AB344" s="14">
        <f>IFERROR(INDEX(Venues!$E$2:$E$17,MATCH(Z344,Venues!$A$2:$A$17,0)),"Not checked")</f>
        <v/>
      </c>
      <c r="AC344" s="14">
        <f>IFERROR(INDEX(Venues!$F$2:$F$17,MATCH(Z344,Venues!$A$2:$A$17,0)),0)</f>
        <v/>
      </c>
      <c r="AD344" s="15">
        <f>IFERROR(INDEX(Venues!$M$2:$M$17,MATCH(Z344,Venues!$A$2:$A$17,0)),"")</f>
        <v/>
      </c>
      <c r="AE344" s="14">
        <f>IFERROR(INDEX(Venues!$N$2:$N$17,MATCH(Z344,Venues!$A$2:$A$17,0)),"5-a-side")</f>
        <v/>
      </c>
      <c r="AF344" s="16">
        <f>IF(Offer!$C$4="","",Offer!$C$4)</f>
        <v/>
      </c>
      <c r="AG344" s="14">
        <f>Z344&amp;" ("&amp;AA344&amp;" min walk) · "&amp;IF(ISNUMBER(AD344),TEXT(AD344,"ddd d mmm, hh:mm"),"slot to confirm with venue")&amp;" · "&amp;AE344&amp;" · "&amp;IF(AF344&lt;&gt;"","£"&amp;TEXT(AF344,"0.00")&amp;" pp","price TBC")</f>
        <v/>
      </c>
      <c r="AH344" s="14">
        <f>IF(U344&lt;&gt;"",U344,IF(H344&lt;&gt;"",H344,""))</f>
        <v/>
      </c>
      <c r="AI344" s="14">
        <f>"After-work football for "&amp;F344&amp;" · "&amp;Z344&amp;", "&amp;AA344&amp;" min from your office"</f>
        <v/>
      </c>
      <c r="AJ344" s="14">
        <f>"Hi "&amp;IF(R344&lt;&gt;"",R344,F344&amp;" team")&amp;","&amp;CHAR(10)&amp;CHAR(10)&amp;"I'm "&amp;IF(AM344&lt;&gt;"",AM344,IF(Offer!$C$5&lt;&gt;"",Offer!$C$5,"[NAME]"))&amp;" from FC Urban. We organise after-work football for teams in the City and Canary Wharf."&amp;CHAR(10)&amp;CHAR(10)&amp;"We have a "&amp;AE344&amp;" pitch at "&amp;Z344&amp;", "&amp;IF(OR(AA344=8,AA344=11,AA344=18),"an ","a ")&amp;AA344&amp;"-minute walk from your "&amp;P344&amp;" office, "&amp;IF(ISNUMBER(AD344),"on "&amp;TEXT(AD344,"dddd d mmmm")&amp;" at "&amp;TEXT(AD344,"hh:mm"),"on a weekday evening that suits your team")&amp;". It's "&amp;IF(AF344&lt;&gt;"","£"&amp;IF(AF344=INT(AF344),TEXT(AF344,"0"),TEXT(AF344,"0.00")),"[PRICE PER PLAYER]")&amp;" a player and we handle the pitch booking, sign-ups and payments, so all it takes is one person sharing a link with the team."&amp;CHAR(10)&amp;CHAR(10)&amp;"It works well as a team social or "&amp;IF(ISNUMBER(SEARCH(LEFT(F344,1),"AEIOU")),"an ","a ")&amp;F344&amp;"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LINK]")&amp;CHAR(10)&amp;CHAR(10)&amp;"Best,"&amp;CHAR(10)&amp;IF(AM344&lt;&gt;"",AM344,IF(Offer!$C$5&lt;&gt;"",Offer!$C$5,"[NAME]"))&amp;CHAR(10)&amp;"FC Urban"</f>
        <v/>
      </c>
      <c r="AK344" s="14">
        <f>"Hi "&amp;IF(R344&lt;&gt;"",R344,F344&amp;" team")&amp;","&amp;CHAR(10)&amp;CHAR(10)&amp;"Just bumping this up. The "&amp;AE344&amp;" pitch at "&amp;Z344&amp;" is still free "&amp;IF(ISNUMBER(AD344),TEXT(AD344,"ddd d mmm")&amp;", "&amp;TEXT(AD344,"hh:mm"),"weekday evenings")&amp;", "&amp;IF(OR(AA344=8,AA344=11,AA344=18),"an ","a ")&amp;AA344&amp;"-minute walk from your office, "&amp;IF(AF344&lt;&gt;"","£"&amp;IF(AF344=INT(AF344),TEXT(AF344,"0"),TEXT(AF344,"0.00")),"[PRICE PER PLAYER]")&amp;" a player. Happy to hold it for "&amp;F344&amp;"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LINK]")&amp;CHAR(10)&amp;CHAR(10)&amp;"Best,"&amp;CHAR(10)&amp;IF(AM344&lt;&gt;"",AM344,IF(Offer!$C$5&lt;&gt;"",Offer!$C$5,"[NAME]"))&amp;CHAR(10)&amp;"FC Urban"</f>
        <v/>
      </c>
      <c r="AL344" s="14">
        <f>IF(AH344="","No email yet",IF(ISNUMBER(SEARCH("[",AJ344)),"Fill placeholders",IF(ISNUMBER(AD344),"Ready to send","Ready · no fixed slot")))</f>
        <v/>
      </c>
      <c r="AO344" s="17" t="n"/>
      <c r="AP344" s="17" t="n"/>
    </row>
    <row r="345">
      <c r="A345" s="11" t="n">
        <v>343</v>
      </c>
      <c r="B345" s="11" t="n">
        <v>3</v>
      </c>
      <c r="C345" s="11" t="inlineStr">
        <is>
          <t>Insurance / broker</t>
        </is>
      </c>
      <c r="D345" s="11" t="inlineStr">
        <is>
          <t>City of London</t>
        </is>
      </c>
      <c r="E345" s="11" t="inlineStr">
        <is>
          <t>Stubben Edge Markets Limited</t>
        </is>
      </c>
      <c r="F345" s="11" t="inlineStr">
        <is>
          <t>Stubben Edge Markets</t>
        </is>
      </c>
      <c r="G345" s="12" t="inlineStr">
        <is>
          <t>https://www.stubbenedge.com</t>
        </is>
      </c>
      <c r="H345" s="11" t="inlineStr">
        <is>
          <t>hello@stubbenedge.com</t>
        </is>
      </c>
      <c r="I345" s="11" t="inlineStr">
        <is>
          <t>general</t>
        </is>
      </c>
      <c r="J345" s="12" t="inlineStr">
        <is>
          <t>Open page</t>
        </is>
      </c>
      <c r="K345" s="11" t="inlineStr">
        <is>
          <t>03317764</t>
        </is>
      </c>
      <c r="L345" s="12" t="inlineStr">
        <is>
          <t>Open</t>
        </is>
      </c>
      <c r="M345" s="11" t="inlineStr">
        <is>
          <t>Full</t>
        </is>
      </c>
      <c r="N345" s="13" t="n">
        <v>35468</v>
      </c>
      <c r="O345" s="11" t="inlineStr">
        <is>
          <t>77 Cornhill, London</t>
        </is>
      </c>
      <c r="P345" s="11" t="inlineStr">
        <is>
          <t>EC3V 3QQ</t>
        </is>
      </c>
      <c r="Q345" s="11" t="inlineStr">
        <is>
          <t>No</t>
        </is>
      </c>
      <c r="W345" s="11" t="inlineStr">
        <is>
          <t>City of London School (EC4V 3AL)</t>
        </is>
      </c>
      <c r="X345" s="11" t="n">
        <v>16</v>
      </c>
      <c r="Y345" s="11" t="inlineStr">
        <is>
          <t>Liverpool St - Attlee Centre (16.2)</t>
        </is>
      </c>
      <c r="Z345" s="11" t="inlineStr">
        <is>
          <t>City of London School (EC4V 3AL)</t>
        </is>
      </c>
      <c r="AA345" s="11" t="n">
        <v>16</v>
      </c>
      <c r="AB345" s="14">
        <f>IFERROR(INDEX(Venues!$E$2:$E$17,MATCH(Z345,Venues!$A$2:$A$17,0)),"Not checked")</f>
        <v/>
      </c>
      <c r="AC345" s="14">
        <f>IFERROR(INDEX(Venues!$F$2:$F$17,MATCH(Z345,Venues!$A$2:$A$17,0)),0)</f>
        <v/>
      </c>
      <c r="AD345" s="15">
        <f>IFERROR(INDEX(Venues!$M$2:$M$17,MATCH(Z345,Venues!$A$2:$A$17,0)),"")</f>
        <v/>
      </c>
      <c r="AE345" s="14">
        <f>IFERROR(INDEX(Venues!$N$2:$N$17,MATCH(Z345,Venues!$A$2:$A$17,0)),"5-a-side")</f>
        <v/>
      </c>
      <c r="AF345" s="16">
        <f>IF(Offer!$C$4="","",Offer!$C$4)</f>
        <v/>
      </c>
      <c r="AG345" s="14">
        <f>Z345&amp;" ("&amp;AA345&amp;" min walk) · "&amp;IF(ISNUMBER(AD345),TEXT(AD345,"ddd d mmm, hh:mm"),"slot to confirm with venue")&amp;" · "&amp;AE345&amp;" · "&amp;IF(AF345&lt;&gt;"","£"&amp;TEXT(AF345,"0.00")&amp;" pp","price TBC")</f>
        <v/>
      </c>
      <c r="AH345" s="14">
        <f>IF(U345&lt;&gt;"",U345,IF(H345&lt;&gt;"",H345,""))</f>
        <v/>
      </c>
      <c r="AI345" s="14">
        <f>"After-work football for "&amp;F345&amp;" · "&amp;Z345&amp;", "&amp;AA345&amp;" min from your office"</f>
        <v/>
      </c>
      <c r="AJ345" s="14">
        <f>"Hi "&amp;IF(R345&lt;&gt;"",R345,F345&amp;" team")&amp;","&amp;CHAR(10)&amp;CHAR(10)&amp;"I'm "&amp;IF(AM345&lt;&gt;"",AM345,IF(Offer!$C$5&lt;&gt;"",Offer!$C$5,"[NAME]"))&amp;" from FC Urban. We organise after-work football for teams in the City and Canary Wharf."&amp;CHAR(10)&amp;CHAR(10)&amp;"We have a "&amp;AE345&amp;" pitch at "&amp;Z345&amp;", "&amp;IF(OR(AA345=8,AA345=11,AA345=18),"an ","a ")&amp;AA345&amp;"-minute walk from your "&amp;P345&amp;" office, "&amp;IF(ISNUMBER(AD345),"on "&amp;TEXT(AD345,"dddd d mmmm")&amp;" at "&amp;TEXT(AD345,"hh:mm"),"on a weekday evening that suits your team")&amp;". It's "&amp;IF(AF345&lt;&gt;"","£"&amp;IF(AF345=INT(AF345),TEXT(AF345,"0"),TEXT(AF345,"0.00")),"[PRICE PER PLAYER]")&amp;" a player and we handle the pitch booking, sign-ups and payments, so all it takes is one person sharing a link with the team."&amp;CHAR(10)&amp;CHAR(10)&amp;"It works well as a team social or "&amp;IF(ISNUMBER(SEARCH(LEFT(F345,1),"AEIOU")),"an ","a ")&amp;F345&amp;"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LINK]")&amp;CHAR(10)&amp;CHAR(10)&amp;"Best,"&amp;CHAR(10)&amp;IF(AM345&lt;&gt;"",AM345,IF(Offer!$C$5&lt;&gt;"",Offer!$C$5,"[NAME]"))&amp;CHAR(10)&amp;"FC Urban"</f>
        <v/>
      </c>
      <c r="AK345" s="14">
        <f>"Hi "&amp;IF(R345&lt;&gt;"",R345,F345&amp;" team")&amp;","&amp;CHAR(10)&amp;CHAR(10)&amp;"Just bumping this up. The "&amp;AE345&amp;" pitch at "&amp;Z345&amp;" is still free "&amp;IF(ISNUMBER(AD345),TEXT(AD345,"ddd d mmm")&amp;", "&amp;TEXT(AD345,"hh:mm"),"weekday evenings")&amp;", "&amp;IF(OR(AA345=8,AA345=11,AA345=18),"an ","a ")&amp;AA345&amp;"-minute walk from your office, "&amp;IF(AF345&lt;&gt;"","£"&amp;IF(AF345=INT(AF345),TEXT(AF345,"0"),TEXT(AF345,"0.00")),"[PRICE PER PLAYER]")&amp;" a player. Happy to hold it for "&amp;F345&amp;"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LINK]")&amp;CHAR(10)&amp;CHAR(10)&amp;"Best,"&amp;CHAR(10)&amp;IF(AM345&lt;&gt;"",AM345,IF(Offer!$C$5&lt;&gt;"",Offer!$C$5,"[NAME]"))&amp;CHAR(10)&amp;"FC Urban"</f>
        <v/>
      </c>
      <c r="AL345" s="14">
        <f>IF(AH345="","No email yet",IF(ISNUMBER(SEARCH("[",AJ345)),"Fill placeholders",IF(ISNUMBER(AD345),"Ready to send","Ready · no fixed slot")))</f>
        <v/>
      </c>
      <c r="AO345" s="17" t="n"/>
      <c r="AP345" s="17" t="n"/>
    </row>
    <row r="346">
      <c r="A346" s="11" t="n">
        <v>344</v>
      </c>
      <c r="B346" s="11" t="n">
        <v>3</v>
      </c>
      <c r="C346" s="11" t="inlineStr">
        <is>
          <t>Insurance / broker</t>
        </is>
      </c>
      <c r="D346" s="11" t="inlineStr">
        <is>
          <t>City of London</t>
        </is>
      </c>
      <c r="E346" s="11" t="inlineStr">
        <is>
          <t>Angel Risk Management Limited</t>
        </is>
      </c>
      <c r="F346" s="11" t="inlineStr">
        <is>
          <t>Angel Risk Management</t>
        </is>
      </c>
      <c r="G346" s="12" t="inlineStr">
        <is>
          <t>https://www.angelriskmanagement.com</t>
        </is>
      </c>
      <c r="H346" s="11" t="inlineStr">
        <is>
          <t>info@angelriskmanagement.com</t>
        </is>
      </c>
      <c r="I346" s="11" t="inlineStr">
        <is>
          <t>general</t>
        </is>
      </c>
      <c r="J346" s="12" t="inlineStr">
        <is>
          <t>Open page</t>
        </is>
      </c>
      <c r="K346" s="11" t="inlineStr">
        <is>
          <t>02942487</t>
        </is>
      </c>
      <c r="L346" s="12" t="inlineStr">
        <is>
          <t>Open</t>
        </is>
      </c>
      <c r="M346" s="11" t="inlineStr">
        <is>
          <t>Full</t>
        </is>
      </c>
      <c r="N346" s="13" t="n">
        <v>34509</v>
      </c>
      <c r="O346" s="11" t="inlineStr">
        <is>
          <t>20 Gracechurch Street, London</t>
        </is>
      </c>
      <c r="P346" s="11" t="inlineStr">
        <is>
          <t>EC3V 0BG</t>
        </is>
      </c>
      <c r="Q346" s="11" t="inlineStr">
        <is>
          <t>No</t>
        </is>
      </c>
      <c r="W346" s="11" t="inlineStr">
        <is>
          <t>City of London School (EC4V 3AL)</t>
        </is>
      </c>
      <c r="X346" s="11" t="n">
        <v>16</v>
      </c>
      <c r="Y346" s="11" t="inlineStr">
        <is>
          <t>Liverpool St - Attlee Centre (16.9); Marlborough Sports Garden (SE1 1SD) (18.5)</t>
        </is>
      </c>
      <c r="Z346" s="11" t="inlineStr">
        <is>
          <t>City of London School (EC4V 3AL)</t>
        </is>
      </c>
      <c r="AA346" s="11" t="n">
        <v>16</v>
      </c>
      <c r="AB346" s="14">
        <f>IFERROR(INDEX(Venues!$E$2:$E$17,MATCH(Z346,Venues!$A$2:$A$17,0)),"Not checked")</f>
        <v/>
      </c>
      <c r="AC346" s="14">
        <f>IFERROR(INDEX(Venues!$F$2:$F$17,MATCH(Z346,Venues!$A$2:$A$17,0)),0)</f>
        <v/>
      </c>
      <c r="AD346" s="15">
        <f>IFERROR(INDEX(Venues!$M$2:$M$17,MATCH(Z346,Venues!$A$2:$A$17,0)),"")</f>
        <v/>
      </c>
      <c r="AE346" s="14">
        <f>IFERROR(INDEX(Venues!$N$2:$N$17,MATCH(Z346,Venues!$A$2:$A$17,0)),"5-a-side")</f>
        <v/>
      </c>
      <c r="AF346" s="16">
        <f>IF(Offer!$C$4="","",Offer!$C$4)</f>
        <v/>
      </c>
      <c r="AG346" s="14">
        <f>Z346&amp;" ("&amp;AA346&amp;" min walk) · "&amp;IF(ISNUMBER(AD346),TEXT(AD346,"ddd d mmm, hh:mm"),"slot to confirm with venue")&amp;" · "&amp;AE346&amp;" · "&amp;IF(AF346&lt;&gt;"","£"&amp;TEXT(AF346,"0.00")&amp;" pp","price TBC")</f>
        <v/>
      </c>
      <c r="AH346" s="14">
        <f>IF(U346&lt;&gt;"",U346,IF(H346&lt;&gt;"",H346,""))</f>
        <v/>
      </c>
      <c r="AI346" s="14">
        <f>"After-work football for "&amp;F346&amp;" · "&amp;Z346&amp;", "&amp;AA346&amp;" min from your office"</f>
        <v/>
      </c>
      <c r="AJ346" s="14">
        <f>"Hi "&amp;IF(R346&lt;&gt;"",R346,F346&amp;" team")&amp;","&amp;CHAR(10)&amp;CHAR(10)&amp;"I'm "&amp;IF(AM346&lt;&gt;"",AM346,IF(Offer!$C$5&lt;&gt;"",Offer!$C$5,"[NAME]"))&amp;" from FC Urban. We organise after-work football for teams in the City and Canary Wharf."&amp;CHAR(10)&amp;CHAR(10)&amp;"We have a "&amp;AE346&amp;" pitch at "&amp;Z346&amp;", "&amp;IF(OR(AA346=8,AA346=11,AA346=18),"an ","a ")&amp;AA346&amp;"-minute walk from your "&amp;P346&amp;" office, "&amp;IF(ISNUMBER(AD346),"on "&amp;TEXT(AD346,"dddd d mmmm")&amp;" at "&amp;TEXT(AD346,"hh:mm"),"on a weekday evening that suits your team")&amp;". It's "&amp;IF(AF346&lt;&gt;"","£"&amp;IF(AF346=INT(AF346),TEXT(AF346,"0"),TEXT(AF346,"0.00")),"[PRICE PER PLAYER]")&amp;" a player and we handle the pitch booking, sign-ups and payments, so all it takes is one person sharing a link with the team."&amp;CHAR(10)&amp;CHAR(10)&amp;"It works well as a team social or "&amp;IF(ISNUMBER(SEARCH(LEFT(F346,1),"AEIOU")),"an ","a ")&amp;F346&amp;"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LINK]")&amp;CHAR(10)&amp;CHAR(10)&amp;"Best,"&amp;CHAR(10)&amp;IF(AM346&lt;&gt;"",AM346,IF(Offer!$C$5&lt;&gt;"",Offer!$C$5,"[NAME]"))&amp;CHAR(10)&amp;"FC Urban"</f>
        <v/>
      </c>
      <c r="AK346" s="14">
        <f>"Hi "&amp;IF(R346&lt;&gt;"",R346,F346&amp;" team")&amp;","&amp;CHAR(10)&amp;CHAR(10)&amp;"Just bumping this up. The "&amp;AE346&amp;" pitch at "&amp;Z346&amp;" is still free "&amp;IF(ISNUMBER(AD346),TEXT(AD346,"ddd d mmm")&amp;", "&amp;TEXT(AD346,"hh:mm"),"weekday evenings")&amp;", "&amp;IF(OR(AA346=8,AA346=11,AA346=18),"an ","a ")&amp;AA346&amp;"-minute walk from your office, "&amp;IF(AF346&lt;&gt;"","£"&amp;IF(AF346=INT(AF346),TEXT(AF346,"0"),TEXT(AF346,"0.00")),"[PRICE PER PLAYER]")&amp;" a player. Happy to hold it for "&amp;F346&amp;"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LINK]")&amp;CHAR(10)&amp;CHAR(10)&amp;"Best,"&amp;CHAR(10)&amp;IF(AM346&lt;&gt;"",AM346,IF(Offer!$C$5&lt;&gt;"",Offer!$C$5,"[NAME]"))&amp;CHAR(10)&amp;"FC Urban"</f>
        <v/>
      </c>
      <c r="AL346" s="14">
        <f>IF(AH346="","No email yet",IF(ISNUMBER(SEARCH("[",AJ346)),"Fill placeholders",IF(ISNUMBER(AD346),"Ready to send","Ready · no fixed slot")))</f>
        <v/>
      </c>
      <c r="AO346" s="17" t="n"/>
      <c r="AP346" s="17" t="n"/>
    </row>
    <row r="347">
      <c r="A347" s="11" t="n">
        <v>345</v>
      </c>
      <c r="B347" s="11" t="n">
        <v>3</v>
      </c>
      <c r="C347" s="11" t="inlineStr">
        <is>
          <t>Insurance / broker</t>
        </is>
      </c>
      <c r="D347" s="11" t="inlineStr">
        <is>
          <t>City of London</t>
        </is>
      </c>
      <c r="E347" s="11" t="inlineStr">
        <is>
          <t>Health-On-Line Company UK Limited</t>
        </is>
      </c>
      <c r="F347" s="11" t="inlineStr">
        <is>
          <t>Health-On-Line Company</t>
        </is>
      </c>
      <c r="G347" s="12" t="inlineStr">
        <is>
          <t>https://healthon.com</t>
        </is>
      </c>
      <c r="H347" s="11" t="inlineStr">
        <is>
          <t>hello@healthon.com</t>
        </is>
      </c>
      <c r="I347" s="11" t="inlineStr">
        <is>
          <t>general</t>
        </is>
      </c>
      <c r="J347" s="12" t="inlineStr">
        <is>
          <t>Open page</t>
        </is>
      </c>
      <c r="K347" s="11" t="inlineStr">
        <is>
          <t>03655704</t>
        </is>
      </c>
      <c r="L347" s="12" t="inlineStr">
        <is>
          <t>Open</t>
        </is>
      </c>
      <c r="M347" s="11" t="inlineStr">
        <is>
          <t>Full</t>
        </is>
      </c>
      <c r="N347" s="13" t="n">
        <v>36094</v>
      </c>
      <c r="O347" s="11" t="inlineStr">
        <is>
          <t>20 Gracechurch Street, London</t>
        </is>
      </c>
      <c r="P347" s="11" t="inlineStr">
        <is>
          <t>EC3V 0BG</t>
        </is>
      </c>
      <c r="Q347" s="11" t="inlineStr">
        <is>
          <t>Yes</t>
        </is>
      </c>
      <c r="W347" s="11" t="inlineStr">
        <is>
          <t>City of London School (EC4V 3AL)</t>
        </is>
      </c>
      <c r="X347" s="11" t="n">
        <v>16</v>
      </c>
      <c r="Y347" s="11" t="inlineStr">
        <is>
          <t>Liverpool St - Attlee Centre (16.9); Marlborough Sports Garden (SE1 1SD) (18.5)</t>
        </is>
      </c>
      <c r="Z347" s="11" t="inlineStr">
        <is>
          <t>City of London School (EC4V 3AL)</t>
        </is>
      </c>
      <c r="AA347" s="11" t="n">
        <v>16</v>
      </c>
      <c r="AB347" s="14">
        <f>IFERROR(INDEX(Venues!$E$2:$E$17,MATCH(Z347,Venues!$A$2:$A$17,0)),"Not checked")</f>
        <v/>
      </c>
      <c r="AC347" s="14">
        <f>IFERROR(INDEX(Venues!$F$2:$F$17,MATCH(Z347,Venues!$A$2:$A$17,0)),0)</f>
        <v/>
      </c>
      <c r="AD347" s="15">
        <f>IFERROR(INDEX(Venues!$M$2:$M$17,MATCH(Z347,Venues!$A$2:$A$17,0)),"")</f>
        <v/>
      </c>
      <c r="AE347" s="14">
        <f>IFERROR(INDEX(Venues!$N$2:$N$17,MATCH(Z347,Venues!$A$2:$A$17,0)),"5-a-side")</f>
        <v/>
      </c>
      <c r="AF347" s="16">
        <f>IF(Offer!$C$4="","",Offer!$C$4)</f>
        <v/>
      </c>
      <c r="AG347" s="14">
        <f>Z347&amp;" ("&amp;AA347&amp;" min walk) · "&amp;IF(ISNUMBER(AD347),TEXT(AD347,"ddd d mmm, hh:mm"),"slot to confirm with venue")&amp;" · "&amp;AE347&amp;" · "&amp;IF(AF347&lt;&gt;"","£"&amp;TEXT(AF347,"0.00")&amp;" pp","price TBC")</f>
        <v/>
      </c>
      <c r="AH347" s="14">
        <f>IF(U347&lt;&gt;"",U347,IF(H347&lt;&gt;"",H347,""))</f>
        <v/>
      </c>
      <c r="AI347" s="14">
        <f>"After-work football for "&amp;F347&amp;" · "&amp;Z347&amp;", "&amp;AA347&amp;" min from your office"</f>
        <v/>
      </c>
      <c r="AJ347" s="14">
        <f>"Hi "&amp;IF(R347&lt;&gt;"",R347,F347&amp;" team")&amp;","&amp;CHAR(10)&amp;CHAR(10)&amp;"I'm "&amp;IF(AM347&lt;&gt;"",AM347,IF(Offer!$C$5&lt;&gt;"",Offer!$C$5,"[NAME]"))&amp;" from FC Urban. We organise after-work football for teams in the City and Canary Wharf."&amp;CHAR(10)&amp;CHAR(10)&amp;"We have a "&amp;AE347&amp;" pitch at "&amp;Z347&amp;", "&amp;IF(OR(AA347=8,AA347=11,AA347=18),"an ","a ")&amp;AA347&amp;"-minute walk from your "&amp;P347&amp;" office, "&amp;IF(ISNUMBER(AD347),"on "&amp;TEXT(AD347,"dddd d mmmm")&amp;" at "&amp;TEXT(AD347,"hh:mm"),"on a weekday evening that suits your team")&amp;". It's "&amp;IF(AF347&lt;&gt;"","£"&amp;IF(AF347=INT(AF347),TEXT(AF347,"0"),TEXT(AF347,"0.00")),"[PRICE PER PLAYER]")&amp;" a player and we handle the pitch booking, sign-ups and payments, so all it takes is one person sharing a link with the team."&amp;CHAR(10)&amp;CHAR(10)&amp;"It works well as a team social or "&amp;IF(ISNUMBER(SEARCH(LEFT(F347,1),"AEIOU")),"an ","a ")&amp;F347&amp;"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LINK]")&amp;CHAR(10)&amp;CHAR(10)&amp;"Best,"&amp;CHAR(10)&amp;IF(AM347&lt;&gt;"",AM347,IF(Offer!$C$5&lt;&gt;"",Offer!$C$5,"[NAME]"))&amp;CHAR(10)&amp;"FC Urban"</f>
        <v/>
      </c>
      <c r="AK347" s="14">
        <f>"Hi "&amp;IF(R347&lt;&gt;"",R347,F347&amp;" team")&amp;","&amp;CHAR(10)&amp;CHAR(10)&amp;"Just bumping this up. The "&amp;AE347&amp;" pitch at "&amp;Z347&amp;" is still free "&amp;IF(ISNUMBER(AD347),TEXT(AD347,"ddd d mmm")&amp;", "&amp;TEXT(AD347,"hh:mm"),"weekday evenings")&amp;", "&amp;IF(OR(AA347=8,AA347=11,AA347=18),"an ","a ")&amp;AA347&amp;"-minute walk from your office, "&amp;IF(AF347&lt;&gt;"","£"&amp;IF(AF347=INT(AF347),TEXT(AF347,"0"),TEXT(AF347,"0.00")),"[PRICE PER PLAYER]")&amp;" a player. Happy to hold it for "&amp;F347&amp;"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LINK]")&amp;CHAR(10)&amp;CHAR(10)&amp;"Best,"&amp;CHAR(10)&amp;IF(AM347&lt;&gt;"",AM347,IF(Offer!$C$5&lt;&gt;"",Offer!$C$5,"[NAME]"))&amp;CHAR(10)&amp;"FC Urban"</f>
        <v/>
      </c>
      <c r="AL347" s="14">
        <f>IF(AH347="","No email yet",IF(ISNUMBER(SEARCH("[",AJ347)),"Fill placeholders",IF(ISNUMBER(AD347),"Ready to send","Ready · no fixed slot")))</f>
        <v/>
      </c>
      <c r="AO347" s="17" t="n"/>
      <c r="AP347" s="17" t="n"/>
    </row>
    <row r="348">
      <c r="A348" s="11" t="n">
        <v>346</v>
      </c>
      <c r="B348" s="11" t="n">
        <v>3</v>
      </c>
      <c r="C348" s="11" t="inlineStr">
        <is>
          <t>Insurance / broker</t>
        </is>
      </c>
      <c r="D348" s="11" t="inlineStr">
        <is>
          <t>City of London</t>
        </is>
      </c>
      <c r="E348" s="11" t="inlineStr">
        <is>
          <t>The Permanent Health Company Limited</t>
        </is>
      </c>
      <c r="F348" s="11" t="inlineStr">
        <is>
          <t>Permanent Health Company</t>
        </is>
      </c>
      <c r="G348" s="12" t="inlineStr">
        <is>
          <t>https://www.thephc.co.uk/</t>
        </is>
      </c>
      <c r="H348" s="11" t="inlineStr">
        <is>
          <t>sales@thephc.co.uk</t>
        </is>
      </c>
      <c r="I348" s="11" t="inlineStr">
        <is>
          <t>general</t>
        </is>
      </c>
      <c r="J348" s="12" t="inlineStr">
        <is>
          <t>Open page</t>
        </is>
      </c>
      <c r="K348" s="11" t="inlineStr">
        <is>
          <t>02933772</t>
        </is>
      </c>
      <c r="L348" s="12" t="inlineStr">
        <is>
          <t>Open</t>
        </is>
      </c>
      <c r="M348" s="11" t="inlineStr">
        <is>
          <t>Full</t>
        </is>
      </c>
      <c r="N348" s="13" t="n">
        <v>34481</v>
      </c>
      <c r="O348" s="11" t="inlineStr">
        <is>
          <t>20 Gracechurch Street, London</t>
        </is>
      </c>
      <c r="P348" s="11" t="inlineStr">
        <is>
          <t>EC3V 0BG</t>
        </is>
      </c>
      <c r="Q348" s="11" t="inlineStr">
        <is>
          <t>No</t>
        </is>
      </c>
      <c r="W348" s="11" t="inlineStr">
        <is>
          <t>City of London School (EC4V 3AL)</t>
        </is>
      </c>
      <c r="X348" s="11" t="n">
        <v>16</v>
      </c>
      <c r="Y348" s="11" t="inlineStr">
        <is>
          <t>Liverpool St - Attlee Centre (16.9); Marlborough Sports Garden (SE1 1SD) (18.5)</t>
        </is>
      </c>
      <c r="Z348" s="11" t="inlineStr">
        <is>
          <t>City of London School (EC4V 3AL)</t>
        </is>
      </c>
      <c r="AA348" s="11" t="n">
        <v>16</v>
      </c>
      <c r="AB348" s="14">
        <f>IFERROR(INDEX(Venues!$E$2:$E$17,MATCH(Z348,Venues!$A$2:$A$17,0)),"Not checked")</f>
        <v/>
      </c>
      <c r="AC348" s="14">
        <f>IFERROR(INDEX(Venues!$F$2:$F$17,MATCH(Z348,Venues!$A$2:$A$17,0)),0)</f>
        <v/>
      </c>
      <c r="AD348" s="15">
        <f>IFERROR(INDEX(Venues!$M$2:$M$17,MATCH(Z348,Venues!$A$2:$A$17,0)),"")</f>
        <v/>
      </c>
      <c r="AE348" s="14">
        <f>IFERROR(INDEX(Venues!$N$2:$N$17,MATCH(Z348,Venues!$A$2:$A$17,0)),"5-a-side")</f>
        <v/>
      </c>
      <c r="AF348" s="16">
        <f>IF(Offer!$C$4="","",Offer!$C$4)</f>
        <v/>
      </c>
      <c r="AG348" s="14">
        <f>Z348&amp;" ("&amp;AA348&amp;" min walk) · "&amp;IF(ISNUMBER(AD348),TEXT(AD348,"ddd d mmm, hh:mm"),"slot to confirm with venue")&amp;" · "&amp;AE348&amp;" · "&amp;IF(AF348&lt;&gt;"","£"&amp;TEXT(AF348,"0.00")&amp;" pp","price TBC")</f>
        <v/>
      </c>
      <c r="AH348" s="14">
        <f>IF(U348&lt;&gt;"",U348,IF(H348&lt;&gt;"",H348,""))</f>
        <v/>
      </c>
      <c r="AI348" s="14">
        <f>"After-work football for "&amp;F348&amp;" · "&amp;Z348&amp;", "&amp;AA348&amp;" min from your office"</f>
        <v/>
      </c>
      <c r="AJ348" s="14">
        <f>"Hi "&amp;IF(R348&lt;&gt;"",R348,F348&amp;" team")&amp;","&amp;CHAR(10)&amp;CHAR(10)&amp;"I'm "&amp;IF(AM348&lt;&gt;"",AM348,IF(Offer!$C$5&lt;&gt;"",Offer!$C$5,"[NAME]"))&amp;" from FC Urban. We organise after-work football for teams in the City and Canary Wharf."&amp;CHAR(10)&amp;CHAR(10)&amp;"We have a "&amp;AE348&amp;" pitch at "&amp;Z348&amp;", "&amp;IF(OR(AA348=8,AA348=11,AA348=18),"an ","a ")&amp;AA348&amp;"-minute walk from your "&amp;P348&amp;" office, "&amp;IF(ISNUMBER(AD348),"on "&amp;TEXT(AD348,"dddd d mmmm")&amp;" at "&amp;TEXT(AD348,"hh:mm"),"on a weekday evening that suits your team")&amp;". It's "&amp;IF(AF348&lt;&gt;"","£"&amp;IF(AF348=INT(AF348),TEXT(AF348,"0"),TEXT(AF348,"0.00")),"[PRICE PER PLAYER]")&amp;" a player and we handle the pitch booking, sign-ups and payments, so all it takes is one person sharing a link with the team."&amp;CHAR(10)&amp;CHAR(10)&amp;"It works well as a team social or "&amp;IF(ISNUMBER(SEARCH(LEFT(F348,1),"AEIOU")),"an ","a ")&amp;F348&amp;"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LINK]")&amp;CHAR(10)&amp;CHAR(10)&amp;"Best,"&amp;CHAR(10)&amp;IF(AM348&lt;&gt;"",AM348,IF(Offer!$C$5&lt;&gt;"",Offer!$C$5,"[NAME]"))&amp;CHAR(10)&amp;"FC Urban"</f>
        <v/>
      </c>
      <c r="AK348" s="14">
        <f>"Hi "&amp;IF(R348&lt;&gt;"",R348,F348&amp;" team")&amp;","&amp;CHAR(10)&amp;CHAR(10)&amp;"Just bumping this up. The "&amp;AE348&amp;" pitch at "&amp;Z348&amp;" is still free "&amp;IF(ISNUMBER(AD348),TEXT(AD348,"ddd d mmm")&amp;", "&amp;TEXT(AD348,"hh:mm"),"weekday evenings")&amp;", "&amp;IF(OR(AA348=8,AA348=11,AA348=18),"an ","a ")&amp;AA348&amp;"-minute walk from your office, "&amp;IF(AF348&lt;&gt;"","£"&amp;IF(AF348=INT(AF348),TEXT(AF348,"0"),TEXT(AF348,"0.00")),"[PRICE PER PLAYER]")&amp;" a player. Happy to hold it for "&amp;F348&amp;"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LINK]")&amp;CHAR(10)&amp;CHAR(10)&amp;"Best,"&amp;CHAR(10)&amp;IF(AM348&lt;&gt;"",AM348,IF(Offer!$C$5&lt;&gt;"",Offer!$C$5,"[NAME]"))&amp;CHAR(10)&amp;"FC Urban"</f>
        <v/>
      </c>
      <c r="AL348" s="14">
        <f>IF(AH348="","No email yet",IF(ISNUMBER(SEARCH("[",AJ348)),"Fill placeholders",IF(ISNUMBER(AD348),"Ready to send","Ready · no fixed slot")))</f>
        <v/>
      </c>
      <c r="AO348" s="17" t="n"/>
      <c r="AP348" s="17" t="n"/>
    </row>
    <row r="349">
      <c r="A349" s="11" t="n">
        <v>347</v>
      </c>
      <c r="B349" s="11" t="n">
        <v>3</v>
      </c>
      <c r="C349" s="11" t="inlineStr">
        <is>
          <t>Insurance / broker</t>
        </is>
      </c>
      <c r="D349" s="11" t="inlineStr">
        <is>
          <t>City of London</t>
        </is>
      </c>
      <c r="E349" s="11" t="inlineStr">
        <is>
          <t>Bannerman Rendell Limited</t>
        </is>
      </c>
      <c r="F349" s="11" t="inlineStr">
        <is>
          <t>Bannerman Rendell</t>
        </is>
      </c>
      <c r="G349" s="12" t="inlineStr">
        <is>
          <t>https://www.bannermanrendell.com</t>
        </is>
      </c>
      <c r="H349" s="11" t="inlineStr">
        <is>
          <t>info@bannermanrendell.com</t>
        </is>
      </c>
      <c r="I349" s="11" t="inlineStr">
        <is>
          <t>general</t>
        </is>
      </c>
      <c r="J349" s="12" t="inlineStr">
        <is>
          <t>Open page</t>
        </is>
      </c>
      <c r="K349" s="11" t="inlineStr">
        <is>
          <t>00609004</t>
        </is>
      </c>
      <c r="L349" s="12" t="inlineStr">
        <is>
          <t>Open</t>
        </is>
      </c>
      <c r="M349" s="11" t="inlineStr">
        <is>
          <t>Full</t>
        </is>
      </c>
      <c r="N349" s="13" t="n">
        <v>21397</v>
      </c>
      <c r="O349" s="11" t="inlineStr">
        <is>
          <t>5-10 Bury Street, London</t>
        </is>
      </c>
      <c r="P349" s="11" t="inlineStr">
        <is>
          <t>EC3A 5AT</t>
        </is>
      </c>
      <c r="Q349" s="11" t="inlineStr">
        <is>
          <t>No</t>
        </is>
      </c>
      <c r="W349" s="11" t="inlineStr">
        <is>
          <t>Liverpool St - Attlee Centre</t>
        </is>
      </c>
      <c r="X349" s="11" t="n">
        <v>10</v>
      </c>
      <c r="Y349" s="11" t="inlineStr">
        <is>
          <t>Shoreditch Powerleague (16.4)</t>
        </is>
      </c>
      <c r="Z349" s="11" t="inlineStr">
        <is>
          <t>Shoreditch Powerleague</t>
        </is>
      </c>
      <c r="AA349" s="11" t="n">
        <v>16</v>
      </c>
      <c r="AB349" s="14">
        <f>IFERROR(INDEX(Venues!$E$2:$E$17,MATCH(Z349,Venues!$A$2:$A$17,0)),"Not checked")</f>
        <v/>
      </c>
      <c r="AC349" s="14">
        <f>IFERROR(INDEX(Venues!$F$2:$F$17,MATCH(Z349,Venues!$A$2:$A$17,0)),0)</f>
        <v/>
      </c>
      <c r="AD349" s="15">
        <f>IFERROR(INDEX(Venues!$M$2:$M$17,MATCH(Z349,Venues!$A$2:$A$17,0)),"")</f>
        <v/>
      </c>
      <c r="AE349" s="14">
        <f>IFERROR(INDEX(Venues!$N$2:$N$17,MATCH(Z349,Venues!$A$2:$A$17,0)),"5-a-side")</f>
        <v/>
      </c>
      <c r="AF349" s="16">
        <f>IF(Offer!$C$4="","",Offer!$C$4)</f>
        <v/>
      </c>
      <c r="AG349" s="14">
        <f>Z349&amp;" ("&amp;AA349&amp;" min walk) · "&amp;IF(ISNUMBER(AD349),TEXT(AD349,"ddd d mmm, hh:mm"),"slot to confirm with venue")&amp;" · "&amp;AE349&amp;" · "&amp;IF(AF349&lt;&gt;"","£"&amp;TEXT(AF349,"0.00")&amp;" pp","price TBC")</f>
        <v/>
      </c>
      <c r="AH349" s="14">
        <f>IF(U349&lt;&gt;"",U349,IF(H349&lt;&gt;"",H349,""))</f>
        <v/>
      </c>
      <c r="AI349" s="14">
        <f>"After-work football for "&amp;F349&amp;" · "&amp;Z349&amp;", "&amp;AA349&amp;" min from your office"</f>
        <v/>
      </c>
      <c r="AJ349" s="14">
        <f>"Hi "&amp;IF(R349&lt;&gt;"",R349,F349&amp;" team")&amp;","&amp;CHAR(10)&amp;CHAR(10)&amp;"I'm "&amp;IF(AM349&lt;&gt;"",AM349,IF(Offer!$C$5&lt;&gt;"",Offer!$C$5,"[NAME]"))&amp;" from FC Urban. We organise after-work football for teams in the City and Canary Wharf."&amp;CHAR(10)&amp;CHAR(10)&amp;"We have a "&amp;AE349&amp;" pitch at "&amp;Z349&amp;", "&amp;IF(OR(AA349=8,AA349=11,AA349=18),"an ","a ")&amp;AA349&amp;"-minute walk from your "&amp;P349&amp;" office, "&amp;IF(ISNUMBER(AD349),"on "&amp;TEXT(AD349,"dddd d mmmm")&amp;" at "&amp;TEXT(AD349,"hh:mm"),"on a weekday evening that suits your team")&amp;". It's "&amp;IF(AF349&lt;&gt;"","£"&amp;IF(AF349=INT(AF349),TEXT(AF349,"0"),TEXT(AF349,"0.00")),"[PRICE PER PLAYER]")&amp;" a player and we handle the pitch booking, sign-ups and payments, so all it takes is one person sharing a link with the team."&amp;CHAR(10)&amp;CHAR(10)&amp;"It works well as a team social or "&amp;IF(ISNUMBER(SEARCH(LEFT(F349,1),"AEIOU")),"an ","a ")&amp;F349&amp;"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LINK]")&amp;CHAR(10)&amp;CHAR(10)&amp;"Best,"&amp;CHAR(10)&amp;IF(AM349&lt;&gt;"",AM349,IF(Offer!$C$5&lt;&gt;"",Offer!$C$5,"[NAME]"))&amp;CHAR(10)&amp;"FC Urban"</f>
        <v/>
      </c>
      <c r="AK349" s="14">
        <f>"Hi "&amp;IF(R349&lt;&gt;"",R349,F349&amp;" team")&amp;","&amp;CHAR(10)&amp;CHAR(10)&amp;"Just bumping this up. The "&amp;AE349&amp;" pitch at "&amp;Z349&amp;" is still free "&amp;IF(ISNUMBER(AD349),TEXT(AD349,"ddd d mmm")&amp;", "&amp;TEXT(AD349,"hh:mm"),"weekday evenings")&amp;", "&amp;IF(OR(AA349=8,AA349=11,AA349=18),"an ","a ")&amp;AA349&amp;"-minute walk from your office, "&amp;IF(AF349&lt;&gt;"","£"&amp;IF(AF349=INT(AF349),TEXT(AF349,"0"),TEXT(AF349,"0.00")),"[PRICE PER PLAYER]")&amp;" a player. Happy to hold it for "&amp;F349&amp;"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LINK]")&amp;CHAR(10)&amp;CHAR(10)&amp;"Best,"&amp;CHAR(10)&amp;IF(AM349&lt;&gt;"",AM349,IF(Offer!$C$5&lt;&gt;"",Offer!$C$5,"[NAME]"))&amp;CHAR(10)&amp;"FC Urban"</f>
        <v/>
      </c>
      <c r="AL349" s="14">
        <f>IF(AH349="","No email yet",IF(ISNUMBER(SEARCH("[",AJ349)),"Fill placeholders",IF(ISNUMBER(AD349),"Ready to send","Ready · no fixed slot")))</f>
        <v/>
      </c>
      <c r="AO349" s="17" t="n"/>
      <c r="AP349" s="17" t="n"/>
    </row>
    <row r="350">
      <c r="A350" s="11" t="n">
        <v>348</v>
      </c>
      <c r="B350" s="11" t="n">
        <v>3</v>
      </c>
      <c r="C350" s="11" t="inlineStr">
        <is>
          <t>Insurance / broker</t>
        </is>
      </c>
      <c r="D350" s="11" t="inlineStr">
        <is>
          <t>City of London</t>
        </is>
      </c>
      <c r="E350" s="11" t="inlineStr">
        <is>
          <t>Awbury UK Services Limited</t>
        </is>
      </c>
      <c r="F350" s="11" t="inlineStr">
        <is>
          <t>Awbury</t>
        </is>
      </c>
      <c r="G350" s="12" t="inlineStr">
        <is>
          <t>https://www.awbury.com</t>
        </is>
      </c>
      <c r="H350" s="11" t="inlineStr">
        <is>
          <t>awbury@awbury.com</t>
        </is>
      </c>
      <c r="I350" s="11" t="inlineStr">
        <is>
          <t>named person</t>
        </is>
      </c>
      <c r="J350" s="12" t="inlineStr">
        <is>
          <t>Open page</t>
        </is>
      </c>
      <c r="K350" s="11" t="inlineStr">
        <is>
          <t>15903985</t>
        </is>
      </c>
      <c r="L350" s="12" t="inlineStr">
        <is>
          <t>Open</t>
        </is>
      </c>
      <c r="M350" s="11" t="inlineStr">
        <is>
          <t>Full</t>
        </is>
      </c>
      <c r="N350" s="13" t="n">
        <v>45523</v>
      </c>
      <c r="O350" s="11" t="inlineStr">
        <is>
          <t>5Th Floor, 70, Gracechurch Street, London</t>
        </is>
      </c>
      <c r="P350" s="11" t="inlineStr">
        <is>
          <t>EC3V 0XL</t>
        </is>
      </c>
      <c r="Q350" s="11" t="inlineStr">
        <is>
          <t>No</t>
        </is>
      </c>
      <c r="W350" s="11" t="inlineStr">
        <is>
          <t>City of London School (EC4V 3AL)</t>
        </is>
      </c>
      <c r="X350" s="11" t="n">
        <v>16</v>
      </c>
      <c r="Y350" s="11" t="inlineStr">
        <is>
          <t>Liverpool St - Attlee Centre (17); Marlborough Sports Garden (SE1 1SD) (18.2)</t>
        </is>
      </c>
      <c r="Z350" s="11" t="inlineStr">
        <is>
          <t>City of London School (EC4V 3AL)</t>
        </is>
      </c>
      <c r="AA350" s="11" t="n">
        <v>16</v>
      </c>
      <c r="AB350" s="14">
        <f>IFERROR(INDEX(Venues!$E$2:$E$17,MATCH(Z350,Venues!$A$2:$A$17,0)),"Not checked")</f>
        <v/>
      </c>
      <c r="AC350" s="14">
        <f>IFERROR(INDEX(Venues!$F$2:$F$17,MATCH(Z350,Venues!$A$2:$A$17,0)),0)</f>
        <v/>
      </c>
      <c r="AD350" s="15">
        <f>IFERROR(INDEX(Venues!$M$2:$M$17,MATCH(Z350,Venues!$A$2:$A$17,0)),"")</f>
        <v/>
      </c>
      <c r="AE350" s="14">
        <f>IFERROR(INDEX(Venues!$N$2:$N$17,MATCH(Z350,Venues!$A$2:$A$17,0)),"5-a-side")</f>
        <v/>
      </c>
      <c r="AF350" s="16">
        <f>IF(Offer!$C$4="","",Offer!$C$4)</f>
        <v/>
      </c>
      <c r="AG350" s="14">
        <f>Z350&amp;" ("&amp;AA350&amp;" min walk) · "&amp;IF(ISNUMBER(AD350),TEXT(AD350,"ddd d mmm, hh:mm"),"slot to confirm with venue")&amp;" · "&amp;AE350&amp;" · "&amp;IF(AF350&lt;&gt;"","£"&amp;TEXT(AF350,"0.00")&amp;" pp","price TBC")</f>
        <v/>
      </c>
      <c r="AH350" s="14">
        <f>IF(U350&lt;&gt;"",U350,IF(H350&lt;&gt;"",H350,""))</f>
        <v/>
      </c>
      <c r="AI350" s="14">
        <f>"After-work football for "&amp;F350&amp;" · "&amp;Z350&amp;", "&amp;AA350&amp;" min from your office"</f>
        <v/>
      </c>
      <c r="AJ350" s="14">
        <f>"Hi "&amp;IF(R350&lt;&gt;"",R350,F350&amp;" team")&amp;","&amp;CHAR(10)&amp;CHAR(10)&amp;"I'm "&amp;IF(AM350&lt;&gt;"",AM350,IF(Offer!$C$5&lt;&gt;"",Offer!$C$5,"[NAME]"))&amp;" from FC Urban. We organise after-work football for teams in the City and Canary Wharf."&amp;CHAR(10)&amp;CHAR(10)&amp;"We have a "&amp;AE350&amp;" pitch at "&amp;Z350&amp;", "&amp;IF(OR(AA350=8,AA350=11,AA350=18),"an ","a ")&amp;AA350&amp;"-minute walk from your "&amp;P350&amp;" office, "&amp;IF(ISNUMBER(AD350),"on "&amp;TEXT(AD350,"dddd d mmmm")&amp;" at "&amp;TEXT(AD350,"hh:mm"),"on a weekday evening that suits your team")&amp;". It's "&amp;IF(AF350&lt;&gt;"","£"&amp;IF(AF350=INT(AF350),TEXT(AF350,"0"),TEXT(AF350,"0.00")),"[PRICE PER PLAYER]")&amp;" a player and we handle the pitch booking, sign-ups and payments, so all it takes is one person sharing a link with the team."&amp;CHAR(10)&amp;CHAR(10)&amp;"It works well as a team social or "&amp;IF(ISNUMBER(SEARCH(LEFT(F350,1),"AEIOU")),"an ","a ")&amp;F350&amp;"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LINK]")&amp;CHAR(10)&amp;CHAR(10)&amp;"Best,"&amp;CHAR(10)&amp;IF(AM350&lt;&gt;"",AM350,IF(Offer!$C$5&lt;&gt;"",Offer!$C$5,"[NAME]"))&amp;CHAR(10)&amp;"FC Urban"</f>
        <v/>
      </c>
      <c r="AK350" s="14">
        <f>"Hi "&amp;IF(R350&lt;&gt;"",R350,F350&amp;" team")&amp;","&amp;CHAR(10)&amp;CHAR(10)&amp;"Just bumping this up. The "&amp;AE350&amp;" pitch at "&amp;Z350&amp;" is still free "&amp;IF(ISNUMBER(AD350),TEXT(AD350,"ddd d mmm")&amp;", "&amp;TEXT(AD350,"hh:mm"),"weekday evenings")&amp;", "&amp;IF(OR(AA350=8,AA350=11,AA350=18),"an ","a ")&amp;AA350&amp;"-minute walk from your office, "&amp;IF(AF350&lt;&gt;"","£"&amp;IF(AF350=INT(AF350),TEXT(AF350,"0"),TEXT(AF350,"0.00")),"[PRICE PER PLAYER]")&amp;" a player. Happy to hold it for "&amp;F350&amp;"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LINK]")&amp;CHAR(10)&amp;CHAR(10)&amp;"Best,"&amp;CHAR(10)&amp;IF(AM350&lt;&gt;"",AM350,IF(Offer!$C$5&lt;&gt;"",Offer!$C$5,"[NAME]"))&amp;CHAR(10)&amp;"FC Urban"</f>
        <v/>
      </c>
      <c r="AL350" s="14">
        <f>IF(AH350="","No email yet",IF(ISNUMBER(SEARCH("[",AJ350)),"Fill placeholders",IF(ISNUMBER(AD350),"Ready to send","Ready · no fixed slot")))</f>
        <v/>
      </c>
      <c r="AO350" s="17" t="n"/>
      <c r="AP350" s="17" t="n"/>
    </row>
    <row r="351">
      <c r="A351" s="11" t="n">
        <v>349</v>
      </c>
      <c r="B351" s="11" t="n">
        <v>3</v>
      </c>
      <c r="C351" s="11" t="inlineStr">
        <is>
          <t>Fund / asset manager</t>
        </is>
      </c>
      <c r="D351" s="11" t="inlineStr">
        <is>
          <t>City of London</t>
        </is>
      </c>
      <c r="E351" s="11" t="inlineStr">
        <is>
          <t>Rondine Capital LLP</t>
        </is>
      </c>
      <c r="F351" s="11" t="inlineStr">
        <is>
          <t>Rondine Capital</t>
        </is>
      </c>
      <c r="G351" s="12" t="inlineStr">
        <is>
          <t>https://rondinecapital.com</t>
        </is>
      </c>
      <c r="H351" s="11" t="inlineStr">
        <is>
          <t>info@rondinecapital.com</t>
        </is>
      </c>
      <c r="I351" s="11" t="inlineStr">
        <is>
          <t>general</t>
        </is>
      </c>
      <c r="J351" s="12" t="inlineStr">
        <is>
          <t>Open page</t>
        </is>
      </c>
      <c r="K351" s="11" t="inlineStr">
        <is>
          <t>OC394732</t>
        </is>
      </c>
      <c r="L351" s="12" t="inlineStr">
        <is>
          <t>Open</t>
        </is>
      </c>
      <c r="M351" s="11" t="inlineStr">
        <is>
          <t>Full</t>
        </is>
      </c>
      <c r="N351" s="13" t="n">
        <v>41859</v>
      </c>
      <c r="O351" s="11" t="inlineStr">
        <is>
          <t>3Rd Floor, 7 St. John Street, London</t>
        </is>
      </c>
      <c r="P351" s="11" t="inlineStr">
        <is>
          <t>EC1M 4AA</t>
        </is>
      </c>
      <c r="Q351" s="11" t="inlineStr">
        <is>
          <t>No</t>
        </is>
      </c>
      <c r="W351" s="11" t="inlineStr">
        <is>
          <t>Finsbury Leisure Centre (EC1V 3PU)</t>
        </is>
      </c>
      <c r="X351" s="11" t="n">
        <v>13</v>
      </c>
      <c r="Y351" s="11" t="inlineStr">
        <is>
          <t>Old St - Moreland Primary School (16.5); City of London School (EC4V 3AL) (16.6)</t>
        </is>
      </c>
      <c r="Z351" s="11" t="inlineStr">
        <is>
          <t>Old St - Moreland Primary School</t>
        </is>
      </c>
      <c r="AA351" s="11" t="n">
        <v>16</v>
      </c>
      <c r="AB351" s="14">
        <f>IFERROR(INDEX(Venues!$E$2:$E$17,MATCH(Z351,Venues!$A$2:$A$17,0)),"Not checked")</f>
        <v/>
      </c>
      <c r="AC351" s="14">
        <f>IFERROR(INDEX(Venues!$F$2:$F$17,MATCH(Z351,Venues!$A$2:$A$17,0)),0)</f>
        <v/>
      </c>
      <c r="AD351" s="15">
        <f>IFERROR(INDEX(Venues!$M$2:$M$17,MATCH(Z351,Venues!$A$2:$A$17,0)),"")</f>
        <v/>
      </c>
      <c r="AE351" s="14">
        <f>IFERROR(INDEX(Venues!$N$2:$N$17,MATCH(Z351,Venues!$A$2:$A$17,0)),"5-a-side")</f>
        <v/>
      </c>
      <c r="AF351" s="16">
        <f>IF(Offer!$C$4="","",Offer!$C$4)</f>
        <v/>
      </c>
      <c r="AG351" s="14">
        <f>Z351&amp;" ("&amp;AA351&amp;" min walk) · "&amp;IF(ISNUMBER(AD351),TEXT(AD351,"ddd d mmm, hh:mm"),"slot to confirm with venue")&amp;" · "&amp;AE351&amp;" · "&amp;IF(AF351&lt;&gt;"","£"&amp;TEXT(AF351,"0.00")&amp;" pp","price TBC")</f>
        <v/>
      </c>
      <c r="AH351" s="14">
        <f>IF(U351&lt;&gt;"",U351,IF(H351&lt;&gt;"",H351,""))</f>
        <v/>
      </c>
      <c r="AI351" s="14">
        <f>"After-work football for "&amp;F351&amp;" · "&amp;Z351&amp;", "&amp;AA351&amp;" min from your office"</f>
        <v/>
      </c>
      <c r="AJ351" s="14">
        <f>"Hi "&amp;IF(R351&lt;&gt;"",R351,F351&amp;" team")&amp;","&amp;CHAR(10)&amp;CHAR(10)&amp;"I'm "&amp;IF(AM351&lt;&gt;"",AM351,IF(Offer!$C$5&lt;&gt;"",Offer!$C$5,"[NAME]"))&amp;" from FC Urban. We organise after-work football for teams in the City and Canary Wharf."&amp;CHAR(10)&amp;CHAR(10)&amp;"We have a "&amp;AE351&amp;" pitch at "&amp;Z351&amp;", "&amp;IF(OR(AA351=8,AA351=11,AA351=18),"an ","a ")&amp;AA351&amp;"-minute walk from your "&amp;P351&amp;" office, "&amp;IF(ISNUMBER(AD351),"on "&amp;TEXT(AD351,"dddd d mmmm")&amp;" at "&amp;TEXT(AD351,"hh:mm"),"on a weekday evening that suits your team")&amp;". It's "&amp;IF(AF351&lt;&gt;"","£"&amp;IF(AF351=INT(AF351),TEXT(AF351,"0"),TEXT(AF351,"0.00")),"[PRICE PER PLAYER]")&amp;" a player and we handle the pitch booking, sign-ups and payments, so all it takes is one person sharing a link with the team."&amp;CHAR(10)&amp;CHAR(10)&amp;"It works well as a team social or "&amp;IF(ISNUMBER(SEARCH(LEFT(F351,1),"AEIOU")),"an ","a ")&amp;F351&amp;"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LINK]")&amp;CHAR(10)&amp;CHAR(10)&amp;"Best,"&amp;CHAR(10)&amp;IF(AM351&lt;&gt;"",AM351,IF(Offer!$C$5&lt;&gt;"",Offer!$C$5,"[NAME]"))&amp;CHAR(10)&amp;"FC Urban"</f>
        <v/>
      </c>
      <c r="AK351" s="14">
        <f>"Hi "&amp;IF(R351&lt;&gt;"",R351,F351&amp;" team")&amp;","&amp;CHAR(10)&amp;CHAR(10)&amp;"Just bumping this up. The "&amp;AE351&amp;" pitch at "&amp;Z351&amp;" is still free "&amp;IF(ISNUMBER(AD351),TEXT(AD351,"ddd d mmm")&amp;", "&amp;TEXT(AD351,"hh:mm"),"weekday evenings")&amp;", "&amp;IF(OR(AA351=8,AA351=11,AA351=18),"an ","a ")&amp;AA351&amp;"-minute walk from your office, "&amp;IF(AF351&lt;&gt;"","£"&amp;IF(AF351=INT(AF351),TEXT(AF351,"0"),TEXT(AF351,"0.00")),"[PRICE PER PLAYER]")&amp;" a player. Happy to hold it for "&amp;F351&amp;"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LINK]")&amp;CHAR(10)&amp;CHAR(10)&amp;"Best,"&amp;CHAR(10)&amp;IF(AM351&lt;&gt;"",AM351,IF(Offer!$C$5&lt;&gt;"",Offer!$C$5,"[NAME]"))&amp;CHAR(10)&amp;"FC Urban"</f>
        <v/>
      </c>
      <c r="AL351" s="14">
        <f>IF(AH351="","No email yet",IF(ISNUMBER(SEARCH("[",AJ351)),"Fill placeholders",IF(ISNUMBER(AD351),"Ready to send","Ready · no fixed slot")))</f>
        <v/>
      </c>
      <c r="AO351" s="17" t="n"/>
      <c r="AP351" s="17" t="n"/>
    </row>
    <row r="352">
      <c r="A352" s="11" t="n">
        <v>350</v>
      </c>
      <c r="B352" s="11" t="n">
        <v>3</v>
      </c>
      <c r="C352" s="11" t="inlineStr">
        <is>
          <t>Advisory / accountancy</t>
        </is>
      </c>
      <c r="D352" s="11" t="inlineStr">
        <is>
          <t>City of London</t>
        </is>
      </c>
      <c r="E352" s="11" t="inlineStr">
        <is>
          <t>Barnett Waddingham Actuaries and Consultants Limited</t>
        </is>
      </c>
      <c r="F352" s="11" t="inlineStr">
        <is>
          <t>Barnett Waddingham Actuaries and Consultants</t>
        </is>
      </c>
      <c r="G352" s="11" t="n"/>
      <c r="H352" s="11" t="n"/>
      <c r="I352" s="11" t="inlineStr">
        <is>
          <t>Not found</t>
        </is>
      </c>
      <c r="J352" s="11" t="n"/>
      <c r="K352" s="11" t="inlineStr">
        <is>
          <t>06498431</t>
        </is>
      </c>
      <c r="L352" s="12" t="inlineStr">
        <is>
          <t>Open</t>
        </is>
      </c>
      <c r="M352" s="11" t="inlineStr">
        <is>
          <t>Full</t>
        </is>
      </c>
      <c r="N352" s="13" t="n">
        <v>39486</v>
      </c>
      <c r="O352" s="11" t="inlineStr">
        <is>
          <t>One, Creechurch Place, London</t>
        </is>
      </c>
      <c r="P352" s="11" t="inlineStr">
        <is>
          <t>EC3A 5AF</t>
        </is>
      </c>
      <c r="Q352" s="11" t="inlineStr">
        <is>
          <t>No</t>
        </is>
      </c>
      <c r="W352" s="11" t="inlineStr">
        <is>
          <t>Liverpool St - Attlee Centre</t>
        </is>
      </c>
      <c r="X352" s="11" t="n">
        <v>9</v>
      </c>
      <c r="Y352" s="11" t="inlineStr">
        <is>
          <t>Shoreditch Powerleague (16.6)</t>
        </is>
      </c>
      <c r="Z352" s="11" t="inlineStr">
        <is>
          <t>Shoreditch Powerleague</t>
        </is>
      </c>
      <c r="AA352" s="11" t="n">
        <v>17</v>
      </c>
      <c r="AB352" s="14">
        <f>IFERROR(INDEX(Venues!$E$2:$E$17,MATCH(Z352,Venues!$A$2:$A$17,0)),"Not checked")</f>
        <v/>
      </c>
      <c r="AC352" s="14">
        <f>IFERROR(INDEX(Venues!$F$2:$F$17,MATCH(Z352,Venues!$A$2:$A$17,0)),0)</f>
        <v/>
      </c>
      <c r="AD352" s="15">
        <f>IFERROR(INDEX(Venues!$M$2:$M$17,MATCH(Z352,Venues!$A$2:$A$17,0)),"")</f>
        <v/>
      </c>
      <c r="AE352" s="14">
        <f>IFERROR(INDEX(Venues!$N$2:$N$17,MATCH(Z352,Venues!$A$2:$A$17,0)),"5-a-side")</f>
        <v/>
      </c>
      <c r="AF352" s="16">
        <f>IF(Offer!$C$4="","",Offer!$C$4)</f>
        <v/>
      </c>
      <c r="AG352" s="14">
        <f>Z352&amp;" ("&amp;AA352&amp;" min walk) · "&amp;IF(ISNUMBER(AD352),TEXT(AD352,"ddd d mmm, hh:mm"),"slot to confirm with venue")&amp;" · "&amp;AE352&amp;" · "&amp;IF(AF352&lt;&gt;"","£"&amp;TEXT(AF352,"0.00")&amp;" pp","price TBC")</f>
        <v/>
      </c>
      <c r="AH352" s="14">
        <f>IF(U352&lt;&gt;"",U352,IF(H352&lt;&gt;"",H352,""))</f>
        <v/>
      </c>
      <c r="AI352" s="14">
        <f>"After-work football for "&amp;F352&amp;" · "&amp;Z352&amp;", "&amp;AA352&amp;" min from your office"</f>
        <v/>
      </c>
      <c r="AJ352" s="14">
        <f>"Hi "&amp;IF(R352&lt;&gt;"",R352,F352&amp;" team")&amp;","&amp;CHAR(10)&amp;CHAR(10)&amp;"I'm "&amp;IF(AM352&lt;&gt;"",AM352,IF(Offer!$C$5&lt;&gt;"",Offer!$C$5,"[NAME]"))&amp;" from FC Urban. We organise after-work football for teams in the City and Canary Wharf."&amp;CHAR(10)&amp;CHAR(10)&amp;"We have a "&amp;AE352&amp;" pitch at "&amp;Z352&amp;", "&amp;IF(OR(AA352=8,AA352=11,AA352=18),"an ","a ")&amp;AA352&amp;"-minute walk from your "&amp;P352&amp;" office, "&amp;IF(ISNUMBER(AD352),"on "&amp;TEXT(AD352,"dddd d mmmm")&amp;" at "&amp;TEXT(AD352,"hh:mm"),"on a weekday evening that suits your team")&amp;". It's "&amp;IF(AF352&lt;&gt;"","£"&amp;IF(AF352=INT(AF352),TEXT(AF352,"0"),TEXT(AF352,"0.00")),"[PRICE PER PLAYER]")&amp;" a player and we handle the pitch booking, sign-ups and payments, so all it takes is one person sharing a link with the team."&amp;CHAR(10)&amp;CHAR(10)&amp;"It works well as a team social or "&amp;IF(ISNUMBER(SEARCH(LEFT(F352,1),"AEIOU")),"an ","a ")&amp;F352&amp;"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LINK]")&amp;CHAR(10)&amp;CHAR(10)&amp;"Best,"&amp;CHAR(10)&amp;IF(AM352&lt;&gt;"",AM352,IF(Offer!$C$5&lt;&gt;"",Offer!$C$5,"[NAME]"))&amp;CHAR(10)&amp;"FC Urban"</f>
        <v/>
      </c>
      <c r="AK352" s="14">
        <f>"Hi "&amp;IF(R352&lt;&gt;"",R352,F352&amp;" team")&amp;","&amp;CHAR(10)&amp;CHAR(10)&amp;"Just bumping this up. The "&amp;AE352&amp;" pitch at "&amp;Z352&amp;" is still free "&amp;IF(ISNUMBER(AD352),TEXT(AD352,"ddd d mmm")&amp;", "&amp;TEXT(AD352,"hh:mm"),"weekday evenings")&amp;", "&amp;IF(OR(AA352=8,AA352=11,AA352=18),"an ","a ")&amp;AA352&amp;"-minute walk from your office, "&amp;IF(AF352&lt;&gt;"","£"&amp;IF(AF352=INT(AF352),TEXT(AF352,"0"),TEXT(AF352,"0.00")),"[PRICE PER PLAYER]")&amp;" a player. Happy to hold it for "&amp;F352&amp;"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LINK]")&amp;CHAR(10)&amp;CHAR(10)&amp;"Best,"&amp;CHAR(10)&amp;IF(AM352&lt;&gt;"",AM352,IF(Offer!$C$5&lt;&gt;"",Offer!$C$5,"[NAME]"))&amp;CHAR(10)&amp;"FC Urban"</f>
        <v/>
      </c>
      <c r="AL352" s="14">
        <f>IF(AH352="","No email yet",IF(ISNUMBER(SEARCH("[",AJ352)),"Fill placeholders",IF(ISNUMBER(AD352),"Ready to send","Ready · no fixed slot")))</f>
        <v/>
      </c>
      <c r="AO352" s="17" t="n"/>
      <c r="AP352" s="17" t="n"/>
    </row>
    <row r="353">
      <c r="A353" s="11" t="n">
        <v>351</v>
      </c>
      <c r="B353" s="11" t="n">
        <v>3</v>
      </c>
      <c r="C353" s="11" t="inlineStr">
        <is>
          <t>Insurance / broker</t>
        </is>
      </c>
      <c r="D353" s="11" t="inlineStr">
        <is>
          <t>City of London</t>
        </is>
      </c>
      <c r="E353" s="11" t="inlineStr">
        <is>
          <t>Dual International Limited</t>
        </is>
      </c>
      <c r="F353" s="11" t="inlineStr">
        <is>
          <t>Dual</t>
        </is>
      </c>
      <c r="G353" s="12" t="inlineStr">
        <is>
          <t>https://www.dual.com</t>
        </is>
      </c>
      <c r="H353" s="11" t="inlineStr">
        <is>
          <t>info@dual.com</t>
        </is>
      </c>
      <c r="I353" s="11" t="inlineStr">
        <is>
          <t>general</t>
        </is>
      </c>
      <c r="J353" s="12" t="inlineStr">
        <is>
          <t>Open page</t>
        </is>
      </c>
      <c r="K353" s="11" t="inlineStr">
        <is>
          <t>03540129</t>
        </is>
      </c>
      <c r="L353" s="12" t="inlineStr">
        <is>
          <t>Open</t>
        </is>
      </c>
      <c r="M353" s="11" t="inlineStr">
        <is>
          <t>Full</t>
        </is>
      </c>
      <c r="N353" s="13" t="n">
        <v>35888</v>
      </c>
      <c r="O353" s="11" t="inlineStr">
        <is>
          <t>One Creechurch Place, London</t>
        </is>
      </c>
      <c r="P353" s="11" t="inlineStr">
        <is>
          <t>EC3A 5AF</t>
        </is>
      </c>
      <c r="Q353" s="11" t="inlineStr">
        <is>
          <t>No</t>
        </is>
      </c>
      <c r="W353" s="11" t="inlineStr">
        <is>
          <t>Liverpool St - Attlee Centre</t>
        </is>
      </c>
      <c r="X353" s="11" t="n">
        <v>9</v>
      </c>
      <c r="Y353" s="11" t="inlineStr">
        <is>
          <t>Shoreditch Powerleague (16.6)</t>
        </is>
      </c>
      <c r="Z353" s="11" t="inlineStr">
        <is>
          <t>Shoreditch Powerleague</t>
        </is>
      </c>
      <c r="AA353" s="11" t="n">
        <v>17</v>
      </c>
      <c r="AB353" s="14">
        <f>IFERROR(INDEX(Venues!$E$2:$E$17,MATCH(Z353,Venues!$A$2:$A$17,0)),"Not checked")</f>
        <v/>
      </c>
      <c r="AC353" s="14">
        <f>IFERROR(INDEX(Venues!$F$2:$F$17,MATCH(Z353,Venues!$A$2:$A$17,0)),0)</f>
        <v/>
      </c>
      <c r="AD353" s="15">
        <f>IFERROR(INDEX(Venues!$M$2:$M$17,MATCH(Z353,Venues!$A$2:$A$17,0)),"")</f>
        <v/>
      </c>
      <c r="AE353" s="14">
        <f>IFERROR(INDEX(Venues!$N$2:$N$17,MATCH(Z353,Venues!$A$2:$A$17,0)),"5-a-side")</f>
        <v/>
      </c>
      <c r="AF353" s="16">
        <f>IF(Offer!$C$4="","",Offer!$C$4)</f>
        <v/>
      </c>
      <c r="AG353" s="14">
        <f>Z353&amp;" ("&amp;AA353&amp;" min walk) · "&amp;IF(ISNUMBER(AD353),TEXT(AD353,"ddd d mmm, hh:mm"),"slot to confirm with venue")&amp;" · "&amp;AE353&amp;" · "&amp;IF(AF353&lt;&gt;"","£"&amp;TEXT(AF353,"0.00")&amp;" pp","price TBC")</f>
        <v/>
      </c>
      <c r="AH353" s="14">
        <f>IF(U353&lt;&gt;"",U353,IF(H353&lt;&gt;"",H353,""))</f>
        <v/>
      </c>
      <c r="AI353" s="14">
        <f>"After-work football for "&amp;F353&amp;" · "&amp;Z353&amp;", "&amp;AA353&amp;" min from your office"</f>
        <v/>
      </c>
      <c r="AJ353" s="14">
        <f>"Hi "&amp;IF(R353&lt;&gt;"",R353,F353&amp;" team")&amp;","&amp;CHAR(10)&amp;CHAR(10)&amp;"I'm "&amp;IF(AM353&lt;&gt;"",AM353,IF(Offer!$C$5&lt;&gt;"",Offer!$C$5,"[NAME]"))&amp;" from FC Urban. We organise after-work football for teams in the City and Canary Wharf."&amp;CHAR(10)&amp;CHAR(10)&amp;"We have a "&amp;AE353&amp;" pitch at "&amp;Z353&amp;", "&amp;IF(OR(AA353=8,AA353=11,AA353=18),"an ","a ")&amp;AA353&amp;"-minute walk from your "&amp;P353&amp;" office, "&amp;IF(ISNUMBER(AD353),"on "&amp;TEXT(AD353,"dddd d mmmm")&amp;" at "&amp;TEXT(AD353,"hh:mm"),"on a weekday evening that suits your team")&amp;". It's "&amp;IF(AF353&lt;&gt;"","£"&amp;IF(AF353=INT(AF353),TEXT(AF353,"0"),TEXT(AF353,"0.00")),"[PRICE PER PLAYER]")&amp;" a player and we handle the pitch booking, sign-ups and payments, so all it takes is one person sharing a link with the team."&amp;CHAR(10)&amp;CHAR(10)&amp;"It works well as a team social or "&amp;IF(ISNUMBER(SEARCH(LEFT(F353,1),"AEIOU")),"an ","a ")&amp;F353&amp;"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LINK]")&amp;CHAR(10)&amp;CHAR(10)&amp;"Best,"&amp;CHAR(10)&amp;IF(AM353&lt;&gt;"",AM353,IF(Offer!$C$5&lt;&gt;"",Offer!$C$5,"[NAME]"))&amp;CHAR(10)&amp;"FC Urban"</f>
        <v/>
      </c>
      <c r="AK353" s="14">
        <f>"Hi "&amp;IF(R353&lt;&gt;"",R353,F353&amp;" team")&amp;","&amp;CHAR(10)&amp;CHAR(10)&amp;"Just bumping this up. The "&amp;AE353&amp;" pitch at "&amp;Z353&amp;" is still free "&amp;IF(ISNUMBER(AD353),TEXT(AD353,"ddd d mmm")&amp;", "&amp;TEXT(AD353,"hh:mm"),"weekday evenings")&amp;", "&amp;IF(OR(AA353=8,AA353=11,AA353=18),"an ","a ")&amp;AA353&amp;"-minute walk from your office, "&amp;IF(AF353&lt;&gt;"","£"&amp;IF(AF353=INT(AF353),TEXT(AF353,"0"),TEXT(AF353,"0.00")),"[PRICE PER PLAYER]")&amp;" a player. Happy to hold it for "&amp;F353&amp;"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LINK]")&amp;CHAR(10)&amp;CHAR(10)&amp;"Best,"&amp;CHAR(10)&amp;IF(AM353&lt;&gt;"",AM353,IF(Offer!$C$5&lt;&gt;"",Offer!$C$5,"[NAME]"))&amp;CHAR(10)&amp;"FC Urban"</f>
        <v/>
      </c>
      <c r="AL353" s="14">
        <f>IF(AH353="","No email yet",IF(ISNUMBER(SEARCH("[",AJ353)),"Fill placeholders",IF(ISNUMBER(AD353),"Ready to send","Ready · no fixed slot")))</f>
        <v/>
      </c>
      <c r="AO353" s="17" t="n"/>
      <c r="AP353" s="17" t="n"/>
    </row>
    <row r="354">
      <c r="A354" s="11" t="n">
        <v>352</v>
      </c>
      <c r="B354" s="11" t="n">
        <v>3</v>
      </c>
      <c r="C354" s="11" t="inlineStr">
        <is>
          <t>Fund / asset manager</t>
        </is>
      </c>
      <c r="D354" s="11" t="inlineStr">
        <is>
          <t>City of London</t>
        </is>
      </c>
      <c r="E354" s="11" t="inlineStr">
        <is>
          <t>The Consulting Consortium Limited</t>
        </is>
      </c>
      <c r="F354" s="11" t="inlineStr">
        <is>
          <t>Consulting Consortium</t>
        </is>
      </c>
      <c r="G354" s="12" t="inlineStr">
        <is>
          <t>https://tcc.group</t>
        </is>
      </c>
      <c r="H354" s="11" t="inlineStr">
        <is>
          <t>hello@tcc.group</t>
        </is>
      </c>
      <c r="I354" s="11" t="inlineStr">
        <is>
          <t>general</t>
        </is>
      </c>
      <c r="J354" s="12" t="inlineStr">
        <is>
          <t>Open page</t>
        </is>
      </c>
      <c r="K354" s="11" t="inlineStr">
        <is>
          <t>04144405</t>
        </is>
      </c>
      <c r="L354" s="12" t="inlineStr">
        <is>
          <t>Open</t>
        </is>
      </c>
      <c r="M354" s="11" t="inlineStr">
        <is>
          <t>Medium</t>
        </is>
      </c>
      <c r="N354" s="13" t="n">
        <v>36910</v>
      </c>
      <c r="O354" s="11" t="inlineStr">
        <is>
          <t>6Th Floor, 10, Lower Thames Street, London</t>
        </is>
      </c>
      <c r="P354" s="11" t="inlineStr">
        <is>
          <t>EC3R 6EN</t>
        </is>
      </c>
      <c r="Q354" s="11" t="inlineStr">
        <is>
          <t>Yes</t>
        </is>
      </c>
      <c r="W354" s="11" t="inlineStr">
        <is>
          <t>Marlborough Sports Garden (SE1 1SD)</t>
        </is>
      </c>
      <c r="X354" s="11" t="n">
        <v>14</v>
      </c>
      <c r="Y354" s="11" t="inlineStr">
        <is>
          <t>City of London School (EC4V 3AL) (16.7)</t>
        </is>
      </c>
      <c r="Z354" s="11" t="inlineStr">
        <is>
          <t>City of London School (EC4V 3AL)</t>
        </is>
      </c>
      <c r="AA354" s="11" t="n">
        <v>17</v>
      </c>
      <c r="AB354" s="14">
        <f>IFERROR(INDEX(Venues!$E$2:$E$17,MATCH(Z354,Venues!$A$2:$A$17,0)),"Not checked")</f>
        <v/>
      </c>
      <c r="AC354" s="14">
        <f>IFERROR(INDEX(Venues!$F$2:$F$17,MATCH(Z354,Venues!$A$2:$A$17,0)),0)</f>
        <v/>
      </c>
      <c r="AD354" s="15">
        <f>IFERROR(INDEX(Venues!$M$2:$M$17,MATCH(Z354,Venues!$A$2:$A$17,0)),"")</f>
        <v/>
      </c>
      <c r="AE354" s="14">
        <f>IFERROR(INDEX(Venues!$N$2:$N$17,MATCH(Z354,Venues!$A$2:$A$17,0)),"5-a-side")</f>
        <v/>
      </c>
      <c r="AF354" s="16">
        <f>IF(Offer!$C$4="","",Offer!$C$4)</f>
        <v/>
      </c>
      <c r="AG354" s="14">
        <f>Z354&amp;" ("&amp;AA354&amp;" min walk) · "&amp;IF(ISNUMBER(AD354),TEXT(AD354,"ddd d mmm, hh:mm"),"slot to confirm with venue")&amp;" · "&amp;AE354&amp;" · "&amp;IF(AF354&lt;&gt;"","£"&amp;TEXT(AF354,"0.00")&amp;" pp","price TBC")</f>
        <v/>
      </c>
      <c r="AH354" s="14">
        <f>IF(U354&lt;&gt;"",U354,IF(H354&lt;&gt;"",H354,""))</f>
        <v/>
      </c>
      <c r="AI354" s="14">
        <f>"After-work football for "&amp;F354&amp;" · "&amp;Z354&amp;", "&amp;AA354&amp;" min from your office"</f>
        <v/>
      </c>
      <c r="AJ354" s="14">
        <f>"Hi "&amp;IF(R354&lt;&gt;"",R354,F354&amp;" team")&amp;","&amp;CHAR(10)&amp;CHAR(10)&amp;"I'm "&amp;IF(AM354&lt;&gt;"",AM354,IF(Offer!$C$5&lt;&gt;"",Offer!$C$5,"[NAME]"))&amp;" from FC Urban. We organise after-work football for teams in the City and Canary Wharf."&amp;CHAR(10)&amp;CHAR(10)&amp;"We have a "&amp;AE354&amp;" pitch at "&amp;Z354&amp;", "&amp;IF(OR(AA354=8,AA354=11,AA354=18),"an ","a ")&amp;AA354&amp;"-minute walk from your "&amp;P354&amp;" office, "&amp;IF(ISNUMBER(AD354),"on "&amp;TEXT(AD354,"dddd d mmmm")&amp;" at "&amp;TEXT(AD354,"hh:mm"),"on a weekday evening that suits your team")&amp;". It's "&amp;IF(AF354&lt;&gt;"","£"&amp;IF(AF354=INT(AF354),TEXT(AF354,"0"),TEXT(AF354,"0.00")),"[PRICE PER PLAYER]")&amp;" a player and we handle the pitch booking, sign-ups and payments, so all it takes is one person sharing a link with the team."&amp;CHAR(10)&amp;CHAR(10)&amp;"It works well as a team social or "&amp;IF(ISNUMBER(SEARCH(LEFT(F354,1),"AEIOU")),"an ","a ")&amp;F354&amp;"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LINK]")&amp;CHAR(10)&amp;CHAR(10)&amp;"Best,"&amp;CHAR(10)&amp;IF(AM354&lt;&gt;"",AM354,IF(Offer!$C$5&lt;&gt;"",Offer!$C$5,"[NAME]"))&amp;CHAR(10)&amp;"FC Urban"</f>
        <v/>
      </c>
      <c r="AK354" s="14">
        <f>"Hi "&amp;IF(R354&lt;&gt;"",R354,F354&amp;" team")&amp;","&amp;CHAR(10)&amp;CHAR(10)&amp;"Just bumping this up. The "&amp;AE354&amp;" pitch at "&amp;Z354&amp;" is still free "&amp;IF(ISNUMBER(AD354),TEXT(AD354,"ddd d mmm")&amp;", "&amp;TEXT(AD354,"hh:mm"),"weekday evenings")&amp;", "&amp;IF(OR(AA354=8,AA354=11,AA354=18),"an ","a ")&amp;AA354&amp;"-minute walk from your office, "&amp;IF(AF354&lt;&gt;"","£"&amp;IF(AF354=INT(AF354),TEXT(AF354,"0"),TEXT(AF354,"0.00")),"[PRICE PER PLAYER]")&amp;" a player. Happy to hold it for "&amp;F354&amp;"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LINK]")&amp;CHAR(10)&amp;CHAR(10)&amp;"Best,"&amp;CHAR(10)&amp;IF(AM354&lt;&gt;"",AM354,IF(Offer!$C$5&lt;&gt;"",Offer!$C$5,"[NAME]"))&amp;CHAR(10)&amp;"FC Urban"</f>
        <v/>
      </c>
      <c r="AL354" s="14">
        <f>IF(AH354="","No email yet",IF(ISNUMBER(SEARCH("[",AJ354)),"Fill placeholders",IF(ISNUMBER(AD354),"Ready to send","Ready · no fixed slot")))</f>
        <v/>
      </c>
      <c r="AO354" s="17" t="n"/>
      <c r="AP354" s="17" t="n"/>
    </row>
    <row r="355">
      <c r="A355" s="11" t="n">
        <v>353</v>
      </c>
      <c r="B355" s="11" t="n">
        <v>3</v>
      </c>
      <c r="C355" s="11" t="inlineStr">
        <is>
          <t>Insurance / broker</t>
        </is>
      </c>
      <c r="D355" s="11" t="inlineStr">
        <is>
          <t>City of London</t>
        </is>
      </c>
      <c r="E355" s="11" t="inlineStr">
        <is>
          <t>Cranbrook Underwriting Limited</t>
        </is>
      </c>
      <c r="F355" s="11" t="inlineStr">
        <is>
          <t>Cranbrook Underwriting</t>
        </is>
      </c>
      <c r="G355" s="12" t="inlineStr">
        <is>
          <t>https://www.cranbrook.com</t>
        </is>
      </c>
      <c r="H355" s="11" t="inlineStr">
        <is>
          <t>rkatzaros@cranbrookuw.com</t>
        </is>
      </c>
      <c r="I355" s="11" t="inlineStr">
        <is>
          <t>named person</t>
        </is>
      </c>
      <c r="J355" s="12" t="inlineStr">
        <is>
          <t>Open page</t>
        </is>
      </c>
      <c r="K355" s="11" t="inlineStr">
        <is>
          <t>04286691</t>
        </is>
      </c>
      <c r="L355" s="12" t="inlineStr">
        <is>
          <t>Open</t>
        </is>
      </c>
      <c r="M355" s="11" t="inlineStr">
        <is>
          <t>Full</t>
        </is>
      </c>
      <c r="N355" s="13" t="n">
        <v>37147</v>
      </c>
      <c r="O355" s="11" t="inlineStr">
        <is>
          <t>30 St Mary Axe, St. Mary Axe, London</t>
        </is>
      </c>
      <c r="P355" s="11" t="inlineStr">
        <is>
          <t>EC3A 8BF</t>
        </is>
      </c>
      <c r="Q355" s="11" t="inlineStr">
        <is>
          <t>Yes</t>
        </is>
      </c>
      <c r="W355" s="11" t="inlineStr">
        <is>
          <t>Liverpool St - Attlee Centre</t>
        </is>
      </c>
      <c r="X355" s="11" t="n">
        <v>10</v>
      </c>
      <c r="Y355" s="11" t="inlineStr">
        <is>
          <t>Shoreditch Powerleague (16.8)</t>
        </is>
      </c>
      <c r="Z355" s="11" t="inlineStr">
        <is>
          <t>Shoreditch Powerleague</t>
        </is>
      </c>
      <c r="AA355" s="11" t="n">
        <v>17</v>
      </c>
      <c r="AB355" s="14">
        <f>IFERROR(INDEX(Venues!$E$2:$E$17,MATCH(Z355,Venues!$A$2:$A$17,0)),"Not checked")</f>
        <v/>
      </c>
      <c r="AC355" s="14">
        <f>IFERROR(INDEX(Venues!$F$2:$F$17,MATCH(Z355,Venues!$A$2:$A$17,0)),0)</f>
        <v/>
      </c>
      <c r="AD355" s="15">
        <f>IFERROR(INDEX(Venues!$M$2:$M$17,MATCH(Z355,Venues!$A$2:$A$17,0)),"")</f>
        <v/>
      </c>
      <c r="AE355" s="14">
        <f>IFERROR(INDEX(Venues!$N$2:$N$17,MATCH(Z355,Venues!$A$2:$A$17,0)),"5-a-side")</f>
        <v/>
      </c>
      <c r="AF355" s="16">
        <f>IF(Offer!$C$4="","",Offer!$C$4)</f>
        <v/>
      </c>
      <c r="AG355" s="14">
        <f>Z355&amp;" ("&amp;AA355&amp;" min walk) · "&amp;IF(ISNUMBER(AD355),TEXT(AD355,"ddd d mmm, hh:mm"),"slot to confirm with venue")&amp;" · "&amp;AE355&amp;" · "&amp;IF(AF355&lt;&gt;"","£"&amp;TEXT(AF355,"0.00")&amp;" pp","price TBC")</f>
        <v/>
      </c>
      <c r="AH355" s="14">
        <f>IF(U355&lt;&gt;"",U355,IF(H355&lt;&gt;"",H355,""))</f>
        <v/>
      </c>
      <c r="AI355" s="14">
        <f>"After-work football for "&amp;F355&amp;" · "&amp;Z355&amp;", "&amp;AA355&amp;" min from your office"</f>
        <v/>
      </c>
      <c r="AJ355" s="14">
        <f>"Hi "&amp;IF(R355&lt;&gt;"",R355,F355&amp;" team")&amp;","&amp;CHAR(10)&amp;CHAR(10)&amp;"I'm "&amp;IF(AM355&lt;&gt;"",AM355,IF(Offer!$C$5&lt;&gt;"",Offer!$C$5,"[NAME]"))&amp;" from FC Urban. We organise after-work football for teams in the City and Canary Wharf."&amp;CHAR(10)&amp;CHAR(10)&amp;"We have a "&amp;AE355&amp;" pitch at "&amp;Z355&amp;", "&amp;IF(OR(AA355=8,AA355=11,AA355=18),"an ","a ")&amp;AA355&amp;"-minute walk from your "&amp;P355&amp;" office, "&amp;IF(ISNUMBER(AD355),"on "&amp;TEXT(AD355,"dddd d mmmm")&amp;" at "&amp;TEXT(AD355,"hh:mm"),"on a weekday evening that suits your team")&amp;". It's "&amp;IF(AF355&lt;&gt;"","£"&amp;IF(AF355=INT(AF355),TEXT(AF355,"0"),TEXT(AF355,"0.00")),"[PRICE PER PLAYER]")&amp;" a player and we handle the pitch booking, sign-ups and payments, so all it takes is one person sharing a link with the team."&amp;CHAR(10)&amp;CHAR(10)&amp;"It works well as a team social or "&amp;IF(ISNUMBER(SEARCH(LEFT(F355,1),"AEIOU")),"an ","a ")&amp;F355&amp;"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LINK]")&amp;CHAR(10)&amp;CHAR(10)&amp;"Best,"&amp;CHAR(10)&amp;IF(AM355&lt;&gt;"",AM355,IF(Offer!$C$5&lt;&gt;"",Offer!$C$5,"[NAME]"))&amp;CHAR(10)&amp;"FC Urban"</f>
        <v/>
      </c>
      <c r="AK355" s="14">
        <f>"Hi "&amp;IF(R355&lt;&gt;"",R355,F355&amp;" team")&amp;","&amp;CHAR(10)&amp;CHAR(10)&amp;"Just bumping this up. The "&amp;AE355&amp;" pitch at "&amp;Z355&amp;" is still free "&amp;IF(ISNUMBER(AD355),TEXT(AD355,"ddd d mmm")&amp;", "&amp;TEXT(AD355,"hh:mm"),"weekday evenings")&amp;", "&amp;IF(OR(AA355=8,AA355=11,AA355=18),"an ","a ")&amp;AA355&amp;"-minute walk from your office, "&amp;IF(AF355&lt;&gt;"","£"&amp;IF(AF355=INT(AF355),TEXT(AF355,"0"),TEXT(AF355,"0.00")),"[PRICE PER PLAYER]")&amp;" a player. Happy to hold it for "&amp;F355&amp;"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LINK]")&amp;CHAR(10)&amp;CHAR(10)&amp;"Best,"&amp;CHAR(10)&amp;IF(AM355&lt;&gt;"",AM355,IF(Offer!$C$5&lt;&gt;"",Offer!$C$5,"[NAME]"))&amp;CHAR(10)&amp;"FC Urban"</f>
        <v/>
      </c>
      <c r="AL355" s="14">
        <f>IF(AH355="","No email yet",IF(ISNUMBER(SEARCH("[",AJ355)),"Fill placeholders",IF(ISNUMBER(AD355),"Ready to send","Ready · no fixed slot")))</f>
        <v/>
      </c>
      <c r="AO355" s="17" t="n"/>
      <c r="AP355" s="17" t="n"/>
    </row>
    <row r="356">
      <c r="A356" s="11" t="n">
        <v>354</v>
      </c>
      <c r="B356" s="11" t="n">
        <v>3</v>
      </c>
      <c r="C356" s="11" t="inlineStr">
        <is>
          <t>Insurance / broker</t>
        </is>
      </c>
      <c r="D356" s="11" t="inlineStr">
        <is>
          <t>City of London</t>
        </is>
      </c>
      <c r="E356" s="11" t="inlineStr">
        <is>
          <t>First Underwriting Limited</t>
        </is>
      </c>
      <c r="F356" s="11" t="inlineStr">
        <is>
          <t>First Underwriting</t>
        </is>
      </c>
      <c r="G356" s="12" t="inlineStr">
        <is>
          <t>https://www.first.co.uk</t>
        </is>
      </c>
      <c r="H356" s="11" t="inlineStr">
        <is>
          <t>salesadmin@first.co.uk</t>
        </is>
      </c>
      <c r="I356" s="11" t="inlineStr">
        <is>
          <t>named person</t>
        </is>
      </c>
      <c r="J356" s="12" t="inlineStr">
        <is>
          <t>Open page</t>
        </is>
      </c>
      <c r="K356" s="11" t="inlineStr">
        <is>
          <t>07857938</t>
        </is>
      </c>
      <c r="L356" s="12" t="inlineStr">
        <is>
          <t>Open</t>
        </is>
      </c>
      <c r="M356" s="11" t="inlineStr">
        <is>
          <t>Full</t>
        </is>
      </c>
      <c r="N356" s="13" t="n">
        <v>40870</v>
      </c>
      <c r="O356" s="11" t="inlineStr">
        <is>
          <t>Level 15, 30, St. Mary Axe, London</t>
        </is>
      </c>
      <c r="P356" s="11" t="inlineStr">
        <is>
          <t>EC3A 8BF</t>
        </is>
      </c>
      <c r="Q356" s="11" t="inlineStr">
        <is>
          <t>Yes</t>
        </is>
      </c>
      <c r="W356" s="11" t="inlineStr">
        <is>
          <t>Liverpool St - Attlee Centre</t>
        </is>
      </c>
      <c r="X356" s="11" t="n">
        <v>10</v>
      </c>
      <c r="Y356" s="11" t="inlineStr">
        <is>
          <t>Shoreditch Powerleague (16.8)</t>
        </is>
      </c>
      <c r="Z356" s="11" t="inlineStr">
        <is>
          <t>Shoreditch Powerleague</t>
        </is>
      </c>
      <c r="AA356" s="11" t="n">
        <v>17</v>
      </c>
      <c r="AB356" s="14">
        <f>IFERROR(INDEX(Venues!$E$2:$E$17,MATCH(Z356,Venues!$A$2:$A$17,0)),"Not checked")</f>
        <v/>
      </c>
      <c r="AC356" s="14">
        <f>IFERROR(INDEX(Venues!$F$2:$F$17,MATCH(Z356,Venues!$A$2:$A$17,0)),0)</f>
        <v/>
      </c>
      <c r="AD356" s="15">
        <f>IFERROR(INDEX(Venues!$M$2:$M$17,MATCH(Z356,Venues!$A$2:$A$17,0)),"")</f>
        <v/>
      </c>
      <c r="AE356" s="14">
        <f>IFERROR(INDEX(Venues!$N$2:$N$17,MATCH(Z356,Venues!$A$2:$A$17,0)),"5-a-side")</f>
        <v/>
      </c>
      <c r="AF356" s="16">
        <f>IF(Offer!$C$4="","",Offer!$C$4)</f>
        <v/>
      </c>
      <c r="AG356" s="14">
        <f>Z356&amp;" ("&amp;AA356&amp;" min walk) · "&amp;IF(ISNUMBER(AD356),TEXT(AD356,"ddd d mmm, hh:mm"),"slot to confirm with venue")&amp;" · "&amp;AE356&amp;" · "&amp;IF(AF356&lt;&gt;"","£"&amp;TEXT(AF356,"0.00")&amp;" pp","price TBC")</f>
        <v/>
      </c>
      <c r="AH356" s="14">
        <f>IF(U356&lt;&gt;"",U356,IF(H356&lt;&gt;"",H356,""))</f>
        <v/>
      </c>
      <c r="AI356" s="14">
        <f>"After-work football for "&amp;F356&amp;" · "&amp;Z356&amp;", "&amp;AA356&amp;" min from your office"</f>
        <v/>
      </c>
      <c r="AJ356" s="14">
        <f>"Hi "&amp;IF(R356&lt;&gt;"",R356,F356&amp;" team")&amp;","&amp;CHAR(10)&amp;CHAR(10)&amp;"I'm "&amp;IF(AM356&lt;&gt;"",AM356,IF(Offer!$C$5&lt;&gt;"",Offer!$C$5,"[NAME]"))&amp;" from FC Urban. We organise after-work football for teams in the City and Canary Wharf."&amp;CHAR(10)&amp;CHAR(10)&amp;"We have a "&amp;AE356&amp;" pitch at "&amp;Z356&amp;", "&amp;IF(OR(AA356=8,AA356=11,AA356=18),"an ","a ")&amp;AA356&amp;"-minute walk from your "&amp;P356&amp;" office, "&amp;IF(ISNUMBER(AD356),"on "&amp;TEXT(AD356,"dddd d mmmm")&amp;" at "&amp;TEXT(AD356,"hh:mm"),"on a weekday evening that suits your team")&amp;". It's "&amp;IF(AF356&lt;&gt;"","£"&amp;IF(AF356=INT(AF356),TEXT(AF356,"0"),TEXT(AF356,"0.00")),"[PRICE PER PLAYER]")&amp;" a player and we handle the pitch booking, sign-ups and payments, so all it takes is one person sharing a link with the team."&amp;CHAR(10)&amp;CHAR(10)&amp;"It works well as a team social or "&amp;IF(ISNUMBER(SEARCH(LEFT(F356,1),"AEIOU")),"an ","a ")&amp;F356&amp;"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LINK]")&amp;CHAR(10)&amp;CHAR(10)&amp;"Best,"&amp;CHAR(10)&amp;IF(AM356&lt;&gt;"",AM356,IF(Offer!$C$5&lt;&gt;"",Offer!$C$5,"[NAME]"))&amp;CHAR(10)&amp;"FC Urban"</f>
        <v/>
      </c>
      <c r="AK356" s="14">
        <f>"Hi "&amp;IF(R356&lt;&gt;"",R356,F356&amp;" team")&amp;","&amp;CHAR(10)&amp;CHAR(10)&amp;"Just bumping this up. The "&amp;AE356&amp;" pitch at "&amp;Z356&amp;" is still free "&amp;IF(ISNUMBER(AD356),TEXT(AD356,"ddd d mmm")&amp;", "&amp;TEXT(AD356,"hh:mm"),"weekday evenings")&amp;", "&amp;IF(OR(AA356=8,AA356=11,AA356=18),"an ","a ")&amp;AA356&amp;"-minute walk from your office, "&amp;IF(AF356&lt;&gt;"","£"&amp;IF(AF356=INT(AF356),TEXT(AF356,"0"),TEXT(AF356,"0.00")),"[PRICE PER PLAYER]")&amp;" a player. Happy to hold it for "&amp;F356&amp;"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LINK]")&amp;CHAR(10)&amp;CHAR(10)&amp;"Best,"&amp;CHAR(10)&amp;IF(AM356&lt;&gt;"",AM356,IF(Offer!$C$5&lt;&gt;"",Offer!$C$5,"[NAME]"))&amp;CHAR(10)&amp;"FC Urban"</f>
        <v/>
      </c>
      <c r="AL356" s="14">
        <f>IF(AH356="","No email yet",IF(ISNUMBER(SEARCH("[",AJ356)),"Fill placeholders",IF(ISNUMBER(AD356),"Ready to send","Ready · no fixed slot")))</f>
        <v/>
      </c>
      <c r="AO356" s="17" t="n"/>
      <c r="AP356" s="17" t="n"/>
    </row>
    <row r="357">
      <c r="A357" s="11" t="n">
        <v>355</v>
      </c>
      <c r="B357" s="11" t="n">
        <v>3</v>
      </c>
      <c r="C357" s="11" t="inlineStr">
        <is>
          <t>Insurance / broker</t>
        </is>
      </c>
      <c r="D357" s="11" t="inlineStr">
        <is>
          <t>City of London</t>
        </is>
      </c>
      <c r="E357" s="11" t="inlineStr">
        <is>
          <t>Node International Ltd</t>
        </is>
      </c>
      <c r="F357" s="11" t="inlineStr">
        <is>
          <t>Node</t>
        </is>
      </c>
      <c r="G357" s="12" t="inlineStr">
        <is>
          <t>https://node.uk</t>
        </is>
      </c>
      <c r="H357" s="11" t="inlineStr">
        <is>
          <t>london@node.uk</t>
        </is>
      </c>
      <c r="I357" s="11" t="inlineStr">
        <is>
          <t>general</t>
        </is>
      </c>
      <c r="J357" s="12" t="inlineStr">
        <is>
          <t>Open page</t>
        </is>
      </c>
      <c r="K357" s="11" t="inlineStr">
        <is>
          <t>09744661</t>
        </is>
      </c>
      <c r="L357" s="12" t="inlineStr">
        <is>
          <t>Open</t>
        </is>
      </c>
      <c r="M357" s="11" t="inlineStr">
        <is>
          <t>Full</t>
        </is>
      </c>
      <c r="N357" s="13" t="n">
        <v>42240</v>
      </c>
      <c r="O357" s="11" t="inlineStr">
        <is>
          <t>30 St Mary Axe St. Mary Axe, 8Th Floor, London</t>
        </is>
      </c>
      <c r="P357" s="11" t="inlineStr">
        <is>
          <t>EC3A 8BF</t>
        </is>
      </c>
      <c r="Q357" s="11" t="inlineStr">
        <is>
          <t>No</t>
        </is>
      </c>
      <c r="W357" s="11" t="inlineStr">
        <is>
          <t>Liverpool St - Attlee Centre</t>
        </is>
      </c>
      <c r="X357" s="11" t="n">
        <v>10</v>
      </c>
      <c r="Y357" s="11" t="inlineStr">
        <is>
          <t>Shoreditch Powerleague (16.8)</t>
        </is>
      </c>
      <c r="Z357" s="11" t="inlineStr">
        <is>
          <t>Shoreditch Powerleague</t>
        </is>
      </c>
      <c r="AA357" s="11" t="n">
        <v>17</v>
      </c>
      <c r="AB357" s="14">
        <f>IFERROR(INDEX(Venues!$E$2:$E$17,MATCH(Z357,Venues!$A$2:$A$17,0)),"Not checked")</f>
        <v/>
      </c>
      <c r="AC357" s="14">
        <f>IFERROR(INDEX(Venues!$F$2:$F$17,MATCH(Z357,Venues!$A$2:$A$17,0)),0)</f>
        <v/>
      </c>
      <c r="AD357" s="15">
        <f>IFERROR(INDEX(Venues!$M$2:$M$17,MATCH(Z357,Venues!$A$2:$A$17,0)),"")</f>
        <v/>
      </c>
      <c r="AE357" s="14">
        <f>IFERROR(INDEX(Venues!$N$2:$N$17,MATCH(Z357,Venues!$A$2:$A$17,0)),"5-a-side")</f>
        <v/>
      </c>
      <c r="AF357" s="16">
        <f>IF(Offer!$C$4="","",Offer!$C$4)</f>
        <v/>
      </c>
      <c r="AG357" s="14">
        <f>Z357&amp;" ("&amp;AA357&amp;" min walk) · "&amp;IF(ISNUMBER(AD357),TEXT(AD357,"ddd d mmm, hh:mm"),"slot to confirm with venue")&amp;" · "&amp;AE357&amp;" · "&amp;IF(AF357&lt;&gt;"","£"&amp;TEXT(AF357,"0.00")&amp;" pp","price TBC")</f>
        <v/>
      </c>
      <c r="AH357" s="14">
        <f>IF(U357&lt;&gt;"",U357,IF(H357&lt;&gt;"",H357,""))</f>
        <v/>
      </c>
      <c r="AI357" s="14">
        <f>"After-work football for "&amp;F357&amp;" · "&amp;Z357&amp;", "&amp;AA357&amp;" min from your office"</f>
        <v/>
      </c>
      <c r="AJ357" s="14">
        <f>"Hi "&amp;IF(R357&lt;&gt;"",R357,F357&amp;" team")&amp;","&amp;CHAR(10)&amp;CHAR(10)&amp;"I'm "&amp;IF(AM357&lt;&gt;"",AM357,IF(Offer!$C$5&lt;&gt;"",Offer!$C$5,"[NAME]"))&amp;" from FC Urban. We organise after-work football for teams in the City and Canary Wharf."&amp;CHAR(10)&amp;CHAR(10)&amp;"We have a "&amp;AE357&amp;" pitch at "&amp;Z357&amp;", "&amp;IF(OR(AA357=8,AA357=11,AA357=18),"an ","a ")&amp;AA357&amp;"-minute walk from your "&amp;P357&amp;" office, "&amp;IF(ISNUMBER(AD357),"on "&amp;TEXT(AD357,"dddd d mmmm")&amp;" at "&amp;TEXT(AD357,"hh:mm"),"on a weekday evening that suits your team")&amp;". It's "&amp;IF(AF357&lt;&gt;"","£"&amp;IF(AF357=INT(AF357),TEXT(AF357,"0"),TEXT(AF357,"0.00")),"[PRICE PER PLAYER]")&amp;" a player and we handle the pitch booking, sign-ups and payments, so all it takes is one person sharing a link with the team."&amp;CHAR(10)&amp;CHAR(10)&amp;"It works well as a team social or "&amp;IF(ISNUMBER(SEARCH(LEFT(F357,1),"AEIOU")),"an ","a ")&amp;F357&amp;"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LINK]")&amp;CHAR(10)&amp;CHAR(10)&amp;"Best,"&amp;CHAR(10)&amp;IF(AM357&lt;&gt;"",AM357,IF(Offer!$C$5&lt;&gt;"",Offer!$C$5,"[NAME]"))&amp;CHAR(10)&amp;"FC Urban"</f>
        <v/>
      </c>
      <c r="AK357" s="14">
        <f>"Hi "&amp;IF(R357&lt;&gt;"",R357,F357&amp;" team")&amp;","&amp;CHAR(10)&amp;CHAR(10)&amp;"Just bumping this up. The "&amp;AE357&amp;" pitch at "&amp;Z357&amp;" is still free "&amp;IF(ISNUMBER(AD357),TEXT(AD357,"ddd d mmm")&amp;", "&amp;TEXT(AD357,"hh:mm"),"weekday evenings")&amp;", "&amp;IF(OR(AA357=8,AA357=11,AA357=18),"an ","a ")&amp;AA357&amp;"-minute walk from your office, "&amp;IF(AF357&lt;&gt;"","£"&amp;IF(AF357=INT(AF357),TEXT(AF357,"0"),TEXT(AF357,"0.00")),"[PRICE PER PLAYER]")&amp;" a player. Happy to hold it for "&amp;F357&amp;"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LINK]")&amp;CHAR(10)&amp;CHAR(10)&amp;"Best,"&amp;CHAR(10)&amp;IF(AM357&lt;&gt;"",AM357,IF(Offer!$C$5&lt;&gt;"",Offer!$C$5,"[NAME]"))&amp;CHAR(10)&amp;"FC Urban"</f>
        <v/>
      </c>
      <c r="AL357" s="14">
        <f>IF(AH357="","No email yet",IF(ISNUMBER(SEARCH("[",AJ357)),"Fill placeholders",IF(ISNUMBER(AD357),"Ready to send","Ready · no fixed slot")))</f>
        <v/>
      </c>
      <c r="AO357" s="17" t="n"/>
      <c r="AP357" s="17" t="n"/>
    </row>
    <row r="358">
      <c r="A358" s="11" t="n">
        <v>356</v>
      </c>
      <c r="B358" s="11" t="n">
        <v>3</v>
      </c>
      <c r="C358" s="11" t="inlineStr">
        <is>
          <t>Insurance / broker</t>
        </is>
      </c>
      <c r="D358" s="11" t="inlineStr">
        <is>
          <t>City of London</t>
        </is>
      </c>
      <c r="E358" s="11" t="inlineStr">
        <is>
          <t>Oneglobal Broking Limited</t>
        </is>
      </c>
      <c r="F358" s="11" t="inlineStr">
        <is>
          <t>Oneglobal Broking</t>
        </is>
      </c>
      <c r="G358" s="12" t="inlineStr">
        <is>
          <t>https://oneglobal.com</t>
        </is>
      </c>
      <c r="H358" s="11" t="inlineStr">
        <is>
          <t>info@oneglobal.com</t>
        </is>
      </c>
      <c r="I358" s="11" t="inlineStr">
        <is>
          <t>general</t>
        </is>
      </c>
      <c r="J358" s="12" t="inlineStr">
        <is>
          <t>Open page</t>
        </is>
      </c>
      <c r="K358" s="11" t="inlineStr">
        <is>
          <t>03717612</t>
        </is>
      </c>
      <c r="L358" s="12" t="inlineStr">
        <is>
          <t>Open</t>
        </is>
      </c>
      <c r="M358" s="11" t="inlineStr">
        <is>
          <t>Full</t>
        </is>
      </c>
      <c r="N358" s="13" t="n">
        <v>36208</v>
      </c>
      <c r="O358" s="11" t="inlineStr">
        <is>
          <t>30 St. Mary Axe, London</t>
        </is>
      </c>
      <c r="P358" s="11" t="inlineStr">
        <is>
          <t>EC3A 8BF</t>
        </is>
      </c>
      <c r="Q358" s="11" t="inlineStr">
        <is>
          <t>No</t>
        </is>
      </c>
      <c r="W358" s="11" t="inlineStr">
        <is>
          <t>Liverpool St - Attlee Centre</t>
        </is>
      </c>
      <c r="X358" s="11" t="n">
        <v>10</v>
      </c>
      <c r="Y358" s="11" t="inlineStr">
        <is>
          <t>Shoreditch Powerleague (16.8)</t>
        </is>
      </c>
      <c r="Z358" s="11" t="inlineStr">
        <is>
          <t>Shoreditch Powerleague</t>
        </is>
      </c>
      <c r="AA358" s="11" t="n">
        <v>17</v>
      </c>
      <c r="AB358" s="14">
        <f>IFERROR(INDEX(Venues!$E$2:$E$17,MATCH(Z358,Venues!$A$2:$A$17,0)),"Not checked")</f>
        <v/>
      </c>
      <c r="AC358" s="14">
        <f>IFERROR(INDEX(Venues!$F$2:$F$17,MATCH(Z358,Venues!$A$2:$A$17,0)),0)</f>
        <v/>
      </c>
      <c r="AD358" s="15">
        <f>IFERROR(INDEX(Venues!$M$2:$M$17,MATCH(Z358,Venues!$A$2:$A$17,0)),"")</f>
        <v/>
      </c>
      <c r="AE358" s="14">
        <f>IFERROR(INDEX(Venues!$N$2:$N$17,MATCH(Z358,Venues!$A$2:$A$17,0)),"5-a-side")</f>
        <v/>
      </c>
      <c r="AF358" s="16">
        <f>IF(Offer!$C$4="","",Offer!$C$4)</f>
        <v/>
      </c>
      <c r="AG358" s="14">
        <f>Z358&amp;" ("&amp;AA358&amp;" min walk) · "&amp;IF(ISNUMBER(AD358),TEXT(AD358,"ddd d mmm, hh:mm"),"slot to confirm with venue")&amp;" · "&amp;AE358&amp;" · "&amp;IF(AF358&lt;&gt;"","£"&amp;TEXT(AF358,"0.00")&amp;" pp","price TBC")</f>
        <v/>
      </c>
      <c r="AH358" s="14">
        <f>IF(U358&lt;&gt;"",U358,IF(H358&lt;&gt;"",H358,""))</f>
        <v/>
      </c>
      <c r="AI358" s="14">
        <f>"After-work football for "&amp;F358&amp;" · "&amp;Z358&amp;", "&amp;AA358&amp;" min from your office"</f>
        <v/>
      </c>
      <c r="AJ358" s="14">
        <f>"Hi "&amp;IF(R358&lt;&gt;"",R358,F358&amp;" team")&amp;","&amp;CHAR(10)&amp;CHAR(10)&amp;"I'm "&amp;IF(AM358&lt;&gt;"",AM358,IF(Offer!$C$5&lt;&gt;"",Offer!$C$5,"[NAME]"))&amp;" from FC Urban. We organise after-work football for teams in the City and Canary Wharf."&amp;CHAR(10)&amp;CHAR(10)&amp;"We have a "&amp;AE358&amp;" pitch at "&amp;Z358&amp;", "&amp;IF(OR(AA358=8,AA358=11,AA358=18),"an ","a ")&amp;AA358&amp;"-minute walk from your "&amp;P358&amp;" office, "&amp;IF(ISNUMBER(AD358),"on "&amp;TEXT(AD358,"dddd d mmmm")&amp;" at "&amp;TEXT(AD358,"hh:mm"),"on a weekday evening that suits your team")&amp;". It's "&amp;IF(AF358&lt;&gt;"","£"&amp;IF(AF358=INT(AF358),TEXT(AF358,"0"),TEXT(AF358,"0.00")),"[PRICE PER PLAYER]")&amp;" a player and we handle the pitch booking, sign-ups and payments, so all it takes is one person sharing a link with the team."&amp;CHAR(10)&amp;CHAR(10)&amp;"It works well as a team social or "&amp;IF(ISNUMBER(SEARCH(LEFT(F358,1),"AEIOU")),"an ","a ")&amp;F358&amp;"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LINK]")&amp;CHAR(10)&amp;CHAR(10)&amp;"Best,"&amp;CHAR(10)&amp;IF(AM358&lt;&gt;"",AM358,IF(Offer!$C$5&lt;&gt;"",Offer!$C$5,"[NAME]"))&amp;CHAR(10)&amp;"FC Urban"</f>
        <v/>
      </c>
      <c r="AK358" s="14">
        <f>"Hi "&amp;IF(R358&lt;&gt;"",R358,F358&amp;" team")&amp;","&amp;CHAR(10)&amp;CHAR(10)&amp;"Just bumping this up. The "&amp;AE358&amp;" pitch at "&amp;Z358&amp;" is still free "&amp;IF(ISNUMBER(AD358),TEXT(AD358,"ddd d mmm")&amp;", "&amp;TEXT(AD358,"hh:mm"),"weekday evenings")&amp;", "&amp;IF(OR(AA358=8,AA358=11,AA358=18),"an ","a ")&amp;AA358&amp;"-minute walk from your office, "&amp;IF(AF358&lt;&gt;"","£"&amp;IF(AF358=INT(AF358),TEXT(AF358,"0"),TEXT(AF358,"0.00")),"[PRICE PER PLAYER]")&amp;" a player. Happy to hold it for "&amp;F358&amp;"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LINK]")&amp;CHAR(10)&amp;CHAR(10)&amp;"Best,"&amp;CHAR(10)&amp;IF(AM358&lt;&gt;"",AM358,IF(Offer!$C$5&lt;&gt;"",Offer!$C$5,"[NAME]"))&amp;CHAR(10)&amp;"FC Urban"</f>
        <v/>
      </c>
      <c r="AL358" s="14">
        <f>IF(AH358="","No email yet",IF(ISNUMBER(SEARCH("[",AJ358)),"Fill placeholders",IF(ISNUMBER(AD358),"Ready to send","Ready · no fixed slot")))</f>
        <v/>
      </c>
      <c r="AO358" s="17" t="n"/>
      <c r="AP358" s="17" t="n"/>
    </row>
    <row r="359">
      <c r="A359" s="11" t="n">
        <v>357</v>
      </c>
      <c r="B359" s="11" t="n">
        <v>3</v>
      </c>
      <c r="C359" s="11" t="inlineStr">
        <is>
          <t>Fund / asset manager</t>
        </is>
      </c>
      <c r="D359" s="11" t="inlineStr">
        <is>
          <t>City of London</t>
        </is>
      </c>
      <c r="E359" s="11" t="inlineStr">
        <is>
          <t>Osmosis Investment Management UK Limited</t>
        </is>
      </c>
      <c r="F359" s="11" t="inlineStr">
        <is>
          <t>Osmosis Investment Management</t>
        </is>
      </c>
      <c r="G359" s="12" t="inlineStr">
        <is>
          <t>https://osmosis.com</t>
        </is>
      </c>
      <c r="H359" s="11" t="inlineStr">
        <is>
          <t>reservations@osmosis.com</t>
        </is>
      </c>
      <c r="I359" s="11" t="inlineStr">
        <is>
          <t>named person</t>
        </is>
      </c>
      <c r="J359" s="12" t="inlineStr">
        <is>
          <t>Open page</t>
        </is>
      </c>
      <c r="K359" s="11" t="inlineStr">
        <is>
          <t>09960550</t>
        </is>
      </c>
      <c r="L359" s="12" t="inlineStr">
        <is>
          <t>Open</t>
        </is>
      </c>
      <c r="M359" s="11" t="inlineStr">
        <is>
          <t>Medium</t>
        </is>
      </c>
      <c r="N359" s="13" t="n">
        <v>42389</v>
      </c>
      <c r="O359" s="11" t="inlineStr">
        <is>
          <t>36-38 Botolph Lane, London</t>
        </is>
      </c>
      <c r="P359" s="11" t="inlineStr">
        <is>
          <t>EC3R 8DE</t>
        </is>
      </c>
      <c r="Q359" s="11" t="inlineStr">
        <is>
          <t>Yes</t>
        </is>
      </c>
      <c r="W359" s="11" t="inlineStr">
        <is>
          <t>Marlborough Sports Garden (SE1 1SD)</t>
        </is>
      </c>
      <c r="X359" s="11" t="n">
        <v>16</v>
      </c>
      <c r="Y359" s="11" t="inlineStr">
        <is>
          <t>City of London School (EC4V 3AL) (16.9)</t>
        </is>
      </c>
      <c r="Z359" s="11" t="inlineStr">
        <is>
          <t>City of London School (EC4V 3AL)</t>
        </is>
      </c>
      <c r="AA359" s="11" t="n">
        <v>17</v>
      </c>
      <c r="AB359" s="14">
        <f>IFERROR(INDEX(Venues!$E$2:$E$17,MATCH(Z359,Venues!$A$2:$A$17,0)),"Not checked")</f>
        <v/>
      </c>
      <c r="AC359" s="14">
        <f>IFERROR(INDEX(Venues!$F$2:$F$17,MATCH(Z359,Venues!$A$2:$A$17,0)),0)</f>
        <v/>
      </c>
      <c r="AD359" s="15">
        <f>IFERROR(INDEX(Venues!$M$2:$M$17,MATCH(Z359,Venues!$A$2:$A$17,0)),"")</f>
        <v/>
      </c>
      <c r="AE359" s="14">
        <f>IFERROR(INDEX(Venues!$N$2:$N$17,MATCH(Z359,Venues!$A$2:$A$17,0)),"5-a-side")</f>
        <v/>
      </c>
      <c r="AF359" s="16">
        <f>IF(Offer!$C$4="","",Offer!$C$4)</f>
        <v/>
      </c>
      <c r="AG359" s="14">
        <f>Z359&amp;" ("&amp;AA359&amp;" min walk) · "&amp;IF(ISNUMBER(AD359),TEXT(AD359,"ddd d mmm, hh:mm"),"slot to confirm with venue")&amp;" · "&amp;AE359&amp;" · "&amp;IF(AF359&lt;&gt;"","£"&amp;TEXT(AF359,"0.00")&amp;" pp","price TBC")</f>
        <v/>
      </c>
      <c r="AH359" s="14">
        <f>IF(U359&lt;&gt;"",U359,IF(H359&lt;&gt;"",H359,""))</f>
        <v/>
      </c>
      <c r="AI359" s="14">
        <f>"After-work football for "&amp;F359&amp;" · "&amp;Z359&amp;", "&amp;AA359&amp;" min from your office"</f>
        <v/>
      </c>
      <c r="AJ359" s="14">
        <f>"Hi "&amp;IF(R359&lt;&gt;"",R359,F359&amp;" team")&amp;","&amp;CHAR(10)&amp;CHAR(10)&amp;"I'm "&amp;IF(AM359&lt;&gt;"",AM359,IF(Offer!$C$5&lt;&gt;"",Offer!$C$5,"[NAME]"))&amp;" from FC Urban. We organise after-work football for teams in the City and Canary Wharf."&amp;CHAR(10)&amp;CHAR(10)&amp;"We have a "&amp;AE359&amp;" pitch at "&amp;Z359&amp;", "&amp;IF(OR(AA359=8,AA359=11,AA359=18),"an ","a ")&amp;AA359&amp;"-minute walk from your "&amp;P359&amp;" office, "&amp;IF(ISNUMBER(AD359),"on "&amp;TEXT(AD359,"dddd d mmmm")&amp;" at "&amp;TEXT(AD359,"hh:mm"),"on a weekday evening that suits your team")&amp;". It's "&amp;IF(AF359&lt;&gt;"","£"&amp;IF(AF359=INT(AF359),TEXT(AF359,"0"),TEXT(AF359,"0.00")),"[PRICE PER PLAYER]")&amp;" a player and we handle the pitch booking, sign-ups and payments, so all it takes is one person sharing a link with the team."&amp;CHAR(10)&amp;CHAR(10)&amp;"It works well as a team social or "&amp;IF(ISNUMBER(SEARCH(LEFT(F359,1),"AEIOU")),"an ","a ")&amp;F359&amp;"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LINK]")&amp;CHAR(10)&amp;CHAR(10)&amp;"Best,"&amp;CHAR(10)&amp;IF(AM359&lt;&gt;"",AM359,IF(Offer!$C$5&lt;&gt;"",Offer!$C$5,"[NAME]"))&amp;CHAR(10)&amp;"FC Urban"</f>
        <v/>
      </c>
      <c r="AK359" s="14">
        <f>"Hi "&amp;IF(R359&lt;&gt;"",R359,F359&amp;" team")&amp;","&amp;CHAR(10)&amp;CHAR(10)&amp;"Just bumping this up. The "&amp;AE359&amp;" pitch at "&amp;Z359&amp;" is still free "&amp;IF(ISNUMBER(AD359),TEXT(AD359,"ddd d mmm")&amp;", "&amp;TEXT(AD359,"hh:mm"),"weekday evenings")&amp;", "&amp;IF(OR(AA359=8,AA359=11,AA359=18),"an ","a ")&amp;AA359&amp;"-minute walk from your office, "&amp;IF(AF359&lt;&gt;"","£"&amp;IF(AF359=INT(AF359),TEXT(AF359,"0"),TEXT(AF359,"0.00")),"[PRICE PER PLAYER]")&amp;" a player. Happy to hold it for "&amp;F359&amp;"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LINK]")&amp;CHAR(10)&amp;CHAR(10)&amp;"Best,"&amp;CHAR(10)&amp;IF(AM359&lt;&gt;"",AM359,IF(Offer!$C$5&lt;&gt;"",Offer!$C$5,"[NAME]"))&amp;CHAR(10)&amp;"FC Urban"</f>
        <v/>
      </c>
      <c r="AL359" s="14">
        <f>IF(AH359="","No email yet",IF(ISNUMBER(SEARCH("[",AJ359)),"Fill placeholders",IF(ISNUMBER(AD359),"Ready to send","Ready · no fixed slot")))</f>
        <v/>
      </c>
      <c r="AO359" s="17" t="n"/>
      <c r="AP359" s="17" t="n"/>
    </row>
    <row r="360">
      <c r="A360" s="11" t="n">
        <v>358</v>
      </c>
      <c r="B360" s="11" t="n">
        <v>3</v>
      </c>
      <c r="C360" s="11" t="inlineStr">
        <is>
          <t>Insurance / broker</t>
        </is>
      </c>
      <c r="D360" s="11" t="inlineStr">
        <is>
          <t>City of London</t>
        </is>
      </c>
      <c r="E360" s="11" t="inlineStr">
        <is>
          <t>Arcadian Risk Capital (UK) Ltd</t>
        </is>
      </c>
      <c r="F360" s="11" t="inlineStr">
        <is>
          <t>Arcadian Risk Capital</t>
        </is>
      </c>
      <c r="G360" s="12" t="inlineStr">
        <is>
          <t>https://www.arcadian-risk.com</t>
        </is>
      </c>
      <c r="H360" s="11" t="inlineStr">
        <is>
          <t>info@arcadian-risk.com</t>
        </is>
      </c>
      <c r="I360" s="11" t="inlineStr">
        <is>
          <t>general</t>
        </is>
      </c>
      <c r="J360" s="12" t="inlineStr">
        <is>
          <t>Open page</t>
        </is>
      </c>
      <c r="K360" s="11" t="inlineStr">
        <is>
          <t>12765929</t>
        </is>
      </c>
      <c r="L360" s="12" t="inlineStr">
        <is>
          <t>Open</t>
        </is>
      </c>
      <c r="M360" s="11" t="inlineStr">
        <is>
          <t>Full</t>
        </is>
      </c>
      <c r="N360" s="13" t="n">
        <v>44036</v>
      </c>
      <c r="O360" s="11" t="inlineStr">
        <is>
          <t>52 Cornhill, London</t>
        </is>
      </c>
      <c r="P360" s="11" t="inlineStr">
        <is>
          <t>EC3V 3PD</t>
        </is>
      </c>
      <c r="Q360" s="11" t="inlineStr">
        <is>
          <t>Yes</t>
        </is>
      </c>
      <c r="W360" s="11" t="inlineStr">
        <is>
          <t>Liverpool St - Attlee Centre</t>
        </is>
      </c>
      <c r="X360" s="11" t="n">
        <v>16</v>
      </c>
      <c r="Y360" s="11" t="inlineStr">
        <is>
          <t>City of London School (EC4V 3AL) (16.9)</t>
        </is>
      </c>
      <c r="Z360" s="11" t="inlineStr">
        <is>
          <t>City of London School (EC4V 3AL)</t>
        </is>
      </c>
      <c r="AA360" s="11" t="n">
        <v>17</v>
      </c>
      <c r="AB360" s="14">
        <f>IFERROR(INDEX(Venues!$E$2:$E$17,MATCH(Z360,Venues!$A$2:$A$17,0)),"Not checked")</f>
        <v/>
      </c>
      <c r="AC360" s="14">
        <f>IFERROR(INDEX(Venues!$F$2:$F$17,MATCH(Z360,Venues!$A$2:$A$17,0)),0)</f>
        <v/>
      </c>
      <c r="AD360" s="15">
        <f>IFERROR(INDEX(Venues!$M$2:$M$17,MATCH(Z360,Venues!$A$2:$A$17,0)),"")</f>
        <v/>
      </c>
      <c r="AE360" s="14">
        <f>IFERROR(INDEX(Venues!$N$2:$N$17,MATCH(Z360,Venues!$A$2:$A$17,0)),"5-a-side")</f>
        <v/>
      </c>
      <c r="AF360" s="16">
        <f>IF(Offer!$C$4="","",Offer!$C$4)</f>
        <v/>
      </c>
      <c r="AG360" s="14">
        <f>Z360&amp;" ("&amp;AA360&amp;" min walk) · "&amp;IF(ISNUMBER(AD360),TEXT(AD360,"ddd d mmm, hh:mm"),"slot to confirm with venue")&amp;" · "&amp;AE360&amp;" · "&amp;IF(AF360&lt;&gt;"","£"&amp;TEXT(AF360,"0.00")&amp;" pp","price TBC")</f>
        <v/>
      </c>
      <c r="AH360" s="14">
        <f>IF(U360&lt;&gt;"",U360,IF(H360&lt;&gt;"",H360,""))</f>
        <v/>
      </c>
      <c r="AI360" s="14">
        <f>"After-work football for "&amp;F360&amp;" · "&amp;Z360&amp;", "&amp;AA360&amp;" min from your office"</f>
        <v/>
      </c>
      <c r="AJ360" s="14">
        <f>"Hi "&amp;IF(R360&lt;&gt;"",R360,F360&amp;" team")&amp;","&amp;CHAR(10)&amp;CHAR(10)&amp;"I'm "&amp;IF(AM360&lt;&gt;"",AM360,IF(Offer!$C$5&lt;&gt;"",Offer!$C$5,"[NAME]"))&amp;" from FC Urban. We organise after-work football for teams in the City and Canary Wharf."&amp;CHAR(10)&amp;CHAR(10)&amp;"We have a "&amp;AE360&amp;" pitch at "&amp;Z360&amp;", "&amp;IF(OR(AA360=8,AA360=11,AA360=18),"an ","a ")&amp;AA360&amp;"-minute walk from your "&amp;P360&amp;" office, "&amp;IF(ISNUMBER(AD360),"on "&amp;TEXT(AD360,"dddd d mmmm")&amp;" at "&amp;TEXT(AD360,"hh:mm"),"on a weekday evening that suits your team")&amp;". It's "&amp;IF(AF360&lt;&gt;"","£"&amp;IF(AF360=INT(AF360),TEXT(AF360,"0"),TEXT(AF360,"0.00")),"[PRICE PER PLAYER]")&amp;" a player and we handle the pitch booking, sign-ups and payments, so all it takes is one person sharing a link with the team."&amp;CHAR(10)&amp;CHAR(10)&amp;"It works well as a team social or "&amp;IF(ISNUMBER(SEARCH(LEFT(F360,1),"AEIOU")),"an ","a ")&amp;F360&amp;"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LINK]")&amp;CHAR(10)&amp;CHAR(10)&amp;"Best,"&amp;CHAR(10)&amp;IF(AM360&lt;&gt;"",AM360,IF(Offer!$C$5&lt;&gt;"",Offer!$C$5,"[NAME]"))&amp;CHAR(10)&amp;"FC Urban"</f>
        <v/>
      </c>
      <c r="AK360" s="14">
        <f>"Hi "&amp;IF(R360&lt;&gt;"",R360,F360&amp;" team")&amp;","&amp;CHAR(10)&amp;CHAR(10)&amp;"Just bumping this up. The "&amp;AE360&amp;" pitch at "&amp;Z360&amp;" is still free "&amp;IF(ISNUMBER(AD360),TEXT(AD360,"ddd d mmm")&amp;", "&amp;TEXT(AD360,"hh:mm"),"weekday evenings")&amp;", "&amp;IF(OR(AA360=8,AA360=11,AA360=18),"an ","a ")&amp;AA360&amp;"-minute walk from your office, "&amp;IF(AF360&lt;&gt;"","£"&amp;IF(AF360=INT(AF360),TEXT(AF360,"0"),TEXT(AF360,"0.00")),"[PRICE PER PLAYER]")&amp;" a player. Happy to hold it for "&amp;F360&amp;"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LINK]")&amp;CHAR(10)&amp;CHAR(10)&amp;"Best,"&amp;CHAR(10)&amp;IF(AM360&lt;&gt;"",AM360,IF(Offer!$C$5&lt;&gt;"",Offer!$C$5,"[NAME]"))&amp;CHAR(10)&amp;"FC Urban"</f>
        <v/>
      </c>
      <c r="AL360" s="14">
        <f>IF(AH360="","No email yet",IF(ISNUMBER(SEARCH("[",AJ360)),"Fill placeholders",IF(ISNUMBER(AD360),"Ready to send","Ready · no fixed slot")))</f>
        <v/>
      </c>
      <c r="AO360" s="17" t="n"/>
      <c r="AP360" s="17" t="n"/>
    </row>
    <row r="361">
      <c r="A361" s="11" t="n">
        <v>359</v>
      </c>
      <c r="B361" s="11" t="n">
        <v>3</v>
      </c>
      <c r="C361" s="11" t="inlineStr">
        <is>
          <t>Fund / asset manager</t>
        </is>
      </c>
      <c r="D361" s="11" t="inlineStr">
        <is>
          <t>City of London</t>
        </is>
      </c>
      <c r="E361" s="11" t="inlineStr">
        <is>
          <t>Fairtree Asset Management LLP</t>
        </is>
      </c>
      <c r="F361" s="11" t="inlineStr">
        <is>
          <t>Fairtree Asset Management</t>
        </is>
      </c>
      <c r="G361" s="12" t="inlineStr">
        <is>
          <t>https://www.fairtree.com</t>
        </is>
      </c>
      <c r="H361" s="11" t="inlineStr">
        <is>
          <t>clientservices@fairtree.com</t>
        </is>
      </c>
      <c r="I361" s="11" t="inlineStr">
        <is>
          <t>role (other)</t>
        </is>
      </c>
      <c r="J361" s="12" t="inlineStr">
        <is>
          <t>Open page</t>
        </is>
      </c>
      <c r="K361" s="11" t="inlineStr">
        <is>
          <t>OC420877</t>
        </is>
      </c>
      <c r="L361" s="12" t="inlineStr">
        <is>
          <t>Open</t>
        </is>
      </c>
      <c r="M361" s="11" t="inlineStr">
        <is>
          <t>Full</t>
        </is>
      </c>
      <c r="N361" s="13" t="n">
        <v>43133</v>
      </c>
      <c r="O361" s="11" t="inlineStr">
        <is>
          <t>C/O Kroll Advisory Ltd., The Shard, Level 14, 32 London Bridge Street, London</t>
        </is>
      </c>
      <c r="P361" s="11" t="inlineStr">
        <is>
          <t>SE1 9SG</t>
        </is>
      </c>
      <c r="Q361" s="11" t="inlineStr">
        <is>
          <t>No</t>
        </is>
      </c>
      <c r="W361" s="11" t="inlineStr">
        <is>
          <t>Marlborough Sports Garden (SE1 1SD)</t>
        </is>
      </c>
      <c r="X361" s="11" t="n">
        <v>7</v>
      </c>
      <c r="Y361" s="11" t="inlineStr">
        <is>
          <t>Borough Academy (14.6); City of London School (EC4V 3AL) (17.2)</t>
        </is>
      </c>
      <c r="Z361" s="11" t="inlineStr">
        <is>
          <t>City of London School (EC4V 3AL)</t>
        </is>
      </c>
      <c r="AA361" s="11" t="n">
        <v>17</v>
      </c>
      <c r="AB361" s="14">
        <f>IFERROR(INDEX(Venues!$E$2:$E$17,MATCH(Z361,Venues!$A$2:$A$17,0)),"Not checked")</f>
        <v/>
      </c>
      <c r="AC361" s="14">
        <f>IFERROR(INDEX(Venues!$F$2:$F$17,MATCH(Z361,Venues!$A$2:$A$17,0)),0)</f>
        <v/>
      </c>
      <c r="AD361" s="15">
        <f>IFERROR(INDEX(Venues!$M$2:$M$17,MATCH(Z361,Venues!$A$2:$A$17,0)),"")</f>
        <v/>
      </c>
      <c r="AE361" s="14">
        <f>IFERROR(INDEX(Venues!$N$2:$N$17,MATCH(Z361,Venues!$A$2:$A$17,0)),"5-a-side")</f>
        <v/>
      </c>
      <c r="AF361" s="16">
        <f>IF(Offer!$C$4="","",Offer!$C$4)</f>
        <v/>
      </c>
      <c r="AG361" s="14">
        <f>Z361&amp;" ("&amp;AA361&amp;" min walk) · "&amp;IF(ISNUMBER(AD361),TEXT(AD361,"ddd d mmm, hh:mm"),"slot to confirm with venue")&amp;" · "&amp;AE361&amp;" · "&amp;IF(AF361&lt;&gt;"","£"&amp;TEXT(AF361,"0.00")&amp;" pp","price TBC")</f>
        <v/>
      </c>
      <c r="AH361" s="14">
        <f>IF(U361&lt;&gt;"",U361,IF(H361&lt;&gt;"",H361,""))</f>
        <v/>
      </c>
      <c r="AI361" s="14">
        <f>"After-work football for "&amp;F361&amp;" · "&amp;Z361&amp;", "&amp;AA361&amp;" min from your office"</f>
        <v/>
      </c>
      <c r="AJ361" s="14">
        <f>"Hi "&amp;IF(R361&lt;&gt;"",R361,F361&amp;" team")&amp;","&amp;CHAR(10)&amp;CHAR(10)&amp;"I'm "&amp;IF(AM361&lt;&gt;"",AM361,IF(Offer!$C$5&lt;&gt;"",Offer!$C$5,"[NAME]"))&amp;" from FC Urban. We organise after-work football for teams in the City and Canary Wharf."&amp;CHAR(10)&amp;CHAR(10)&amp;"We have a "&amp;AE361&amp;" pitch at "&amp;Z361&amp;", "&amp;IF(OR(AA361=8,AA361=11,AA361=18),"an ","a ")&amp;AA361&amp;"-minute walk from your "&amp;P361&amp;" office, "&amp;IF(ISNUMBER(AD361),"on "&amp;TEXT(AD361,"dddd d mmmm")&amp;" at "&amp;TEXT(AD361,"hh:mm"),"on a weekday evening that suits your team")&amp;". It's "&amp;IF(AF361&lt;&gt;"","£"&amp;IF(AF361=INT(AF361),TEXT(AF361,"0"),TEXT(AF361,"0.00")),"[PRICE PER PLAYER]")&amp;" a player and we handle the pitch booking, sign-ups and payments, so all it takes is one person sharing a link with the team."&amp;CHAR(10)&amp;CHAR(10)&amp;"It works well as a team social or "&amp;IF(ISNUMBER(SEARCH(LEFT(F361,1),"AEIOU")),"an ","a ")&amp;F361&amp;"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LINK]")&amp;CHAR(10)&amp;CHAR(10)&amp;"Best,"&amp;CHAR(10)&amp;IF(AM361&lt;&gt;"",AM361,IF(Offer!$C$5&lt;&gt;"",Offer!$C$5,"[NAME]"))&amp;CHAR(10)&amp;"FC Urban"</f>
        <v/>
      </c>
      <c r="AK361" s="14">
        <f>"Hi "&amp;IF(R361&lt;&gt;"",R361,F361&amp;" team")&amp;","&amp;CHAR(10)&amp;CHAR(10)&amp;"Just bumping this up. The "&amp;AE361&amp;" pitch at "&amp;Z361&amp;" is still free "&amp;IF(ISNUMBER(AD361),TEXT(AD361,"ddd d mmm")&amp;", "&amp;TEXT(AD361,"hh:mm"),"weekday evenings")&amp;", "&amp;IF(OR(AA361=8,AA361=11,AA361=18),"an ","a ")&amp;AA361&amp;"-minute walk from your office, "&amp;IF(AF361&lt;&gt;"","£"&amp;IF(AF361=INT(AF361),TEXT(AF361,"0"),TEXT(AF361,"0.00")),"[PRICE PER PLAYER]")&amp;" a player. Happy to hold it for "&amp;F361&amp;"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LINK]")&amp;CHAR(10)&amp;CHAR(10)&amp;"Best,"&amp;CHAR(10)&amp;IF(AM361&lt;&gt;"",AM361,IF(Offer!$C$5&lt;&gt;"",Offer!$C$5,"[NAME]"))&amp;CHAR(10)&amp;"FC Urban"</f>
        <v/>
      </c>
      <c r="AL361" s="14">
        <f>IF(AH361="","No email yet",IF(ISNUMBER(SEARCH("[",AJ361)),"Fill placeholders",IF(ISNUMBER(AD361),"Ready to send","Ready · no fixed slot")))</f>
        <v/>
      </c>
      <c r="AO361" s="17" t="n"/>
      <c r="AP361" s="17" t="n"/>
    </row>
    <row r="362">
      <c r="A362" s="11" t="n">
        <v>360</v>
      </c>
      <c r="B362" s="11" t="n">
        <v>3</v>
      </c>
      <c r="C362" s="11" t="inlineStr">
        <is>
          <t>Fund / asset manager</t>
        </is>
      </c>
      <c r="D362" s="11" t="inlineStr">
        <is>
          <t>City of London</t>
        </is>
      </c>
      <c r="E362" s="11" t="inlineStr">
        <is>
          <t>Firmament Capital Advisors UK LLP</t>
        </is>
      </c>
      <c r="F362" s="11" t="inlineStr">
        <is>
          <t>Firmament Capital Advisors</t>
        </is>
      </c>
      <c r="G362" s="12" t="inlineStr">
        <is>
          <t>https://firmament.com</t>
        </is>
      </c>
      <c r="H362" s="11" t="inlineStr">
        <is>
          <t>info@firmament.com</t>
        </is>
      </c>
      <c r="I362" s="11" t="inlineStr">
        <is>
          <t>general</t>
        </is>
      </c>
      <c r="J362" s="12" t="inlineStr">
        <is>
          <t>Open page</t>
        </is>
      </c>
      <c r="K362" s="11" t="inlineStr">
        <is>
          <t>OC413430</t>
        </is>
      </c>
      <c r="L362" s="12" t="inlineStr">
        <is>
          <t>Open</t>
        </is>
      </c>
      <c r="M362" s="11" t="inlineStr">
        <is>
          <t>Full</t>
        </is>
      </c>
      <c r="N362" s="13" t="n">
        <v>42608</v>
      </c>
      <c r="O362" s="11" t="inlineStr">
        <is>
          <t>C/O Kroll Advisory Ltd, The Shard, Level 14, 32 London Bridge Street,, London</t>
        </is>
      </c>
      <c r="P362" s="11" t="inlineStr">
        <is>
          <t>SE1 9SG</t>
        </is>
      </c>
      <c r="Q362" s="11" t="inlineStr">
        <is>
          <t>No</t>
        </is>
      </c>
      <c r="W362" s="11" t="inlineStr">
        <is>
          <t>Marlborough Sports Garden (SE1 1SD)</t>
        </is>
      </c>
      <c r="X362" s="11" t="n">
        <v>7</v>
      </c>
      <c r="Y362" s="11" t="inlineStr">
        <is>
          <t>Borough Academy (14.6); City of London School (EC4V 3AL) (17.2)</t>
        </is>
      </c>
      <c r="Z362" s="11" t="inlineStr">
        <is>
          <t>City of London School (EC4V 3AL)</t>
        </is>
      </c>
      <c r="AA362" s="11" t="n">
        <v>17</v>
      </c>
      <c r="AB362" s="14">
        <f>IFERROR(INDEX(Venues!$E$2:$E$17,MATCH(Z362,Venues!$A$2:$A$17,0)),"Not checked")</f>
        <v/>
      </c>
      <c r="AC362" s="14">
        <f>IFERROR(INDEX(Venues!$F$2:$F$17,MATCH(Z362,Venues!$A$2:$A$17,0)),0)</f>
        <v/>
      </c>
      <c r="AD362" s="15">
        <f>IFERROR(INDEX(Venues!$M$2:$M$17,MATCH(Z362,Venues!$A$2:$A$17,0)),"")</f>
        <v/>
      </c>
      <c r="AE362" s="14">
        <f>IFERROR(INDEX(Venues!$N$2:$N$17,MATCH(Z362,Venues!$A$2:$A$17,0)),"5-a-side")</f>
        <v/>
      </c>
      <c r="AF362" s="16">
        <f>IF(Offer!$C$4="","",Offer!$C$4)</f>
        <v/>
      </c>
      <c r="AG362" s="14">
        <f>Z362&amp;" ("&amp;AA362&amp;" min walk) · "&amp;IF(ISNUMBER(AD362),TEXT(AD362,"ddd d mmm, hh:mm"),"slot to confirm with venue")&amp;" · "&amp;AE362&amp;" · "&amp;IF(AF362&lt;&gt;"","£"&amp;TEXT(AF362,"0.00")&amp;" pp","price TBC")</f>
        <v/>
      </c>
      <c r="AH362" s="14">
        <f>IF(U362&lt;&gt;"",U362,IF(H362&lt;&gt;"",H362,""))</f>
        <v/>
      </c>
      <c r="AI362" s="14">
        <f>"After-work football for "&amp;F362&amp;" · "&amp;Z362&amp;", "&amp;AA362&amp;" min from your office"</f>
        <v/>
      </c>
      <c r="AJ362" s="14">
        <f>"Hi "&amp;IF(R362&lt;&gt;"",R362,F362&amp;" team")&amp;","&amp;CHAR(10)&amp;CHAR(10)&amp;"I'm "&amp;IF(AM362&lt;&gt;"",AM362,IF(Offer!$C$5&lt;&gt;"",Offer!$C$5,"[NAME]"))&amp;" from FC Urban. We organise after-work football for teams in the City and Canary Wharf."&amp;CHAR(10)&amp;CHAR(10)&amp;"We have a "&amp;AE362&amp;" pitch at "&amp;Z362&amp;", "&amp;IF(OR(AA362=8,AA362=11,AA362=18),"an ","a ")&amp;AA362&amp;"-minute walk from your "&amp;P362&amp;" office, "&amp;IF(ISNUMBER(AD362),"on "&amp;TEXT(AD362,"dddd d mmmm")&amp;" at "&amp;TEXT(AD362,"hh:mm"),"on a weekday evening that suits your team")&amp;". It's "&amp;IF(AF362&lt;&gt;"","£"&amp;IF(AF362=INT(AF362),TEXT(AF362,"0"),TEXT(AF362,"0.00")),"[PRICE PER PLAYER]")&amp;" a player and we handle the pitch booking, sign-ups and payments, so all it takes is one person sharing a link with the team."&amp;CHAR(10)&amp;CHAR(10)&amp;"It works well as a team social or "&amp;IF(ISNUMBER(SEARCH(LEFT(F362,1),"AEIOU")),"an ","a ")&amp;F362&amp;"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LINK]")&amp;CHAR(10)&amp;CHAR(10)&amp;"Best,"&amp;CHAR(10)&amp;IF(AM362&lt;&gt;"",AM362,IF(Offer!$C$5&lt;&gt;"",Offer!$C$5,"[NAME]"))&amp;CHAR(10)&amp;"FC Urban"</f>
        <v/>
      </c>
      <c r="AK362" s="14">
        <f>"Hi "&amp;IF(R362&lt;&gt;"",R362,F362&amp;" team")&amp;","&amp;CHAR(10)&amp;CHAR(10)&amp;"Just bumping this up. The "&amp;AE362&amp;" pitch at "&amp;Z362&amp;" is still free "&amp;IF(ISNUMBER(AD362),TEXT(AD362,"ddd d mmm")&amp;", "&amp;TEXT(AD362,"hh:mm"),"weekday evenings")&amp;", "&amp;IF(OR(AA362=8,AA362=11,AA362=18),"an ","a ")&amp;AA362&amp;"-minute walk from your office, "&amp;IF(AF362&lt;&gt;"","£"&amp;IF(AF362=INT(AF362),TEXT(AF362,"0"),TEXT(AF362,"0.00")),"[PRICE PER PLAYER]")&amp;" a player. Happy to hold it for "&amp;F362&amp;"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LINK]")&amp;CHAR(10)&amp;CHAR(10)&amp;"Best,"&amp;CHAR(10)&amp;IF(AM362&lt;&gt;"",AM362,IF(Offer!$C$5&lt;&gt;"",Offer!$C$5,"[NAME]"))&amp;CHAR(10)&amp;"FC Urban"</f>
        <v/>
      </c>
      <c r="AL362" s="14">
        <f>IF(AH362="","No email yet",IF(ISNUMBER(SEARCH("[",AJ362)),"Fill placeholders",IF(ISNUMBER(AD362),"Ready to send","Ready · no fixed slot")))</f>
        <v/>
      </c>
      <c r="AO362" s="17" t="n"/>
      <c r="AP362" s="17" t="n"/>
    </row>
    <row r="363">
      <c r="A363" s="11" t="n">
        <v>361</v>
      </c>
      <c r="B363" s="11" t="n">
        <v>3</v>
      </c>
      <c r="C363" s="11" t="inlineStr">
        <is>
          <t>Fund / asset manager</t>
        </is>
      </c>
      <c r="D363" s="11" t="inlineStr">
        <is>
          <t>City of London</t>
        </is>
      </c>
      <c r="E363" s="11" t="inlineStr">
        <is>
          <t>GLMX Europe Limited</t>
        </is>
      </c>
      <c r="F363" s="11" t="inlineStr">
        <is>
          <t>GLMX</t>
        </is>
      </c>
      <c r="G363" s="12" t="inlineStr">
        <is>
          <t>https://www.glmx.com</t>
        </is>
      </c>
      <c r="H363" s="11" t="inlineStr">
        <is>
          <t>sales@glmx.com</t>
        </is>
      </c>
      <c r="I363" s="11" t="inlineStr">
        <is>
          <t>general</t>
        </is>
      </c>
      <c r="J363" s="12" t="inlineStr">
        <is>
          <t>Open page</t>
        </is>
      </c>
      <c r="K363" s="11" t="inlineStr">
        <is>
          <t>11476871</t>
        </is>
      </c>
      <c r="L363" s="12" t="inlineStr">
        <is>
          <t>Open</t>
        </is>
      </c>
      <c r="M363" s="11" t="inlineStr">
        <is>
          <t>Full</t>
        </is>
      </c>
      <c r="N363" s="13" t="n">
        <v>43304</v>
      </c>
      <c r="O363" s="11" t="inlineStr">
        <is>
          <t>C/O Kroll Advisory Ltd., The Shard, Level 14, 32 London Bridge Street, London</t>
        </is>
      </c>
      <c r="P363" s="11" t="inlineStr">
        <is>
          <t>SE1 9SG</t>
        </is>
      </c>
      <c r="Q363" s="11" t="inlineStr">
        <is>
          <t>No</t>
        </is>
      </c>
      <c r="W363" s="11" t="inlineStr">
        <is>
          <t>Marlborough Sports Garden (SE1 1SD)</t>
        </is>
      </c>
      <c r="X363" s="11" t="n">
        <v>7</v>
      </c>
      <c r="Y363" s="11" t="inlineStr">
        <is>
          <t>Borough Academy (14.6); City of London School (EC4V 3AL) (17.2)</t>
        </is>
      </c>
      <c r="Z363" s="11" t="inlineStr">
        <is>
          <t>City of London School (EC4V 3AL)</t>
        </is>
      </c>
      <c r="AA363" s="11" t="n">
        <v>17</v>
      </c>
      <c r="AB363" s="14">
        <f>IFERROR(INDEX(Venues!$E$2:$E$17,MATCH(Z363,Venues!$A$2:$A$17,0)),"Not checked")</f>
        <v/>
      </c>
      <c r="AC363" s="14">
        <f>IFERROR(INDEX(Venues!$F$2:$F$17,MATCH(Z363,Venues!$A$2:$A$17,0)),0)</f>
        <v/>
      </c>
      <c r="AD363" s="15">
        <f>IFERROR(INDEX(Venues!$M$2:$M$17,MATCH(Z363,Venues!$A$2:$A$17,0)),"")</f>
        <v/>
      </c>
      <c r="AE363" s="14">
        <f>IFERROR(INDEX(Venues!$N$2:$N$17,MATCH(Z363,Venues!$A$2:$A$17,0)),"5-a-side")</f>
        <v/>
      </c>
      <c r="AF363" s="16">
        <f>IF(Offer!$C$4="","",Offer!$C$4)</f>
        <v/>
      </c>
      <c r="AG363" s="14">
        <f>Z363&amp;" ("&amp;AA363&amp;" min walk) · "&amp;IF(ISNUMBER(AD363),TEXT(AD363,"ddd d mmm, hh:mm"),"slot to confirm with venue")&amp;" · "&amp;AE363&amp;" · "&amp;IF(AF363&lt;&gt;"","£"&amp;TEXT(AF363,"0.00")&amp;" pp","price TBC")</f>
        <v/>
      </c>
      <c r="AH363" s="14">
        <f>IF(U363&lt;&gt;"",U363,IF(H363&lt;&gt;"",H363,""))</f>
        <v/>
      </c>
      <c r="AI363" s="14">
        <f>"After-work football for "&amp;F363&amp;" · "&amp;Z363&amp;", "&amp;AA363&amp;" min from your office"</f>
        <v/>
      </c>
      <c r="AJ363" s="14">
        <f>"Hi "&amp;IF(R363&lt;&gt;"",R363,F363&amp;" team")&amp;","&amp;CHAR(10)&amp;CHAR(10)&amp;"I'm "&amp;IF(AM363&lt;&gt;"",AM363,IF(Offer!$C$5&lt;&gt;"",Offer!$C$5,"[NAME]"))&amp;" from FC Urban. We organise after-work football for teams in the City and Canary Wharf."&amp;CHAR(10)&amp;CHAR(10)&amp;"We have a "&amp;AE363&amp;" pitch at "&amp;Z363&amp;", "&amp;IF(OR(AA363=8,AA363=11,AA363=18),"an ","a ")&amp;AA363&amp;"-minute walk from your "&amp;P363&amp;" office, "&amp;IF(ISNUMBER(AD363),"on "&amp;TEXT(AD363,"dddd d mmmm")&amp;" at "&amp;TEXT(AD363,"hh:mm"),"on a weekday evening that suits your team")&amp;". It's "&amp;IF(AF363&lt;&gt;"","£"&amp;IF(AF363=INT(AF363),TEXT(AF363,"0"),TEXT(AF363,"0.00")),"[PRICE PER PLAYER]")&amp;" a player and we handle the pitch booking, sign-ups and payments, so all it takes is one person sharing a link with the team."&amp;CHAR(10)&amp;CHAR(10)&amp;"It works well as a team social or "&amp;IF(ISNUMBER(SEARCH(LEFT(F363,1),"AEIOU")),"an ","a ")&amp;F363&amp;"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LINK]")&amp;CHAR(10)&amp;CHAR(10)&amp;"Best,"&amp;CHAR(10)&amp;IF(AM363&lt;&gt;"",AM363,IF(Offer!$C$5&lt;&gt;"",Offer!$C$5,"[NAME]"))&amp;CHAR(10)&amp;"FC Urban"</f>
        <v/>
      </c>
      <c r="AK363" s="14">
        <f>"Hi "&amp;IF(R363&lt;&gt;"",R363,F363&amp;" team")&amp;","&amp;CHAR(10)&amp;CHAR(10)&amp;"Just bumping this up. The "&amp;AE363&amp;" pitch at "&amp;Z363&amp;" is still free "&amp;IF(ISNUMBER(AD363),TEXT(AD363,"ddd d mmm")&amp;", "&amp;TEXT(AD363,"hh:mm"),"weekday evenings")&amp;", "&amp;IF(OR(AA363=8,AA363=11,AA363=18),"an ","a ")&amp;AA363&amp;"-minute walk from your office, "&amp;IF(AF363&lt;&gt;"","£"&amp;IF(AF363=INT(AF363),TEXT(AF363,"0"),TEXT(AF363,"0.00")),"[PRICE PER PLAYER]")&amp;" a player. Happy to hold it for "&amp;F363&amp;"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LINK]")&amp;CHAR(10)&amp;CHAR(10)&amp;"Best,"&amp;CHAR(10)&amp;IF(AM363&lt;&gt;"",AM363,IF(Offer!$C$5&lt;&gt;"",Offer!$C$5,"[NAME]"))&amp;CHAR(10)&amp;"FC Urban"</f>
        <v/>
      </c>
      <c r="AL363" s="14">
        <f>IF(AH363="","No email yet",IF(ISNUMBER(SEARCH("[",AJ363)),"Fill placeholders",IF(ISNUMBER(AD363),"Ready to send","Ready · no fixed slot")))</f>
        <v/>
      </c>
      <c r="AO363" s="17" t="n"/>
      <c r="AP363" s="17" t="n"/>
    </row>
    <row r="364">
      <c r="A364" s="11" t="n">
        <v>362</v>
      </c>
      <c r="B364" s="11" t="n">
        <v>3</v>
      </c>
      <c r="C364" s="11" t="inlineStr">
        <is>
          <t>Insurance / broker</t>
        </is>
      </c>
      <c r="D364" s="11" t="inlineStr">
        <is>
          <t>City of London</t>
        </is>
      </c>
      <c r="E364" s="11" t="inlineStr">
        <is>
          <t>Allianz Insurance PLC</t>
        </is>
      </c>
      <c r="F364" s="11" t="inlineStr">
        <is>
          <t>Allianz</t>
        </is>
      </c>
      <c r="G364" s="12" t="inlineStr">
        <is>
          <t>https://www.allianz.com</t>
        </is>
      </c>
      <c r="H364" s="11" t="inlineStr">
        <is>
          <t>info@allianz.com</t>
        </is>
      </c>
      <c r="I364" s="11" t="inlineStr">
        <is>
          <t>general</t>
        </is>
      </c>
      <c r="J364" s="12" t="inlineStr">
        <is>
          <t>Open page</t>
        </is>
      </c>
      <c r="K364" s="11" t="inlineStr">
        <is>
          <t>00084638</t>
        </is>
      </c>
      <c r="L364" s="12" t="inlineStr">
        <is>
          <t>Open</t>
        </is>
      </c>
      <c r="M364" s="11" t="inlineStr">
        <is>
          <t>Full</t>
        </is>
      </c>
      <c r="N364" s="13" t="n">
        <v>1965</v>
      </c>
      <c r="O364" s="11" t="inlineStr">
        <is>
          <t>15 Bishopsgate, London</t>
        </is>
      </c>
      <c r="P364" s="11" t="inlineStr">
        <is>
          <t>EC2N 3AR</t>
        </is>
      </c>
      <c r="Q364" s="11" t="inlineStr">
        <is>
          <t>No</t>
        </is>
      </c>
      <c r="W364" s="11" t="inlineStr">
        <is>
          <t>Liverpool St - Attlee Centre</t>
        </is>
      </c>
      <c r="X364" s="11" t="n">
        <v>13</v>
      </c>
      <c r="Y364" s="11" t="inlineStr">
        <is>
          <t>Shoreditch Powerleague (17.7)</t>
        </is>
      </c>
      <c r="Z364" s="11" t="inlineStr">
        <is>
          <t>Shoreditch Powerleague</t>
        </is>
      </c>
      <c r="AA364" s="11" t="n">
        <v>18</v>
      </c>
      <c r="AB364" s="14">
        <f>IFERROR(INDEX(Venues!$E$2:$E$17,MATCH(Z364,Venues!$A$2:$A$17,0)),"Not checked")</f>
        <v/>
      </c>
      <c r="AC364" s="14">
        <f>IFERROR(INDEX(Venues!$F$2:$F$17,MATCH(Z364,Venues!$A$2:$A$17,0)),0)</f>
        <v/>
      </c>
      <c r="AD364" s="15">
        <f>IFERROR(INDEX(Venues!$M$2:$M$17,MATCH(Z364,Venues!$A$2:$A$17,0)),"")</f>
        <v/>
      </c>
      <c r="AE364" s="14">
        <f>IFERROR(INDEX(Venues!$N$2:$N$17,MATCH(Z364,Venues!$A$2:$A$17,0)),"5-a-side")</f>
        <v/>
      </c>
      <c r="AF364" s="16">
        <f>IF(Offer!$C$4="","",Offer!$C$4)</f>
        <v/>
      </c>
      <c r="AG364" s="14">
        <f>Z364&amp;" ("&amp;AA364&amp;" min walk) · "&amp;IF(ISNUMBER(AD364),TEXT(AD364,"ddd d mmm, hh:mm"),"slot to confirm with venue")&amp;" · "&amp;AE364&amp;" · "&amp;IF(AF364&lt;&gt;"","£"&amp;TEXT(AF364,"0.00")&amp;" pp","price TBC")</f>
        <v/>
      </c>
      <c r="AH364" s="14">
        <f>IF(U364&lt;&gt;"",U364,IF(H364&lt;&gt;"",H364,""))</f>
        <v/>
      </c>
      <c r="AI364" s="14">
        <f>"After-work football for "&amp;F364&amp;" · "&amp;Z364&amp;", "&amp;AA364&amp;" min from your office"</f>
        <v/>
      </c>
      <c r="AJ364" s="14">
        <f>"Hi "&amp;IF(R364&lt;&gt;"",R364,F364&amp;" team")&amp;","&amp;CHAR(10)&amp;CHAR(10)&amp;"I'm "&amp;IF(AM364&lt;&gt;"",AM364,IF(Offer!$C$5&lt;&gt;"",Offer!$C$5,"[NAME]"))&amp;" from FC Urban. We organise after-work football for teams in the City and Canary Wharf."&amp;CHAR(10)&amp;CHAR(10)&amp;"We have a "&amp;AE364&amp;" pitch at "&amp;Z364&amp;", "&amp;IF(OR(AA364=8,AA364=11,AA364=18),"an ","a ")&amp;AA364&amp;"-minute walk from your "&amp;P364&amp;" office, "&amp;IF(ISNUMBER(AD364),"on "&amp;TEXT(AD364,"dddd d mmmm")&amp;" at "&amp;TEXT(AD364,"hh:mm"),"on a weekday evening that suits your team")&amp;". It's "&amp;IF(AF364&lt;&gt;"","£"&amp;IF(AF364=INT(AF364),TEXT(AF364,"0"),TEXT(AF364,"0.00")),"[PRICE PER PLAYER]")&amp;" a player and we handle the pitch booking, sign-ups and payments, so all it takes is one person sharing a link with the team."&amp;CHAR(10)&amp;CHAR(10)&amp;"It works well as a team social or "&amp;IF(ISNUMBER(SEARCH(LEFT(F364,1),"AEIOU")),"an ","a ")&amp;F364&amp;"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LINK]")&amp;CHAR(10)&amp;CHAR(10)&amp;"Best,"&amp;CHAR(10)&amp;IF(AM364&lt;&gt;"",AM364,IF(Offer!$C$5&lt;&gt;"",Offer!$C$5,"[NAME]"))&amp;CHAR(10)&amp;"FC Urban"</f>
        <v/>
      </c>
      <c r="AK364" s="14">
        <f>"Hi "&amp;IF(R364&lt;&gt;"",R364,F364&amp;" team")&amp;","&amp;CHAR(10)&amp;CHAR(10)&amp;"Just bumping this up. The "&amp;AE364&amp;" pitch at "&amp;Z364&amp;" is still free "&amp;IF(ISNUMBER(AD364),TEXT(AD364,"ddd d mmm")&amp;", "&amp;TEXT(AD364,"hh:mm"),"weekday evenings")&amp;", "&amp;IF(OR(AA364=8,AA364=11,AA364=18),"an ","a ")&amp;AA364&amp;"-minute walk from your office, "&amp;IF(AF364&lt;&gt;"","£"&amp;IF(AF364=INT(AF364),TEXT(AF364,"0"),TEXT(AF364,"0.00")),"[PRICE PER PLAYER]")&amp;" a player. Happy to hold it for "&amp;F364&amp;"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LINK]")&amp;CHAR(10)&amp;CHAR(10)&amp;"Best,"&amp;CHAR(10)&amp;IF(AM364&lt;&gt;"",AM364,IF(Offer!$C$5&lt;&gt;"",Offer!$C$5,"[NAME]"))&amp;CHAR(10)&amp;"FC Urban"</f>
        <v/>
      </c>
      <c r="AL364" s="14">
        <f>IF(AH364="","No email yet",IF(ISNUMBER(SEARCH("[",AJ364)),"Fill placeholders",IF(ISNUMBER(AD364),"Ready to send","Ready · no fixed slot")))</f>
        <v/>
      </c>
      <c r="AO364" s="17" t="n"/>
      <c r="AP364" s="17" t="n"/>
    </row>
    <row r="365">
      <c r="A365" s="11" t="n">
        <v>363</v>
      </c>
      <c r="B365" s="11" t="n">
        <v>3</v>
      </c>
      <c r="C365" s="11" t="inlineStr">
        <is>
          <t>Insurance / broker</t>
        </is>
      </c>
      <c r="D365" s="11" t="inlineStr">
        <is>
          <t>City of London</t>
        </is>
      </c>
      <c r="E365" s="11" t="inlineStr">
        <is>
          <t>Am Specialty Insurance Company (UK) Ltd</t>
        </is>
      </c>
      <c r="F365" s="11" t="inlineStr">
        <is>
          <t>Am Specialty Insurance Company</t>
        </is>
      </c>
      <c r="G365" s="12" t="inlineStr">
        <is>
          <t>https://www.amspecialty.com</t>
        </is>
      </c>
      <c r="H365" s="11" t="inlineStr">
        <is>
          <t>contact@amspecialty.com</t>
        </is>
      </c>
      <c r="I365" s="11" t="inlineStr">
        <is>
          <t>general</t>
        </is>
      </c>
      <c r="J365" s="12" t="inlineStr">
        <is>
          <t>Open page</t>
        </is>
      </c>
      <c r="K365" s="11" t="inlineStr">
        <is>
          <t>16608704</t>
        </is>
      </c>
      <c r="L365" s="12" t="inlineStr">
        <is>
          <t>Open</t>
        </is>
      </c>
      <c r="M365" s="11" t="inlineStr">
        <is>
          <t>Full</t>
        </is>
      </c>
      <c r="N365" s="13" t="n">
        <v>45866</v>
      </c>
      <c r="O365" s="11" t="inlineStr">
        <is>
          <t>21 Lime Street, London</t>
        </is>
      </c>
      <c r="P365" s="11" t="inlineStr">
        <is>
          <t>EC3M 7HB</t>
        </is>
      </c>
      <c r="Q365" s="11" t="inlineStr">
        <is>
          <t>No</t>
        </is>
      </c>
      <c r="W365" s="11" t="inlineStr">
        <is>
          <t>Liverpool St - Attlee Centre</t>
        </is>
      </c>
      <c r="X365" s="11" t="n">
        <v>16</v>
      </c>
      <c r="Y365" s="11" t="inlineStr">
        <is>
          <t>City of London School (EC4V 3AL) (17.7); Marlborough Sports Garden (SE1 1SD) (18.9)</t>
        </is>
      </c>
      <c r="Z365" s="11" t="inlineStr">
        <is>
          <t>City of London School (EC4V 3AL)</t>
        </is>
      </c>
      <c r="AA365" s="11" t="n">
        <v>18</v>
      </c>
      <c r="AB365" s="14">
        <f>IFERROR(INDEX(Venues!$E$2:$E$17,MATCH(Z365,Venues!$A$2:$A$17,0)),"Not checked")</f>
        <v/>
      </c>
      <c r="AC365" s="14">
        <f>IFERROR(INDEX(Venues!$F$2:$F$17,MATCH(Z365,Venues!$A$2:$A$17,0)),0)</f>
        <v/>
      </c>
      <c r="AD365" s="15">
        <f>IFERROR(INDEX(Venues!$M$2:$M$17,MATCH(Z365,Venues!$A$2:$A$17,0)),"")</f>
        <v/>
      </c>
      <c r="AE365" s="14">
        <f>IFERROR(INDEX(Venues!$N$2:$N$17,MATCH(Z365,Venues!$A$2:$A$17,0)),"5-a-side")</f>
        <v/>
      </c>
      <c r="AF365" s="16">
        <f>IF(Offer!$C$4="","",Offer!$C$4)</f>
        <v/>
      </c>
      <c r="AG365" s="14">
        <f>Z365&amp;" ("&amp;AA365&amp;" min walk) · "&amp;IF(ISNUMBER(AD365),TEXT(AD365,"ddd d mmm, hh:mm"),"slot to confirm with venue")&amp;" · "&amp;AE365&amp;" · "&amp;IF(AF365&lt;&gt;"","£"&amp;TEXT(AF365,"0.00")&amp;" pp","price TBC")</f>
        <v/>
      </c>
      <c r="AH365" s="14">
        <f>IF(U365&lt;&gt;"",U365,IF(H365&lt;&gt;"",H365,""))</f>
        <v/>
      </c>
      <c r="AI365" s="14">
        <f>"After-work football for "&amp;F365&amp;" · "&amp;Z365&amp;", "&amp;AA365&amp;" min from your office"</f>
        <v/>
      </c>
      <c r="AJ365" s="14">
        <f>"Hi "&amp;IF(R365&lt;&gt;"",R365,F365&amp;" team")&amp;","&amp;CHAR(10)&amp;CHAR(10)&amp;"I'm "&amp;IF(AM365&lt;&gt;"",AM365,IF(Offer!$C$5&lt;&gt;"",Offer!$C$5,"[NAME]"))&amp;" from FC Urban. We organise after-work football for teams in the City and Canary Wharf."&amp;CHAR(10)&amp;CHAR(10)&amp;"We have a "&amp;AE365&amp;" pitch at "&amp;Z365&amp;", "&amp;IF(OR(AA365=8,AA365=11,AA365=18),"an ","a ")&amp;AA365&amp;"-minute walk from your "&amp;P365&amp;" office, "&amp;IF(ISNUMBER(AD365),"on "&amp;TEXT(AD365,"dddd d mmmm")&amp;" at "&amp;TEXT(AD365,"hh:mm"),"on a weekday evening that suits your team")&amp;". It's "&amp;IF(AF365&lt;&gt;"","£"&amp;IF(AF365=INT(AF365),TEXT(AF365,"0"),TEXT(AF365,"0.00")),"[PRICE PER PLAYER]")&amp;" a player and we handle the pitch booking, sign-ups and payments, so all it takes is one person sharing a link with the team."&amp;CHAR(10)&amp;CHAR(10)&amp;"It works well as a team social or "&amp;IF(ISNUMBER(SEARCH(LEFT(F365,1),"AEIOU")),"an ","a ")&amp;F365&amp;"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LINK]")&amp;CHAR(10)&amp;CHAR(10)&amp;"Best,"&amp;CHAR(10)&amp;IF(AM365&lt;&gt;"",AM365,IF(Offer!$C$5&lt;&gt;"",Offer!$C$5,"[NAME]"))&amp;CHAR(10)&amp;"FC Urban"</f>
        <v/>
      </c>
      <c r="AK365" s="14">
        <f>"Hi "&amp;IF(R365&lt;&gt;"",R365,F365&amp;" team")&amp;","&amp;CHAR(10)&amp;CHAR(10)&amp;"Just bumping this up. The "&amp;AE365&amp;" pitch at "&amp;Z365&amp;" is still free "&amp;IF(ISNUMBER(AD365),TEXT(AD365,"ddd d mmm")&amp;", "&amp;TEXT(AD365,"hh:mm"),"weekday evenings")&amp;", "&amp;IF(OR(AA365=8,AA365=11,AA365=18),"an ","a ")&amp;AA365&amp;"-minute walk from your office, "&amp;IF(AF365&lt;&gt;"","£"&amp;IF(AF365=INT(AF365),TEXT(AF365,"0"),TEXT(AF365,"0.00")),"[PRICE PER PLAYER]")&amp;" a player. Happy to hold it for "&amp;F365&amp;"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LINK]")&amp;CHAR(10)&amp;CHAR(10)&amp;"Best,"&amp;CHAR(10)&amp;IF(AM365&lt;&gt;"",AM365,IF(Offer!$C$5&lt;&gt;"",Offer!$C$5,"[NAME]"))&amp;CHAR(10)&amp;"FC Urban"</f>
        <v/>
      </c>
      <c r="AL365" s="14">
        <f>IF(AH365="","No email yet",IF(ISNUMBER(SEARCH("[",AJ365)),"Fill placeholders",IF(ISNUMBER(AD365),"Ready to send","Ready · no fixed slot")))</f>
        <v/>
      </c>
      <c r="AO365" s="17" t="n"/>
      <c r="AP365" s="17" t="n"/>
    </row>
    <row r="366">
      <c r="A366" s="11" t="n">
        <v>364</v>
      </c>
      <c r="B366" s="11" t="n">
        <v>3</v>
      </c>
      <c r="C366" s="11" t="inlineStr">
        <is>
          <t>Insurance / broker</t>
        </is>
      </c>
      <c r="D366" s="11" t="inlineStr">
        <is>
          <t>City of London</t>
        </is>
      </c>
      <c r="E366" s="11" t="inlineStr">
        <is>
          <t>Antares Global Management Limited</t>
        </is>
      </c>
      <c r="F366" s="11" t="inlineStr">
        <is>
          <t>Antares Global Management</t>
        </is>
      </c>
      <c r="G366" s="12" t="inlineStr">
        <is>
          <t>https://www.antares.com</t>
        </is>
      </c>
      <c r="H366" s="11" t="inlineStr">
        <is>
          <t>info@antaresglobal.com</t>
        </is>
      </c>
      <c r="I366" s="11" t="inlineStr">
        <is>
          <t>general</t>
        </is>
      </c>
      <c r="J366" s="12" t="inlineStr">
        <is>
          <t>Open page</t>
        </is>
      </c>
      <c r="K366" s="11" t="inlineStr">
        <is>
          <t>02676622</t>
        </is>
      </c>
      <c r="L366" s="12" t="inlineStr">
        <is>
          <t>Open</t>
        </is>
      </c>
      <c r="M366" s="11" t="inlineStr">
        <is>
          <t>Full</t>
        </is>
      </c>
      <c r="N366" s="13" t="n">
        <v>33613</v>
      </c>
      <c r="O366" s="11" t="inlineStr">
        <is>
          <t>21 Lime Street, London</t>
        </is>
      </c>
      <c r="P366" s="11" t="inlineStr">
        <is>
          <t>EC3M 7HB</t>
        </is>
      </c>
      <c r="Q366" s="11" t="inlineStr">
        <is>
          <t>No</t>
        </is>
      </c>
      <c r="W366" s="11" t="inlineStr">
        <is>
          <t>Liverpool St - Attlee Centre</t>
        </is>
      </c>
      <c r="X366" s="11" t="n">
        <v>16</v>
      </c>
      <c r="Y366" s="11" t="inlineStr">
        <is>
          <t>City of London School (EC4V 3AL) (17.7); Marlborough Sports Garden (SE1 1SD) (18.9)</t>
        </is>
      </c>
      <c r="Z366" s="11" t="inlineStr">
        <is>
          <t>City of London School (EC4V 3AL)</t>
        </is>
      </c>
      <c r="AA366" s="11" t="n">
        <v>18</v>
      </c>
      <c r="AB366" s="14">
        <f>IFERROR(INDEX(Venues!$E$2:$E$17,MATCH(Z366,Venues!$A$2:$A$17,0)),"Not checked")</f>
        <v/>
      </c>
      <c r="AC366" s="14">
        <f>IFERROR(INDEX(Venues!$F$2:$F$17,MATCH(Z366,Venues!$A$2:$A$17,0)),0)</f>
        <v/>
      </c>
      <c r="AD366" s="15">
        <f>IFERROR(INDEX(Venues!$M$2:$M$17,MATCH(Z366,Venues!$A$2:$A$17,0)),"")</f>
        <v/>
      </c>
      <c r="AE366" s="14">
        <f>IFERROR(INDEX(Venues!$N$2:$N$17,MATCH(Z366,Venues!$A$2:$A$17,0)),"5-a-side")</f>
        <v/>
      </c>
      <c r="AF366" s="16">
        <f>IF(Offer!$C$4="","",Offer!$C$4)</f>
        <v/>
      </c>
      <c r="AG366" s="14">
        <f>Z366&amp;" ("&amp;AA366&amp;" min walk) · "&amp;IF(ISNUMBER(AD366),TEXT(AD366,"ddd d mmm, hh:mm"),"slot to confirm with venue")&amp;" · "&amp;AE366&amp;" · "&amp;IF(AF366&lt;&gt;"","£"&amp;TEXT(AF366,"0.00")&amp;" pp","price TBC")</f>
        <v/>
      </c>
      <c r="AH366" s="14">
        <f>IF(U366&lt;&gt;"",U366,IF(H366&lt;&gt;"",H366,""))</f>
        <v/>
      </c>
      <c r="AI366" s="14">
        <f>"After-work football for "&amp;F366&amp;" · "&amp;Z366&amp;", "&amp;AA366&amp;" min from your office"</f>
        <v/>
      </c>
      <c r="AJ366" s="14">
        <f>"Hi "&amp;IF(R366&lt;&gt;"",R366,F366&amp;" team")&amp;","&amp;CHAR(10)&amp;CHAR(10)&amp;"I'm "&amp;IF(AM366&lt;&gt;"",AM366,IF(Offer!$C$5&lt;&gt;"",Offer!$C$5,"[NAME]"))&amp;" from FC Urban. We organise after-work football for teams in the City and Canary Wharf."&amp;CHAR(10)&amp;CHAR(10)&amp;"We have a "&amp;AE366&amp;" pitch at "&amp;Z366&amp;", "&amp;IF(OR(AA366=8,AA366=11,AA366=18),"an ","a ")&amp;AA366&amp;"-minute walk from your "&amp;P366&amp;" office, "&amp;IF(ISNUMBER(AD366),"on "&amp;TEXT(AD366,"dddd d mmmm")&amp;" at "&amp;TEXT(AD366,"hh:mm"),"on a weekday evening that suits your team")&amp;". It's "&amp;IF(AF366&lt;&gt;"","£"&amp;IF(AF366=INT(AF366),TEXT(AF366,"0"),TEXT(AF366,"0.00")),"[PRICE PER PLAYER]")&amp;" a player and we handle the pitch booking, sign-ups and payments, so all it takes is one person sharing a link with the team."&amp;CHAR(10)&amp;CHAR(10)&amp;"It works well as a team social or "&amp;IF(ISNUMBER(SEARCH(LEFT(F366,1),"AEIOU")),"an ","a ")&amp;F366&amp;"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LINK]")&amp;CHAR(10)&amp;CHAR(10)&amp;"Best,"&amp;CHAR(10)&amp;IF(AM366&lt;&gt;"",AM366,IF(Offer!$C$5&lt;&gt;"",Offer!$C$5,"[NAME]"))&amp;CHAR(10)&amp;"FC Urban"</f>
        <v/>
      </c>
      <c r="AK366" s="14">
        <f>"Hi "&amp;IF(R366&lt;&gt;"",R366,F366&amp;" team")&amp;","&amp;CHAR(10)&amp;CHAR(10)&amp;"Just bumping this up. The "&amp;AE366&amp;" pitch at "&amp;Z366&amp;" is still free "&amp;IF(ISNUMBER(AD366),TEXT(AD366,"ddd d mmm")&amp;", "&amp;TEXT(AD366,"hh:mm"),"weekday evenings")&amp;", "&amp;IF(OR(AA366=8,AA366=11,AA366=18),"an ","a ")&amp;AA366&amp;"-minute walk from your office, "&amp;IF(AF366&lt;&gt;"","£"&amp;IF(AF366=INT(AF366),TEXT(AF366,"0"),TEXT(AF366,"0.00")),"[PRICE PER PLAYER]")&amp;" a player. Happy to hold it for "&amp;F366&amp;"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LINK]")&amp;CHAR(10)&amp;CHAR(10)&amp;"Best,"&amp;CHAR(10)&amp;IF(AM366&lt;&gt;"",AM366,IF(Offer!$C$5&lt;&gt;"",Offer!$C$5,"[NAME]"))&amp;CHAR(10)&amp;"FC Urban"</f>
        <v/>
      </c>
      <c r="AL366" s="14">
        <f>IF(AH366="","No email yet",IF(ISNUMBER(SEARCH("[",AJ366)),"Fill placeholders",IF(ISNUMBER(AD366),"Ready to send","Ready · no fixed slot")))</f>
        <v/>
      </c>
      <c r="AO366" s="17" t="n"/>
      <c r="AP366" s="17" t="n"/>
    </row>
    <row r="367">
      <c r="A367" s="11" t="n">
        <v>365</v>
      </c>
      <c r="B367" s="11" t="n">
        <v>3</v>
      </c>
      <c r="C367" s="11" t="inlineStr">
        <is>
          <t>Insurance / broker</t>
        </is>
      </c>
      <c r="D367" s="11" t="inlineStr">
        <is>
          <t>City of London</t>
        </is>
      </c>
      <c r="E367" s="11" t="inlineStr">
        <is>
          <t>Scorpius Mga Limited</t>
        </is>
      </c>
      <c r="F367" s="11" t="inlineStr">
        <is>
          <t>Scorpius Mga</t>
        </is>
      </c>
      <c r="G367" s="12" t="inlineStr">
        <is>
          <t>https://scorpiusmga.com</t>
        </is>
      </c>
      <c r="H367" s="11" t="inlineStr">
        <is>
          <t>info@scorpiusmga.com</t>
        </is>
      </c>
      <c r="I367" s="11" t="inlineStr">
        <is>
          <t>general</t>
        </is>
      </c>
      <c r="J367" s="12" t="inlineStr">
        <is>
          <t>Open page</t>
        </is>
      </c>
      <c r="K367" s="11" t="inlineStr">
        <is>
          <t>15049064</t>
        </is>
      </c>
      <c r="L367" s="12" t="inlineStr">
        <is>
          <t>Open</t>
        </is>
      </c>
      <c r="M367" s="11" t="inlineStr">
        <is>
          <t>Full</t>
        </is>
      </c>
      <c r="N367" s="13" t="n">
        <v>45142</v>
      </c>
      <c r="O367" s="11" t="inlineStr">
        <is>
          <t>21 Lime Street, London</t>
        </is>
      </c>
      <c r="P367" s="11" t="inlineStr">
        <is>
          <t>EC3M 7HB</t>
        </is>
      </c>
      <c r="Q367" s="11" t="inlineStr">
        <is>
          <t>No</t>
        </is>
      </c>
      <c r="W367" s="11" t="inlineStr">
        <is>
          <t>Liverpool St - Attlee Centre</t>
        </is>
      </c>
      <c r="X367" s="11" t="n">
        <v>16</v>
      </c>
      <c r="Y367" s="11" t="inlineStr">
        <is>
          <t>City of London School (EC4V 3AL) (17.7); Marlborough Sports Garden (SE1 1SD) (18.9)</t>
        </is>
      </c>
      <c r="Z367" s="11" t="inlineStr">
        <is>
          <t>City of London School (EC4V 3AL)</t>
        </is>
      </c>
      <c r="AA367" s="11" t="n">
        <v>18</v>
      </c>
      <c r="AB367" s="14">
        <f>IFERROR(INDEX(Venues!$E$2:$E$17,MATCH(Z367,Venues!$A$2:$A$17,0)),"Not checked")</f>
        <v/>
      </c>
      <c r="AC367" s="14">
        <f>IFERROR(INDEX(Venues!$F$2:$F$17,MATCH(Z367,Venues!$A$2:$A$17,0)),0)</f>
        <v/>
      </c>
      <c r="AD367" s="15">
        <f>IFERROR(INDEX(Venues!$M$2:$M$17,MATCH(Z367,Venues!$A$2:$A$17,0)),"")</f>
        <v/>
      </c>
      <c r="AE367" s="14">
        <f>IFERROR(INDEX(Venues!$N$2:$N$17,MATCH(Z367,Venues!$A$2:$A$17,0)),"5-a-side")</f>
        <v/>
      </c>
      <c r="AF367" s="16">
        <f>IF(Offer!$C$4="","",Offer!$C$4)</f>
        <v/>
      </c>
      <c r="AG367" s="14">
        <f>Z367&amp;" ("&amp;AA367&amp;" min walk) · "&amp;IF(ISNUMBER(AD367),TEXT(AD367,"ddd d mmm, hh:mm"),"slot to confirm with venue")&amp;" · "&amp;AE367&amp;" · "&amp;IF(AF367&lt;&gt;"","£"&amp;TEXT(AF367,"0.00")&amp;" pp","price TBC")</f>
        <v/>
      </c>
      <c r="AH367" s="14">
        <f>IF(U367&lt;&gt;"",U367,IF(H367&lt;&gt;"",H367,""))</f>
        <v/>
      </c>
      <c r="AI367" s="14">
        <f>"After-work football for "&amp;F367&amp;" · "&amp;Z367&amp;", "&amp;AA367&amp;" min from your office"</f>
        <v/>
      </c>
      <c r="AJ367" s="14">
        <f>"Hi "&amp;IF(R367&lt;&gt;"",R367,F367&amp;" team")&amp;","&amp;CHAR(10)&amp;CHAR(10)&amp;"I'm "&amp;IF(AM367&lt;&gt;"",AM367,IF(Offer!$C$5&lt;&gt;"",Offer!$C$5,"[NAME]"))&amp;" from FC Urban. We organise after-work football for teams in the City and Canary Wharf."&amp;CHAR(10)&amp;CHAR(10)&amp;"We have a "&amp;AE367&amp;" pitch at "&amp;Z367&amp;", "&amp;IF(OR(AA367=8,AA367=11,AA367=18),"an ","a ")&amp;AA367&amp;"-minute walk from your "&amp;P367&amp;" office, "&amp;IF(ISNUMBER(AD367),"on "&amp;TEXT(AD367,"dddd d mmmm")&amp;" at "&amp;TEXT(AD367,"hh:mm"),"on a weekday evening that suits your team")&amp;". It's "&amp;IF(AF367&lt;&gt;"","£"&amp;IF(AF367=INT(AF367),TEXT(AF367,"0"),TEXT(AF367,"0.00")),"[PRICE PER PLAYER]")&amp;" a player and we handle the pitch booking, sign-ups and payments, so all it takes is one person sharing a link with the team."&amp;CHAR(10)&amp;CHAR(10)&amp;"It works well as a team social or "&amp;IF(ISNUMBER(SEARCH(LEFT(F367,1),"AEIOU")),"an ","a ")&amp;F367&amp;"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LINK]")&amp;CHAR(10)&amp;CHAR(10)&amp;"Best,"&amp;CHAR(10)&amp;IF(AM367&lt;&gt;"",AM367,IF(Offer!$C$5&lt;&gt;"",Offer!$C$5,"[NAME]"))&amp;CHAR(10)&amp;"FC Urban"</f>
        <v/>
      </c>
      <c r="AK367" s="14">
        <f>"Hi "&amp;IF(R367&lt;&gt;"",R367,F367&amp;" team")&amp;","&amp;CHAR(10)&amp;CHAR(10)&amp;"Just bumping this up. The "&amp;AE367&amp;" pitch at "&amp;Z367&amp;" is still free "&amp;IF(ISNUMBER(AD367),TEXT(AD367,"ddd d mmm")&amp;", "&amp;TEXT(AD367,"hh:mm"),"weekday evenings")&amp;", "&amp;IF(OR(AA367=8,AA367=11,AA367=18),"an ","a ")&amp;AA367&amp;"-minute walk from your office, "&amp;IF(AF367&lt;&gt;"","£"&amp;IF(AF367=INT(AF367),TEXT(AF367,"0"),TEXT(AF367,"0.00")),"[PRICE PER PLAYER]")&amp;" a player. Happy to hold it for "&amp;F367&amp;"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LINK]")&amp;CHAR(10)&amp;CHAR(10)&amp;"Best,"&amp;CHAR(10)&amp;IF(AM367&lt;&gt;"",AM367,IF(Offer!$C$5&lt;&gt;"",Offer!$C$5,"[NAME]"))&amp;CHAR(10)&amp;"FC Urban"</f>
        <v/>
      </c>
      <c r="AL367" s="14">
        <f>IF(AH367="","No email yet",IF(ISNUMBER(SEARCH("[",AJ367)),"Fill placeholders",IF(ISNUMBER(AD367),"Ready to send","Ready · no fixed slot")))</f>
        <v/>
      </c>
      <c r="AO367" s="17" t="n"/>
      <c r="AP367" s="17" t="n"/>
    </row>
    <row r="368">
      <c r="A368" s="11" t="n">
        <v>366</v>
      </c>
      <c r="B368" s="11" t="n">
        <v>3</v>
      </c>
      <c r="C368" s="11" t="inlineStr">
        <is>
          <t>Insurance / broker</t>
        </is>
      </c>
      <c r="D368" s="11" t="inlineStr">
        <is>
          <t>City of London</t>
        </is>
      </c>
      <c r="E368" s="11" t="inlineStr">
        <is>
          <t>Ascot Underwriting Limited</t>
        </is>
      </c>
      <c r="F368" s="11" t="inlineStr">
        <is>
          <t>Ascot Underwriting</t>
        </is>
      </c>
      <c r="G368" s="12" t="inlineStr">
        <is>
          <t>https://www.ascot.com</t>
        </is>
      </c>
      <c r="H368" s="11" t="inlineStr">
        <is>
          <t>csr@ascot.com</t>
        </is>
      </c>
      <c r="I368" s="11" t="inlineStr">
        <is>
          <t>named person</t>
        </is>
      </c>
      <c r="J368" s="12" t="inlineStr">
        <is>
          <t>Open page</t>
        </is>
      </c>
      <c r="K368" s="11" t="inlineStr">
        <is>
          <t>04098461</t>
        </is>
      </c>
      <c r="L368" s="12" t="inlineStr">
        <is>
          <t>Open</t>
        </is>
      </c>
      <c r="M368" s="11" t="inlineStr">
        <is>
          <t>Full</t>
        </is>
      </c>
      <c r="N368" s="13" t="n">
        <v>36829</v>
      </c>
      <c r="O368" s="11" t="inlineStr">
        <is>
          <t>20 Fenchurch Street, London</t>
        </is>
      </c>
      <c r="P368" s="11" t="inlineStr">
        <is>
          <t>EC3M 3BY</t>
        </is>
      </c>
      <c r="Q368" s="11" t="inlineStr">
        <is>
          <t>No</t>
        </is>
      </c>
      <c r="W368" s="11" t="inlineStr">
        <is>
          <t>Liverpool St - Attlee Centre</t>
        </is>
      </c>
      <c r="X368" s="11" t="n">
        <v>17</v>
      </c>
      <c r="Y368" s="11" t="inlineStr">
        <is>
          <t>City of London School (EC4V 3AL) (17.8); Marlborough Sports Garden (SE1 1SD) (18.1)</t>
        </is>
      </c>
      <c r="Z368" s="11" t="inlineStr">
        <is>
          <t>City of London School (EC4V 3AL)</t>
        </is>
      </c>
      <c r="AA368" s="11" t="n">
        <v>18</v>
      </c>
      <c r="AB368" s="14">
        <f>IFERROR(INDEX(Venues!$E$2:$E$17,MATCH(Z368,Venues!$A$2:$A$17,0)),"Not checked")</f>
        <v/>
      </c>
      <c r="AC368" s="14">
        <f>IFERROR(INDEX(Venues!$F$2:$F$17,MATCH(Z368,Venues!$A$2:$A$17,0)),0)</f>
        <v/>
      </c>
      <c r="AD368" s="15">
        <f>IFERROR(INDEX(Venues!$M$2:$M$17,MATCH(Z368,Venues!$A$2:$A$17,0)),"")</f>
        <v/>
      </c>
      <c r="AE368" s="14">
        <f>IFERROR(INDEX(Venues!$N$2:$N$17,MATCH(Z368,Venues!$A$2:$A$17,0)),"5-a-side")</f>
        <v/>
      </c>
      <c r="AF368" s="16">
        <f>IF(Offer!$C$4="","",Offer!$C$4)</f>
        <v/>
      </c>
      <c r="AG368" s="14">
        <f>Z368&amp;" ("&amp;AA368&amp;" min walk) · "&amp;IF(ISNUMBER(AD368),TEXT(AD368,"ddd d mmm, hh:mm"),"slot to confirm with venue")&amp;" · "&amp;AE368&amp;" · "&amp;IF(AF368&lt;&gt;"","£"&amp;TEXT(AF368,"0.00")&amp;" pp","price TBC")</f>
        <v/>
      </c>
      <c r="AH368" s="14">
        <f>IF(U368&lt;&gt;"",U368,IF(H368&lt;&gt;"",H368,""))</f>
        <v/>
      </c>
      <c r="AI368" s="14">
        <f>"After-work football for "&amp;F368&amp;" · "&amp;Z368&amp;", "&amp;AA368&amp;" min from your office"</f>
        <v/>
      </c>
      <c r="AJ368" s="14">
        <f>"Hi "&amp;IF(R368&lt;&gt;"",R368,F368&amp;" team")&amp;","&amp;CHAR(10)&amp;CHAR(10)&amp;"I'm "&amp;IF(AM368&lt;&gt;"",AM368,IF(Offer!$C$5&lt;&gt;"",Offer!$C$5,"[NAME]"))&amp;" from FC Urban. We organise after-work football for teams in the City and Canary Wharf."&amp;CHAR(10)&amp;CHAR(10)&amp;"We have a "&amp;AE368&amp;" pitch at "&amp;Z368&amp;", "&amp;IF(OR(AA368=8,AA368=11,AA368=18),"an ","a ")&amp;AA368&amp;"-minute walk from your "&amp;P368&amp;" office, "&amp;IF(ISNUMBER(AD368),"on "&amp;TEXT(AD368,"dddd d mmmm")&amp;" at "&amp;TEXT(AD368,"hh:mm"),"on a weekday evening that suits your team")&amp;". It's "&amp;IF(AF368&lt;&gt;"","£"&amp;IF(AF368=INT(AF368),TEXT(AF368,"0"),TEXT(AF368,"0.00")),"[PRICE PER PLAYER]")&amp;" a player and we handle the pitch booking, sign-ups and payments, so all it takes is one person sharing a link with the team."&amp;CHAR(10)&amp;CHAR(10)&amp;"It works well as a team social or "&amp;IF(ISNUMBER(SEARCH(LEFT(F368,1),"AEIOU")),"an ","a ")&amp;F368&amp;"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LINK]")&amp;CHAR(10)&amp;CHAR(10)&amp;"Best,"&amp;CHAR(10)&amp;IF(AM368&lt;&gt;"",AM368,IF(Offer!$C$5&lt;&gt;"",Offer!$C$5,"[NAME]"))&amp;CHAR(10)&amp;"FC Urban"</f>
        <v/>
      </c>
      <c r="AK368" s="14">
        <f>"Hi "&amp;IF(R368&lt;&gt;"",R368,F368&amp;" team")&amp;","&amp;CHAR(10)&amp;CHAR(10)&amp;"Just bumping this up. The "&amp;AE368&amp;" pitch at "&amp;Z368&amp;" is still free "&amp;IF(ISNUMBER(AD368),TEXT(AD368,"ddd d mmm")&amp;", "&amp;TEXT(AD368,"hh:mm"),"weekday evenings")&amp;", "&amp;IF(OR(AA368=8,AA368=11,AA368=18),"an ","a ")&amp;AA368&amp;"-minute walk from your office, "&amp;IF(AF368&lt;&gt;"","£"&amp;IF(AF368=INT(AF368),TEXT(AF368,"0"),TEXT(AF368,"0.00")),"[PRICE PER PLAYER]")&amp;" a player. Happy to hold it for "&amp;F368&amp;"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LINK]")&amp;CHAR(10)&amp;CHAR(10)&amp;"Best,"&amp;CHAR(10)&amp;IF(AM368&lt;&gt;"",AM368,IF(Offer!$C$5&lt;&gt;"",Offer!$C$5,"[NAME]"))&amp;CHAR(10)&amp;"FC Urban"</f>
        <v/>
      </c>
      <c r="AL368" s="14">
        <f>IF(AH368="","No email yet",IF(ISNUMBER(SEARCH("[",AJ368)),"Fill placeholders",IF(ISNUMBER(AD368),"Ready to send","Ready · no fixed slot")))</f>
        <v/>
      </c>
      <c r="AO368" s="17" t="n"/>
      <c r="AP368" s="17" t="n"/>
    </row>
    <row r="369">
      <c r="A369" s="11" t="n">
        <v>367</v>
      </c>
      <c r="B369" s="11" t="n">
        <v>3</v>
      </c>
      <c r="C369" s="11" t="inlineStr">
        <is>
          <t>Insurance / broker</t>
        </is>
      </c>
      <c r="D369" s="11" t="inlineStr">
        <is>
          <t>City of London</t>
        </is>
      </c>
      <c r="E369" s="11" t="inlineStr">
        <is>
          <t>Hardy Underwriting Limited</t>
        </is>
      </c>
      <c r="F369" s="11" t="inlineStr">
        <is>
          <t>Hardy Underwriting</t>
        </is>
      </c>
      <c r="G369" s="12" t="inlineStr">
        <is>
          <t>https://www.hardy.co.uk</t>
        </is>
      </c>
      <c r="H369" s="11" t="inlineStr">
        <is>
          <t>info@hardy.co.uk</t>
        </is>
      </c>
      <c r="I369" s="11" t="inlineStr">
        <is>
          <t>general</t>
        </is>
      </c>
      <c r="J369" s="12" t="inlineStr">
        <is>
          <t>Open page</t>
        </is>
      </c>
      <c r="K369" s="11" t="inlineStr">
        <is>
          <t>02981735</t>
        </is>
      </c>
      <c r="L369" s="12" t="inlineStr">
        <is>
          <t>Open</t>
        </is>
      </c>
      <c r="M369" s="11" t="inlineStr">
        <is>
          <t>Full</t>
        </is>
      </c>
      <c r="N369" s="13" t="n">
        <v>34628</v>
      </c>
      <c r="O369" s="11" t="inlineStr">
        <is>
          <t>20 Fenchurch Street, London</t>
        </is>
      </c>
      <c r="P369" s="11" t="inlineStr">
        <is>
          <t>EC3M 3BY</t>
        </is>
      </c>
      <c r="Q369" s="11" t="inlineStr">
        <is>
          <t>No</t>
        </is>
      </c>
      <c r="W369" s="11" t="inlineStr">
        <is>
          <t>Liverpool St - Attlee Centre</t>
        </is>
      </c>
      <c r="X369" s="11" t="n">
        <v>17</v>
      </c>
      <c r="Y369" s="11" t="inlineStr">
        <is>
          <t>City of London School (EC4V 3AL) (17.8); Marlborough Sports Garden (SE1 1SD) (18.1)</t>
        </is>
      </c>
      <c r="Z369" s="11" t="inlineStr">
        <is>
          <t>City of London School (EC4V 3AL)</t>
        </is>
      </c>
      <c r="AA369" s="11" t="n">
        <v>18</v>
      </c>
      <c r="AB369" s="14">
        <f>IFERROR(INDEX(Venues!$E$2:$E$17,MATCH(Z369,Venues!$A$2:$A$17,0)),"Not checked")</f>
        <v/>
      </c>
      <c r="AC369" s="14">
        <f>IFERROR(INDEX(Venues!$F$2:$F$17,MATCH(Z369,Venues!$A$2:$A$17,0)),0)</f>
        <v/>
      </c>
      <c r="AD369" s="15">
        <f>IFERROR(INDEX(Venues!$M$2:$M$17,MATCH(Z369,Venues!$A$2:$A$17,0)),"")</f>
        <v/>
      </c>
      <c r="AE369" s="14">
        <f>IFERROR(INDEX(Venues!$N$2:$N$17,MATCH(Z369,Venues!$A$2:$A$17,0)),"5-a-side")</f>
        <v/>
      </c>
      <c r="AF369" s="16">
        <f>IF(Offer!$C$4="","",Offer!$C$4)</f>
        <v/>
      </c>
      <c r="AG369" s="14">
        <f>Z369&amp;" ("&amp;AA369&amp;" min walk) · "&amp;IF(ISNUMBER(AD369),TEXT(AD369,"ddd d mmm, hh:mm"),"slot to confirm with venue")&amp;" · "&amp;AE369&amp;" · "&amp;IF(AF369&lt;&gt;"","£"&amp;TEXT(AF369,"0.00")&amp;" pp","price TBC")</f>
        <v/>
      </c>
      <c r="AH369" s="14">
        <f>IF(U369&lt;&gt;"",U369,IF(H369&lt;&gt;"",H369,""))</f>
        <v/>
      </c>
      <c r="AI369" s="14">
        <f>"After-work football for "&amp;F369&amp;" · "&amp;Z369&amp;", "&amp;AA369&amp;" min from your office"</f>
        <v/>
      </c>
      <c r="AJ369" s="14">
        <f>"Hi "&amp;IF(R369&lt;&gt;"",R369,F369&amp;" team")&amp;","&amp;CHAR(10)&amp;CHAR(10)&amp;"I'm "&amp;IF(AM369&lt;&gt;"",AM369,IF(Offer!$C$5&lt;&gt;"",Offer!$C$5,"[NAME]"))&amp;" from FC Urban. We organise after-work football for teams in the City and Canary Wharf."&amp;CHAR(10)&amp;CHAR(10)&amp;"We have a "&amp;AE369&amp;" pitch at "&amp;Z369&amp;", "&amp;IF(OR(AA369=8,AA369=11,AA369=18),"an ","a ")&amp;AA369&amp;"-minute walk from your "&amp;P369&amp;" office, "&amp;IF(ISNUMBER(AD369),"on "&amp;TEXT(AD369,"dddd d mmmm")&amp;" at "&amp;TEXT(AD369,"hh:mm"),"on a weekday evening that suits your team")&amp;". It's "&amp;IF(AF369&lt;&gt;"","£"&amp;IF(AF369=INT(AF369),TEXT(AF369,"0"),TEXT(AF369,"0.00")),"[PRICE PER PLAYER]")&amp;" a player and we handle the pitch booking, sign-ups and payments, so all it takes is one person sharing a link with the team."&amp;CHAR(10)&amp;CHAR(10)&amp;"It works well as a team social or "&amp;IF(ISNUMBER(SEARCH(LEFT(F369,1),"AEIOU")),"an ","a ")&amp;F369&amp;"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LINK]")&amp;CHAR(10)&amp;CHAR(10)&amp;"Best,"&amp;CHAR(10)&amp;IF(AM369&lt;&gt;"",AM369,IF(Offer!$C$5&lt;&gt;"",Offer!$C$5,"[NAME]"))&amp;CHAR(10)&amp;"FC Urban"</f>
        <v/>
      </c>
      <c r="AK369" s="14">
        <f>"Hi "&amp;IF(R369&lt;&gt;"",R369,F369&amp;" team")&amp;","&amp;CHAR(10)&amp;CHAR(10)&amp;"Just bumping this up. The "&amp;AE369&amp;" pitch at "&amp;Z369&amp;" is still free "&amp;IF(ISNUMBER(AD369),TEXT(AD369,"ddd d mmm")&amp;", "&amp;TEXT(AD369,"hh:mm"),"weekday evenings")&amp;", "&amp;IF(OR(AA369=8,AA369=11,AA369=18),"an ","a ")&amp;AA369&amp;"-minute walk from your office, "&amp;IF(AF369&lt;&gt;"","£"&amp;IF(AF369=INT(AF369),TEXT(AF369,"0"),TEXT(AF369,"0.00")),"[PRICE PER PLAYER]")&amp;" a player. Happy to hold it for "&amp;F369&amp;"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LINK]")&amp;CHAR(10)&amp;CHAR(10)&amp;"Best,"&amp;CHAR(10)&amp;IF(AM369&lt;&gt;"",AM369,IF(Offer!$C$5&lt;&gt;"",Offer!$C$5,"[NAME]"))&amp;CHAR(10)&amp;"FC Urban"</f>
        <v/>
      </c>
      <c r="AL369" s="14">
        <f>IF(AH369="","No email yet",IF(ISNUMBER(SEARCH("[",AJ369)),"Fill placeholders",IF(ISNUMBER(AD369),"Ready to send","Ready · no fixed slot")))</f>
        <v/>
      </c>
      <c r="AO369" s="17" t="n"/>
      <c r="AP369" s="17" t="n"/>
    </row>
    <row r="370">
      <c r="A370" s="11" t="n">
        <v>368</v>
      </c>
      <c r="B370" s="11" t="n">
        <v>3</v>
      </c>
      <c r="C370" s="11" t="inlineStr">
        <is>
          <t>Insurance / broker</t>
        </is>
      </c>
      <c r="D370" s="11" t="inlineStr">
        <is>
          <t>City of London</t>
        </is>
      </c>
      <c r="E370" s="11" t="inlineStr">
        <is>
          <t>Kiln Underwriting Limited</t>
        </is>
      </c>
      <c r="F370" s="11" t="inlineStr">
        <is>
          <t>Kiln Underwriting</t>
        </is>
      </c>
      <c r="G370" s="12" t="inlineStr">
        <is>
          <t>https://kiln.com</t>
        </is>
      </c>
      <c r="H370" s="11" t="inlineStr">
        <is>
          <t>hello@kiln.com</t>
        </is>
      </c>
      <c r="I370" s="11" t="inlineStr">
        <is>
          <t>general</t>
        </is>
      </c>
      <c r="J370" s="12" t="inlineStr">
        <is>
          <t>Open page</t>
        </is>
      </c>
      <c r="K370" s="11" t="inlineStr">
        <is>
          <t>02938183</t>
        </is>
      </c>
      <c r="L370" s="12" t="inlineStr">
        <is>
          <t>Open</t>
        </is>
      </c>
      <c r="M370" s="11" t="inlineStr">
        <is>
          <t>Full</t>
        </is>
      </c>
      <c r="N370" s="13" t="n">
        <v>34498</v>
      </c>
      <c r="O370" s="11" t="inlineStr">
        <is>
          <t>20 Fenchurch Street, London</t>
        </is>
      </c>
      <c r="P370" s="11" t="inlineStr">
        <is>
          <t>EC3M 3BY</t>
        </is>
      </c>
      <c r="Q370" s="11" t="inlineStr">
        <is>
          <t>No</t>
        </is>
      </c>
      <c r="W370" s="11" t="inlineStr">
        <is>
          <t>Liverpool St - Attlee Centre</t>
        </is>
      </c>
      <c r="X370" s="11" t="n">
        <v>17</v>
      </c>
      <c r="Y370" s="11" t="inlineStr">
        <is>
          <t>City of London School (EC4V 3AL) (17.8); Marlborough Sports Garden (SE1 1SD) (18.1)</t>
        </is>
      </c>
      <c r="Z370" s="11" t="inlineStr">
        <is>
          <t>City of London School (EC4V 3AL)</t>
        </is>
      </c>
      <c r="AA370" s="11" t="n">
        <v>18</v>
      </c>
      <c r="AB370" s="14">
        <f>IFERROR(INDEX(Venues!$E$2:$E$17,MATCH(Z370,Venues!$A$2:$A$17,0)),"Not checked")</f>
        <v/>
      </c>
      <c r="AC370" s="14">
        <f>IFERROR(INDEX(Venues!$F$2:$F$17,MATCH(Z370,Venues!$A$2:$A$17,0)),0)</f>
        <v/>
      </c>
      <c r="AD370" s="15">
        <f>IFERROR(INDEX(Venues!$M$2:$M$17,MATCH(Z370,Venues!$A$2:$A$17,0)),"")</f>
        <v/>
      </c>
      <c r="AE370" s="14">
        <f>IFERROR(INDEX(Venues!$N$2:$N$17,MATCH(Z370,Venues!$A$2:$A$17,0)),"5-a-side")</f>
        <v/>
      </c>
      <c r="AF370" s="16">
        <f>IF(Offer!$C$4="","",Offer!$C$4)</f>
        <v/>
      </c>
      <c r="AG370" s="14">
        <f>Z370&amp;" ("&amp;AA370&amp;" min walk) · "&amp;IF(ISNUMBER(AD370),TEXT(AD370,"ddd d mmm, hh:mm"),"slot to confirm with venue")&amp;" · "&amp;AE370&amp;" · "&amp;IF(AF370&lt;&gt;"","£"&amp;TEXT(AF370,"0.00")&amp;" pp","price TBC")</f>
        <v/>
      </c>
      <c r="AH370" s="14">
        <f>IF(U370&lt;&gt;"",U370,IF(H370&lt;&gt;"",H370,""))</f>
        <v/>
      </c>
      <c r="AI370" s="14">
        <f>"After-work football for "&amp;F370&amp;" · "&amp;Z370&amp;", "&amp;AA370&amp;" min from your office"</f>
        <v/>
      </c>
      <c r="AJ370" s="14">
        <f>"Hi "&amp;IF(R370&lt;&gt;"",R370,F370&amp;" team")&amp;","&amp;CHAR(10)&amp;CHAR(10)&amp;"I'm "&amp;IF(AM370&lt;&gt;"",AM370,IF(Offer!$C$5&lt;&gt;"",Offer!$C$5,"[NAME]"))&amp;" from FC Urban. We organise after-work football for teams in the City and Canary Wharf."&amp;CHAR(10)&amp;CHAR(10)&amp;"We have a "&amp;AE370&amp;" pitch at "&amp;Z370&amp;", "&amp;IF(OR(AA370=8,AA370=11,AA370=18),"an ","a ")&amp;AA370&amp;"-minute walk from your "&amp;P370&amp;" office, "&amp;IF(ISNUMBER(AD370),"on "&amp;TEXT(AD370,"dddd d mmmm")&amp;" at "&amp;TEXT(AD370,"hh:mm"),"on a weekday evening that suits your team")&amp;". It's "&amp;IF(AF370&lt;&gt;"","£"&amp;IF(AF370=INT(AF370),TEXT(AF370,"0"),TEXT(AF370,"0.00")),"[PRICE PER PLAYER]")&amp;" a player and we handle the pitch booking, sign-ups and payments, so all it takes is one person sharing a link with the team."&amp;CHAR(10)&amp;CHAR(10)&amp;"It works well as a team social or "&amp;IF(ISNUMBER(SEARCH(LEFT(F370,1),"AEIOU")),"an ","a ")&amp;F370&amp;"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LINK]")&amp;CHAR(10)&amp;CHAR(10)&amp;"Best,"&amp;CHAR(10)&amp;IF(AM370&lt;&gt;"",AM370,IF(Offer!$C$5&lt;&gt;"",Offer!$C$5,"[NAME]"))&amp;CHAR(10)&amp;"FC Urban"</f>
        <v/>
      </c>
      <c r="AK370" s="14">
        <f>"Hi "&amp;IF(R370&lt;&gt;"",R370,F370&amp;" team")&amp;","&amp;CHAR(10)&amp;CHAR(10)&amp;"Just bumping this up. The "&amp;AE370&amp;" pitch at "&amp;Z370&amp;" is still free "&amp;IF(ISNUMBER(AD370),TEXT(AD370,"ddd d mmm")&amp;", "&amp;TEXT(AD370,"hh:mm"),"weekday evenings")&amp;", "&amp;IF(OR(AA370=8,AA370=11,AA370=18),"an ","a ")&amp;AA370&amp;"-minute walk from your office, "&amp;IF(AF370&lt;&gt;"","£"&amp;IF(AF370=INT(AF370),TEXT(AF370,"0"),TEXT(AF370,"0.00")),"[PRICE PER PLAYER]")&amp;" a player. Happy to hold it for "&amp;F370&amp;"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LINK]")&amp;CHAR(10)&amp;CHAR(10)&amp;"Best,"&amp;CHAR(10)&amp;IF(AM370&lt;&gt;"",AM370,IF(Offer!$C$5&lt;&gt;"",Offer!$C$5,"[NAME]"))&amp;CHAR(10)&amp;"FC Urban"</f>
        <v/>
      </c>
      <c r="AL370" s="14">
        <f>IF(AH370="","No email yet",IF(ISNUMBER(SEARCH("[",AJ370)),"Fill placeholders",IF(ISNUMBER(AD370),"Ready to send","Ready · no fixed slot")))</f>
        <v/>
      </c>
      <c r="AO370" s="17" t="n"/>
      <c r="AP370" s="17" t="n"/>
    </row>
    <row r="371">
      <c r="A371" s="11" t="n">
        <v>369</v>
      </c>
      <c r="B371" s="11" t="n">
        <v>3</v>
      </c>
      <c r="C371" s="11" t="inlineStr">
        <is>
          <t>Insurance / broker</t>
        </is>
      </c>
      <c r="D371" s="11" t="inlineStr">
        <is>
          <t>City of London</t>
        </is>
      </c>
      <c r="E371" s="11" t="inlineStr">
        <is>
          <t>Liberty Managing Agency Limited</t>
        </is>
      </c>
      <c r="F371" s="11" t="inlineStr">
        <is>
          <t>Liberty Managing Agency</t>
        </is>
      </c>
      <c r="G371" s="12" t="inlineStr">
        <is>
          <t>https://www.libertylondon.com</t>
        </is>
      </c>
      <c r="H371" s="11" t="inlineStr">
        <is>
          <t>customerservices@libertylondon.com</t>
        </is>
      </c>
      <c r="I371" s="11" t="inlineStr">
        <is>
          <t>role (other)</t>
        </is>
      </c>
      <c r="J371" s="12" t="inlineStr">
        <is>
          <t>Open page</t>
        </is>
      </c>
      <c r="K371" s="11" t="inlineStr">
        <is>
          <t>03003606</t>
        </is>
      </c>
      <c r="L371" s="12" t="inlineStr">
        <is>
          <t>Open</t>
        </is>
      </c>
      <c r="M371" s="11" t="inlineStr">
        <is>
          <t>Full</t>
        </is>
      </c>
      <c r="N371" s="13" t="n">
        <v>34688</v>
      </c>
      <c r="O371" s="11" t="inlineStr">
        <is>
          <t>20 Fenchurch Street, London</t>
        </is>
      </c>
      <c r="P371" s="11" t="inlineStr">
        <is>
          <t>EC3M 3AW</t>
        </is>
      </c>
      <c r="Q371" s="11" t="inlineStr">
        <is>
          <t>No</t>
        </is>
      </c>
      <c r="W371" s="11" t="inlineStr">
        <is>
          <t>Liverpool St - Attlee Centre</t>
        </is>
      </c>
      <c r="X371" s="11" t="n">
        <v>17</v>
      </c>
      <c r="Y371" s="11" t="inlineStr">
        <is>
          <t>City of London School (EC4V 3AL) (17.8); Marlborough Sports Garden (SE1 1SD) (18.1)</t>
        </is>
      </c>
      <c r="Z371" s="11" t="inlineStr">
        <is>
          <t>City of London School (EC4V 3AL)</t>
        </is>
      </c>
      <c r="AA371" s="11" t="n">
        <v>18</v>
      </c>
      <c r="AB371" s="14">
        <f>IFERROR(INDEX(Venues!$E$2:$E$17,MATCH(Z371,Venues!$A$2:$A$17,0)),"Not checked")</f>
        <v/>
      </c>
      <c r="AC371" s="14">
        <f>IFERROR(INDEX(Venues!$F$2:$F$17,MATCH(Z371,Venues!$A$2:$A$17,0)),0)</f>
        <v/>
      </c>
      <c r="AD371" s="15">
        <f>IFERROR(INDEX(Venues!$M$2:$M$17,MATCH(Z371,Venues!$A$2:$A$17,0)),"")</f>
        <v/>
      </c>
      <c r="AE371" s="14">
        <f>IFERROR(INDEX(Venues!$N$2:$N$17,MATCH(Z371,Venues!$A$2:$A$17,0)),"5-a-side")</f>
        <v/>
      </c>
      <c r="AF371" s="16">
        <f>IF(Offer!$C$4="","",Offer!$C$4)</f>
        <v/>
      </c>
      <c r="AG371" s="14">
        <f>Z371&amp;" ("&amp;AA371&amp;" min walk) · "&amp;IF(ISNUMBER(AD371),TEXT(AD371,"ddd d mmm, hh:mm"),"slot to confirm with venue")&amp;" · "&amp;AE371&amp;" · "&amp;IF(AF371&lt;&gt;"","£"&amp;TEXT(AF371,"0.00")&amp;" pp","price TBC")</f>
        <v/>
      </c>
      <c r="AH371" s="14">
        <f>IF(U371&lt;&gt;"",U371,IF(H371&lt;&gt;"",H371,""))</f>
        <v/>
      </c>
      <c r="AI371" s="14">
        <f>"After-work football for "&amp;F371&amp;" · "&amp;Z371&amp;", "&amp;AA371&amp;" min from your office"</f>
        <v/>
      </c>
      <c r="AJ371" s="14">
        <f>"Hi "&amp;IF(R371&lt;&gt;"",R371,F371&amp;" team")&amp;","&amp;CHAR(10)&amp;CHAR(10)&amp;"I'm "&amp;IF(AM371&lt;&gt;"",AM371,IF(Offer!$C$5&lt;&gt;"",Offer!$C$5,"[NAME]"))&amp;" from FC Urban. We organise after-work football for teams in the City and Canary Wharf."&amp;CHAR(10)&amp;CHAR(10)&amp;"We have a "&amp;AE371&amp;" pitch at "&amp;Z371&amp;", "&amp;IF(OR(AA371=8,AA371=11,AA371=18),"an ","a ")&amp;AA371&amp;"-minute walk from your "&amp;P371&amp;" office, "&amp;IF(ISNUMBER(AD371),"on "&amp;TEXT(AD371,"dddd d mmmm")&amp;" at "&amp;TEXT(AD371,"hh:mm"),"on a weekday evening that suits your team")&amp;". It's "&amp;IF(AF371&lt;&gt;"","£"&amp;IF(AF371=INT(AF371),TEXT(AF371,"0"),TEXT(AF371,"0.00")),"[PRICE PER PLAYER]")&amp;" a player and we handle the pitch booking, sign-ups and payments, so all it takes is one person sharing a link with the team."&amp;CHAR(10)&amp;CHAR(10)&amp;"It works well as a team social or "&amp;IF(ISNUMBER(SEARCH(LEFT(F371,1),"AEIOU")),"an ","a ")&amp;F371&amp;"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LINK]")&amp;CHAR(10)&amp;CHAR(10)&amp;"Best,"&amp;CHAR(10)&amp;IF(AM371&lt;&gt;"",AM371,IF(Offer!$C$5&lt;&gt;"",Offer!$C$5,"[NAME]"))&amp;CHAR(10)&amp;"FC Urban"</f>
        <v/>
      </c>
      <c r="AK371" s="14">
        <f>"Hi "&amp;IF(R371&lt;&gt;"",R371,F371&amp;" team")&amp;","&amp;CHAR(10)&amp;CHAR(10)&amp;"Just bumping this up. The "&amp;AE371&amp;" pitch at "&amp;Z371&amp;" is still free "&amp;IF(ISNUMBER(AD371),TEXT(AD371,"ddd d mmm")&amp;", "&amp;TEXT(AD371,"hh:mm"),"weekday evenings")&amp;", "&amp;IF(OR(AA371=8,AA371=11,AA371=18),"an ","a ")&amp;AA371&amp;"-minute walk from your office, "&amp;IF(AF371&lt;&gt;"","£"&amp;IF(AF371=INT(AF371),TEXT(AF371,"0"),TEXT(AF371,"0.00")),"[PRICE PER PLAYER]")&amp;" a player. Happy to hold it for "&amp;F371&amp;"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LINK]")&amp;CHAR(10)&amp;CHAR(10)&amp;"Best,"&amp;CHAR(10)&amp;IF(AM371&lt;&gt;"",AM371,IF(Offer!$C$5&lt;&gt;"",Offer!$C$5,"[NAME]"))&amp;CHAR(10)&amp;"FC Urban"</f>
        <v/>
      </c>
      <c r="AL371" s="14">
        <f>IF(AH371="","No email yet",IF(ISNUMBER(SEARCH("[",AJ371)),"Fill placeholders",IF(ISNUMBER(AD371),"Ready to send","Ready · no fixed slot")))</f>
        <v/>
      </c>
      <c r="AO371" s="17" t="n"/>
      <c r="AP371" s="17" t="n"/>
    </row>
    <row r="372">
      <c r="A372" s="11" t="n">
        <v>370</v>
      </c>
      <c r="B372" s="11" t="n">
        <v>3</v>
      </c>
      <c r="C372" s="11" t="inlineStr">
        <is>
          <t>Insurance / broker</t>
        </is>
      </c>
      <c r="D372" s="11" t="inlineStr">
        <is>
          <t>City of London</t>
        </is>
      </c>
      <c r="E372" s="11" t="inlineStr">
        <is>
          <t>Markel International Insurance Company Limited</t>
        </is>
      </c>
      <c r="F372" s="11" t="inlineStr">
        <is>
          <t>Markel International Insurance Company</t>
        </is>
      </c>
      <c r="G372" s="12" t="inlineStr">
        <is>
          <t>https://www.markel.com</t>
        </is>
      </c>
      <c r="H372" s="11" t="inlineStr">
        <is>
          <t>jen.blackwell@markel.com</t>
        </is>
      </c>
      <c r="I372" s="11" t="inlineStr">
        <is>
          <t>named person</t>
        </is>
      </c>
      <c r="J372" s="12" t="inlineStr">
        <is>
          <t>Open page</t>
        </is>
      </c>
      <c r="K372" s="11" t="inlineStr">
        <is>
          <t>00966670</t>
        </is>
      </c>
      <c r="L372" s="12" t="inlineStr">
        <is>
          <t>Open</t>
        </is>
      </c>
      <c r="M372" s="11" t="inlineStr">
        <is>
          <t>Full</t>
        </is>
      </c>
      <c r="N372" s="13" t="n">
        <v>25527</v>
      </c>
      <c r="O372" s="11" t="inlineStr">
        <is>
          <t>20 Fenchurch Street, London</t>
        </is>
      </c>
      <c r="P372" s="11" t="inlineStr">
        <is>
          <t>EC3M 3AZ</t>
        </is>
      </c>
      <c r="Q372" s="11" t="inlineStr">
        <is>
          <t>No</t>
        </is>
      </c>
      <c r="W372" s="11" t="inlineStr">
        <is>
          <t>Liverpool St - Attlee Centre</t>
        </is>
      </c>
      <c r="X372" s="11" t="n">
        <v>17</v>
      </c>
      <c r="Y372" s="11" t="inlineStr">
        <is>
          <t>City of London School (EC4V 3AL) (17.8); Marlborough Sports Garden (SE1 1SD) (18.1)</t>
        </is>
      </c>
      <c r="Z372" s="11" t="inlineStr">
        <is>
          <t>City of London School (EC4V 3AL)</t>
        </is>
      </c>
      <c r="AA372" s="11" t="n">
        <v>18</v>
      </c>
      <c r="AB372" s="14">
        <f>IFERROR(INDEX(Venues!$E$2:$E$17,MATCH(Z372,Venues!$A$2:$A$17,0)),"Not checked")</f>
        <v/>
      </c>
      <c r="AC372" s="14">
        <f>IFERROR(INDEX(Venues!$F$2:$F$17,MATCH(Z372,Venues!$A$2:$A$17,0)),0)</f>
        <v/>
      </c>
      <c r="AD372" s="15">
        <f>IFERROR(INDEX(Venues!$M$2:$M$17,MATCH(Z372,Venues!$A$2:$A$17,0)),"")</f>
        <v/>
      </c>
      <c r="AE372" s="14">
        <f>IFERROR(INDEX(Venues!$N$2:$N$17,MATCH(Z372,Venues!$A$2:$A$17,0)),"5-a-side")</f>
        <v/>
      </c>
      <c r="AF372" s="16">
        <f>IF(Offer!$C$4="","",Offer!$C$4)</f>
        <v/>
      </c>
      <c r="AG372" s="14">
        <f>Z372&amp;" ("&amp;AA372&amp;" min walk) · "&amp;IF(ISNUMBER(AD372),TEXT(AD372,"ddd d mmm, hh:mm"),"slot to confirm with venue")&amp;" · "&amp;AE372&amp;" · "&amp;IF(AF372&lt;&gt;"","£"&amp;TEXT(AF372,"0.00")&amp;" pp","price TBC")</f>
        <v/>
      </c>
      <c r="AH372" s="14">
        <f>IF(U372&lt;&gt;"",U372,IF(H372&lt;&gt;"",H372,""))</f>
        <v/>
      </c>
      <c r="AI372" s="14">
        <f>"After-work football for "&amp;F372&amp;" · "&amp;Z372&amp;", "&amp;AA372&amp;" min from your office"</f>
        <v/>
      </c>
      <c r="AJ372" s="14">
        <f>"Hi "&amp;IF(R372&lt;&gt;"",R372,F372&amp;" team")&amp;","&amp;CHAR(10)&amp;CHAR(10)&amp;"I'm "&amp;IF(AM372&lt;&gt;"",AM372,IF(Offer!$C$5&lt;&gt;"",Offer!$C$5,"[NAME]"))&amp;" from FC Urban. We organise after-work football for teams in the City and Canary Wharf."&amp;CHAR(10)&amp;CHAR(10)&amp;"We have a "&amp;AE372&amp;" pitch at "&amp;Z372&amp;", "&amp;IF(OR(AA372=8,AA372=11,AA372=18),"an ","a ")&amp;AA372&amp;"-minute walk from your "&amp;P372&amp;" office, "&amp;IF(ISNUMBER(AD372),"on "&amp;TEXT(AD372,"dddd d mmmm")&amp;" at "&amp;TEXT(AD372,"hh:mm"),"on a weekday evening that suits your team")&amp;". It's "&amp;IF(AF372&lt;&gt;"","£"&amp;IF(AF372=INT(AF372),TEXT(AF372,"0"),TEXT(AF372,"0.00")),"[PRICE PER PLAYER]")&amp;" a player and we handle the pitch booking, sign-ups and payments, so all it takes is one person sharing a link with the team."&amp;CHAR(10)&amp;CHAR(10)&amp;"It works well as a team social or "&amp;IF(ISNUMBER(SEARCH(LEFT(F372,1),"AEIOU")),"an ","a ")&amp;F372&amp;"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LINK]")&amp;CHAR(10)&amp;CHAR(10)&amp;"Best,"&amp;CHAR(10)&amp;IF(AM372&lt;&gt;"",AM372,IF(Offer!$C$5&lt;&gt;"",Offer!$C$5,"[NAME]"))&amp;CHAR(10)&amp;"FC Urban"</f>
        <v/>
      </c>
      <c r="AK372" s="14">
        <f>"Hi "&amp;IF(R372&lt;&gt;"",R372,F372&amp;" team")&amp;","&amp;CHAR(10)&amp;CHAR(10)&amp;"Just bumping this up. The "&amp;AE372&amp;" pitch at "&amp;Z372&amp;" is still free "&amp;IF(ISNUMBER(AD372),TEXT(AD372,"ddd d mmm")&amp;", "&amp;TEXT(AD372,"hh:mm"),"weekday evenings")&amp;", "&amp;IF(OR(AA372=8,AA372=11,AA372=18),"an ","a ")&amp;AA372&amp;"-minute walk from your office, "&amp;IF(AF372&lt;&gt;"","£"&amp;IF(AF372=INT(AF372),TEXT(AF372,"0"),TEXT(AF372,"0.00")),"[PRICE PER PLAYER]")&amp;" a player. Happy to hold it for "&amp;F372&amp;"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LINK]")&amp;CHAR(10)&amp;CHAR(10)&amp;"Best,"&amp;CHAR(10)&amp;IF(AM372&lt;&gt;"",AM372,IF(Offer!$C$5&lt;&gt;"",Offer!$C$5,"[NAME]"))&amp;CHAR(10)&amp;"FC Urban"</f>
        <v/>
      </c>
      <c r="AL372" s="14">
        <f>IF(AH372="","No email yet",IF(ISNUMBER(SEARCH("[",AJ372)),"Fill placeholders",IF(ISNUMBER(AD372),"Ready to send","Ready · no fixed slot")))</f>
        <v/>
      </c>
      <c r="AO372" s="17" t="n"/>
      <c r="AP372" s="17" t="n"/>
    </row>
    <row r="373">
      <c r="A373" s="11" t="n">
        <v>371</v>
      </c>
      <c r="B373" s="11" t="n">
        <v>3</v>
      </c>
      <c r="C373" s="11" t="inlineStr">
        <is>
          <t>Insurance / broker</t>
        </is>
      </c>
      <c r="D373" s="11" t="inlineStr">
        <is>
          <t>City of London</t>
        </is>
      </c>
      <c r="E373" s="11" t="inlineStr">
        <is>
          <t>North Star Underwriting Limited</t>
        </is>
      </c>
      <c r="F373" s="11" t="inlineStr">
        <is>
          <t>North Star Underwriting</t>
        </is>
      </c>
      <c r="G373" s="12" t="inlineStr">
        <is>
          <t>https://www.northstar.co.uk</t>
        </is>
      </c>
      <c r="H373" s="11" t="inlineStr">
        <is>
          <t>info@northstar.co.uk</t>
        </is>
      </c>
      <c r="I373" s="11" t="inlineStr">
        <is>
          <t>general</t>
        </is>
      </c>
      <c r="J373" s="12" t="inlineStr">
        <is>
          <t>Open page</t>
        </is>
      </c>
      <c r="K373" s="11" t="inlineStr">
        <is>
          <t>04575038</t>
        </is>
      </c>
      <c r="L373" s="12" t="inlineStr">
        <is>
          <t>Open</t>
        </is>
      </c>
      <c r="M373" s="11" t="inlineStr">
        <is>
          <t>Full</t>
        </is>
      </c>
      <c r="N373" s="13" t="n">
        <v>37557</v>
      </c>
      <c r="O373" s="11" t="inlineStr">
        <is>
          <t>Floor 15, 20, Fenchurch Street, London</t>
        </is>
      </c>
      <c r="P373" s="11" t="inlineStr">
        <is>
          <t>EC3M 3BY</t>
        </is>
      </c>
      <c r="Q373" s="11" t="inlineStr">
        <is>
          <t>Yes</t>
        </is>
      </c>
      <c r="W373" s="11" t="inlineStr">
        <is>
          <t>Liverpool St - Attlee Centre</t>
        </is>
      </c>
      <c r="X373" s="11" t="n">
        <v>17</v>
      </c>
      <c r="Y373" s="11" t="inlineStr">
        <is>
          <t>City of London School (EC4V 3AL) (17.8); Marlborough Sports Garden (SE1 1SD) (18.1)</t>
        </is>
      </c>
      <c r="Z373" s="11" t="inlineStr">
        <is>
          <t>City of London School (EC4V 3AL)</t>
        </is>
      </c>
      <c r="AA373" s="11" t="n">
        <v>18</v>
      </c>
      <c r="AB373" s="14">
        <f>IFERROR(INDEX(Venues!$E$2:$E$17,MATCH(Z373,Venues!$A$2:$A$17,0)),"Not checked")</f>
        <v/>
      </c>
      <c r="AC373" s="14">
        <f>IFERROR(INDEX(Venues!$F$2:$F$17,MATCH(Z373,Venues!$A$2:$A$17,0)),0)</f>
        <v/>
      </c>
      <c r="AD373" s="15">
        <f>IFERROR(INDEX(Venues!$M$2:$M$17,MATCH(Z373,Venues!$A$2:$A$17,0)),"")</f>
        <v/>
      </c>
      <c r="AE373" s="14">
        <f>IFERROR(INDEX(Venues!$N$2:$N$17,MATCH(Z373,Venues!$A$2:$A$17,0)),"5-a-side")</f>
        <v/>
      </c>
      <c r="AF373" s="16">
        <f>IF(Offer!$C$4="","",Offer!$C$4)</f>
        <v/>
      </c>
      <c r="AG373" s="14">
        <f>Z373&amp;" ("&amp;AA373&amp;" min walk) · "&amp;IF(ISNUMBER(AD373),TEXT(AD373,"ddd d mmm, hh:mm"),"slot to confirm with venue")&amp;" · "&amp;AE373&amp;" · "&amp;IF(AF373&lt;&gt;"","£"&amp;TEXT(AF373,"0.00")&amp;" pp","price TBC")</f>
        <v/>
      </c>
      <c r="AH373" s="14">
        <f>IF(U373&lt;&gt;"",U373,IF(H373&lt;&gt;"",H373,""))</f>
        <v/>
      </c>
      <c r="AI373" s="14">
        <f>"After-work football for "&amp;F373&amp;" · "&amp;Z373&amp;", "&amp;AA373&amp;" min from your office"</f>
        <v/>
      </c>
      <c r="AJ373" s="14">
        <f>"Hi "&amp;IF(R373&lt;&gt;"",R373,F373&amp;" team")&amp;","&amp;CHAR(10)&amp;CHAR(10)&amp;"I'm "&amp;IF(AM373&lt;&gt;"",AM373,IF(Offer!$C$5&lt;&gt;"",Offer!$C$5,"[NAME]"))&amp;" from FC Urban. We organise after-work football for teams in the City and Canary Wharf."&amp;CHAR(10)&amp;CHAR(10)&amp;"We have a "&amp;AE373&amp;" pitch at "&amp;Z373&amp;", "&amp;IF(OR(AA373=8,AA373=11,AA373=18),"an ","a ")&amp;AA373&amp;"-minute walk from your "&amp;P373&amp;" office, "&amp;IF(ISNUMBER(AD373),"on "&amp;TEXT(AD373,"dddd d mmmm")&amp;" at "&amp;TEXT(AD373,"hh:mm"),"on a weekday evening that suits your team")&amp;". It's "&amp;IF(AF373&lt;&gt;"","£"&amp;IF(AF373=INT(AF373),TEXT(AF373,"0"),TEXT(AF373,"0.00")),"[PRICE PER PLAYER]")&amp;" a player and we handle the pitch booking, sign-ups and payments, so all it takes is one person sharing a link with the team."&amp;CHAR(10)&amp;CHAR(10)&amp;"It works well as a team social or "&amp;IF(ISNUMBER(SEARCH(LEFT(F373,1),"AEIOU")),"an ","a ")&amp;F373&amp;"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LINK]")&amp;CHAR(10)&amp;CHAR(10)&amp;"Best,"&amp;CHAR(10)&amp;IF(AM373&lt;&gt;"",AM373,IF(Offer!$C$5&lt;&gt;"",Offer!$C$5,"[NAME]"))&amp;CHAR(10)&amp;"FC Urban"</f>
        <v/>
      </c>
      <c r="AK373" s="14">
        <f>"Hi "&amp;IF(R373&lt;&gt;"",R373,F373&amp;" team")&amp;","&amp;CHAR(10)&amp;CHAR(10)&amp;"Just bumping this up. The "&amp;AE373&amp;" pitch at "&amp;Z373&amp;" is still free "&amp;IF(ISNUMBER(AD373),TEXT(AD373,"ddd d mmm")&amp;", "&amp;TEXT(AD373,"hh:mm"),"weekday evenings")&amp;", "&amp;IF(OR(AA373=8,AA373=11,AA373=18),"an ","a ")&amp;AA373&amp;"-minute walk from your office, "&amp;IF(AF373&lt;&gt;"","£"&amp;IF(AF373=INT(AF373),TEXT(AF373,"0"),TEXT(AF373,"0.00")),"[PRICE PER PLAYER]")&amp;" a player. Happy to hold it for "&amp;F373&amp;"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LINK]")&amp;CHAR(10)&amp;CHAR(10)&amp;"Best,"&amp;CHAR(10)&amp;IF(AM373&lt;&gt;"",AM373,IF(Offer!$C$5&lt;&gt;"",Offer!$C$5,"[NAME]"))&amp;CHAR(10)&amp;"FC Urban"</f>
        <v/>
      </c>
      <c r="AL373" s="14">
        <f>IF(AH373="","No email yet",IF(ISNUMBER(SEARCH("[",AJ373)),"Fill placeholders",IF(ISNUMBER(AD373),"Ready to send","Ready · no fixed slot")))</f>
        <v/>
      </c>
      <c r="AO373" s="17" t="n"/>
      <c r="AP373" s="17" t="n"/>
    </row>
    <row r="374">
      <c r="A374" s="11" t="n">
        <v>372</v>
      </c>
      <c r="B374" s="11" t="n">
        <v>3</v>
      </c>
      <c r="C374" s="11" t="inlineStr">
        <is>
          <t>Insurance / broker</t>
        </is>
      </c>
      <c r="D374" s="11" t="inlineStr">
        <is>
          <t>City of London</t>
        </is>
      </c>
      <c r="E374" s="11" t="inlineStr">
        <is>
          <t>Shepherd Compello Ltd</t>
        </is>
      </c>
      <c r="F374" s="11" t="inlineStr">
        <is>
          <t>Shepherd Compello</t>
        </is>
      </c>
      <c r="G374" s="12" t="inlineStr">
        <is>
          <t>https://www.shepherdcompello.com</t>
        </is>
      </c>
      <c r="H374" s="11" t="inlineStr">
        <is>
          <t>info@shepherdcompello.com</t>
        </is>
      </c>
      <c r="I374" s="11" t="inlineStr">
        <is>
          <t>general</t>
        </is>
      </c>
      <c r="J374" s="12" t="inlineStr">
        <is>
          <t>Open page</t>
        </is>
      </c>
      <c r="K374" s="11" t="inlineStr">
        <is>
          <t>04695072</t>
        </is>
      </c>
      <c r="L374" s="12" t="inlineStr">
        <is>
          <t>Open</t>
        </is>
      </c>
      <c r="M374" s="11" t="inlineStr">
        <is>
          <t>Full</t>
        </is>
      </c>
      <c r="N374" s="13" t="n">
        <v>37692</v>
      </c>
      <c r="O374" s="11" t="inlineStr">
        <is>
          <t>88 Leadenhall Street, London</t>
        </is>
      </c>
      <c r="P374" s="11" t="inlineStr">
        <is>
          <t>EC3A 3BP</t>
        </is>
      </c>
      <c r="Q374" s="11" t="inlineStr">
        <is>
          <t>No</t>
        </is>
      </c>
      <c r="W374" s="11" t="inlineStr">
        <is>
          <t>Liverpool St - Attlee Centre</t>
        </is>
      </c>
      <c r="X374" s="11" t="n">
        <v>11</v>
      </c>
      <c r="Y374" s="11" t="inlineStr">
        <is>
          <t>Shoreditch Powerleague (18.3)</t>
        </is>
      </c>
      <c r="Z374" s="11" t="inlineStr">
        <is>
          <t>Shoreditch Powerleague</t>
        </is>
      </c>
      <c r="AA374" s="11" t="n">
        <v>18</v>
      </c>
      <c r="AB374" s="14">
        <f>IFERROR(INDEX(Venues!$E$2:$E$17,MATCH(Z374,Venues!$A$2:$A$17,0)),"Not checked")</f>
        <v/>
      </c>
      <c r="AC374" s="14">
        <f>IFERROR(INDEX(Venues!$F$2:$F$17,MATCH(Z374,Venues!$A$2:$A$17,0)),0)</f>
        <v/>
      </c>
      <c r="AD374" s="15">
        <f>IFERROR(INDEX(Venues!$M$2:$M$17,MATCH(Z374,Venues!$A$2:$A$17,0)),"")</f>
        <v/>
      </c>
      <c r="AE374" s="14">
        <f>IFERROR(INDEX(Venues!$N$2:$N$17,MATCH(Z374,Venues!$A$2:$A$17,0)),"5-a-side")</f>
        <v/>
      </c>
      <c r="AF374" s="16">
        <f>IF(Offer!$C$4="","",Offer!$C$4)</f>
        <v/>
      </c>
      <c r="AG374" s="14">
        <f>Z374&amp;" ("&amp;AA374&amp;" min walk) · "&amp;IF(ISNUMBER(AD374),TEXT(AD374,"ddd d mmm, hh:mm"),"slot to confirm with venue")&amp;" · "&amp;AE374&amp;" · "&amp;IF(AF374&lt;&gt;"","£"&amp;TEXT(AF374,"0.00")&amp;" pp","price TBC")</f>
        <v/>
      </c>
      <c r="AH374" s="14">
        <f>IF(U374&lt;&gt;"",U374,IF(H374&lt;&gt;"",H374,""))</f>
        <v/>
      </c>
      <c r="AI374" s="14">
        <f>"After-work football for "&amp;F374&amp;" · "&amp;Z374&amp;", "&amp;AA374&amp;" min from your office"</f>
        <v/>
      </c>
      <c r="AJ374" s="14">
        <f>"Hi "&amp;IF(R374&lt;&gt;"",R374,F374&amp;" team")&amp;","&amp;CHAR(10)&amp;CHAR(10)&amp;"I'm "&amp;IF(AM374&lt;&gt;"",AM374,IF(Offer!$C$5&lt;&gt;"",Offer!$C$5,"[NAME]"))&amp;" from FC Urban. We organise after-work football for teams in the City and Canary Wharf."&amp;CHAR(10)&amp;CHAR(10)&amp;"We have a "&amp;AE374&amp;" pitch at "&amp;Z374&amp;", "&amp;IF(OR(AA374=8,AA374=11,AA374=18),"an ","a ")&amp;AA374&amp;"-minute walk from your "&amp;P374&amp;" office, "&amp;IF(ISNUMBER(AD374),"on "&amp;TEXT(AD374,"dddd d mmmm")&amp;" at "&amp;TEXT(AD374,"hh:mm"),"on a weekday evening that suits your team")&amp;". It's "&amp;IF(AF374&lt;&gt;"","£"&amp;IF(AF374=INT(AF374),TEXT(AF374,"0"),TEXT(AF374,"0.00")),"[PRICE PER PLAYER]")&amp;" a player and we handle the pitch booking, sign-ups and payments, so all it takes is one person sharing a link with the team."&amp;CHAR(10)&amp;CHAR(10)&amp;"It works well as a team social or "&amp;IF(ISNUMBER(SEARCH(LEFT(F374,1),"AEIOU")),"an ","a ")&amp;F374&amp;"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LINK]")&amp;CHAR(10)&amp;CHAR(10)&amp;"Best,"&amp;CHAR(10)&amp;IF(AM374&lt;&gt;"",AM374,IF(Offer!$C$5&lt;&gt;"",Offer!$C$5,"[NAME]"))&amp;CHAR(10)&amp;"FC Urban"</f>
        <v/>
      </c>
      <c r="AK374" s="14">
        <f>"Hi "&amp;IF(R374&lt;&gt;"",R374,F374&amp;" team")&amp;","&amp;CHAR(10)&amp;CHAR(10)&amp;"Just bumping this up. The "&amp;AE374&amp;" pitch at "&amp;Z374&amp;" is still free "&amp;IF(ISNUMBER(AD374),TEXT(AD374,"ddd d mmm")&amp;", "&amp;TEXT(AD374,"hh:mm"),"weekday evenings")&amp;", "&amp;IF(OR(AA374=8,AA374=11,AA374=18),"an ","a ")&amp;AA374&amp;"-minute walk from your office, "&amp;IF(AF374&lt;&gt;"","£"&amp;IF(AF374=INT(AF374),TEXT(AF374,"0"),TEXT(AF374,"0.00")),"[PRICE PER PLAYER]")&amp;" a player. Happy to hold it for "&amp;F374&amp;"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LINK]")&amp;CHAR(10)&amp;CHAR(10)&amp;"Best,"&amp;CHAR(10)&amp;IF(AM374&lt;&gt;"",AM374,IF(Offer!$C$5&lt;&gt;"",Offer!$C$5,"[NAME]"))&amp;CHAR(10)&amp;"FC Urban"</f>
        <v/>
      </c>
      <c r="AL374" s="14">
        <f>IF(AH374="","No email yet",IF(ISNUMBER(SEARCH("[",AJ374)),"Fill placeholders",IF(ISNUMBER(AD374),"Ready to send","Ready · no fixed slot")))</f>
        <v/>
      </c>
      <c r="AO374" s="17" t="n"/>
      <c r="AP374" s="17" t="n"/>
    </row>
    <row r="375">
      <c r="A375" s="11" t="n">
        <v>373</v>
      </c>
      <c r="B375" s="11" t="n">
        <v>3</v>
      </c>
      <c r="C375" s="11" t="inlineStr">
        <is>
          <t>Insurance / broker</t>
        </is>
      </c>
      <c r="D375" s="11" t="inlineStr">
        <is>
          <t>City of London</t>
        </is>
      </c>
      <c r="E375" s="11" t="inlineStr">
        <is>
          <t>White Oak Underwriting Agency Limited</t>
        </is>
      </c>
      <c r="F375" s="11" t="inlineStr">
        <is>
          <t>White Oak Underwriting Agency</t>
        </is>
      </c>
      <c r="G375" s="12" t="inlineStr">
        <is>
          <t>https://whiteoak.com</t>
        </is>
      </c>
      <c r="H375" s="11" t="inlineStr">
        <is>
          <t>contact@whiteoak.com</t>
        </is>
      </c>
      <c r="I375" s="11" t="inlineStr">
        <is>
          <t>general</t>
        </is>
      </c>
      <c r="J375" s="12" t="inlineStr">
        <is>
          <t>Open page</t>
        </is>
      </c>
      <c r="K375" s="11" t="inlineStr">
        <is>
          <t>06832820</t>
        </is>
      </c>
      <c r="L375" s="12" t="inlineStr">
        <is>
          <t>Open</t>
        </is>
      </c>
      <c r="M375" s="11" t="inlineStr">
        <is>
          <t>Full</t>
        </is>
      </c>
      <c r="N375" s="13" t="n">
        <v>39874</v>
      </c>
      <c r="O375" s="11" t="inlineStr">
        <is>
          <t>88 Leadenhall Street, London</t>
        </is>
      </c>
      <c r="P375" s="11" t="inlineStr">
        <is>
          <t>EC3A 3BP</t>
        </is>
      </c>
      <c r="Q375" s="11" t="inlineStr">
        <is>
          <t>No</t>
        </is>
      </c>
      <c r="W375" s="11" t="inlineStr">
        <is>
          <t>Liverpool St - Attlee Centre</t>
        </is>
      </c>
      <c r="X375" s="11" t="n">
        <v>11</v>
      </c>
      <c r="Y375" s="11" t="inlineStr">
        <is>
          <t>Shoreditch Powerleague (18.3)</t>
        </is>
      </c>
      <c r="Z375" s="11" t="inlineStr">
        <is>
          <t>Shoreditch Powerleague</t>
        </is>
      </c>
      <c r="AA375" s="11" t="n">
        <v>18</v>
      </c>
      <c r="AB375" s="14">
        <f>IFERROR(INDEX(Venues!$E$2:$E$17,MATCH(Z375,Venues!$A$2:$A$17,0)),"Not checked")</f>
        <v/>
      </c>
      <c r="AC375" s="14">
        <f>IFERROR(INDEX(Venues!$F$2:$F$17,MATCH(Z375,Venues!$A$2:$A$17,0)),0)</f>
        <v/>
      </c>
      <c r="AD375" s="15">
        <f>IFERROR(INDEX(Venues!$M$2:$M$17,MATCH(Z375,Venues!$A$2:$A$17,0)),"")</f>
        <v/>
      </c>
      <c r="AE375" s="14">
        <f>IFERROR(INDEX(Venues!$N$2:$N$17,MATCH(Z375,Venues!$A$2:$A$17,0)),"5-a-side")</f>
        <v/>
      </c>
      <c r="AF375" s="16">
        <f>IF(Offer!$C$4="","",Offer!$C$4)</f>
        <v/>
      </c>
      <c r="AG375" s="14">
        <f>Z375&amp;" ("&amp;AA375&amp;" min walk) · "&amp;IF(ISNUMBER(AD375),TEXT(AD375,"ddd d mmm, hh:mm"),"slot to confirm with venue")&amp;" · "&amp;AE375&amp;" · "&amp;IF(AF375&lt;&gt;"","£"&amp;TEXT(AF375,"0.00")&amp;" pp","price TBC")</f>
        <v/>
      </c>
      <c r="AH375" s="14">
        <f>IF(U375&lt;&gt;"",U375,IF(H375&lt;&gt;"",H375,""))</f>
        <v/>
      </c>
      <c r="AI375" s="14">
        <f>"After-work football for "&amp;F375&amp;" · "&amp;Z375&amp;", "&amp;AA375&amp;" min from your office"</f>
        <v/>
      </c>
      <c r="AJ375" s="14">
        <f>"Hi "&amp;IF(R375&lt;&gt;"",R375,F375&amp;" team")&amp;","&amp;CHAR(10)&amp;CHAR(10)&amp;"I'm "&amp;IF(AM375&lt;&gt;"",AM375,IF(Offer!$C$5&lt;&gt;"",Offer!$C$5,"[NAME]"))&amp;" from FC Urban. We organise after-work football for teams in the City and Canary Wharf."&amp;CHAR(10)&amp;CHAR(10)&amp;"We have a "&amp;AE375&amp;" pitch at "&amp;Z375&amp;", "&amp;IF(OR(AA375=8,AA375=11,AA375=18),"an ","a ")&amp;AA375&amp;"-minute walk from your "&amp;P375&amp;" office, "&amp;IF(ISNUMBER(AD375),"on "&amp;TEXT(AD375,"dddd d mmmm")&amp;" at "&amp;TEXT(AD375,"hh:mm"),"on a weekday evening that suits your team")&amp;". It's "&amp;IF(AF375&lt;&gt;"","£"&amp;IF(AF375=INT(AF375),TEXT(AF375,"0"),TEXT(AF375,"0.00")),"[PRICE PER PLAYER]")&amp;" a player and we handle the pitch booking, sign-ups and payments, so all it takes is one person sharing a link with the team."&amp;CHAR(10)&amp;CHAR(10)&amp;"It works well as a team social or "&amp;IF(ISNUMBER(SEARCH(LEFT(F375,1),"AEIOU")),"an ","a ")&amp;F375&amp;"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LINK]")&amp;CHAR(10)&amp;CHAR(10)&amp;"Best,"&amp;CHAR(10)&amp;IF(AM375&lt;&gt;"",AM375,IF(Offer!$C$5&lt;&gt;"",Offer!$C$5,"[NAME]"))&amp;CHAR(10)&amp;"FC Urban"</f>
        <v/>
      </c>
      <c r="AK375" s="14">
        <f>"Hi "&amp;IF(R375&lt;&gt;"",R375,F375&amp;" team")&amp;","&amp;CHAR(10)&amp;CHAR(10)&amp;"Just bumping this up. The "&amp;AE375&amp;" pitch at "&amp;Z375&amp;" is still free "&amp;IF(ISNUMBER(AD375),TEXT(AD375,"ddd d mmm")&amp;", "&amp;TEXT(AD375,"hh:mm"),"weekday evenings")&amp;", "&amp;IF(OR(AA375=8,AA375=11,AA375=18),"an ","a ")&amp;AA375&amp;"-minute walk from your office, "&amp;IF(AF375&lt;&gt;"","£"&amp;IF(AF375=INT(AF375),TEXT(AF375,"0"),TEXT(AF375,"0.00")),"[PRICE PER PLAYER]")&amp;" a player. Happy to hold it for "&amp;F375&amp;"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LINK]")&amp;CHAR(10)&amp;CHAR(10)&amp;"Best,"&amp;CHAR(10)&amp;IF(AM375&lt;&gt;"",AM375,IF(Offer!$C$5&lt;&gt;"",Offer!$C$5,"[NAME]"))&amp;CHAR(10)&amp;"FC Urban"</f>
        <v/>
      </c>
      <c r="AL375" s="14">
        <f>IF(AH375="","No email yet",IF(ISNUMBER(SEARCH("[",AJ375)),"Fill placeholders",IF(ISNUMBER(AD375),"Ready to send","Ready · no fixed slot")))</f>
        <v/>
      </c>
      <c r="AO375" s="17" t="n"/>
      <c r="AP375" s="17" t="n"/>
    </row>
    <row r="376">
      <c r="A376" s="11" t="n">
        <v>374</v>
      </c>
      <c r="B376" s="11" t="n">
        <v>3</v>
      </c>
      <c r="C376" s="11" t="inlineStr">
        <is>
          <t>Insurance / broker</t>
        </is>
      </c>
      <c r="D376" s="11" t="inlineStr">
        <is>
          <t>City of London</t>
        </is>
      </c>
      <c r="E376" s="11" t="inlineStr">
        <is>
          <t>BMG Insurance Brokers Limited</t>
        </is>
      </c>
      <c r="F376" s="11" t="inlineStr">
        <is>
          <t>BMG Insurance Brokers</t>
        </is>
      </c>
      <c r="G376" s="12" t="inlineStr">
        <is>
          <t>https://www.bmg.com</t>
        </is>
      </c>
      <c r="H376" s="11" t="inlineStr">
        <is>
          <t>info@bmg.com</t>
        </is>
      </c>
      <c r="I376" s="11" t="inlineStr">
        <is>
          <t>general</t>
        </is>
      </c>
      <c r="J376" s="12" t="inlineStr">
        <is>
          <t>Open page</t>
        </is>
      </c>
      <c r="K376" s="11" t="inlineStr">
        <is>
          <t>04791109</t>
        </is>
      </c>
      <c r="L376" s="12" t="inlineStr">
        <is>
          <t>Open</t>
        </is>
      </c>
      <c r="M376" s="11" t="inlineStr">
        <is>
          <t>Full</t>
        </is>
      </c>
      <c r="N376" s="13" t="n">
        <v>37780</v>
      </c>
      <c r="O376" s="11" t="inlineStr">
        <is>
          <t>1St Floor Landmark House, 69 Leadenhall Street, London</t>
        </is>
      </c>
      <c r="P376" s="11" t="inlineStr">
        <is>
          <t>EC3A 2BG</t>
        </is>
      </c>
      <c r="Q376" s="11" t="inlineStr">
        <is>
          <t>Yes</t>
        </is>
      </c>
      <c r="W376" s="11" t="inlineStr">
        <is>
          <t>Liverpool St - Attlee Centre</t>
        </is>
      </c>
      <c r="X376" s="11" t="n">
        <v>10</v>
      </c>
      <c r="Y376" s="11" t="inlineStr">
        <is>
          <t>Shoreditch Powerleague (18.5)</t>
        </is>
      </c>
      <c r="Z376" s="11" t="inlineStr">
        <is>
          <t>Shoreditch Powerleague</t>
        </is>
      </c>
      <c r="AA376" s="11" t="n">
        <v>18</v>
      </c>
      <c r="AB376" s="14">
        <f>IFERROR(INDEX(Venues!$E$2:$E$17,MATCH(Z376,Venues!$A$2:$A$17,0)),"Not checked")</f>
        <v/>
      </c>
      <c r="AC376" s="14">
        <f>IFERROR(INDEX(Venues!$F$2:$F$17,MATCH(Z376,Venues!$A$2:$A$17,0)),0)</f>
        <v/>
      </c>
      <c r="AD376" s="15">
        <f>IFERROR(INDEX(Venues!$M$2:$M$17,MATCH(Z376,Venues!$A$2:$A$17,0)),"")</f>
        <v/>
      </c>
      <c r="AE376" s="14">
        <f>IFERROR(INDEX(Venues!$N$2:$N$17,MATCH(Z376,Venues!$A$2:$A$17,0)),"5-a-side")</f>
        <v/>
      </c>
      <c r="AF376" s="16">
        <f>IF(Offer!$C$4="","",Offer!$C$4)</f>
        <v/>
      </c>
      <c r="AG376" s="14">
        <f>Z376&amp;" ("&amp;AA376&amp;" min walk) · "&amp;IF(ISNUMBER(AD376),TEXT(AD376,"ddd d mmm, hh:mm"),"slot to confirm with venue")&amp;" · "&amp;AE376&amp;" · "&amp;IF(AF376&lt;&gt;"","£"&amp;TEXT(AF376,"0.00")&amp;" pp","price TBC")</f>
        <v/>
      </c>
      <c r="AH376" s="14">
        <f>IF(U376&lt;&gt;"",U376,IF(H376&lt;&gt;"",H376,""))</f>
        <v/>
      </c>
      <c r="AI376" s="14">
        <f>"After-work football for "&amp;F376&amp;" · "&amp;Z376&amp;", "&amp;AA376&amp;" min from your office"</f>
        <v/>
      </c>
      <c r="AJ376" s="14">
        <f>"Hi "&amp;IF(R376&lt;&gt;"",R376,F376&amp;" team")&amp;","&amp;CHAR(10)&amp;CHAR(10)&amp;"I'm "&amp;IF(AM376&lt;&gt;"",AM376,IF(Offer!$C$5&lt;&gt;"",Offer!$C$5,"[NAME]"))&amp;" from FC Urban. We organise after-work football for teams in the City and Canary Wharf."&amp;CHAR(10)&amp;CHAR(10)&amp;"We have a "&amp;AE376&amp;" pitch at "&amp;Z376&amp;", "&amp;IF(OR(AA376=8,AA376=11,AA376=18),"an ","a ")&amp;AA376&amp;"-minute walk from your "&amp;P376&amp;" office, "&amp;IF(ISNUMBER(AD376),"on "&amp;TEXT(AD376,"dddd d mmmm")&amp;" at "&amp;TEXT(AD376,"hh:mm"),"on a weekday evening that suits your team")&amp;". It's "&amp;IF(AF376&lt;&gt;"","£"&amp;IF(AF376=INT(AF376),TEXT(AF376,"0"),TEXT(AF376,"0.00")),"[PRICE PER PLAYER]")&amp;" a player and we handle the pitch booking, sign-ups and payments, so all it takes is one person sharing a link with the team."&amp;CHAR(10)&amp;CHAR(10)&amp;"It works well as a team social or "&amp;IF(ISNUMBER(SEARCH(LEFT(F376,1),"AEIOU")),"an ","a ")&amp;F376&amp;"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LINK]")&amp;CHAR(10)&amp;CHAR(10)&amp;"Best,"&amp;CHAR(10)&amp;IF(AM376&lt;&gt;"",AM376,IF(Offer!$C$5&lt;&gt;"",Offer!$C$5,"[NAME]"))&amp;CHAR(10)&amp;"FC Urban"</f>
        <v/>
      </c>
      <c r="AK376" s="14">
        <f>"Hi "&amp;IF(R376&lt;&gt;"",R376,F376&amp;" team")&amp;","&amp;CHAR(10)&amp;CHAR(10)&amp;"Just bumping this up. The "&amp;AE376&amp;" pitch at "&amp;Z376&amp;" is still free "&amp;IF(ISNUMBER(AD376),TEXT(AD376,"ddd d mmm")&amp;", "&amp;TEXT(AD376,"hh:mm"),"weekday evenings")&amp;", "&amp;IF(OR(AA376=8,AA376=11,AA376=18),"an ","a ")&amp;AA376&amp;"-minute walk from your office, "&amp;IF(AF376&lt;&gt;"","£"&amp;IF(AF376=INT(AF376),TEXT(AF376,"0"),TEXT(AF376,"0.00")),"[PRICE PER PLAYER]")&amp;" a player. Happy to hold it for "&amp;F376&amp;"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LINK]")&amp;CHAR(10)&amp;CHAR(10)&amp;"Best,"&amp;CHAR(10)&amp;IF(AM376&lt;&gt;"",AM376,IF(Offer!$C$5&lt;&gt;"",Offer!$C$5,"[NAME]"))&amp;CHAR(10)&amp;"FC Urban"</f>
        <v/>
      </c>
      <c r="AL376" s="14">
        <f>IF(AH376="","No email yet",IF(ISNUMBER(SEARCH("[",AJ376)),"Fill placeholders",IF(ISNUMBER(AD376),"Ready to send","Ready · no fixed slot")))</f>
        <v/>
      </c>
      <c r="AO376" s="17" t="n"/>
      <c r="AP376" s="17" t="n"/>
    </row>
    <row r="377">
      <c r="A377" s="11" t="n">
        <v>375</v>
      </c>
      <c r="B377" s="11" t="n">
        <v>3</v>
      </c>
      <c r="C377" s="11" t="inlineStr">
        <is>
          <t>Insurance / broker</t>
        </is>
      </c>
      <c r="D377" s="11" t="inlineStr">
        <is>
          <t>City of London</t>
        </is>
      </c>
      <c r="E377" s="11" t="inlineStr">
        <is>
          <t>Sanctuary Insurance Brokers Limited</t>
        </is>
      </c>
      <c r="F377" s="11" t="inlineStr">
        <is>
          <t>Sanctuary Insurance Brokers</t>
        </is>
      </c>
      <c r="G377" s="12" t="inlineStr">
        <is>
          <t>https://uk.sanctuary.com</t>
        </is>
      </c>
      <c r="H377" s="11" t="inlineStr">
        <is>
          <t>info.uk@sanctuary.com</t>
        </is>
      </c>
      <c r="I377" s="11" t="inlineStr">
        <is>
          <t>general</t>
        </is>
      </c>
      <c r="J377" s="12" t="inlineStr">
        <is>
          <t>Open page</t>
        </is>
      </c>
      <c r="K377" s="11" t="inlineStr">
        <is>
          <t>05050608</t>
        </is>
      </c>
      <c r="L377" s="12" t="inlineStr">
        <is>
          <t>Open</t>
        </is>
      </c>
      <c r="M377" s="11" t="inlineStr">
        <is>
          <t>Full</t>
        </is>
      </c>
      <c r="N377" s="13" t="n">
        <v>38037</v>
      </c>
      <c r="O377" s="11" t="inlineStr">
        <is>
          <t>1St Floor, Landmark House, 69 Leadenhall Street, London</t>
        </is>
      </c>
      <c r="P377" s="11" t="inlineStr">
        <is>
          <t>EC3A 2BG</t>
        </is>
      </c>
      <c r="Q377" s="11" t="inlineStr">
        <is>
          <t>Yes</t>
        </is>
      </c>
      <c r="W377" s="11" t="inlineStr">
        <is>
          <t>Liverpool St - Attlee Centre</t>
        </is>
      </c>
      <c r="X377" s="11" t="n">
        <v>10</v>
      </c>
      <c r="Y377" s="11" t="inlineStr">
        <is>
          <t>Shoreditch Powerleague (18.5)</t>
        </is>
      </c>
      <c r="Z377" s="11" t="inlineStr">
        <is>
          <t>Shoreditch Powerleague</t>
        </is>
      </c>
      <c r="AA377" s="11" t="n">
        <v>18</v>
      </c>
      <c r="AB377" s="14">
        <f>IFERROR(INDEX(Venues!$E$2:$E$17,MATCH(Z377,Venues!$A$2:$A$17,0)),"Not checked")</f>
        <v/>
      </c>
      <c r="AC377" s="14">
        <f>IFERROR(INDEX(Venues!$F$2:$F$17,MATCH(Z377,Venues!$A$2:$A$17,0)),0)</f>
        <v/>
      </c>
      <c r="AD377" s="15">
        <f>IFERROR(INDEX(Venues!$M$2:$M$17,MATCH(Z377,Venues!$A$2:$A$17,0)),"")</f>
        <v/>
      </c>
      <c r="AE377" s="14">
        <f>IFERROR(INDEX(Venues!$N$2:$N$17,MATCH(Z377,Venues!$A$2:$A$17,0)),"5-a-side")</f>
        <v/>
      </c>
      <c r="AF377" s="16">
        <f>IF(Offer!$C$4="","",Offer!$C$4)</f>
        <v/>
      </c>
      <c r="AG377" s="14">
        <f>Z377&amp;" ("&amp;AA377&amp;" min walk) · "&amp;IF(ISNUMBER(AD377),TEXT(AD377,"ddd d mmm, hh:mm"),"slot to confirm with venue")&amp;" · "&amp;AE377&amp;" · "&amp;IF(AF377&lt;&gt;"","£"&amp;TEXT(AF377,"0.00")&amp;" pp","price TBC")</f>
        <v/>
      </c>
      <c r="AH377" s="14">
        <f>IF(U377&lt;&gt;"",U377,IF(H377&lt;&gt;"",H377,""))</f>
        <v/>
      </c>
      <c r="AI377" s="14">
        <f>"After-work football for "&amp;F377&amp;" · "&amp;Z377&amp;", "&amp;AA377&amp;" min from your office"</f>
        <v/>
      </c>
      <c r="AJ377" s="14">
        <f>"Hi "&amp;IF(R377&lt;&gt;"",R377,F377&amp;" team")&amp;","&amp;CHAR(10)&amp;CHAR(10)&amp;"I'm "&amp;IF(AM377&lt;&gt;"",AM377,IF(Offer!$C$5&lt;&gt;"",Offer!$C$5,"[NAME]"))&amp;" from FC Urban. We organise after-work football for teams in the City and Canary Wharf."&amp;CHAR(10)&amp;CHAR(10)&amp;"We have a "&amp;AE377&amp;" pitch at "&amp;Z377&amp;", "&amp;IF(OR(AA377=8,AA377=11,AA377=18),"an ","a ")&amp;AA377&amp;"-minute walk from your "&amp;P377&amp;" office, "&amp;IF(ISNUMBER(AD377),"on "&amp;TEXT(AD377,"dddd d mmmm")&amp;" at "&amp;TEXT(AD377,"hh:mm"),"on a weekday evening that suits your team")&amp;". It's "&amp;IF(AF377&lt;&gt;"","£"&amp;IF(AF377=INT(AF377),TEXT(AF377,"0"),TEXT(AF377,"0.00")),"[PRICE PER PLAYER]")&amp;" a player and we handle the pitch booking, sign-ups and payments, so all it takes is one person sharing a link with the team."&amp;CHAR(10)&amp;CHAR(10)&amp;"It works well as a team social or "&amp;IF(ISNUMBER(SEARCH(LEFT(F377,1),"AEIOU")),"an ","a ")&amp;F377&amp;"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LINK]")&amp;CHAR(10)&amp;CHAR(10)&amp;"Best,"&amp;CHAR(10)&amp;IF(AM377&lt;&gt;"",AM377,IF(Offer!$C$5&lt;&gt;"",Offer!$C$5,"[NAME]"))&amp;CHAR(10)&amp;"FC Urban"</f>
        <v/>
      </c>
      <c r="AK377" s="14">
        <f>"Hi "&amp;IF(R377&lt;&gt;"",R377,F377&amp;" team")&amp;","&amp;CHAR(10)&amp;CHAR(10)&amp;"Just bumping this up. The "&amp;AE377&amp;" pitch at "&amp;Z377&amp;" is still free "&amp;IF(ISNUMBER(AD377),TEXT(AD377,"ddd d mmm")&amp;", "&amp;TEXT(AD377,"hh:mm"),"weekday evenings")&amp;", "&amp;IF(OR(AA377=8,AA377=11,AA377=18),"an ","a ")&amp;AA377&amp;"-minute walk from your office, "&amp;IF(AF377&lt;&gt;"","£"&amp;IF(AF377=INT(AF377),TEXT(AF377,"0"),TEXT(AF377,"0.00")),"[PRICE PER PLAYER]")&amp;" a player. Happy to hold it for "&amp;F377&amp;"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LINK]")&amp;CHAR(10)&amp;CHAR(10)&amp;"Best,"&amp;CHAR(10)&amp;IF(AM377&lt;&gt;"",AM377,IF(Offer!$C$5&lt;&gt;"",Offer!$C$5,"[NAME]"))&amp;CHAR(10)&amp;"FC Urban"</f>
        <v/>
      </c>
      <c r="AL377" s="14">
        <f>IF(AH377="","No email yet",IF(ISNUMBER(SEARCH("[",AJ377)),"Fill placeholders",IF(ISNUMBER(AD377),"Ready to send","Ready · no fixed slot")))</f>
        <v/>
      </c>
      <c r="AO377" s="17" t="n"/>
      <c r="AP377" s="17" t="n"/>
    </row>
    <row r="378">
      <c r="A378" s="11" t="n">
        <v>376</v>
      </c>
      <c r="B378" s="11" t="n">
        <v>3</v>
      </c>
      <c r="C378" s="11" t="inlineStr">
        <is>
          <t>Insurance / broker</t>
        </is>
      </c>
      <c r="D378" s="11" t="inlineStr">
        <is>
          <t>City of London</t>
        </is>
      </c>
      <c r="E378" s="11" t="inlineStr">
        <is>
          <t>Acrisure London Wholesale Limited</t>
        </is>
      </c>
      <c r="F378" s="11" t="inlineStr">
        <is>
          <t>Acrisure London Wholesale</t>
        </is>
      </c>
      <c r="G378" s="12" t="inlineStr">
        <is>
          <t>https://www.acrisure.com</t>
        </is>
      </c>
      <c r="H378" s="11" t="inlineStr">
        <is>
          <t>info-pl@acrisure.com</t>
        </is>
      </c>
      <c r="I378" s="11" t="inlineStr">
        <is>
          <t>general</t>
        </is>
      </c>
      <c r="J378" s="12" t="inlineStr">
        <is>
          <t>Open page</t>
        </is>
      </c>
      <c r="K378" s="11" t="inlineStr">
        <is>
          <t>12038556</t>
        </is>
      </c>
      <c r="L378" s="12" t="inlineStr">
        <is>
          <t>Open</t>
        </is>
      </c>
      <c r="M378" s="11" t="inlineStr">
        <is>
          <t>Full</t>
        </is>
      </c>
      <c r="N378" s="13" t="n">
        <v>43623</v>
      </c>
      <c r="O378" s="11" t="inlineStr">
        <is>
          <t>9Th Floor, 40 Leadenhall Street, London</t>
        </is>
      </c>
      <c r="P378" s="11" t="inlineStr">
        <is>
          <t>EC3A 2BJ</t>
        </is>
      </c>
      <c r="Q378" s="11" t="inlineStr">
        <is>
          <t>No</t>
        </is>
      </c>
      <c r="W378" s="11" t="inlineStr">
        <is>
          <t>Liverpool St - Attlee Centre</t>
        </is>
      </c>
      <c r="X378" s="11" t="n">
        <v>11</v>
      </c>
      <c r="Y378" s="11" t="inlineStr">
        <is>
          <t>Shoreditch Powerleague (18.7)</t>
        </is>
      </c>
      <c r="Z378" s="11" t="inlineStr">
        <is>
          <t>Shoreditch Powerleague</t>
        </is>
      </c>
      <c r="AA378" s="11" t="n">
        <v>19</v>
      </c>
      <c r="AB378" s="14">
        <f>IFERROR(INDEX(Venues!$E$2:$E$17,MATCH(Z378,Venues!$A$2:$A$17,0)),"Not checked")</f>
        <v/>
      </c>
      <c r="AC378" s="14">
        <f>IFERROR(INDEX(Venues!$F$2:$F$17,MATCH(Z378,Venues!$A$2:$A$17,0)),0)</f>
        <v/>
      </c>
      <c r="AD378" s="15">
        <f>IFERROR(INDEX(Venues!$M$2:$M$17,MATCH(Z378,Venues!$A$2:$A$17,0)),"")</f>
        <v/>
      </c>
      <c r="AE378" s="14">
        <f>IFERROR(INDEX(Venues!$N$2:$N$17,MATCH(Z378,Venues!$A$2:$A$17,0)),"5-a-side")</f>
        <v/>
      </c>
      <c r="AF378" s="16">
        <f>IF(Offer!$C$4="","",Offer!$C$4)</f>
        <v/>
      </c>
      <c r="AG378" s="14">
        <f>Z378&amp;" ("&amp;AA378&amp;" min walk) · "&amp;IF(ISNUMBER(AD378),TEXT(AD378,"ddd d mmm, hh:mm"),"slot to confirm with venue")&amp;" · "&amp;AE378&amp;" · "&amp;IF(AF378&lt;&gt;"","£"&amp;TEXT(AF378,"0.00")&amp;" pp","price TBC")</f>
        <v/>
      </c>
      <c r="AH378" s="14">
        <f>IF(U378&lt;&gt;"",U378,IF(H378&lt;&gt;"",H378,""))</f>
        <v/>
      </c>
      <c r="AI378" s="14">
        <f>"After-work football for "&amp;F378&amp;" · "&amp;Z378&amp;", "&amp;AA378&amp;" min from your office"</f>
        <v/>
      </c>
      <c r="AJ378" s="14">
        <f>"Hi "&amp;IF(R378&lt;&gt;"",R378,F378&amp;" team")&amp;","&amp;CHAR(10)&amp;CHAR(10)&amp;"I'm "&amp;IF(AM378&lt;&gt;"",AM378,IF(Offer!$C$5&lt;&gt;"",Offer!$C$5,"[NAME]"))&amp;" from FC Urban. We organise after-work football for teams in the City and Canary Wharf."&amp;CHAR(10)&amp;CHAR(10)&amp;"We have a "&amp;AE378&amp;" pitch at "&amp;Z378&amp;", "&amp;IF(OR(AA378=8,AA378=11,AA378=18),"an ","a ")&amp;AA378&amp;"-minute walk from your "&amp;P378&amp;" office, "&amp;IF(ISNUMBER(AD378),"on "&amp;TEXT(AD378,"dddd d mmmm")&amp;" at "&amp;TEXT(AD378,"hh:mm"),"on a weekday evening that suits your team")&amp;". It's "&amp;IF(AF378&lt;&gt;"","£"&amp;IF(AF378=INT(AF378),TEXT(AF378,"0"),TEXT(AF378,"0.00")),"[PRICE PER PLAYER]")&amp;" a player and we handle the pitch booking, sign-ups and payments, so all it takes is one person sharing a link with the team."&amp;CHAR(10)&amp;CHAR(10)&amp;"It works well as a team social or "&amp;IF(ISNUMBER(SEARCH(LEFT(F378,1),"AEIOU")),"an ","a ")&amp;F378&amp;"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LINK]")&amp;CHAR(10)&amp;CHAR(10)&amp;"Best,"&amp;CHAR(10)&amp;IF(AM378&lt;&gt;"",AM378,IF(Offer!$C$5&lt;&gt;"",Offer!$C$5,"[NAME]"))&amp;CHAR(10)&amp;"FC Urban"</f>
        <v/>
      </c>
      <c r="AK378" s="14">
        <f>"Hi "&amp;IF(R378&lt;&gt;"",R378,F378&amp;" team")&amp;","&amp;CHAR(10)&amp;CHAR(10)&amp;"Just bumping this up. The "&amp;AE378&amp;" pitch at "&amp;Z378&amp;" is still free "&amp;IF(ISNUMBER(AD378),TEXT(AD378,"ddd d mmm")&amp;", "&amp;TEXT(AD378,"hh:mm"),"weekday evenings")&amp;", "&amp;IF(OR(AA378=8,AA378=11,AA378=18),"an ","a ")&amp;AA378&amp;"-minute walk from your office, "&amp;IF(AF378&lt;&gt;"","£"&amp;IF(AF378=INT(AF378),TEXT(AF378,"0"),TEXT(AF378,"0.00")),"[PRICE PER PLAYER]")&amp;" a player. Happy to hold it for "&amp;F378&amp;"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LINK]")&amp;CHAR(10)&amp;CHAR(10)&amp;"Best,"&amp;CHAR(10)&amp;IF(AM378&lt;&gt;"",AM378,IF(Offer!$C$5&lt;&gt;"",Offer!$C$5,"[NAME]"))&amp;CHAR(10)&amp;"FC Urban"</f>
        <v/>
      </c>
      <c r="AL378" s="14">
        <f>IF(AH378="","No email yet",IF(ISNUMBER(SEARCH("[",AJ378)),"Fill placeholders",IF(ISNUMBER(AD378),"Ready to send","Ready · no fixed slot")))</f>
        <v/>
      </c>
      <c r="AO378" s="17" t="n"/>
      <c r="AP378" s="17" t="n"/>
    </row>
    <row r="379">
      <c r="A379" s="11" t="n">
        <v>377</v>
      </c>
      <c r="B379" s="11" t="n">
        <v>3</v>
      </c>
      <c r="C379" s="11" t="inlineStr">
        <is>
          <t>Insurance / broker</t>
        </is>
      </c>
      <c r="D379" s="11" t="inlineStr">
        <is>
          <t>City of London</t>
        </is>
      </c>
      <c r="E379" s="11" t="inlineStr">
        <is>
          <t>Alcor Underwriting London Limited</t>
        </is>
      </c>
      <c r="F379" s="11" t="inlineStr">
        <is>
          <t>Alcor Underwriting London</t>
        </is>
      </c>
      <c r="G379" s="12" t="inlineStr">
        <is>
          <t>https://alcor.com</t>
        </is>
      </c>
      <c r="H379" s="11" t="inlineStr">
        <is>
          <t>uk@alcor.com</t>
        </is>
      </c>
      <c r="I379" s="11" t="inlineStr">
        <is>
          <t>general</t>
        </is>
      </c>
      <c r="J379" s="12" t="inlineStr">
        <is>
          <t>Open page</t>
        </is>
      </c>
      <c r="K379" s="11" t="inlineStr">
        <is>
          <t>12663118</t>
        </is>
      </c>
      <c r="L379" s="12" t="inlineStr">
        <is>
          <t>Open</t>
        </is>
      </c>
      <c r="M379" s="11" t="inlineStr">
        <is>
          <t>Full</t>
        </is>
      </c>
      <c r="N379" s="13" t="n">
        <v>43993</v>
      </c>
      <c r="O379" s="11" t="inlineStr">
        <is>
          <t>The Hallmark Building, 2Nd Floor, 52-56 Leadenhall Street, London</t>
        </is>
      </c>
      <c r="P379" s="11" t="inlineStr">
        <is>
          <t>EC3A 2BJ</t>
        </is>
      </c>
      <c r="Q379" s="11" t="inlineStr">
        <is>
          <t>No</t>
        </is>
      </c>
      <c r="W379" s="11" t="inlineStr">
        <is>
          <t>Liverpool St - Attlee Centre</t>
        </is>
      </c>
      <c r="X379" s="11" t="n">
        <v>11</v>
      </c>
      <c r="Y379" s="11" t="inlineStr">
        <is>
          <t>Shoreditch Powerleague (18.7)</t>
        </is>
      </c>
      <c r="Z379" s="11" t="inlineStr">
        <is>
          <t>Shoreditch Powerleague</t>
        </is>
      </c>
      <c r="AA379" s="11" t="n">
        <v>19</v>
      </c>
      <c r="AB379" s="14">
        <f>IFERROR(INDEX(Venues!$E$2:$E$17,MATCH(Z379,Venues!$A$2:$A$17,0)),"Not checked")</f>
        <v/>
      </c>
      <c r="AC379" s="14">
        <f>IFERROR(INDEX(Venues!$F$2:$F$17,MATCH(Z379,Venues!$A$2:$A$17,0)),0)</f>
        <v/>
      </c>
      <c r="AD379" s="15">
        <f>IFERROR(INDEX(Venues!$M$2:$M$17,MATCH(Z379,Venues!$A$2:$A$17,0)),"")</f>
        <v/>
      </c>
      <c r="AE379" s="14">
        <f>IFERROR(INDEX(Venues!$N$2:$N$17,MATCH(Z379,Venues!$A$2:$A$17,0)),"5-a-side")</f>
        <v/>
      </c>
      <c r="AF379" s="16">
        <f>IF(Offer!$C$4="","",Offer!$C$4)</f>
        <v/>
      </c>
      <c r="AG379" s="14">
        <f>Z379&amp;" ("&amp;AA379&amp;" min walk) · "&amp;IF(ISNUMBER(AD379),TEXT(AD379,"ddd d mmm, hh:mm"),"slot to confirm with venue")&amp;" · "&amp;AE379&amp;" · "&amp;IF(AF379&lt;&gt;"","£"&amp;TEXT(AF379,"0.00")&amp;" pp","price TBC")</f>
        <v/>
      </c>
      <c r="AH379" s="14">
        <f>IF(U379&lt;&gt;"",U379,IF(H379&lt;&gt;"",H379,""))</f>
        <v/>
      </c>
      <c r="AI379" s="14">
        <f>"After-work football for "&amp;F379&amp;" · "&amp;Z379&amp;", "&amp;AA379&amp;" min from your office"</f>
        <v/>
      </c>
      <c r="AJ379" s="14">
        <f>"Hi "&amp;IF(R379&lt;&gt;"",R379,F379&amp;" team")&amp;","&amp;CHAR(10)&amp;CHAR(10)&amp;"I'm "&amp;IF(AM379&lt;&gt;"",AM379,IF(Offer!$C$5&lt;&gt;"",Offer!$C$5,"[NAME]"))&amp;" from FC Urban. We organise after-work football for teams in the City and Canary Wharf."&amp;CHAR(10)&amp;CHAR(10)&amp;"We have a "&amp;AE379&amp;" pitch at "&amp;Z379&amp;", "&amp;IF(OR(AA379=8,AA379=11,AA379=18),"an ","a ")&amp;AA379&amp;"-minute walk from your "&amp;P379&amp;" office, "&amp;IF(ISNUMBER(AD379),"on "&amp;TEXT(AD379,"dddd d mmmm")&amp;" at "&amp;TEXT(AD379,"hh:mm"),"on a weekday evening that suits your team")&amp;". It's "&amp;IF(AF379&lt;&gt;"","£"&amp;IF(AF379=INT(AF379),TEXT(AF379,"0"),TEXT(AF379,"0.00")),"[PRICE PER PLAYER]")&amp;" a player and we handle the pitch booking, sign-ups and payments, so all it takes is one person sharing a link with the team."&amp;CHAR(10)&amp;CHAR(10)&amp;"It works well as a team social or "&amp;IF(ISNUMBER(SEARCH(LEFT(F379,1),"AEIOU")),"an ","a ")&amp;F379&amp;"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LINK]")&amp;CHAR(10)&amp;CHAR(10)&amp;"Best,"&amp;CHAR(10)&amp;IF(AM379&lt;&gt;"",AM379,IF(Offer!$C$5&lt;&gt;"",Offer!$C$5,"[NAME]"))&amp;CHAR(10)&amp;"FC Urban"</f>
        <v/>
      </c>
      <c r="AK379" s="14">
        <f>"Hi "&amp;IF(R379&lt;&gt;"",R379,F379&amp;" team")&amp;","&amp;CHAR(10)&amp;CHAR(10)&amp;"Just bumping this up. The "&amp;AE379&amp;" pitch at "&amp;Z379&amp;" is still free "&amp;IF(ISNUMBER(AD379),TEXT(AD379,"ddd d mmm")&amp;", "&amp;TEXT(AD379,"hh:mm"),"weekday evenings")&amp;", "&amp;IF(OR(AA379=8,AA379=11,AA379=18),"an ","a ")&amp;AA379&amp;"-minute walk from your office, "&amp;IF(AF379&lt;&gt;"","£"&amp;IF(AF379=INT(AF379),TEXT(AF379,"0"),TEXT(AF379,"0.00")),"[PRICE PER PLAYER]")&amp;" a player. Happy to hold it for "&amp;F379&amp;"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LINK]")&amp;CHAR(10)&amp;CHAR(10)&amp;"Best,"&amp;CHAR(10)&amp;IF(AM379&lt;&gt;"",AM379,IF(Offer!$C$5&lt;&gt;"",Offer!$C$5,"[NAME]"))&amp;CHAR(10)&amp;"FC Urban"</f>
        <v/>
      </c>
      <c r="AL379" s="14">
        <f>IF(AH379="","No email yet",IF(ISNUMBER(SEARCH("[",AJ379)),"Fill placeholders",IF(ISNUMBER(AD379),"Ready to send","Ready · no fixed slot")))</f>
        <v/>
      </c>
      <c r="AO379" s="17" t="n"/>
      <c r="AP379" s="17" t="n"/>
    </row>
    <row r="380">
      <c r="A380" s="11" t="n">
        <v>378</v>
      </c>
      <c r="B380" s="11" t="n">
        <v>3</v>
      </c>
      <c r="C380" s="11" t="inlineStr">
        <is>
          <t>Insurance / broker</t>
        </is>
      </c>
      <c r="D380" s="11" t="inlineStr">
        <is>
          <t>City of London</t>
        </is>
      </c>
      <c r="E380" s="11" t="inlineStr">
        <is>
          <t>AmWINS Global Risks Limited</t>
        </is>
      </c>
      <c r="F380" s="11" t="inlineStr">
        <is>
          <t>AmWINS Global Risks</t>
        </is>
      </c>
      <c r="G380" s="12" t="inlineStr">
        <is>
          <t>https://www.amwins.com</t>
        </is>
      </c>
      <c r="H380" s="11" t="inlineStr">
        <is>
          <t>agr.dpo@amwins.com</t>
        </is>
      </c>
      <c r="I380" s="11" t="inlineStr">
        <is>
          <t>named person</t>
        </is>
      </c>
      <c r="J380" s="12" t="inlineStr">
        <is>
          <t>Open page</t>
        </is>
      </c>
      <c r="K380" s="11" t="inlineStr">
        <is>
          <t>00929224</t>
        </is>
      </c>
      <c r="L380" s="12" t="inlineStr">
        <is>
          <t>Open</t>
        </is>
      </c>
      <c r="M380" s="11" t="inlineStr">
        <is>
          <t>Full</t>
        </is>
      </c>
      <c r="N380" s="13" t="n">
        <v>24918</v>
      </c>
      <c r="O380" s="11" t="inlineStr">
        <is>
          <t>22 Bishopsgate, London</t>
        </is>
      </c>
      <c r="P380" s="11" t="inlineStr">
        <is>
          <t>EC2N 4BQ</t>
        </is>
      </c>
      <c r="Q380" s="11" t="inlineStr">
        <is>
          <t>No</t>
        </is>
      </c>
      <c r="W380" s="11" t="inlineStr">
        <is>
          <t>Liverpool St - Attlee Centre</t>
        </is>
      </c>
      <c r="X380" s="11" t="n">
        <v>14</v>
      </c>
      <c r="Y380" s="11" t="inlineStr">
        <is>
          <t>City of London School (EC4V 3AL) (18.7); Shoreditch Powerleague (18.7)</t>
        </is>
      </c>
      <c r="Z380" s="11" t="inlineStr">
        <is>
          <t>City of London School (EC4V 3AL)</t>
        </is>
      </c>
      <c r="AA380" s="11" t="n">
        <v>19</v>
      </c>
      <c r="AB380" s="14">
        <f>IFERROR(INDEX(Venues!$E$2:$E$17,MATCH(Z380,Venues!$A$2:$A$17,0)),"Not checked")</f>
        <v/>
      </c>
      <c r="AC380" s="14">
        <f>IFERROR(INDEX(Venues!$F$2:$F$17,MATCH(Z380,Venues!$A$2:$A$17,0)),0)</f>
        <v/>
      </c>
      <c r="AD380" s="15">
        <f>IFERROR(INDEX(Venues!$M$2:$M$17,MATCH(Z380,Venues!$A$2:$A$17,0)),"")</f>
        <v/>
      </c>
      <c r="AE380" s="14">
        <f>IFERROR(INDEX(Venues!$N$2:$N$17,MATCH(Z380,Venues!$A$2:$A$17,0)),"5-a-side")</f>
        <v/>
      </c>
      <c r="AF380" s="16">
        <f>IF(Offer!$C$4="","",Offer!$C$4)</f>
        <v/>
      </c>
      <c r="AG380" s="14">
        <f>Z380&amp;" ("&amp;AA380&amp;" min walk) · "&amp;IF(ISNUMBER(AD380),TEXT(AD380,"ddd d mmm, hh:mm"),"slot to confirm with venue")&amp;" · "&amp;AE380&amp;" · "&amp;IF(AF380&lt;&gt;"","£"&amp;TEXT(AF380,"0.00")&amp;" pp","price TBC")</f>
        <v/>
      </c>
      <c r="AH380" s="14">
        <f>IF(U380&lt;&gt;"",U380,IF(H380&lt;&gt;"",H380,""))</f>
        <v/>
      </c>
      <c r="AI380" s="14">
        <f>"After-work football for "&amp;F380&amp;" · "&amp;Z380&amp;", "&amp;AA380&amp;" min from your office"</f>
        <v/>
      </c>
      <c r="AJ380" s="14">
        <f>"Hi "&amp;IF(R380&lt;&gt;"",R380,F380&amp;" team")&amp;","&amp;CHAR(10)&amp;CHAR(10)&amp;"I'm "&amp;IF(AM380&lt;&gt;"",AM380,IF(Offer!$C$5&lt;&gt;"",Offer!$C$5,"[NAME]"))&amp;" from FC Urban. We organise after-work football for teams in the City and Canary Wharf."&amp;CHAR(10)&amp;CHAR(10)&amp;"We have a "&amp;AE380&amp;" pitch at "&amp;Z380&amp;", "&amp;IF(OR(AA380=8,AA380=11,AA380=18),"an ","a ")&amp;AA380&amp;"-minute walk from your "&amp;P380&amp;" office, "&amp;IF(ISNUMBER(AD380),"on "&amp;TEXT(AD380,"dddd d mmmm")&amp;" at "&amp;TEXT(AD380,"hh:mm"),"on a weekday evening that suits your team")&amp;". It's "&amp;IF(AF380&lt;&gt;"","£"&amp;IF(AF380=INT(AF380),TEXT(AF380,"0"),TEXT(AF380,"0.00")),"[PRICE PER PLAYER]")&amp;" a player and we handle the pitch booking, sign-ups and payments, so all it takes is one person sharing a link with the team."&amp;CHAR(10)&amp;CHAR(10)&amp;"It works well as a team social or "&amp;IF(ISNUMBER(SEARCH(LEFT(F380,1),"AEIOU")),"an ","a ")&amp;F380&amp;"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LINK]")&amp;CHAR(10)&amp;CHAR(10)&amp;"Best,"&amp;CHAR(10)&amp;IF(AM380&lt;&gt;"",AM380,IF(Offer!$C$5&lt;&gt;"",Offer!$C$5,"[NAME]"))&amp;CHAR(10)&amp;"FC Urban"</f>
        <v/>
      </c>
      <c r="AK380" s="14">
        <f>"Hi "&amp;IF(R380&lt;&gt;"",R380,F380&amp;" team")&amp;","&amp;CHAR(10)&amp;CHAR(10)&amp;"Just bumping this up. The "&amp;AE380&amp;" pitch at "&amp;Z380&amp;" is still free "&amp;IF(ISNUMBER(AD380),TEXT(AD380,"ddd d mmm")&amp;", "&amp;TEXT(AD380,"hh:mm"),"weekday evenings")&amp;", "&amp;IF(OR(AA380=8,AA380=11,AA380=18),"an ","a ")&amp;AA380&amp;"-minute walk from your office, "&amp;IF(AF380&lt;&gt;"","£"&amp;IF(AF380=INT(AF380),TEXT(AF380,"0"),TEXT(AF380,"0.00")),"[PRICE PER PLAYER]")&amp;" a player. Happy to hold it for "&amp;F380&amp;"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LINK]")&amp;CHAR(10)&amp;CHAR(10)&amp;"Best,"&amp;CHAR(10)&amp;IF(AM380&lt;&gt;"",AM380,IF(Offer!$C$5&lt;&gt;"",Offer!$C$5,"[NAME]"))&amp;CHAR(10)&amp;"FC Urban"</f>
        <v/>
      </c>
      <c r="AL380" s="14">
        <f>IF(AH380="","No email yet",IF(ISNUMBER(SEARCH("[",AJ380)),"Fill placeholders",IF(ISNUMBER(AD380),"Ready to send","Ready · no fixed slot")))</f>
        <v/>
      </c>
      <c r="AO380" s="17" t="n"/>
      <c r="AP380" s="17" t="n"/>
    </row>
    <row r="381">
      <c r="A381" s="11" t="n">
        <v>379</v>
      </c>
      <c r="B381" s="11" t="n">
        <v>3</v>
      </c>
      <c r="C381" s="11" t="inlineStr">
        <is>
          <t>Insurance / broker</t>
        </is>
      </c>
      <c r="D381" s="11" t="inlineStr">
        <is>
          <t>City of London</t>
        </is>
      </c>
      <c r="E381" s="11" t="inlineStr">
        <is>
          <t>Brace Underwriting Limited</t>
        </is>
      </c>
      <c r="F381" s="11" t="inlineStr">
        <is>
          <t>Brace Underwriting</t>
        </is>
      </c>
      <c r="G381" s="12" t="inlineStr">
        <is>
          <t>https://brace.co.uk</t>
        </is>
      </c>
      <c r="H381" s="11" t="inlineStr">
        <is>
          <t>hello@brace.co.uk</t>
        </is>
      </c>
      <c r="I381" s="11" t="inlineStr">
        <is>
          <t>general</t>
        </is>
      </c>
      <c r="J381" s="12" t="inlineStr">
        <is>
          <t>Open page</t>
        </is>
      </c>
      <c r="K381" s="11" t="inlineStr">
        <is>
          <t>12157605</t>
        </is>
      </c>
      <c r="L381" s="12" t="inlineStr">
        <is>
          <t>Open</t>
        </is>
      </c>
      <c r="M381" s="11" t="inlineStr">
        <is>
          <t>Full</t>
        </is>
      </c>
      <c r="N381" s="13" t="n">
        <v>43692</v>
      </c>
      <c r="O381" s="11" t="inlineStr">
        <is>
          <t>The Hallmark Building, 2Nd Floor, 52-56 Leadenhall Street, London</t>
        </is>
      </c>
      <c r="P381" s="11" t="inlineStr">
        <is>
          <t>EC3A 2BJ</t>
        </is>
      </c>
      <c r="Q381" s="11" t="inlineStr">
        <is>
          <t>No</t>
        </is>
      </c>
      <c r="W381" s="11" t="inlineStr">
        <is>
          <t>Liverpool St - Attlee Centre</t>
        </is>
      </c>
      <c r="X381" s="11" t="n">
        <v>11</v>
      </c>
      <c r="Y381" s="11" t="inlineStr">
        <is>
          <t>Shoreditch Powerleague (18.7)</t>
        </is>
      </c>
      <c r="Z381" s="11" t="inlineStr">
        <is>
          <t>Shoreditch Powerleague</t>
        </is>
      </c>
      <c r="AA381" s="11" t="n">
        <v>19</v>
      </c>
      <c r="AB381" s="14">
        <f>IFERROR(INDEX(Venues!$E$2:$E$17,MATCH(Z381,Venues!$A$2:$A$17,0)),"Not checked")</f>
        <v/>
      </c>
      <c r="AC381" s="14">
        <f>IFERROR(INDEX(Venues!$F$2:$F$17,MATCH(Z381,Venues!$A$2:$A$17,0)),0)</f>
        <v/>
      </c>
      <c r="AD381" s="15">
        <f>IFERROR(INDEX(Venues!$M$2:$M$17,MATCH(Z381,Venues!$A$2:$A$17,0)),"")</f>
        <v/>
      </c>
      <c r="AE381" s="14">
        <f>IFERROR(INDEX(Venues!$N$2:$N$17,MATCH(Z381,Venues!$A$2:$A$17,0)),"5-a-side")</f>
        <v/>
      </c>
      <c r="AF381" s="16">
        <f>IF(Offer!$C$4="","",Offer!$C$4)</f>
        <v/>
      </c>
      <c r="AG381" s="14">
        <f>Z381&amp;" ("&amp;AA381&amp;" min walk) · "&amp;IF(ISNUMBER(AD381),TEXT(AD381,"ddd d mmm, hh:mm"),"slot to confirm with venue")&amp;" · "&amp;AE381&amp;" · "&amp;IF(AF381&lt;&gt;"","£"&amp;TEXT(AF381,"0.00")&amp;" pp","price TBC")</f>
        <v/>
      </c>
      <c r="AH381" s="14">
        <f>IF(U381&lt;&gt;"",U381,IF(H381&lt;&gt;"",H381,""))</f>
        <v/>
      </c>
      <c r="AI381" s="14">
        <f>"After-work football for "&amp;F381&amp;" · "&amp;Z381&amp;", "&amp;AA381&amp;" min from your office"</f>
        <v/>
      </c>
      <c r="AJ381" s="14">
        <f>"Hi "&amp;IF(R381&lt;&gt;"",R381,F381&amp;" team")&amp;","&amp;CHAR(10)&amp;CHAR(10)&amp;"I'm "&amp;IF(AM381&lt;&gt;"",AM381,IF(Offer!$C$5&lt;&gt;"",Offer!$C$5,"[NAME]"))&amp;" from FC Urban. We organise after-work football for teams in the City and Canary Wharf."&amp;CHAR(10)&amp;CHAR(10)&amp;"We have a "&amp;AE381&amp;" pitch at "&amp;Z381&amp;", "&amp;IF(OR(AA381=8,AA381=11,AA381=18),"an ","a ")&amp;AA381&amp;"-minute walk from your "&amp;P381&amp;" office, "&amp;IF(ISNUMBER(AD381),"on "&amp;TEXT(AD381,"dddd d mmmm")&amp;" at "&amp;TEXT(AD381,"hh:mm"),"on a weekday evening that suits your team")&amp;". It's "&amp;IF(AF381&lt;&gt;"","£"&amp;IF(AF381=INT(AF381),TEXT(AF381,"0"),TEXT(AF381,"0.00")),"[PRICE PER PLAYER]")&amp;" a player and we handle the pitch booking, sign-ups and payments, so all it takes is one person sharing a link with the team."&amp;CHAR(10)&amp;CHAR(10)&amp;"It works well as a team social or "&amp;IF(ISNUMBER(SEARCH(LEFT(F381,1),"AEIOU")),"an ","a ")&amp;F381&amp;"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LINK]")&amp;CHAR(10)&amp;CHAR(10)&amp;"Best,"&amp;CHAR(10)&amp;IF(AM381&lt;&gt;"",AM381,IF(Offer!$C$5&lt;&gt;"",Offer!$C$5,"[NAME]"))&amp;CHAR(10)&amp;"FC Urban"</f>
        <v/>
      </c>
      <c r="AK381" s="14">
        <f>"Hi "&amp;IF(R381&lt;&gt;"",R381,F381&amp;" team")&amp;","&amp;CHAR(10)&amp;CHAR(10)&amp;"Just bumping this up. The "&amp;AE381&amp;" pitch at "&amp;Z381&amp;" is still free "&amp;IF(ISNUMBER(AD381),TEXT(AD381,"ddd d mmm")&amp;", "&amp;TEXT(AD381,"hh:mm"),"weekday evenings")&amp;", "&amp;IF(OR(AA381=8,AA381=11,AA381=18),"an ","a ")&amp;AA381&amp;"-minute walk from your office, "&amp;IF(AF381&lt;&gt;"","£"&amp;IF(AF381=INT(AF381),TEXT(AF381,"0"),TEXT(AF381,"0.00")),"[PRICE PER PLAYER]")&amp;" a player. Happy to hold it for "&amp;F381&amp;"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LINK]")&amp;CHAR(10)&amp;CHAR(10)&amp;"Best,"&amp;CHAR(10)&amp;IF(AM381&lt;&gt;"",AM381,IF(Offer!$C$5&lt;&gt;"",Offer!$C$5,"[NAME]"))&amp;CHAR(10)&amp;"FC Urban"</f>
        <v/>
      </c>
      <c r="AL381" s="14">
        <f>IF(AH381="","No email yet",IF(ISNUMBER(SEARCH("[",AJ381)),"Fill placeholders",IF(ISNUMBER(AD381),"Ready to send","Ready · no fixed slot")))</f>
        <v/>
      </c>
      <c r="AO381" s="17" t="n"/>
      <c r="AP381" s="17" t="n"/>
    </row>
    <row r="382">
      <c r="A382" s="11" t="n">
        <v>380</v>
      </c>
      <c r="B382" s="11" t="n">
        <v>3</v>
      </c>
      <c r="C382" s="11" t="inlineStr">
        <is>
          <t>Insurance / broker</t>
        </is>
      </c>
      <c r="D382" s="11" t="inlineStr">
        <is>
          <t>City of London</t>
        </is>
      </c>
      <c r="E382" s="11" t="inlineStr">
        <is>
          <t>CFC Underwriting Limited</t>
        </is>
      </c>
      <c r="F382" s="11" t="inlineStr">
        <is>
          <t>CFC Underwriting</t>
        </is>
      </c>
      <c r="G382" s="12" t="inlineStr">
        <is>
          <t>https://www.cfc.com</t>
        </is>
      </c>
      <c r="H382" s="11" t="inlineStr">
        <is>
          <t>ugraves@cfc.com</t>
        </is>
      </c>
      <c r="I382" s="11" t="inlineStr">
        <is>
          <t>named person</t>
        </is>
      </c>
      <c r="J382" s="12" t="inlineStr">
        <is>
          <t>Open page</t>
        </is>
      </c>
      <c r="K382" s="11" t="inlineStr">
        <is>
          <t>03302887</t>
        </is>
      </c>
      <c r="L382" s="12" t="inlineStr">
        <is>
          <t>Open</t>
        </is>
      </c>
      <c r="M382" s="11" t="inlineStr">
        <is>
          <t>Full</t>
        </is>
      </c>
      <c r="N382" s="13" t="n">
        <v>35446</v>
      </c>
      <c r="O382" s="11" t="inlineStr">
        <is>
          <t>8 Bishopsgate, London</t>
        </is>
      </c>
      <c r="P382" s="11" t="inlineStr">
        <is>
          <t>EC2N 4BQ</t>
        </is>
      </c>
      <c r="Q382" s="11" t="inlineStr">
        <is>
          <t>No</t>
        </is>
      </c>
      <c r="W382" s="11" t="inlineStr">
        <is>
          <t>Liverpool St - Attlee Centre</t>
        </is>
      </c>
      <c r="X382" s="11" t="n">
        <v>14</v>
      </c>
      <c r="Y382" s="11" t="inlineStr">
        <is>
          <t>City of London School (EC4V 3AL) (18.7); Shoreditch Powerleague (18.7)</t>
        </is>
      </c>
      <c r="Z382" s="11" t="inlineStr">
        <is>
          <t>City of London School (EC4V 3AL)</t>
        </is>
      </c>
      <c r="AA382" s="11" t="n">
        <v>19</v>
      </c>
      <c r="AB382" s="14">
        <f>IFERROR(INDEX(Venues!$E$2:$E$17,MATCH(Z382,Venues!$A$2:$A$17,0)),"Not checked")</f>
        <v/>
      </c>
      <c r="AC382" s="14">
        <f>IFERROR(INDEX(Venues!$F$2:$F$17,MATCH(Z382,Venues!$A$2:$A$17,0)),0)</f>
        <v/>
      </c>
      <c r="AD382" s="15">
        <f>IFERROR(INDEX(Venues!$M$2:$M$17,MATCH(Z382,Venues!$A$2:$A$17,0)),"")</f>
        <v/>
      </c>
      <c r="AE382" s="14">
        <f>IFERROR(INDEX(Venues!$N$2:$N$17,MATCH(Z382,Venues!$A$2:$A$17,0)),"5-a-side")</f>
        <v/>
      </c>
      <c r="AF382" s="16">
        <f>IF(Offer!$C$4="","",Offer!$C$4)</f>
        <v/>
      </c>
      <c r="AG382" s="14">
        <f>Z382&amp;" ("&amp;AA382&amp;" min walk) · "&amp;IF(ISNUMBER(AD382),TEXT(AD382,"ddd d mmm, hh:mm"),"slot to confirm with venue")&amp;" · "&amp;AE382&amp;" · "&amp;IF(AF382&lt;&gt;"","£"&amp;TEXT(AF382,"0.00")&amp;" pp","price TBC")</f>
        <v/>
      </c>
      <c r="AH382" s="14">
        <f>IF(U382&lt;&gt;"",U382,IF(H382&lt;&gt;"",H382,""))</f>
        <v/>
      </c>
      <c r="AI382" s="14">
        <f>"After-work football for "&amp;F382&amp;" · "&amp;Z382&amp;", "&amp;AA382&amp;" min from your office"</f>
        <v/>
      </c>
      <c r="AJ382" s="14">
        <f>"Hi "&amp;IF(R382&lt;&gt;"",R382,F382&amp;" team")&amp;","&amp;CHAR(10)&amp;CHAR(10)&amp;"I'm "&amp;IF(AM382&lt;&gt;"",AM382,IF(Offer!$C$5&lt;&gt;"",Offer!$C$5,"[NAME]"))&amp;" from FC Urban. We organise after-work football for teams in the City and Canary Wharf."&amp;CHAR(10)&amp;CHAR(10)&amp;"We have a "&amp;AE382&amp;" pitch at "&amp;Z382&amp;", "&amp;IF(OR(AA382=8,AA382=11,AA382=18),"an ","a ")&amp;AA382&amp;"-minute walk from your "&amp;P382&amp;" office, "&amp;IF(ISNUMBER(AD382),"on "&amp;TEXT(AD382,"dddd d mmmm")&amp;" at "&amp;TEXT(AD382,"hh:mm"),"on a weekday evening that suits your team")&amp;". It's "&amp;IF(AF382&lt;&gt;"","£"&amp;IF(AF382=INT(AF382),TEXT(AF382,"0"),TEXT(AF382,"0.00")),"[PRICE PER PLAYER]")&amp;" a player and we handle the pitch booking, sign-ups and payments, so all it takes is one person sharing a link with the team."&amp;CHAR(10)&amp;CHAR(10)&amp;"It works well as a team social or "&amp;IF(ISNUMBER(SEARCH(LEFT(F382,1),"AEIOU")),"an ","a ")&amp;F382&amp;"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LINK]")&amp;CHAR(10)&amp;CHAR(10)&amp;"Best,"&amp;CHAR(10)&amp;IF(AM382&lt;&gt;"",AM382,IF(Offer!$C$5&lt;&gt;"",Offer!$C$5,"[NAME]"))&amp;CHAR(10)&amp;"FC Urban"</f>
        <v/>
      </c>
      <c r="AK382" s="14">
        <f>"Hi "&amp;IF(R382&lt;&gt;"",R382,F382&amp;" team")&amp;","&amp;CHAR(10)&amp;CHAR(10)&amp;"Just bumping this up. The "&amp;AE382&amp;" pitch at "&amp;Z382&amp;" is still free "&amp;IF(ISNUMBER(AD382),TEXT(AD382,"ddd d mmm")&amp;", "&amp;TEXT(AD382,"hh:mm"),"weekday evenings")&amp;", "&amp;IF(OR(AA382=8,AA382=11,AA382=18),"an ","a ")&amp;AA382&amp;"-minute walk from your office, "&amp;IF(AF382&lt;&gt;"","£"&amp;IF(AF382=INT(AF382),TEXT(AF382,"0"),TEXT(AF382,"0.00")),"[PRICE PER PLAYER]")&amp;" a player. Happy to hold it for "&amp;F382&amp;"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LINK]")&amp;CHAR(10)&amp;CHAR(10)&amp;"Best,"&amp;CHAR(10)&amp;IF(AM382&lt;&gt;"",AM382,IF(Offer!$C$5&lt;&gt;"",Offer!$C$5,"[NAME]"))&amp;CHAR(10)&amp;"FC Urban"</f>
        <v/>
      </c>
      <c r="AL382" s="14">
        <f>IF(AH382="","No email yet",IF(ISNUMBER(SEARCH("[",AJ382)),"Fill placeholders",IF(ISNUMBER(AD382),"Ready to send","Ready · no fixed slot")))</f>
        <v/>
      </c>
      <c r="AO382" s="17" t="n"/>
      <c r="AP382" s="17" t="n"/>
    </row>
    <row r="383">
      <c r="A383" s="11" t="n">
        <v>381</v>
      </c>
      <c r="B383" s="11" t="n">
        <v>3</v>
      </c>
      <c r="C383" s="11" t="inlineStr">
        <is>
          <t>Insurance / broker</t>
        </is>
      </c>
      <c r="D383" s="11" t="inlineStr">
        <is>
          <t>City of London</t>
        </is>
      </c>
      <c r="E383" s="11" t="inlineStr">
        <is>
          <t>Chord Reinsurance Limited</t>
        </is>
      </c>
      <c r="F383" s="11" t="inlineStr">
        <is>
          <t>Chord Reinsurance</t>
        </is>
      </c>
      <c r="G383" s="12" t="inlineStr">
        <is>
          <t>https://chord.co.uk</t>
        </is>
      </c>
      <c r="H383" s="11" t="inlineStr">
        <is>
          <t>info@chord.co.uk</t>
        </is>
      </c>
      <c r="I383" s="11" t="inlineStr">
        <is>
          <t>general</t>
        </is>
      </c>
      <c r="J383" s="12" t="inlineStr">
        <is>
          <t>Open page</t>
        </is>
      </c>
      <c r="K383" s="11" t="inlineStr">
        <is>
          <t>10819967</t>
        </is>
      </c>
      <c r="L383" s="12" t="inlineStr">
        <is>
          <t>Open</t>
        </is>
      </c>
      <c r="M383" s="11" t="inlineStr">
        <is>
          <t>Full</t>
        </is>
      </c>
      <c r="N383" s="13" t="n">
        <v>42901</v>
      </c>
      <c r="O383" s="11" t="inlineStr">
        <is>
          <t>The Hallmark Building, 2Nd Floor, 52-56 Leadenhall Street, London</t>
        </is>
      </c>
      <c r="P383" s="11" t="inlineStr">
        <is>
          <t>EC3A 2BJ</t>
        </is>
      </c>
      <c r="Q383" s="11" t="inlineStr">
        <is>
          <t>No</t>
        </is>
      </c>
      <c r="W383" s="11" t="inlineStr">
        <is>
          <t>Liverpool St - Attlee Centre</t>
        </is>
      </c>
      <c r="X383" s="11" t="n">
        <v>11</v>
      </c>
      <c r="Y383" s="11" t="inlineStr">
        <is>
          <t>Shoreditch Powerleague (18.7)</t>
        </is>
      </c>
      <c r="Z383" s="11" t="inlineStr">
        <is>
          <t>Shoreditch Powerleague</t>
        </is>
      </c>
      <c r="AA383" s="11" t="n">
        <v>19</v>
      </c>
      <c r="AB383" s="14">
        <f>IFERROR(INDEX(Venues!$E$2:$E$17,MATCH(Z383,Venues!$A$2:$A$17,0)),"Not checked")</f>
        <v/>
      </c>
      <c r="AC383" s="14">
        <f>IFERROR(INDEX(Venues!$F$2:$F$17,MATCH(Z383,Venues!$A$2:$A$17,0)),0)</f>
        <v/>
      </c>
      <c r="AD383" s="15">
        <f>IFERROR(INDEX(Venues!$M$2:$M$17,MATCH(Z383,Venues!$A$2:$A$17,0)),"")</f>
        <v/>
      </c>
      <c r="AE383" s="14">
        <f>IFERROR(INDEX(Venues!$N$2:$N$17,MATCH(Z383,Venues!$A$2:$A$17,0)),"5-a-side")</f>
        <v/>
      </c>
      <c r="AF383" s="16">
        <f>IF(Offer!$C$4="","",Offer!$C$4)</f>
        <v/>
      </c>
      <c r="AG383" s="14">
        <f>Z383&amp;" ("&amp;AA383&amp;" min walk) · "&amp;IF(ISNUMBER(AD383),TEXT(AD383,"ddd d mmm, hh:mm"),"slot to confirm with venue")&amp;" · "&amp;AE383&amp;" · "&amp;IF(AF383&lt;&gt;"","£"&amp;TEXT(AF383,"0.00")&amp;" pp","price TBC")</f>
        <v/>
      </c>
      <c r="AH383" s="14">
        <f>IF(U383&lt;&gt;"",U383,IF(H383&lt;&gt;"",H383,""))</f>
        <v/>
      </c>
      <c r="AI383" s="14">
        <f>"After-work football for "&amp;F383&amp;" · "&amp;Z383&amp;", "&amp;AA383&amp;" min from your office"</f>
        <v/>
      </c>
      <c r="AJ383" s="14">
        <f>"Hi "&amp;IF(R383&lt;&gt;"",R383,F383&amp;" team")&amp;","&amp;CHAR(10)&amp;CHAR(10)&amp;"I'm "&amp;IF(AM383&lt;&gt;"",AM383,IF(Offer!$C$5&lt;&gt;"",Offer!$C$5,"[NAME]"))&amp;" from FC Urban. We organise after-work football for teams in the City and Canary Wharf."&amp;CHAR(10)&amp;CHAR(10)&amp;"We have a "&amp;AE383&amp;" pitch at "&amp;Z383&amp;", "&amp;IF(OR(AA383=8,AA383=11,AA383=18),"an ","a ")&amp;AA383&amp;"-minute walk from your "&amp;P383&amp;" office, "&amp;IF(ISNUMBER(AD383),"on "&amp;TEXT(AD383,"dddd d mmmm")&amp;" at "&amp;TEXT(AD383,"hh:mm"),"on a weekday evening that suits your team")&amp;". It's "&amp;IF(AF383&lt;&gt;"","£"&amp;IF(AF383=INT(AF383),TEXT(AF383,"0"),TEXT(AF383,"0.00")),"[PRICE PER PLAYER]")&amp;" a player and we handle the pitch booking, sign-ups and payments, so all it takes is one person sharing a link with the team."&amp;CHAR(10)&amp;CHAR(10)&amp;"It works well as a team social or "&amp;IF(ISNUMBER(SEARCH(LEFT(F383,1),"AEIOU")),"an ","a ")&amp;F383&amp;"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LINK]")&amp;CHAR(10)&amp;CHAR(10)&amp;"Best,"&amp;CHAR(10)&amp;IF(AM383&lt;&gt;"",AM383,IF(Offer!$C$5&lt;&gt;"",Offer!$C$5,"[NAME]"))&amp;CHAR(10)&amp;"FC Urban"</f>
        <v/>
      </c>
      <c r="AK383" s="14">
        <f>"Hi "&amp;IF(R383&lt;&gt;"",R383,F383&amp;" team")&amp;","&amp;CHAR(10)&amp;CHAR(10)&amp;"Just bumping this up. The "&amp;AE383&amp;" pitch at "&amp;Z383&amp;" is still free "&amp;IF(ISNUMBER(AD383),TEXT(AD383,"ddd d mmm")&amp;", "&amp;TEXT(AD383,"hh:mm"),"weekday evenings")&amp;", "&amp;IF(OR(AA383=8,AA383=11,AA383=18),"an ","a ")&amp;AA383&amp;"-minute walk from your office, "&amp;IF(AF383&lt;&gt;"","£"&amp;IF(AF383=INT(AF383),TEXT(AF383,"0"),TEXT(AF383,"0.00")),"[PRICE PER PLAYER]")&amp;" a player. Happy to hold it for "&amp;F383&amp;"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LINK]")&amp;CHAR(10)&amp;CHAR(10)&amp;"Best,"&amp;CHAR(10)&amp;IF(AM383&lt;&gt;"",AM383,IF(Offer!$C$5&lt;&gt;"",Offer!$C$5,"[NAME]"))&amp;CHAR(10)&amp;"FC Urban"</f>
        <v/>
      </c>
      <c r="AL383" s="14">
        <f>IF(AH383="","No email yet",IF(ISNUMBER(SEARCH("[",AJ383)),"Fill placeholders",IF(ISNUMBER(AD383),"Ready to send","Ready · no fixed slot")))</f>
        <v/>
      </c>
      <c r="AO383" s="17" t="n"/>
      <c r="AP383" s="17" t="n"/>
    </row>
    <row r="384">
      <c r="A384" s="11" t="n">
        <v>382</v>
      </c>
      <c r="B384" s="11" t="n">
        <v>3</v>
      </c>
      <c r="C384" s="11" t="inlineStr">
        <is>
          <t>Insurance / broker</t>
        </is>
      </c>
      <c r="D384" s="11" t="inlineStr">
        <is>
          <t>City of London</t>
        </is>
      </c>
      <c r="E384" s="11" t="inlineStr">
        <is>
          <t>Chubb Insurance Service Company Ltd</t>
        </is>
      </c>
      <c r="F384" s="11" t="inlineStr">
        <is>
          <t>Chubb</t>
        </is>
      </c>
      <c r="G384" s="12" t="inlineStr">
        <is>
          <t>https://www.chubb.com</t>
        </is>
      </c>
      <c r="H384" s="11" t="inlineStr">
        <is>
          <t>surety@chubb.com</t>
        </is>
      </c>
      <c r="I384" s="11" t="inlineStr">
        <is>
          <t>named person</t>
        </is>
      </c>
      <c r="J384" s="12" t="inlineStr">
        <is>
          <t>Open page</t>
        </is>
      </c>
      <c r="K384" s="11" t="inlineStr">
        <is>
          <t>09042647</t>
        </is>
      </c>
      <c r="L384" s="12" t="inlineStr">
        <is>
          <t>Open</t>
        </is>
      </c>
      <c r="M384" s="11" t="inlineStr">
        <is>
          <t>Full</t>
        </is>
      </c>
      <c r="N384" s="13" t="n">
        <v>41774</v>
      </c>
      <c r="O384" s="11" t="inlineStr">
        <is>
          <t>40 Leadenhall Street, London</t>
        </is>
      </c>
      <c r="P384" s="11" t="inlineStr">
        <is>
          <t>EC3A 2BJ</t>
        </is>
      </c>
      <c r="Q384" s="11" t="inlineStr">
        <is>
          <t>No</t>
        </is>
      </c>
      <c r="W384" s="11" t="inlineStr">
        <is>
          <t>Liverpool St - Attlee Centre</t>
        </is>
      </c>
      <c r="X384" s="11" t="n">
        <v>11</v>
      </c>
      <c r="Y384" s="11" t="inlineStr">
        <is>
          <t>Shoreditch Powerleague (18.7)</t>
        </is>
      </c>
      <c r="Z384" s="11" t="inlineStr">
        <is>
          <t>Shoreditch Powerleague</t>
        </is>
      </c>
      <c r="AA384" s="11" t="n">
        <v>19</v>
      </c>
      <c r="AB384" s="14">
        <f>IFERROR(INDEX(Venues!$E$2:$E$17,MATCH(Z384,Venues!$A$2:$A$17,0)),"Not checked")</f>
        <v/>
      </c>
      <c r="AC384" s="14">
        <f>IFERROR(INDEX(Venues!$F$2:$F$17,MATCH(Z384,Venues!$A$2:$A$17,0)),0)</f>
        <v/>
      </c>
      <c r="AD384" s="15">
        <f>IFERROR(INDEX(Venues!$M$2:$M$17,MATCH(Z384,Venues!$A$2:$A$17,0)),"")</f>
        <v/>
      </c>
      <c r="AE384" s="14">
        <f>IFERROR(INDEX(Venues!$N$2:$N$17,MATCH(Z384,Venues!$A$2:$A$17,0)),"5-a-side")</f>
        <v/>
      </c>
      <c r="AF384" s="16">
        <f>IF(Offer!$C$4="","",Offer!$C$4)</f>
        <v/>
      </c>
      <c r="AG384" s="14">
        <f>Z384&amp;" ("&amp;AA384&amp;" min walk) · "&amp;IF(ISNUMBER(AD384),TEXT(AD384,"ddd d mmm, hh:mm"),"slot to confirm with venue")&amp;" · "&amp;AE384&amp;" · "&amp;IF(AF384&lt;&gt;"","£"&amp;TEXT(AF384,"0.00")&amp;" pp","price TBC")</f>
        <v/>
      </c>
      <c r="AH384" s="14">
        <f>IF(U384&lt;&gt;"",U384,IF(H384&lt;&gt;"",H384,""))</f>
        <v/>
      </c>
      <c r="AI384" s="14">
        <f>"After-work football for "&amp;F384&amp;" · "&amp;Z384&amp;", "&amp;AA384&amp;" min from your office"</f>
        <v/>
      </c>
      <c r="AJ384" s="14">
        <f>"Hi "&amp;IF(R384&lt;&gt;"",R384,F384&amp;" team")&amp;","&amp;CHAR(10)&amp;CHAR(10)&amp;"I'm "&amp;IF(AM384&lt;&gt;"",AM384,IF(Offer!$C$5&lt;&gt;"",Offer!$C$5,"[NAME]"))&amp;" from FC Urban. We organise after-work football for teams in the City and Canary Wharf."&amp;CHAR(10)&amp;CHAR(10)&amp;"We have a "&amp;AE384&amp;" pitch at "&amp;Z384&amp;", "&amp;IF(OR(AA384=8,AA384=11,AA384=18),"an ","a ")&amp;AA384&amp;"-minute walk from your "&amp;P384&amp;" office, "&amp;IF(ISNUMBER(AD384),"on "&amp;TEXT(AD384,"dddd d mmmm")&amp;" at "&amp;TEXT(AD384,"hh:mm"),"on a weekday evening that suits your team")&amp;". It's "&amp;IF(AF384&lt;&gt;"","£"&amp;IF(AF384=INT(AF384),TEXT(AF384,"0"),TEXT(AF384,"0.00")),"[PRICE PER PLAYER]")&amp;" a player and we handle the pitch booking, sign-ups and payments, so all it takes is one person sharing a link with the team."&amp;CHAR(10)&amp;CHAR(10)&amp;"It works well as a team social or "&amp;IF(ISNUMBER(SEARCH(LEFT(F384,1),"AEIOU")),"an ","a ")&amp;F384&amp;"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LINK]")&amp;CHAR(10)&amp;CHAR(10)&amp;"Best,"&amp;CHAR(10)&amp;IF(AM384&lt;&gt;"",AM384,IF(Offer!$C$5&lt;&gt;"",Offer!$C$5,"[NAME]"))&amp;CHAR(10)&amp;"FC Urban"</f>
        <v/>
      </c>
      <c r="AK384" s="14">
        <f>"Hi "&amp;IF(R384&lt;&gt;"",R384,F384&amp;" team")&amp;","&amp;CHAR(10)&amp;CHAR(10)&amp;"Just bumping this up. The "&amp;AE384&amp;" pitch at "&amp;Z384&amp;" is still free "&amp;IF(ISNUMBER(AD384),TEXT(AD384,"ddd d mmm")&amp;", "&amp;TEXT(AD384,"hh:mm"),"weekday evenings")&amp;", "&amp;IF(OR(AA384=8,AA384=11,AA384=18),"an ","a ")&amp;AA384&amp;"-minute walk from your office, "&amp;IF(AF384&lt;&gt;"","£"&amp;IF(AF384=INT(AF384),TEXT(AF384,"0"),TEXT(AF384,"0.00")),"[PRICE PER PLAYER]")&amp;" a player. Happy to hold it for "&amp;F384&amp;"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LINK]")&amp;CHAR(10)&amp;CHAR(10)&amp;"Best,"&amp;CHAR(10)&amp;IF(AM384&lt;&gt;"",AM384,IF(Offer!$C$5&lt;&gt;"",Offer!$C$5,"[NAME]"))&amp;CHAR(10)&amp;"FC Urban"</f>
        <v/>
      </c>
      <c r="AL384" s="14">
        <f>IF(AH384="","No email yet",IF(ISNUMBER(SEARCH("[",AJ384)),"Fill placeholders",IF(ISNUMBER(AD384),"Ready to send","Ready · no fixed slot")))</f>
        <v/>
      </c>
      <c r="AO384" s="17" t="n"/>
      <c r="AP384" s="17" t="n"/>
    </row>
    <row r="385">
      <c r="A385" s="11" t="n">
        <v>383</v>
      </c>
      <c r="B385" s="11" t="n">
        <v>3</v>
      </c>
      <c r="C385" s="11" t="inlineStr">
        <is>
          <t>Insurance / broker</t>
        </is>
      </c>
      <c r="D385" s="11" t="inlineStr">
        <is>
          <t>City of London</t>
        </is>
      </c>
      <c r="E385" s="11" t="inlineStr">
        <is>
          <t>McGill and Partners Ltd</t>
        </is>
      </c>
      <c r="F385" s="11" t="inlineStr">
        <is>
          <t>McGill and Partners</t>
        </is>
      </c>
      <c r="G385" s="12" t="inlineStr">
        <is>
          <t>https://www.mcgill.ca</t>
        </is>
      </c>
      <c r="H385" s="11" t="inlineStr">
        <is>
          <t>fcc.fod@mcgill.ca</t>
        </is>
      </c>
      <c r="I385" s="11" t="inlineStr">
        <is>
          <t>named person</t>
        </is>
      </c>
      <c r="J385" s="12" t="inlineStr">
        <is>
          <t>Open page</t>
        </is>
      </c>
      <c r="K385" s="11" t="inlineStr">
        <is>
          <t>11877412</t>
        </is>
      </c>
      <c r="L385" s="12" t="inlineStr">
        <is>
          <t>Open</t>
        </is>
      </c>
      <c r="M385" s="11" t="inlineStr">
        <is>
          <t>Full</t>
        </is>
      </c>
      <c r="N385" s="13" t="n">
        <v>43536</v>
      </c>
      <c r="O385" s="11" t="inlineStr">
        <is>
          <t>13Th Floor, 40, Leadenhall Street, London</t>
        </is>
      </c>
      <c r="P385" s="11" t="inlineStr">
        <is>
          <t>EC3A 2BJ</t>
        </is>
      </c>
      <c r="Q385" s="11" t="inlineStr">
        <is>
          <t>Yes</t>
        </is>
      </c>
      <c r="W385" s="11" t="inlineStr">
        <is>
          <t>Liverpool St - Attlee Centre</t>
        </is>
      </c>
      <c r="X385" s="11" t="n">
        <v>11</v>
      </c>
      <c r="Y385" s="11" t="inlineStr">
        <is>
          <t>Shoreditch Powerleague (18.7)</t>
        </is>
      </c>
      <c r="Z385" s="11" t="inlineStr">
        <is>
          <t>Shoreditch Powerleague</t>
        </is>
      </c>
      <c r="AA385" s="11" t="n">
        <v>19</v>
      </c>
      <c r="AB385" s="14">
        <f>IFERROR(INDEX(Venues!$E$2:$E$17,MATCH(Z385,Venues!$A$2:$A$17,0)),"Not checked")</f>
        <v/>
      </c>
      <c r="AC385" s="14">
        <f>IFERROR(INDEX(Venues!$F$2:$F$17,MATCH(Z385,Venues!$A$2:$A$17,0)),0)</f>
        <v/>
      </c>
      <c r="AD385" s="15">
        <f>IFERROR(INDEX(Venues!$M$2:$M$17,MATCH(Z385,Venues!$A$2:$A$17,0)),"")</f>
        <v/>
      </c>
      <c r="AE385" s="14">
        <f>IFERROR(INDEX(Venues!$N$2:$N$17,MATCH(Z385,Venues!$A$2:$A$17,0)),"5-a-side")</f>
        <v/>
      </c>
      <c r="AF385" s="16">
        <f>IF(Offer!$C$4="","",Offer!$C$4)</f>
        <v/>
      </c>
      <c r="AG385" s="14">
        <f>Z385&amp;" ("&amp;AA385&amp;" min walk) · "&amp;IF(ISNUMBER(AD385),TEXT(AD385,"ddd d mmm, hh:mm"),"slot to confirm with venue")&amp;" · "&amp;AE385&amp;" · "&amp;IF(AF385&lt;&gt;"","£"&amp;TEXT(AF385,"0.00")&amp;" pp","price TBC")</f>
        <v/>
      </c>
      <c r="AH385" s="14">
        <f>IF(U385&lt;&gt;"",U385,IF(H385&lt;&gt;"",H385,""))</f>
        <v/>
      </c>
      <c r="AI385" s="14">
        <f>"After-work football for "&amp;F385&amp;" · "&amp;Z385&amp;", "&amp;AA385&amp;" min from your office"</f>
        <v/>
      </c>
      <c r="AJ385" s="14">
        <f>"Hi "&amp;IF(R385&lt;&gt;"",R385,F385&amp;" team")&amp;","&amp;CHAR(10)&amp;CHAR(10)&amp;"I'm "&amp;IF(AM385&lt;&gt;"",AM385,IF(Offer!$C$5&lt;&gt;"",Offer!$C$5,"[NAME]"))&amp;" from FC Urban. We organise after-work football for teams in the City and Canary Wharf."&amp;CHAR(10)&amp;CHAR(10)&amp;"We have a "&amp;AE385&amp;" pitch at "&amp;Z385&amp;", "&amp;IF(OR(AA385=8,AA385=11,AA385=18),"an ","a ")&amp;AA385&amp;"-minute walk from your "&amp;P385&amp;" office, "&amp;IF(ISNUMBER(AD385),"on "&amp;TEXT(AD385,"dddd d mmmm")&amp;" at "&amp;TEXT(AD385,"hh:mm"),"on a weekday evening that suits your team")&amp;". It's "&amp;IF(AF385&lt;&gt;"","£"&amp;IF(AF385=INT(AF385),TEXT(AF385,"0"),TEXT(AF385,"0.00")),"[PRICE PER PLAYER]")&amp;" a player and we handle the pitch booking, sign-ups and payments, so all it takes is one person sharing a link with the team."&amp;CHAR(10)&amp;CHAR(10)&amp;"It works well as a team social or "&amp;IF(ISNUMBER(SEARCH(LEFT(F385,1),"AEIOU")),"an ","a ")&amp;F385&amp;"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LINK]")&amp;CHAR(10)&amp;CHAR(10)&amp;"Best,"&amp;CHAR(10)&amp;IF(AM385&lt;&gt;"",AM385,IF(Offer!$C$5&lt;&gt;"",Offer!$C$5,"[NAME]"))&amp;CHAR(10)&amp;"FC Urban"</f>
        <v/>
      </c>
      <c r="AK385" s="14">
        <f>"Hi "&amp;IF(R385&lt;&gt;"",R385,F385&amp;" team")&amp;","&amp;CHAR(10)&amp;CHAR(10)&amp;"Just bumping this up. The "&amp;AE385&amp;" pitch at "&amp;Z385&amp;" is still free "&amp;IF(ISNUMBER(AD385),TEXT(AD385,"ddd d mmm")&amp;", "&amp;TEXT(AD385,"hh:mm"),"weekday evenings")&amp;", "&amp;IF(OR(AA385=8,AA385=11,AA385=18),"an ","a ")&amp;AA385&amp;"-minute walk from your office, "&amp;IF(AF385&lt;&gt;"","£"&amp;IF(AF385=INT(AF385),TEXT(AF385,"0"),TEXT(AF385,"0.00")),"[PRICE PER PLAYER]")&amp;" a player. Happy to hold it for "&amp;F385&amp;"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LINK]")&amp;CHAR(10)&amp;CHAR(10)&amp;"Best,"&amp;CHAR(10)&amp;IF(AM385&lt;&gt;"",AM385,IF(Offer!$C$5&lt;&gt;"",Offer!$C$5,"[NAME]"))&amp;CHAR(10)&amp;"FC Urban"</f>
        <v/>
      </c>
      <c r="AL385" s="14">
        <f>IF(AH385="","No email yet",IF(ISNUMBER(SEARCH("[",AJ385)),"Fill placeholders",IF(ISNUMBER(AD385),"Ready to send","Ready · no fixed slot")))</f>
        <v/>
      </c>
      <c r="AO385" s="17" t="n"/>
      <c r="AP385" s="17" t="n"/>
    </row>
    <row r="386">
      <c r="A386" s="11" t="n">
        <v>384</v>
      </c>
      <c r="B386" s="11" t="n">
        <v>3</v>
      </c>
      <c r="C386" s="11" t="inlineStr">
        <is>
          <t>Insurance / broker</t>
        </is>
      </c>
      <c r="D386" s="11" t="inlineStr">
        <is>
          <t>City of London</t>
        </is>
      </c>
      <c r="E386" s="11" t="inlineStr">
        <is>
          <t>Munitus Insurance Limited</t>
        </is>
      </c>
      <c r="F386" s="11" t="inlineStr">
        <is>
          <t>Munitus Insurance</t>
        </is>
      </c>
      <c r="G386" s="12" t="inlineStr">
        <is>
          <t>https://munitus.co.uk</t>
        </is>
      </c>
      <c r="H386" s="11" t="inlineStr">
        <is>
          <t>bookacallwithmunitus@munitus.co.uk</t>
        </is>
      </c>
      <c r="I386" s="11" t="inlineStr">
        <is>
          <t>named person</t>
        </is>
      </c>
      <c r="J386" s="12" t="inlineStr">
        <is>
          <t>Open page</t>
        </is>
      </c>
      <c r="K386" s="11" t="inlineStr">
        <is>
          <t>12147775</t>
        </is>
      </c>
      <c r="L386" s="12" t="inlineStr">
        <is>
          <t>Open</t>
        </is>
      </c>
      <c r="M386" s="11" t="inlineStr">
        <is>
          <t>Full</t>
        </is>
      </c>
      <c r="N386" s="13" t="n">
        <v>43686</v>
      </c>
      <c r="O386" s="11" t="inlineStr">
        <is>
          <t>The Hallmark Building, 2Nd Floor, 52-56 Leadenhall Street, London</t>
        </is>
      </c>
      <c r="P386" s="11" t="inlineStr">
        <is>
          <t>EC3A 2BJ</t>
        </is>
      </c>
      <c r="Q386" s="11" t="inlineStr">
        <is>
          <t>No</t>
        </is>
      </c>
      <c r="W386" s="11" t="inlineStr">
        <is>
          <t>Liverpool St - Attlee Centre</t>
        </is>
      </c>
      <c r="X386" s="11" t="n">
        <v>11</v>
      </c>
      <c r="Y386" s="11" t="inlineStr">
        <is>
          <t>Shoreditch Powerleague (18.7)</t>
        </is>
      </c>
      <c r="Z386" s="11" t="inlineStr">
        <is>
          <t>Shoreditch Powerleague</t>
        </is>
      </c>
      <c r="AA386" s="11" t="n">
        <v>19</v>
      </c>
      <c r="AB386" s="14">
        <f>IFERROR(INDEX(Venues!$E$2:$E$17,MATCH(Z386,Venues!$A$2:$A$17,0)),"Not checked")</f>
        <v/>
      </c>
      <c r="AC386" s="14">
        <f>IFERROR(INDEX(Venues!$F$2:$F$17,MATCH(Z386,Venues!$A$2:$A$17,0)),0)</f>
        <v/>
      </c>
      <c r="AD386" s="15">
        <f>IFERROR(INDEX(Venues!$M$2:$M$17,MATCH(Z386,Venues!$A$2:$A$17,0)),"")</f>
        <v/>
      </c>
      <c r="AE386" s="14">
        <f>IFERROR(INDEX(Venues!$N$2:$N$17,MATCH(Z386,Venues!$A$2:$A$17,0)),"5-a-side")</f>
        <v/>
      </c>
      <c r="AF386" s="16">
        <f>IF(Offer!$C$4="","",Offer!$C$4)</f>
        <v/>
      </c>
      <c r="AG386" s="14">
        <f>Z386&amp;" ("&amp;AA386&amp;" min walk) · "&amp;IF(ISNUMBER(AD386),TEXT(AD386,"ddd d mmm, hh:mm"),"slot to confirm with venue")&amp;" · "&amp;AE386&amp;" · "&amp;IF(AF386&lt;&gt;"","£"&amp;TEXT(AF386,"0.00")&amp;" pp","price TBC")</f>
        <v/>
      </c>
      <c r="AH386" s="14">
        <f>IF(U386&lt;&gt;"",U386,IF(H386&lt;&gt;"",H386,""))</f>
        <v/>
      </c>
      <c r="AI386" s="14">
        <f>"After-work football for "&amp;F386&amp;" · "&amp;Z386&amp;", "&amp;AA386&amp;" min from your office"</f>
        <v/>
      </c>
      <c r="AJ386" s="14">
        <f>"Hi "&amp;IF(R386&lt;&gt;"",R386,F386&amp;" team")&amp;","&amp;CHAR(10)&amp;CHAR(10)&amp;"I'm "&amp;IF(AM386&lt;&gt;"",AM386,IF(Offer!$C$5&lt;&gt;"",Offer!$C$5,"[NAME]"))&amp;" from FC Urban. We organise after-work football for teams in the City and Canary Wharf."&amp;CHAR(10)&amp;CHAR(10)&amp;"We have a "&amp;AE386&amp;" pitch at "&amp;Z386&amp;", "&amp;IF(OR(AA386=8,AA386=11,AA386=18),"an ","a ")&amp;AA386&amp;"-minute walk from your "&amp;P386&amp;" office, "&amp;IF(ISNUMBER(AD386),"on "&amp;TEXT(AD386,"dddd d mmmm")&amp;" at "&amp;TEXT(AD386,"hh:mm"),"on a weekday evening that suits your team")&amp;". It's "&amp;IF(AF386&lt;&gt;"","£"&amp;IF(AF386=INT(AF386),TEXT(AF386,"0"),TEXT(AF386,"0.00")),"[PRICE PER PLAYER]")&amp;" a player and we handle the pitch booking, sign-ups and payments, so all it takes is one person sharing a link with the team."&amp;CHAR(10)&amp;CHAR(10)&amp;"It works well as a team social or "&amp;IF(ISNUMBER(SEARCH(LEFT(F386,1),"AEIOU")),"an ","a ")&amp;F386&amp;"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LINK]")&amp;CHAR(10)&amp;CHAR(10)&amp;"Best,"&amp;CHAR(10)&amp;IF(AM386&lt;&gt;"",AM386,IF(Offer!$C$5&lt;&gt;"",Offer!$C$5,"[NAME]"))&amp;CHAR(10)&amp;"FC Urban"</f>
        <v/>
      </c>
      <c r="AK386" s="14">
        <f>"Hi "&amp;IF(R386&lt;&gt;"",R386,F386&amp;" team")&amp;","&amp;CHAR(10)&amp;CHAR(10)&amp;"Just bumping this up. The "&amp;AE386&amp;" pitch at "&amp;Z386&amp;" is still free "&amp;IF(ISNUMBER(AD386),TEXT(AD386,"ddd d mmm")&amp;", "&amp;TEXT(AD386,"hh:mm"),"weekday evenings")&amp;", "&amp;IF(OR(AA386=8,AA386=11,AA386=18),"an ","a ")&amp;AA386&amp;"-minute walk from your office, "&amp;IF(AF386&lt;&gt;"","£"&amp;IF(AF386=INT(AF386),TEXT(AF386,"0"),TEXT(AF386,"0.00")),"[PRICE PER PLAYER]")&amp;" a player. Happy to hold it for "&amp;F386&amp;"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LINK]")&amp;CHAR(10)&amp;CHAR(10)&amp;"Best,"&amp;CHAR(10)&amp;IF(AM386&lt;&gt;"",AM386,IF(Offer!$C$5&lt;&gt;"",Offer!$C$5,"[NAME]"))&amp;CHAR(10)&amp;"FC Urban"</f>
        <v/>
      </c>
      <c r="AL386" s="14">
        <f>IF(AH386="","No email yet",IF(ISNUMBER(SEARCH("[",AJ386)),"Fill placeholders",IF(ISNUMBER(AD386),"Ready to send","Ready · no fixed slot")))</f>
        <v/>
      </c>
      <c r="AO386" s="17" t="n"/>
      <c r="AP386" s="17" t="n"/>
    </row>
    <row r="387">
      <c r="A387" s="11" t="n">
        <v>385</v>
      </c>
      <c r="B387" s="11" t="n">
        <v>3</v>
      </c>
      <c r="C387" s="11" t="inlineStr">
        <is>
          <t>Insurance / broker</t>
        </is>
      </c>
      <c r="D387" s="11" t="inlineStr">
        <is>
          <t>City of London</t>
        </is>
      </c>
      <c r="E387" s="11" t="inlineStr">
        <is>
          <t>Navium Marine Limited</t>
        </is>
      </c>
      <c r="F387" s="11" t="inlineStr">
        <is>
          <t>Navium Marine</t>
        </is>
      </c>
      <c r="G387" s="12" t="inlineStr">
        <is>
          <t>https://www.naviummarine.com</t>
        </is>
      </c>
      <c r="H387" s="11" t="inlineStr">
        <is>
          <t>info@naviummarine.com</t>
        </is>
      </c>
      <c r="I387" s="11" t="inlineStr">
        <is>
          <t>general</t>
        </is>
      </c>
      <c r="J387" s="12" t="inlineStr">
        <is>
          <t>Open page</t>
        </is>
      </c>
      <c r="K387" s="11" t="inlineStr">
        <is>
          <t>13297194</t>
        </is>
      </c>
      <c r="L387" s="12" t="inlineStr">
        <is>
          <t>Open</t>
        </is>
      </c>
      <c r="M387" s="11" t="inlineStr">
        <is>
          <t>Full</t>
        </is>
      </c>
      <c r="N387" s="13" t="n">
        <v>44283</v>
      </c>
      <c r="O387" s="11" t="inlineStr">
        <is>
          <t>22 Bishopsgate, Level 42, London</t>
        </is>
      </c>
      <c r="P387" s="11" t="inlineStr">
        <is>
          <t>EC2N 4BQ</t>
        </is>
      </c>
      <c r="Q387" s="11" t="inlineStr">
        <is>
          <t>No</t>
        </is>
      </c>
      <c r="W387" s="11" t="inlineStr">
        <is>
          <t>Liverpool St - Attlee Centre</t>
        </is>
      </c>
      <c r="X387" s="11" t="n">
        <v>14</v>
      </c>
      <c r="Y387" s="11" t="inlineStr">
        <is>
          <t>City of London School (EC4V 3AL) (18.7); Shoreditch Powerleague (18.7)</t>
        </is>
      </c>
      <c r="Z387" s="11" t="inlineStr">
        <is>
          <t>City of London School (EC4V 3AL)</t>
        </is>
      </c>
      <c r="AA387" s="11" t="n">
        <v>19</v>
      </c>
      <c r="AB387" s="14">
        <f>IFERROR(INDEX(Venues!$E$2:$E$17,MATCH(Z387,Venues!$A$2:$A$17,0)),"Not checked")</f>
        <v/>
      </c>
      <c r="AC387" s="14">
        <f>IFERROR(INDEX(Venues!$F$2:$F$17,MATCH(Z387,Venues!$A$2:$A$17,0)),0)</f>
        <v/>
      </c>
      <c r="AD387" s="15">
        <f>IFERROR(INDEX(Venues!$M$2:$M$17,MATCH(Z387,Venues!$A$2:$A$17,0)),"")</f>
        <v/>
      </c>
      <c r="AE387" s="14">
        <f>IFERROR(INDEX(Venues!$N$2:$N$17,MATCH(Z387,Venues!$A$2:$A$17,0)),"5-a-side")</f>
        <v/>
      </c>
      <c r="AF387" s="16">
        <f>IF(Offer!$C$4="","",Offer!$C$4)</f>
        <v/>
      </c>
      <c r="AG387" s="14">
        <f>Z387&amp;" ("&amp;AA387&amp;" min walk) · "&amp;IF(ISNUMBER(AD387),TEXT(AD387,"ddd d mmm, hh:mm"),"slot to confirm with venue")&amp;" · "&amp;AE387&amp;" · "&amp;IF(AF387&lt;&gt;"","£"&amp;TEXT(AF387,"0.00")&amp;" pp","price TBC")</f>
        <v/>
      </c>
      <c r="AH387" s="14">
        <f>IF(U387&lt;&gt;"",U387,IF(H387&lt;&gt;"",H387,""))</f>
        <v/>
      </c>
      <c r="AI387" s="14">
        <f>"After-work football for "&amp;F387&amp;" · "&amp;Z387&amp;", "&amp;AA387&amp;" min from your office"</f>
        <v/>
      </c>
      <c r="AJ387" s="14">
        <f>"Hi "&amp;IF(R387&lt;&gt;"",R387,F387&amp;" team")&amp;","&amp;CHAR(10)&amp;CHAR(10)&amp;"I'm "&amp;IF(AM387&lt;&gt;"",AM387,IF(Offer!$C$5&lt;&gt;"",Offer!$C$5,"[NAME]"))&amp;" from FC Urban. We organise after-work football for teams in the City and Canary Wharf."&amp;CHAR(10)&amp;CHAR(10)&amp;"We have a "&amp;AE387&amp;" pitch at "&amp;Z387&amp;", "&amp;IF(OR(AA387=8,AA387=11,AA387=18),"an ","a ")&amp;AA387&amp;"-minute walk from your "&amp;P387&amp;" office, "&amp;IF(ISNUMBER(AD387),"on "&amp;TEXT(AD387,"dddd d mmmm")&amp;" at "&amp;TEXT(AD387,"hh:mm"),"on a weekday evening that suits your team")&amp;". It's "&amp;IF(AF387&lt;&gt;"","£"&amp;IF(AF387=INT(AF387),TEXT(AF387,"0"),TEXT(AF387,"0.00")),"[PRICE PER PLAYER]")&amp;" a player and we handle the pitch booking, sign-ups and payments, so all it takes is one person sharing a link with the team."&amp;CHAR(10)&amp;CHAR(10)&amp;"It works well as a team social or "&amp;IF(ISNUMBER(SEARCH(LEFT(F387,1),"AEIOU")),"an ","a ")&amp;F387&amp;"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LINK]")&amp;CHAR(10)&amp;CHAR(10)&amp;"Best,"&amp;CHAR(10)&amp;IF(AM387&lt;&gt;"",AM387,IF(Offer!$C$5&lt;&gt;"",Offer!$C$5,"[NAME]"))&amp;CHAR(10)&amp;"FC Urban"</f>
        <v/>
      </c>
      <c r="AK387" s="14">
        <f>"Hi "&amp;IF(R387&lt;&gt;"",R387,F387&amp;" team")&amp;","&amp;CHAR(10)&amp;CHAR(10)&amp;"Just bumping this up. The "&amp;AE387&amp;" pitch at "&amp;Z387&amp;" is still free "&amp;IF(ISNUMBER(AD387),TEXT(AD387,"ddd d mmm")&amp;", "&amp;TEXT(AD387,"hh:mm"),"weekday evenings")&amp;", "&amp;IF(OR(AA387=8,AA387=11,AA387=18),"an ","a ")&amp;AA387&amp;"-minute walk from your office, "&amp;IF(AF387&lt;&gt;"","£"&amp;IF(AF387=INT(AF387),TEXT(AF387,"0"),TEXT(AF387,"0.00")),"[PRICE PER PLAYER]")&amp;" a player. Happy to hold it for "&amp;F387&amp;"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LINK]")&amp;CHAR(10)&amp;CHAR(10)&amp;"Best,"&amp;CHAR(10)&amp;IF(AM387&lt;&gt;"",AM387,IF(Offer!$C$5&lt;&gt;"",Offer!$C$5,"[NAME]"))&amp;CHAR(10)&amp;"FC Urban"</f>
        <v/>
      </c>
      <c r="AL387" s="14">
        <f>IF(AH387="","No email yet",IF(ISNUMBER(SEARCH("[",AJ387)),"Fill placeholders",IF(ISNUMBER(AD387),"Ready to send","Ready · no fixed slot")))</f>
        <v/>
      </c>
      <c r="AO387" s="17" t="n"/>
      <c r="AP387" s="17" t="n"/>
    </row>
    <row r="388">
      <c r="A388" s="11" t="n">
        <v>386</v>
      </c>
      <c r="B388" s="11" t="n">
        <v>3</v>
      </c>
      <c r="C388" s="11" t="inlineStr">
        <is>
          <t>Insurance / broker</t>
        </is>
      </c>
      <c r="D388" s="11" t="inlineStr">
        <is>
          <t>City of London</t>
        </is>
      </c>
      <c r="E388" s="11" t="inlineStr">
        <is>
          <t>Oakside Surety Limited</t>
        </is>
      </c>
      <c r="F388" s="11" t="inlineStr">
        <is>
          <t>Oakside Surety</t>
        </is>
      </c>
      <c r="G388" s="12" t="inlineStr">
        <is>
          <t>https://www.oaksidesurety.com</t>
        </is>
      </c>
      <c r="H388" s="11" t="inlineStr">
        <is>
          <t>generalenquiries@oaksidesurety.com</t>
        </is>
      </c>
      <c r="I388" s="11" t="inlineStr">
        <is>
          <t>named person</t>
        </is>
      </c>
      <c r="J388" s="12" t="inlineStr">
        <is>
          <t>Open page</t>
        </is>
      </c>
      <c r="K388" s="11" t="inlineStr">
        <is>
          <t>11061884</t>
        </is>
      </c>
      <c r="L388" s="12" t="inlineStr">
        <is>
          <t>Open</t>
        </is>
      </c>
      <c r="M388" s="11" t="inlineStr">
        <is>
          <t>Full</t>
        </is>
      </c>
      <c r="N388" s="13" t="n">
        <v>43053</v>
      </c>
      <c r="O388" s="11" t="inlineStr">
        <is>
          <t>22 Bishopsgate, Level 42, London</t>
        </is>
      </c>
      <c r="P388" s="11" t="inlineStr">
        <is>
          <t>EC2N 4BQ</t>
        </is>
      </c>
      <c r="Q388" s="11" t="inlineStr">
        <is>
          <t>No</t>
        </is>
      </c>
      <c r="W388" s="11" t="inlineStr">
        <is>
          <t>Liverpool St - Attlee Centre</t>
        </is>
      </c>
      <c r="X388" s="11" t="n">
        <v>14</v>
      </c>
      <c r="Y388" s="11" t="inlineStr">
        <is>
          <t>City of London School (EC4V 3AL) (18.7); Shoreditch Powerleague (18.7)</t>
        </is>
      </c>
      <c r="Z388" s="11" t="inlineStr">
        <is>
          <t>City of London School (EC4V 3AL)</t>
        </is>
      </c>
      <c r="AA388" s="11" t="n">
        <v>19</v>
      </c>
      <c r="AB388" s="14">
        <f>IFERROR(INDEX(Venues!$E$2:$E$17,MATCH(Z388,Venues!$A$2:$A$17,0)),"Not checked")</f>
        <v/>
      </c>
      <c r="AC388" s="14">
        <f>IFERROR(INDEX(Venues!$F$2:$F$17,MATCH(Z388,Venues!$A$2:$A$17,0)),0)</f>
        <v/>
      </c>
      <c r="AD388" s="15">
        <f>IFERROR(INDEX(Venues!$M$2:$M$17,MATCH(Z388,Venues!$A$2:$A$17,0)),"")</f>
        <v/>
      </c>
      <c r="AE388" s="14">
        <f>IFERROR(INDEX(Venues!$N$2:$N$17,MATCH(Z388,Venues!$A$2:$A$17,0)),"5-a-side")</f>
        <v/>
      </c>
      <c r="AF388" s="16">
        <f>IF(Offer!$C$4="","",Offer!$C$4)</f>
        <v/>
      </c>
      <c r="AG388" s="14">
        <f>Z388&amp;" ("&amp;AA388&amp;" min walk) · "&amp;IF(ISNUMBER(AD388),TEXT(AD388,"ddd d mmm, hh:mm"),"slot to confirm with venue")&amp;" · "&amp;AE388&amp;" · "&amp;IF(AF388&lt;&gt;"","£"&amp;TEXT(AF388,"0.00")&amp;" pp","price TBC")</f>
        <v/>
      </c>
      <c r="AH388" s="14">
        <f>IF(U388&lt;&gt;"",U388,IF(H388&lt;&gt;"",H388,""))</f>
        <v/>
      </c>
      <c r="AI388" s="14">
        <f>"After-work football for "&amp;F388&amp;" · "&amp;Z388&amp;", "&amp;AA388&amp;" min from your office"</f>
        <v/>
      </c>
      <c r="AJ388" s="14">
        <f>"Hi "&amp;IF(R388&lt;&gt;"",R388,F388&amp;" team")&amp;","&amp;CHAR(10)&amp;CHAR(10)&amp;"I'm "&amp;IF(AM388&lt;&gt;"",AM388,IF(Offer!$C$5&lt;&gt;"",Offer!$C$5,"[NAME]"))&amp;" from FC Urban. We organise after-work football for teams in the City and Canary Wharf."&amp;CHAR(10)&amp;CHAR(10)&amp;"We have a "&amp;AE388&amp;" pitch at "&amp;Z388&amp;", "&amp;IF(OR(AA388=8,AA388=11,AA388=18),"an ","a ")&amp;AA388&amp;"-minute walk from your "&amp;P388&amp;" office, "&amp;IF(ISNUMBER(AD388),"on "&amp;TEXT(AD388,"dddd d mmmm")&amp;" at "&amp;TEXT(AD388,"hh:mm"),"on a weekday evening that suits your team")&amp;". It's "&amp;IF(AF388&lt;&gt;"","£"&amp;IF(AF388=INT(AF388),TEXT(AF388,"0"),TEXT(AF388,"0.00")),"[PRICE PER PLAYER]")&amp;" a player and we handle the pitch booking, sign-ups and payments, so all it takes is one person sharing a link with the team."&amp;CHAR(10)&amp;CHAR(10)&amp;"It works well as a team social or "&amp;IF(ISNUMBER(SEARCH(LEFT(F388,1),"AEIOU")),"an ","a ")&amp;F388&amp;"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LINK]")&amp;CHAR(10)&amp;CHAR(10)&amp;"Best,"&amp;CHAR(10)&amp;IF(AM388&lt;&gt;"",AM388,IF(Offer!$C$5&lt;&gt;"",Offer!$C$5,"[NAME]"))&amp;CHAR(10)&amp;"FC Urban"</f>
        <v/>
      </c>
      <c r="AK388" s="14">
        <f>"Hi "&amp;IF(R388&lt;&gt;"",R388,F388&amp;" team")&amp;","&amp;CHAR(10)&amp;CHAR(10)&amp;"Just bumping this up. The "&amp;AE388&amp;" pitch at "&amp;Z388&amp;" is still free "&amp;IF(ISNUMBER(AD388),TEXT(AD388,"ddd d mmm")&amp;", "&amp;TEXT(AD388,"hh:mm"),"weekday evenings")&amp;", "&amp;IF(OR(AA388=8,AA388=11,AA388=18),"an ","a ")&amp;AA388&amp;"-minute walk from your office, "&amp;IF(AF388&lt;&gt;"","£"&amp;IF(AF388=INT(AF388),TEXT(AF388,"0"),TEXT(AF388,"0.00")),"[PRICE PER PLAYER]")&amp;" a player. Happy to hold it for "&amp;F388&amp;"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LINK]")&amp;CHAR(10)&amp;CHAR(10)&amp;"Best,"&amp;CHAR(10)&amp;IF(AM388&lt;&gt;"",AM388,IF(Offer!$C$5&lt;&gt;"",Offer!$C$5,"[NAME]"))&amp;CHAR(10)&amp;"FC Urban"</f>
        <v/>
      </c>
      <c r="AL388" s="14">
        <f>IF(AH388="","No email yet",IF(ISNUMBER(SEARCH("[",AJ388)),"Fill placeholders",IF(ISNUMBER(AD388),"Ready to send","Ready · no fixed slot")))</f>
        <v/>
      </c>
      <c r="AO388" s="17" t="n"/>
      <c r="AP388" s="17" t="n"/>
    </row>
    <row r="389">
      <c r="A389" s="11" t="n">
        <v>387</v>
      </c>
      <c r="B389" s="11" t="n">
        <v>3</v>
      </c>
      <c r="C389" s="11" t="inlineStr">
        <is>
          <t>Insurance / broker</t>
        </is>
      </c>
      <c r="D389" s="11" t="inlineStr">
        <is>
          <t>City of London</t>
        </is>
      </c>
      <c r="E389" s="11" t="inlineStr">
        <is>
          <t>Omnilife Insurance Company Limited</t>
        </is>
      </c>
      <c r="F389" s="11" t="inlineStr">
        <is>
          <t>Omnilife Insurance Company</t>
        </is>
      </c>
      <c r="G389" s="12" t="inlineStr">
        <is>
          <t>https://www.omnilife.com</t>
        </is>
      </c>
      <c r="H389" s="11" t="inlineStr">
        <is>
          <t>creo@omnilife.com</t>
        </is>
      </c>
      <c r="I389" s="11" t="inlineStr">
        <is>
          <t>named person</t>
        </is>
      </c>
      <c r="J389" s="12" t="inlineStr">
        <is>
          <t>Open page</t>
        </is>
      </c>
      <c r="K389" s="11" t="inlineStr">
        <is>
          <t>02294080</t>
        </is>
      </c>
      <c r="L389" s="12" t="inlineStr">
        <is>
          <t>Open</t>
        </is>
      </c>
      <c r="M389" s="11" t="inlineStr">
        <is>
          <t>Full</t>
        </is>
      </c>
      <c r="N389" s="13" t="n">
        <v>32394</v>
      </c>
      <c r="O389" s="11" t="inlineStr">
        <is>
          <t>Level 45, 22 Bishopsgate, London</t>
        </is>
      </c>
      <c r="P389" s="11" t="inlineStr">
        <is>
          <t>EC2N 4BQ</t>
        </is>
      </c>
      <c r="Q389" s="11" t="inlineStr">
        <is>
          <t>No</t>
        </is>
      </c>
      <c r="W389" s="11" t="inlineStr">
        <is>
          <t>Liverpool St - Attlee Centre</t>
        </is>
      </c>
      <c r="X389" s="11" t="n">
        <v>14</v>
      </c>
      <c r="Y389" s="11" t="inlineStr">
        <is>
          <t>City of London School (EC4V 3AL) (18.7); Shoreditch Powerleague (18.7)</t>
        </is>
      </c>
      <c r="Z389" s="11" t="inlineStr">
        <is>
          <t>City of London School (EC4V 3AL)</t>
        </is>
      </c>
      <c r="AA389" s="11" t="n">
        <v>19</v>
      </c>
      <c r="AB389" s="14">
        <f>IFERROR(INDEX(Venues!$E$2:$E$17,MATCH(Z389,Venues!$A$2:$A$17,0)),"Not checked")</f>
        <v/>
      </c>
      <c r="AC389" s="14">
        <f>IFERROR(INDEX(Venues!$F$2:$F$17,MATCH(Z389,Venues!$A$2:$A$17,0)),0)</f>
        <v/>
      </c>
      <c r="AD389" s="15">
        <f>IFERROR(INDEX(Venues!$M$2:$M$17,MATCH(Z389,Venues!$A$2:$A$17,0)),"")</f>
        <v/>
      </c>
      <c r="AE389" s="14">
        <f>IFERROR(INDEX(Venues!$N$2:$N$17,MATCH(Z389,Venues!$A$2:$A$17,0)),"5-a-side")</f>
        <v/>
      </c>
      <c r="AF389" s="16">
        <f>IF(Offer!$C$4="","",Offer!$C$4)</f>
        <v/>
      </c>
      <c r="AG389" s="14">
        <f>Z389&amp;" ("&amp;AA389&amp;" min walk) · "&amp;IF(ISNUMBER(AD389),TEXT(AD389,"ddd d mmm, hh:mm"),"slot to confirm with venue")&amp;" · "&amp;AE389&amp;" · "&amp;IF(AF389&lt;&gt;"","£"&amp;TEXT(AF389,"0.00")&amp;" pp","price TBC")</f>
        <v/>
      </c>
      <c r="AH389" s="14">
        <f>IF(U389&lt;&gt;"",U389,IF(H389&lt;&gt;"",H389,""))</f>
        <v/>
      </c>
      <c r="AI389" s="14">
        <f>"After-work football for "&amp;F389&amp;" · "&amp;Z389&amp;", "&amp;AA389&amp;" min from your office"</f>
        <v/>
      </c>
      <c r="AJ389" s="14">
        <f>"Hi "&amp;IF(R389&lt;&gt;"",R389,F389&amp;" team")&amp;","&amp;CHAR(10)&amp;CHAR(10)&amp;"I'm "&amp;IF(AM389&lt;&gt;"",AM389,IF(Offer!$C$5&lt;&gt;"",Offer!$C$5,"[NAME]"))&amp;" from FC Urban. We organise after-work football for teams in the City and Canary Wharf."&amp;CHAR(10)&amp;CHAR(10)&amp;"We have a "&amp;AE389&amp;" pitch at "&amp;Z389&amp;", "&amp;IF(OR(AA389=8,AA389=11,AA389=18),"an ","a ")&amp;AA389&amp;"-minute walk from your "&amp;P389&amp;" office, "&amp;IF(ISNUMBER(AD389),"on "&amp;TEXT(AD389,"dddd d mmmm")&amp;" at "&amp;TEXT(AD389,"hh:mm"),"on a weekday evening that suits your team")&amp;". It's "&amp;IF(AF389&lt;&gt;"","£"&amp;IF(AF389=INT(AF389),TEXT(AF389,"0"),TEXT(AF389,"0.00")),"[PRICE PER PLAYER]")&amp;" a player and we handle the pitch booking, sign-ups and payments, so all it takes is one person sharing a link with the team."&amp;CHAR(10)&amp;CHAR(10)&amp;"It works well as a team social or "&amp;IF(ISNUMBER(SEARCH(LEFT(F389,1),"AEIOU")),"an ","a ")&amp;F389&amp;"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LINK]")&amp;CHAR(10)&amp;CHAR(10)&amp;"Best,"&amp;CHAR(10)&amp;IF(AM389&lt;&gt;"",AM389,IF(Offer!$C$5&lt;&gt;"",Offer!$C$5,"[NAME]"))&amp;CHAR(10)&amp;"FC Urban"</f>
        <v/>
      </c>
      <c r="AK389" s="14">
        <f>"Hi "&amp;IF(R389&lt;&gt;"",R389,F389&amp;" team")&amp;","&amp;CHAR(10)&amp;CHAR(10)&amp;"Just bumping this up. The "&amp;AE389&amp;" pitch at "&amp;Z389&amp;" is still free "&amp;IF(ISNUMBER(AD389),TEXT(AD389,"ddd d mmm")&amp;", "&amp;TEXT(AD389,"hh:mm"),"weekday evenings")&amp;", "&amp;IF(OR(AA389=8,AA389=11,AA389=18),"an ","a ")&amp;AA389&amp;"-minute walk from your office, "&amp;IF(AF389&lt;&gt;"","£"&amp;IF(AF389=INT(AF389),TEXT(AF389,"0"),TEXT(AF389,"0.00")),"[PRICE PER PLAYER]")&amp;" a player. Happy to hold it for "&amp;F389&amp;"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LINK]")&amp;CHAR(10)&amp;CHAR(10)&amp;"Best,"&amp;CHAR(10)&amp;IF(AM389&lt;&gt;"",AM389,IF(Offer!$C$5&lt;&gt;"",Offer!$C$5,"[NAME]"))&amp;CHAR(10)&amp;"FC Urban"</f>
        <v/>
      </c>
      <c r="AL389" s="14">
        <f>IF(AH389="","No email yet",IF(ISNUMBER(SEARCH("[",AJ389)),"Fill placeholders",IF(ISNUMBER(AD389),"Ready to send","Ready · no fixed slot")))</f>
        <v/>
      </c>
      <c r="AO389" s="17" t="n"/>
      <c r="AP389" s="17" t="n"/>
    </row>
    <row r="390">
      <c r="A390" s="11" t="n">
        <v>388</v>
      </c>
      <c r="B390" s="11" t="n">
        <v>3</v>
      </c>
      <c r="C390" s="11" t="inlineStr">
        <is>
          <t>Insurance / broker</t>
        </is>
      </c>
      <c r="D390" s="11" t="inlineStr">
        <is>
          <t>City of London</t>
        </is>
      </c>
      <c r="E390" s="11" t="inlineStr">
        <is>
          <t>Pelagos Insurance Capital Underwriting Limited</t>
        </is>
      </c>
      <c r="F390" s="11" t="inlineStr">
        <is>
          <t>Pelagos Insurance Capital Underwriting</t>
        </is>
      </c>
      <c r="G390" s="12" t="inlineStr">
        <is>
          <t>https://www.pelagos.com</t>
        </is>
      </c>
      <c r="H390" s="11" t="inlineStr">
        <is>
          <t>hello@pelagos.com</t>
        </is>
      </c>
      <c r="I390" s="11" t="inlineStr">
        <is>
          <t>general</t>
        </is>
      </c>
      <c r="J390" s="12" t="inlineStr">
        <is>
          <t>Open page</t>
        </is>
      </c>
      <c r="K390" s="11" t="inlineStr">
        <is>
          <t>09753615</t>
        </is>
      </c>
      <c r="L390" s="12" t="inlineStr">
        <is>
          <t>Open</t>
        </is>
      </c>
      <c r="M390" s="11" t="inlineStr">
        <is>
          <t>Full</t>
        </is>
      </c>
      <c r="N390" s="13" t="n">
        <v>42244</v>
      </c>
      <c r="O390" s="11" t="inlineStr">
        <is>
          <t>22 Bishopsgate, 43Rd Floor, London</t>
        </is>
      </c>
      <c r="P390" s="11" t="inlineStr">
        <is>
          <t>EC2N 4BQ</t>
        </is>
      </c>
      <c r="Q390" s="11" t="inlineStr">
        <is>
          <t>No</t>
        </is>
      </c>
      <c r="W390" s="11" t="inlineStr">
        <is>
          <t>Liverpool St - Attlee Centre</t>
        </is>
      </c>
      <c r="X390" s="11" t="n">
        <v>14</v>
      </c>
      <c r="Y390" s="11" t="inlineStr">
        <is>
          <t>City of London School (EC4V 3AL) (18.7); Shoreditch Powerleague (18.7)</t>
        </is>
      </c>
      <c r="Z390" s="11" t="inlineStr">
        <is>
          <t>City of London School (EC4V 3AL)</t>
        </is>
      </c>
      <c r="AA390" s="11" t="n">
        <v>19</v>
      </c>
      <c r="AB390" s="14">
        <f>IFERROR(INDEX(Venues!$E$2:$E$17,MATCH(Z390,Venues!$A$2:$A$17,0)),"Not checked")</f>
        <v/>
      </c>
      <c r="AC390" s="14">
        <f>IFERROR(INDEX(Venues!$F$2:$F$17,MATCH(Z390,Venues!$A$2:$A$17,0)),0)</f>
        <v/>
      </c>
      <c r="AD390" s="15">
        <f>IFERROR(INDEX(Venues!$M$2:$M$17,MATCH(Z390,Venues!$A$2:$A$17,0)),"")</f>
        <v/>
      </c>
      <c r="AE390" s="14">
        <f>IFERROR(INDEX(Venues!$N$2:$N$17,MATCH(Z390,Venues!$A$2:$A$17,0)),"5-a-side")</f>
        <v/>
      </c>
      <c r="AF390" s="16">
        <f>IF(Offer!$C$4="","",Offer!$C$4)</f>
        <v/>
      </c>
      <c r="AG390" s="14">
        <f>Z390&amp;" ("&amp;AA390&amp;" min walk) · "&amp;IF(ISNUMBER(AD390),TEXT(AD390,"ddd d mmm, hh:mm"),"slot to confirm with venue")&amp;" · "&amp;AE390&amp;" · "&amp;IF(AF390&lt;&gt;"","£"&amp;TEXT(AF390,"0.00")&amp;" pp","price TBC")</f>
        <v/>
      </c>
      <c r="AH390" s="14">
        <f>IF(U390&lt;&gt;"",U390,IF(H390&lt;&gt;"",H390,""))</f>
        <v/>
      </c>
      <c r="AI390" s="14">
        <f>"After-work football for "&amp;F390&amp;" · "&amp;Z390&amp;", "&amp;AA390&amp;" min from your office"</f>
        <v/>
      </c>
      <c r="AJ390" s="14">
        <f>"Hi "&amp;IF(R390&lt;&gt;"",R390,F390&amp;" team")&amp;","&amp;CHAR(10)&amp;CHAR(10)&amp;"I'm "&amp;IF(AM390&lt;&gt;"",AM390,IF(Offer!$C$5&lt;&gt;"",Offer!$C$5,"[NAME]"))&amp;" from FC Urban. We organise after-work football for teams in the City and Canary Wharf."&amp;CHAR(10)&amp;CHAR(10)&amp;"We have a "&amp;AE390&amp;" pitch at "&amp;Z390&amp;", "&amp;IF(OR(AA390=8,AA390=11,AA390=18),"an ","a ")&amp;AA390&amp;"-minute walk from your "&amp;P390&amp;" office, "&amp;IF(ISNUMBER(AD390),"on "&amp;TEXT(AD390,"dddd d mmmm")&amp;" at "&amp;TEXT(AD390,"hh:mm"),"on a weekday evening that suits your team")&amp;". It's "&amp;IF(AF390&lt;&gt;"","£"&amp;IF(AF390=INT(AF390),TEXT(AF390,"0"),TEXT(AF390,"0.00")),"[PRICE PER PLAYER]")&amp;" a player and we handle the pitch booking, sign-ups and payments, so all it takes is one person sharing a link with the team."&amp;CHAR(10)&amp;CHAR(10)&amp;"It works well as a team social or "&amp;IF(ISNUMBER(SEARCH(LEFT(F390,1),"AEIOU")),"an ","a ")&amp;F390&amp;"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LINK]")&amp;CHAR(10)&amp;CHAR(10)&amp;"Best,"&amp;CHAR(10)&amp;IF(AM390&lt;&gt;"",AM390,IF(Offer!$C$5&lt;&gt;"",Offer!$C$5,"[NAME]"))&amp;CHAR(10)&amp;"FC Urban"</f>
        <v/>
      </c>
      <c r="AK390" s="14">
        <f>"Hi "&amp;IF(R390&lt;&gt;"",R390,F390&amp;" team")&amp;","&amp;CHAR(10)&amp;CHAR(10)&amp;"Just bumping this up. The "&amp;AE390&amp;" pitch at "&amp;Z390&amp;" is still free "&amp;IF(ISNUMBER(AD390),TEXT(AD390,"ddd d mmm")&amp;", "&amp;TEXT(AD390,"hh:mm"),"weekday evenings")&amp;", "&amp;IF(OR(AA390=8,AA390=11,AA390=18),"an ","a ")&amp;AA390&amp;"-minute walk from your office, "&amp;IF(AF390&lt;&gt;"","£"&amp;IF(AF390=INT(AF390),TEXT(AF390,"0"),TEXT(AF390,"0.00")),"[PRICE PER PLAYER]")&amp;" a player. Happy to hold it for "&amp;F390&amp;"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LINK]")&amp;CHAR(10)&amp;CHAR(10)&amp;"Best,"&amp;CHAR(10)&amp;IF(AM390&lt;&gt;"",AM390,IF(Offer!$C$5&lt;&gt;"",Offer!$C$5,"[NAME]"))&amp;CHAR(10)&amp;"FC Urban"</f>
        <v/>
      </c>
      <c r="AL390" s="14">
        <f>IF(AH390="","No email yet",IF(ISNUMBER(SEARCH("[",AJ390)),"Fill placeholders",IF(ISNUMBER(AD390),"Ready to send","Ready · no fixed slot")))</f>
        <v/>
      </c>
      <c r="AO390" s="17" t="n"/>
      <c r="AP390" s="17" t="n"/>
    </row>
    <row r="391">
      <c r="A391" s="11" t="n">
        <v>389</v>
      </c>
      <c r="B391" s="11" t="n">
        <v>3</v>
      </c>
      <c r="C391" s="11" t="inlineStr">
        <is>
          <t>Insurance / broker</t>
        </is>
      </c>
      <c r="D391" s="11" t="inlineStr">
        <is>
          <t>City of London</t>
        </is>
      </c>
      <c r="E391" s="11" t="inlineStr">
        <is>
          <t>Redriff Underwriting Limited</t>
        </is>
      </c>
      <c r="F391" s="11" t="inlineStr">
        <is>
          <t>Redriff Underwriting</t>
        </is>
      </c>
      <c r="G391" s="12" t="inlineStr">
        <is>
          <t>https://redriff.cola.org.uk</t>
        </is>
      </c>
      <c r="H391" s="11" t="inlineStr">
        <is>
          <t>enquiries@cola.org.uk</t>
        </is>
      </c>
      <c r="I391" s="11" t="inlineStr">
        <is>
          <t>general</t>
        </is>
      </c>
      <c r="J391" s="12" t="inlineStr">
        <is>
          <t>Open page</t>
        </is>
      </c>
      <c r="K391" s="11" t="inlineStr">
        <is>
          <t>15266996</t>
        </is>
      </c>
      <c r="L391" s="12" t="inlineStr">
        <is>
          <t>Open</t>
        </is>
      </c>
      <c r="M391" s="11" t="inlineStr">
        <is>
          <t>Full</t>
        </is>
      </c>
      <c r="N391" s="13" t="n">
        <v>45237</v>
      </c>
      <c r="O391" s="11" t="inlineStr">
        <is>
          <t>The Hallmark Building, 2Nd Floor, 52-56 Leadenhall Street, London</t>
        </is>
      </c>
      <c r="P391" s="11" t="inlineStr">
        <is>
          <t>EC3A 2BJ</t>
        </is>
      </c>
      <c r="Q391" s="11" t="inlineStr">
        <is>
          <t>No</t>
        </is>
      </c>
      <c r="W391" s="11" t="inlineStr">
        <is>
          <t>Liverpool St - Attlee Centre</t>
        </is>
      </c>
      <c r="X391" s="11" t="n">
        <v>11</v>
      </c>
      <c r="Y391" s="11" t="inlineStr">
        <is>
          <t>Shoreditch Powerleague (18.7)</t>
        </is>
      </c>
      <c r="Z391" s="11" t="inlineStr">
        <is>
          <t>Shoreditch Powerleague</t>
        </is>
      </c>
      <c r="AA391" s="11" t="n">
        <v>19</v>
      </c>
      <c r="AB391" s="14">
        <f>IFERROR(INDEX(Venues!$E$2:$E$17,MATCH(Z391,Venues!$A$2:$A$17,0)),"Not checked")</f>
        <v/>
      </c>
      <c r="AC391" s="14">
        <f>IFERROR(INDEX(Venues!$F$2:$F$17,MATCH(Z391,Venues!$A$2:$A$17,0)),0)</f>
        <v/>
      </c>
      <c r="AD391" s="15">
        <f>IFERROR(INDEX(Venues!$M$2:$M$17,MATCH(Z391,Venues!$A$2:$A$17,0)),"")</f>
        <v/>
      </c>
      <c r="AE391" s="14">
        <f>IFERROR(INDEX(Venues!$N$2:$N$17,MATCH(Z391,Venues!$A$2:$A$17,0)),"5-a-side")</f>
        <v/>
      </c>
      <c r="AF391" s="16">
        <f>IF(Offer!$C$4="","",Offer!$C$4)</f>
        <v/>
      </c>
      <c r="AG391" s="14">
        <f>Z391&amp;" ("&amp;AA391&amp;" min walk) · "&amp;IF(ISNUMBER(AD391),TEXT(AD391,"ddd d mmm, hh:mm"),"slot to confirm with venue")&amp;" · "&amp;AE391&amp;" · "&amp;IF(AF391&lt;&gt;"","£"&amp;TEXT(AF391,"0.00")&amp;" pp","price TBC")</f>
        <v/>
      </c>
      <c r="AH391" s="14">
        <f>IF(U391&lt;&gt;"",U391,IF(H391&lt;&gt;"",H391,""))</f>
        <v/>
      </c>
      <c r="AI391" s="14">
        <f>"After-work football for "&amp;F391&amp;" · "&amp;Z391&amp;", "&amp;AA391&amp;" min from your office"</f>
        <v/>
      </c>
      <c r="AJ391" s="14">
        <f>"Hi "&amp;IF(R391&lt;&gt;"",R391,F391&amp;" team")&amp;","&amp;CHAR(10)&amp;CHAR(10)&amp;"I'm "&amp;IF(AM391&lt;&gt;"",AM391,IF(Offer!$C$5&lt;&gt;"",Offer!$C$5,"[NAME]"))&amp;" from FC Urban. We organise after-work football for teams in the City and Canary Wharf."&amp;CHAR(10)&amp;CHAR(10)&amp;"We have a "&amp;AE391&amp;" pitch at "&amp;Z391&amp;", "&amp;IF(OR(AA391=8,AA391=11,AA391=18),"an ","a ")&amp;AA391&amp;"-minute walk from your "&amp;P391&amp;" office, "&amp;IF(ISNUMBER(AD391),"on "&amp;TEXT(AD391,"dddd d mmmm")&amp;" at "&amp;TEXT(AD391,"hh:mm"),"on a weekday evening that suits your team")&amp;". It's "&amp;IF(AF391&lt;&gt;"","£"&amp;IF(AF391=INT(AF391),TEXT(AF391,"0"),TEXT(AF391,"0.00")),"[PRICE PER PLAYER]")&amp;" a player and we handle the pitch booking, sign-ups and payments, so all it takes is one person sharing a link with the team."&amp;CHAR(10)&amp;CHAR(10)&amp;"It works well as a team social or "&amp;IF(ISNUMBER(SEARCH(LEFT(F391,1),"AEIOU")),"an ","a ")&amp;F391&amp;"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LINK]")&amp;CHAR(10)&amp;CHAR(10)&amp;"Best,"&amp;CHAR(10)&amp;IF(AM391&lt;&gt;"",AM391,IF(Offer!$C$5&lt;&gt;"",Offer!$C$5,"[NAME]"))&amp;CHAR(10)&amp;"FC Urban"</f>
        <v/>
      </c>
      <c r="AK391" s="14">
        <f>"Hi "&amp;IF(R391&lt;&gt;"",R391,F391&amp;" team")&amp;","&amp;CHAR(10)&amp;CHAR(10)&amp;"Just bumping this up. The "&amp;AE391&amp;" pitch at "&amp;Z391&amp;" is still free "&amp;IF(ISNUMBER(AD391),TEXT(AD391,"ddd d mmm")&amp;", "&amp;TEXT(AD391,"hh:mm"),"weekday evenings")&amp;", "&amp;IF(OR(AA391=8,AA391=11,AA391=18),"an ","a ")&amp;AA391&amp;"-minute walk from your office, "&amp;IF(AF391&lt;&gt;"","£"&amp;IF(AF391=INT(AF391),TEXT(AF391,"0"),TEXT(AF391,"0.00")),"[PRICE PER PLAYER]")&amp;" a player. Happy to hold it for "&amp;F391&amp;"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LINK]")&amp;CHAR(10)&amp;CHAR(10)&amp;"Best,"&amp;CHAR(10)&amp;IF(AM391&lt;&gt;"",AM391,IF(Offer!$C$5&lt;&gt;"",Offer!$C$5,"[NAME]"))&amp;CHAR(10)&amp;"FC Urban"</f>
        <v/>
      </c>
      <c r="AL391" s="14">
        <f>IF(AH391="","No email yet",IF(ISNUMBER(SEARCH("[",AJ391)),"Fill placeholders",IF(ISNUMBER(AD391),"Ready to send","Ready · no fixed slot")))</f>
        <v/>
      </c>
      <c r="AO391" s="17" t="n"/>
      <c r="AP391" s="17" t="n"/>
    </row>
    <row r="392">
      <c r="A392" s="11" t="n">
        <v>390</v>
      </c>
      <c r="B392" s="11" t="n">
        <v>3</v>
      </c>
      <c r="C392" s="11" t="inlineStr">
        <is>
          <t>Insurance / broker</t>
        </is>
      </c>
      <c r="D392" s="11" t="inlineStr">
        <is>
          <t>City of London</t>
        </is>
      </c>
      <c r="E392" s="11" t="inlineStr">
        <is>
          <t>RGA Capital Limited</t>
        </is>
      </c>
      <c r="F392" s="11" t="inlineStr">
        <is>
          <t>RGA Capital</t>
        </is>
      </c>
      <c r="G392" s="12" t="inlineStr">
        <is>
          <t>https://www.rga.com</t>
        </is>
      </c>
      <c r="H392" s="11" t="inlineStr">
        <is>
          <t>kate.neill@rga.com</t>
        </is>
      </c>
      <c r="I392" s="11" t="inlineStr">
        <is>
          <t>named person</t>
        </is>
      </c>
      <c r="J392" s="12" t="inlineStr">
        <is>
          <t>Open page</t>
        </is>
      </c>
      <c r="K392" s="11" t="inlineStr">
        <is>
          <t>03095865</t>
        </is>
      </c>
      <c r="L392" s="12" t="inlineStr">
        <is>
          <t>Open</t>
        </is>
      </c>
      <c r="M392" s="11" t="inlineStr">
        <is>
          <t>Full</t>
        </is>
      </c>
      <c r="N392" s="13" t="n">
        <v>34940</v>
      </c>
      <c r="O392" s="11" t="inlineStr">
        <is>
          <t>Level 45, 22 Bishopsgate, London</t>
        </is>
      </c>
      <c r="P392" s="11" t="inlineStr">
        <is>
          <t>EC2N 4BQ</t>
        </is>
      </c>
      <c r="Q392" s="11" t="inlineStr">
        <is>
          <t>No</t>
        </is>
      </c>
      <c r="W392" s="11" t="inlineStr">
        <is>
          <t>Liverpool St - Attlee Centre</t>
        </is>
      </c>
      <c r="X392" s="11" t="n">
        <v>14</v>
      </c>
      <c r="Y392" s="11" t="inlineStr">
        <is>
          <t>City of London School (EC4V 3AL) (18.7); Shoreditch Powerleague (18.7)</t>
        </is>
      </c>
      <c r="Z392" s="11" t="inlineStr">
        <is>
          <t>City of London School (EC4V 3AL)</t>
        </is>
      </c>
      <c r="AA392" s="11" t="n">
        <v>19</v>
      </c>
      <c r="AB392" s="14">
        <f>IFERROR(INDEX(Venues!$E$2:$E$17,MATCH(Z392,Venues!$A$2:$A$17,0)),"Not checked")</f>
        <v/>
      </c>
      <c r="AC392" s="14">
        <f>IFERROR(INDEX(Venues!$F$2:$F$17,MATCH(Z392,Venues!$A$2:$A$17,0)),0)</f>
        <v/>
      </c>
      <c r="AD392" s="15">
        <f>IFERROR(INDEX(Venues!$M$2:$M$17,MATCH(Z392,Venues!$A$2:$A$17,0)),"")</f>
        <v/>
      </c>
      <c r="AE392" s="14">
        <f>IFERROR(INDEX(Venues!$N$2:$N$17,MATCH(Z392,Venues!$A$2:$A$17,0)),"5-a-side")</f>
        <v/>
      </c>
      <c r="AF392" s="16">
        <f>IF(Offer!$C$4="","",Offer!$C$4)</f>
        <v/>
      </c>
      <c r="AG392" s="14">
        <f>Z392&amp;" ("&amp;AA392&amp;" min walk) · "&amp;IF(ISNUMBER(AD392),TEXT(AD392,"ddd d mmm, hh:mm"),"slot to confirm with venue")&amp;" · "&amp;AE392&amp;" · "&amp;IF(AF392&lt;&gt;"","£"&amp;TEXT(AF392,"0.00")&amp;" pp","price TBC")</f>
        <v/>
      </c>
      <c r="AH392" s="14">
        <f>IF(U392&lt;&gt;"",U392,IF(H392&lt;&gt;"",H392,""))</f>
        <v/>
      </c>
      <c r="AI392" s="14">
        <f>"After-work football for "&amp;F392&amp;" · "&amp;Z392&amp;", "&amp;AA392&amp;" min from your office"</f>
        <v/>
      </c>
      <c r="AJ392" s="14">
        <f>"Hi "&amp;IF(R392&lt;&gt;"",R392,F392&amp;" team")&amp;","&amp;CHAR(10)&amp;CHAR(10)&amp;"I'm "&amp;IF(AM392&lt;&gt;"",AM392,IF(Offer!$C$5&lt;&gt;"",Offer!$C$5,"[NAME]"))&amp;" from FC Urban. We organise after-work football for teams in the City and Canary Wharf."&amp;CHAR(10)&amp;CHAR(10)&amp;"We have a "&amp;AE392&amp;" pitch at "&amp;Z392&amp;", "&amp;IF(OR(AA392=8,AA392=11,AA392=18),"an ","a ")&amp;AA392&amp;"-minute walk from your "&amp;P392&amp;" office, "&amp;IF(ISNUMBER(AD392),"on "&amp;TEXT(AD392,"dddd d mmmm")&amp;" at "&amp;TEXT(AD392,"hh:mm"),"on a weekday evening that suits your team")&amp;". It's "&amp;IF(AF392&lt;&gt;"","£"&amp;IF(AF392=INT(AF392),TEXT(AF392,"0"),TEXT(AF392,"0.00")),"[PRICE PER PLAYER]")&amp;" a player and we handle the pitch booking, sign-ups and payments, so all it takes is one person sharing a link with the team."&amp;CHAR(10)&amp;CHAR(10)&amp;"It works well as a team social or "&amp;IF(ISNUMBER(SEARCH(LEFT(F392,1),"AEIOU")),"an ","a ")&amp;F392&amp;"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LINK]")&amp;CHAR(10)&amp;CHAR(10)&amp;"Best,"&amp;CHAR(10)&amp;IF(AM392&lt;&gt;"",AM392,IF(Offer!$C$5&lt;&gt;"",Offer!$C$5,"[NAME]"))&amp;CHAR(10)&amp;"FC Urban"</f>
        <v/>
      </c>
      <c r="AK392" s="14">
        <f>"Hi "&amp;IF(R392&lt;&gt;"",R392,F392&amp;" team")&amp;","&amp;CHAR(10)&amp;CHAR(10)&amp;"Just bumping this up. The "&amp;AE392&amp;" pitch at "&amp;Z392&amp;" is still free "&amp;IF(ISNUMBER(AD392),TEXT(AD392,"ddd d mmm")&amp;", "&amp;TEXT(AD392,"hh:mm"),"weekday evenings")&amp;", "&amp;IF(OR(AA392=8,AA392=11,AA392=18),"an ","a ")&amp;AA392&amp;"-minute walk from your office, "&amp;IF(AF392&lt;&gt;"","£"&amp;IF(AF392=INT(AF392),TEXT(AF392,"0"),TEXT(AF392,"0.00")),"[PRICE PER PLAYER]")&amp;" a player. Happy to hold it for "&amp;F392&amp;"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LINK]")&amp;CHAR(10)&amp;CHAR(10)&amp;"Best,"&amp;CHAR(10)&amp;IF(AM392&lt;&gt;"",AM392,IF(Offer!$C$5&lt;&gt;"",Offer!$C$5,"[NAME]"))&amp;CHAR(10)&amp;"FC Urban"</f>
        <v/>
      </c>
      <c r="AL392" s="14">
        <f>IF(AH392="","No email yet",IF(ISNUMBER(SEARCH("[",AJ392)),"Fill placeholders",IF(ISNUMBER(AD392),"Ready to send","Ready · no fixed slot")))</f>
        <v/>
      </c>
      <c r="AO392" s="17" t="n"/>
      <c r="AP392" s="17" t="n"/>
    </row>
    <row r="393">
      <c r="A393" s="11" t="n">
        <v>391</v>
      </c>
      <c r="B393" s="11" t="n">
        <v>3</v>
      </c>
      <c r="C393" s="11" t="inlineStr">
        <is>
          <t>Insurance / broker</t>
        </is>
      </c>
      <c r="D393" s="11" t="inlineStr">
        <is>
          <t>City of London</t>
        </is>
      </c>
      <c r="E393" s="11" t="inlineStr">
        <is>
          <t>SCOR UK Company Limited</t>
        </is>
      </c>
      <c r="F393" s="11" t="inlineStr">
        <is>
          <t>SCOR UK Company</t>
        </is>
      </c>
      <c r="G393" s="12" t="inlineStr">
        <is>
          <t>https://www.scor.com</t>
        </is>
      </c>
      <c r="H393" s="11" t="inlineStr">
        <is>
          <t>agarcia3@scor.com</t>
        </is>
      </c>
      <c r="I393" s="11" t="inlineStr">
        <is>
          <t>role (other)</t>
        </is>
      </c>
      <c r="J393" s="12" t="inlineStr">
        <is>
          <t>Open page</t>
        </is>
      </c>
      <c r="K393" s="11" t="inlineStr">
        <is>
          <t>01334736</t>
        </is>
      </c>
      <c r="L393" s="12" t="inlineStr">
        <is>
          <t>Open</t>
        </is>
      </c>
      <c r="M393" s="11" t="inlineStr">
        <is>
          <t>Full</t>
        </is>
      </c>
      <c r="N393" s="13" t="n">
        <v>28417</v>
      </c>
      <c r="O393" s="11" t="inlineStr">
        <is>
          <t>Level 6,, 8 Bishopsgate, London</t>
        </is>
      </c>
      <c r="P393" s="11" t="inlineStr">
        <is>
          <t>EC2N 4BQ</t>
        </is>
      </c>
      <c r="Q393" s="11" t="inlineStr">
        <is>
          <t>Yes</t>
        </is>
      </c>
      <c r="W393" s="11" t="inlineStr">
        <is>
          <t>Liverpool St - Attlee Centre</t>
        </is>
      </c>
      <c r="X393" s="11" t="n">
        <v>14</v>
      </c>
      <c r="Y393" s="11" t="inlineStr">
        <is>
          <t>City of London School (EC4V 3AL) (18.7); Shoreditch Powerleague (18.7)</t>
        </is>
      </c>
      <c r="Z393" s="11" t="inlineStr">
        <is>
          <t>City of London School (EC4V 3AL)</t>
        </is>
      </c>
      <c r="AA393" s="11" t="n">
        <v>19</v>
      </c>
      <c r="AB393" s="14">
        <f>IFERROR(INDEX(Venues!$E$2:$E$17,MATCH(Z393,Venues!$A$2:$A$17,0)),"Not checked")</f>
        <v/>
      </c>
      <c r="AC393" s="14">
        <f>IFERROR(INDEX(Venues!$F$2:$F$17,MATCH(Z393,Venues!$A$2:$A$17,0)),0)</f>
        <v/>
      </c>
      <c r="AD393" s="15">
        <f>IFERROR(INDEX(Venues!$M$2:$M$17,MATCH(Z393,Venues!$A$2:$A$17,0)),"")</f>
        <v/>
      </c>
      <c r="AE393" s="14">
        <f>IFERROR(INDEX(Venues!$N$2:$N$17,MATCH(Z393,Venues!$A$2:$A$17,0)),"5-a-side")</f>
        <v/>
      </c>
      <c r="AF393" s="16">
        <f>IF(Offer!$C$4="","",Offer!$C$4)</f>
        <v/>
      </c>
      <c r="AG393" s="14">
        <f>Z393&amp;" ("&amp;AA393&amp;" min walk) · "&amp;IF(ISNUMBER(AD393),TEXT(AD393,"ddd d mmm, hh:mm"),"slot to confirm with venue")&amp;" · "&amp;AE393&amp;" · "&amp;IF(AF393&lt;&gt;"","£"&amp;TEXT(AF393,"0.00")&amp;" pp","price TBC")</f>
        <v/>
      </c>
      <c r="AH393" s="14">
        <f>IF(U393&lt;&gt;"",U393,IF(H393&lt;&gt;"",H393,""))</f>
        <v/>
      </c>
      <c r="AI393" s="14">
        <f>"After-work football for "&amp;F393&amp;" · "&amp;Z393&amp;", "&amp;AA393&amp;" min from your office"</f>
        <v/>
      </c>
      <c r="AJ393" s="14">
        <f>"Hi "&amp;IF(R393&lt;&gt;"",R393,F393&amp;" team")&amp;","&amp;CHAR(10)&amp;CHAR(10)&amp;"I'm "&amp;IF(AM393&lt;&gt;"",AM393,IF(Offer!$C$5&lt;&gt;"",Offer!$C$5,"[NAME]"))&amp;" from FC Urban. We organise after-work football for teams in the City and Canary Wharf."&amp;CHAR(10)&amp;CHAR(10)&amp;"We have a "&amp;AE393&amp;" pitch at "&amp;Z393&amp;", "&amp;IF(OR(AA393=8,AA393=11,AA393=18),"an ","a ")&amp;AA393&amp;"-minute walk from your "&amp;P393&amp;" office, "&amp;IF(ISNUMBER(AD393),"on "&amp;TEXT(AD393,"dddd d mmmm")&amp;" at "&amp;TEXT(AD393,"hh:mm"),"on a weekday evening that suits your team")&amp;". It's "&amp;IF(AF393&lt;&gt;"","£"&amp;IF(AF393=INT(AF393),TEXT(AF393,"0"),TEXT(AF393,"0.00")),"[PRICE PER PLAYER]")&amp;" a player and we handle the pitch booking, sign-ups and payments, so all it takes is one person sharing a link with the team."&amp;CHAR(10)&amp;CHAR(10)&amp;"It works well as a team social or "&amp;IF(ISNUMBER(SEARCH(LEFT(F393,1),"AEIOU")),"an ","a ")&amp;F393&amp;"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LINK]")&amp;CHAR(10)&amp;CHAR(10)&amp;"Best,"&amp;CHAR(10)&amp;IF(AM393&lt;&gt;"",AM393,IF(Offer!$C$5&lt;&gt;"",Offer!$C$5,"[NAME]"))&amp;CHAR(10)&amp;"FC Urban"</f>
        <v/>
      </c>
      <c r="AK393" s="14">
        <f>"Hi "&amp;IF(R393&lt;&gt;"",R393,F393&amp;" team")&amp;","&amp;CHAR(10)&amp;CHAR(10)&amp;"Just bumping this up. The "&amp;AE393&amp;" pitch at "&amp;Z393&amp;" is still free "&amp;IF(ISNUMBER(AD393),TEXT(AD393,"ddd d mmm")&amp;", "&amp;TEXT(AD393,"hh:mm"),"weekday evenings")&amp;", "&amp;IF(OR(AA393=8,AA393=11,AA393=18),"an ","a ")&amp;AA393&amp;"-minute walk from your office, "&amp;IF(AF393&lt;&gt;"","£"&amp;IF(AF393=INT(AF393),TEXT(AF393,"0"),TEXT(AF393,"0.00")),"[PRICE PER PLAYER]")&amp;" a player. Happy to hold it for "&amp;F393&amp;"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LINK]")&amp;CHAR(10)&amp;CHAR(10)&amp;"Best,"&amp;CHAR(10)&amp;IF(AM393&lt;&gt;"",AM393,IF(Offer!$C$5&lt;&gt;"",Offer!$C$5,"[NAME]"))&amp;CHAR(10)&amp;"FC Urban"</f>
        <v/>
      </c>
      <c r="AL393" s="14">
        <f>IF(AH393="","No email yet",IF(ISNUMBER(SEARCH("[",AJ393)),"Fill placeholders",IF(ISNUMBER(AD393),"Ready to send","Ready · no fixed slot")))</f>
        <v/>
      </c>
      <c r="AO393" s="17" t="n"/>
      <c r="AP393" s="17" t="n"/>
    </row>
    <row r="394">
      <c r="A394" s="11" t="n">
        <v>392</v>
      </c>
      <c r="B394" s="11" t="n">
        <v>3</v>
      </c>
      <c r="C394" s="11" t="inlineStr">
        <is>
          <t>Insurance / broker</t>
        </is>
      </c>
      <c r="D394" s="11" t="inlineStr">
        <is>
          <t>City of London</t>
        </is>
      </c>
      <c r="E394" s="11" t="inlineStr">
        <is>
          <t>Sevanta Specialty Liability Limited</t>
        </is>
      </c>
      <c r="F394" s="11" t="inlineStr">
        <is>
          <t>Sevanta Specialty Liability</t>
        </is>
      </c>
      <c r="G394" s="12" t="inlineStr">
        <is>
          <t>https://www.sevantaspecialty.com</t>
        </is>
      </c>
      <c r="H394" s="11" t="inlineStr">
        <is>
          <t>info@sevantaspecialty.com</t>
        </is>
      </c>
      <c r="I394" s="11" t="inlineStr">
        <is>
          <t>general</t>
        </is>
      </c>
      <c r="J394" s="12" t="inlineStr">
        <is>
          <t>Open page</t>
        </is>
      </c>
      <c r="K394" s="11" t="inlineStr">
        <is>
          <t>15961326</t>
        </is>
      </c>
      <c r="L394" s="12" t="inlineStr">
        <is>
          <t>Open</t>
        </is>
      </c>
      <c r="M394" s="11" t="inlineStr">
        <is>
          <t>Full</t>
        </is>
      </c>
      <c r="N394" s="13" t="n">
        <v>45552</v>
      </c>
      <c r="O394" s="11" t="inlineStr">
        <is>
          <t>22 Bishopsgate, Level 42, London</t>
        </is>
      </c>
      <c r="P394" s="11" t="inlineStr">
        <is>
          <t>EC2N 4BQ</t>
        </is>
      </c>
      <c r="Q394" s="11" t="inlineStr">
        <is>
          <t>No</t>
        </is>
      </c>
      <c r="W394" s="11" t="inlineStr">
        <is>
          <t>Liverpool St - Attlee Centre</t>
        </is>
      </c>
      <c r="X394" s="11" t="n">
        <v>14</v>
      </c>
      <c r="Y394" s="11" t="inlineStr">
        <is>
          <t>City of London School (EC4V 3AL) (18.7); Shoreditch Powerleague (18.7)</t>
        </is>
      </c>
      <c r="Z394" s="11" t="inlineStr">
        <is>
          <t>City of London School (EC4V 3AL)</t>
        </is>
      </c>
      <c r="AA394" s="11" t="n">
        <v>19</v>
      </c>
      <c r="AB394" s="14">
        <f>IFERROR(INDEX(Venues!$E$2:$E$17,MATCH(Z394,Venues!$A$2:$A$17,0)),"Not checked")</f>
        <v/>
      </c>
      <c r="AC394" s="14">
        <f>IFERROR(INDEX(Venues!$F$2:$F$17,MATCH(Z394,Venues!$A$2:$A$17,0)),0)</f>
        <v/>
      </c>
      <c r="AD394" s="15">
        <f>IFERROR(INDEX(Venues!$M$2:$M$17,MATCH(Z394,Venues!$A$2:$A$17,0)),"")</f>
        <v/>
      </c>
      <c r="AE394" s="14">
        <f>IFERROR(INDEX(Venues!$N$2:$N$17,MATCH(Z394,Venues!$A$2:$A$17,0)),"5-a-side")</f>
        <v/>
      </c>
      <c r="AF394" s="16">
        <f>IF(Offer!$C$4="","",Offer!$C$4)</f>
        <v/>
      </c>
      <c r="AG394" s="14">
        <f>Z394&amp;" ("&amp;AA394&amp;" min walk) · "&amp;IF(ISNUMBER(AD394),TEXT(AD394,"ddd d mmm, hh:mm"),"slot to confirm with venue")&amp;" · "&amp;AE394&amp;" · "&amp;IF(AF394&lt;&gt;"","£"&amp;TEXT(AF394,"0.00")&amp;" pp","price TBC")</f>
        <v/>
      </c>
      <c r="AH394" s="14">
        <f>IF(U394&lt;&gt;"",U394,IF(H394&lt;&gt;"",H394,""))</f>
        <v/>
      </c>
      <c r="AI394" s="14">
        <f>"After-work football for "&amp;F394&amp;" · "&amp;Z394&amp;", "&amp;AA394&amp;" min from your office"</f>
        <v/>
      </c>
      <c r="AJ394" s="14">
        <f>"Hi "&amp;IF(R394&lt;&gt;"",R394,F394&amp;" team")&amp;","&amp;CHAR(10)&amp;CHAR(10)&amp;"I'm "&amp;IF(AM394&lt;&gt;"",AM394,IF(Offer!$C$5&lt;&gt;"",Offer!$C$5,"[NAME]"))&amp;" from FC Urban. We organise after-work football for teams in the City and Canary Wharf."&amp;CHAR(10)&amp;CHAR(10)&amp;"We have a "&amp;AE394&amp;" pitch at "&amp;Z394&amp;", "&amp;IF(OR(AA394=8,AA394=11,AA394=18),"an ","a ")&amp;AA394&amp;"-minute walk from your "&amp;P394&amp;" office, "&amp;IF(ISNUMBER(AD394),"on "&amp;TEXT(AD394,"dddd d mmmm")&amp;" at "&amp;TEXT(AD394,"hh:mm"),"on a weekday evening that suits your team")&amp;". It's "&amp;IF(AF394&lt;&gt;"","£"&amp;IF(AF394=INT(AF394),TEXT(AF394,"0"),TEXT(AF394,"0.00")),"[PRICE PER PLAYER]")&amp;" a player and we handle the pitch booking, sign-ups and payments, so all it takes is one person sharing a link with the team."&amp;CHAR(10)&amp;CHAR(10)&amp;"It works well as a team social or "&amp;IF(ISNUMBER(SEARCH(LEFT(F394,1),"AEIOU")),"an ","a ")&amp;F394&amp;"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LINK]")&amp;CHAR(10)&amp;CHAR(10)&amp;"Best,"&amp;CHAR(10)&amp;IF(AM394&lt;&gt;"",AM394,IF(Offer!$C$5&lt;&gt;"",Offer!$C$5,"[NAME]"))&amp;CHAR(10)&amp;"FC Urban"</f>
        <v/>
      </c>
      <c r="AK394" s="14">
        <f>"Hi "&amp;IF(R394&lt;&gt;"",R394,F394&amp;" team")&amp;","&amp;CHAR(10)&amp;CHAR(10)&amp;"Just bumping this up. The "&amp;AE394&amp;" pitch at "&amp;Z394&amp;" is still free "&amp;IF(ISNUMBER(AD394),TEXT(AD394,"ddd d mmm")&amp;", "&amp;TEXT(AD394,"hh:mm"),"weekday evenings")&amp;", "&amp;IF(OR(AA394=8,AA394=11,AA394=18),"an ","a ")&amp;AA394&amp;"-minute walk from your office, "&amp;IF(AF394&lt;&gt;"","£"&amp;IF(AF394=INT(AF394),TEXT(AF394,"0"),TEXT(AF394,"0.00")),"[PRICE PER PLAYER]")&amp;" a player. Happy to hold it for "&amp;F394&amp;"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LINK]")&amp;CHAR(10)&amp;CHAR(10)&amp;"Best,"&amp;CHAR(10)&amp;IF(AM394&lt;&gt;"",AM394,IF(Offer!$C$5&lt;&gt;"",Offer!$C$5,"[NAME]"))&amp;CHAR(10)&amp;"FC Urban"</f>
        <v/>
      </c>
      <c r="AL394" s="14">
        <f>IF(AH394="","No email yet",IF(ISNUMBER(SEARCH("[",AJ394)),"Fill placeholders",IF(ISNUMBER(AD394),"Ready to send","Ready · no fixed slot")))</f>
        <v/>
      </c>
      <c r="AO394" s="17" t="n"/>
      <c r="AP394" s="17" t="n"/>
    </row>
    <row r="395">
      <c r="A395" s="11" t="n">
        <v>393</v>
      </c>
      <c r="B395" s="11" t="n">
        <v>3</v>
      </c>
      <c r="C395" s="11" t="inlineStr">
        <is>
          <t>Insurance / broker</t>
        </is>
      </c>
      <c r="D395" s="11" t="inlineStr">
        <is>
          <t>City of London</t>
        </is>
      </c>
      <c r="E395" s="11" t="inlineStr">
        <is>
          <t>Silverflame Re Limited</t>
        </is>
      </c>
      <c r="F395" s="11" t="inlineStr">
        <is>
          <t>Silverflame Re</t>
        </is>
      </c>
      <c r="G395" s="12" t="inlineStr">
        <is>
          <t>https://www.silverflamere.com</t>
        </is>
      </c>
      <c r="H395" s="11" t="inlineStr">
        <is>
          <t>info@silverflamere.com</t>
        </is>
      </c>
      <c r="I395" s="11" t="inlineStr">
        <is>
          <t>general</t>
        </is>
      </c>
      <c r="J395" s="12" t="inlineStr">
        <is>
          <t>Open page</t>
        </is>
      </c>
      <c r="K395" s="11" t="inlineStr">
        <is>
          <t>15787646</t>
        </is>
      </c>
      <c r="L395" s="12" t="inlineStr">
        <is>
          <t>Open</t>
        </is>
      </c>
      <c r="M395" s="11" t="inlineStr">
        <is>
          <t>Full</t>
        </is>
      </c>
      <c r="N395" s="13" t="n">
        <v>45462</v>
      </c>
      <c r="O395" s="11" t="inlineStr">
        <is>
          <t>22 Bishopsgate, Level 42, London</t>
        </is>
      </c>
      <c r="P395" s="11" t="inlineStr">
        <is>
          <t>EC2N 4BQ</t>
        </is>
      </c>
      <c r="Q395" s="11" t="inlineStr">
        <is>
          <t>No</t>
        </is>
      </c>
      <c r="W395" s="11" t="inlineStr">
        <is>
          <t>Liverpool St - Attlee Centre</t>
        </is>
      </c>
      <c r="X395" s="11" t="n">
        <v>14</v>
      </c>
      <c r="Y395" s="11" t="inlineStr">
        <is>
          <t>City of London School (EC4V 3AL) (18.7); Shoreditch Powerleague (18.7)</t>
        </is>
      </c>
      <c r="Z395" s="11" t="inlineStr">
        <is>
          <t>City of London School (EC4V 3AL)</t>
        </is>
      </c>
      <c r="AA395" s="11" t="n">
        <v>19</v>
      </c>
      <c r="AB395" s="14">
        <f>IFERROR(INDEX(Venues!$E$2:$E$17,MATCH(Z395,Venues!$A$2:$A$17,0)),"Not checked")</f>
        <v/>
      </c>
      <c r="AC395" s="14">
        <f>IFERROR(INDEX(Venues!$F$2:$F$17,MATCH(Z395,Venues!$A$2:$A$17,0)),0)</f>
        <v/>
      </c>
      <c r="AD395" s="15">
        <f>IFERROR(INDEX(Venues!$M$2:$M$17,MATCH(Z395,Venues!$A$2:$A$17,0)),"")</f>
        <v/>
      </c>
      <c r="AE395" s="14">
        <f>IFERROR(INDEX(Venues!$N$2:$N$17,MATCH(Z395,Venues!$A$2:$A$17,0)),"5-a-side")</f>
        <v/>
      </c>
      <c r="AF395" s="16">
        <f>IF(Offer!$C$4="","",Offer!$C$4)</f>
        <v/>
      </c>
      <c r="AG395" s="14">
        <f>Z395&amp;" ("&amp;AA395&amp;" min walk) · "&amp;IF(ISNUMBER(AD395),TEXT(AD395,"ddd d mmm, hh:mm"),"slot to confirm with venue")&amp;" · "&amp;AE395&amp;" · "&amp;IF(AF395&lt;&gt;"","£"&amp;TEXT(AF395,"0.00")&amp;" pp","price TBC")</f>
        <v/>
      </c>
      <c r="AH395" s="14">
        <f>IF(U395&lt;&gt;"",U395,IF(H395&lt;&gt;"",H395,""))</f>
        <v/>
      </c>
      <c r="AI395" s="14">
        <f>"After-work football for "&amp;F395&amp;" · "&amp;Z395&amp;", "&amp;AA395&amp;" min from your office"</f>
        <v/>
      </c>
      <c r="AJ395" s="14">
        <f>"Hi "&amp;IF(R395&lt;&gt;"",R395,F395&amp;" team")&amp;","&amp;CHAR(10)&amp;CHAR(10)&amp;"I'm "&amp;IF(AM395&lt;&gt;"",AM395,IF(Offer!$C$5&lt;&gt;"",Offer!$C$5,"[NAME]"))&amp;" from FC Urban. We organise after-work football for teams in the City and Canary Wharf."&amp;CHAR(10)&amp;CHAR(10)&amp;"We have a "&amp;AE395&amp;" pitch at "&amp;Z395&amp;", "&amp;IF(OR(AA395=8,AA395=11,AA395=18),"an ","a ")&amp;AA395&amp;"-minute walk from your "&amp;P395&amp;" office, "&amp;IF(ISNUMBER(AD395),"on "&amp;TEXT(AD395,"dddd d mmmm")&amp;" at "&amp;TEXT(AD395,"hh:mm"),"on a weekday evening that suits your team")&amp;". It's "&amp;IF(AF395&lt;&gt;"","£"&amp;IF(AF395=INT(AF395),TEXT(AF395,"0"),TEXT(AF395,"0.00")),"[PRICE PER PLAYER]")&amp;" a player and we handle the pitch booking, sign-ups and payments, so all it takes is one person sharing a link with the team."&amp;CHAR(10)&amp;CHAR(10)&amp;"It works well as a team social or "&amp;IF(ISNUMBER(SEARCH(LEFT(F395,1),"AEIOU")),"an ","a ")&amp;F395&amp;"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LINK]")&amp;CHAR(10)&amp;CHAR(10)&amp;"Best,"&amp;CHAR(10)&amp;IF(AM395&lt;&gt;"",AM395,IF(Offer!$C$5&lt;&gt;"",Offer!$C$5,"[NAME]"))&amp;CHAR(10)&amp;"FC Urban"</f>
        <v/>
      </c>
      <c r="AK395" s="14">
        <f>"Hi "&amp;IF(R395&lt;&gt;"",R395,F395&amp;" team")&amp;","&amp;CHAR(10)&amp;CHAR(10)&amp;"Just bumping this up. The "&amp;AE395&amp;" pitch at "&amp;Z395&amp;" is still free "&amp;IF(ISNUMBER(AD395),TEXT(AD395,"ddd d mmm")&amp;", "&amp;TEXT(AD395,"hh:mm"),"weekday evenings")&amp;", "&amp;IF(OR(AA395=8,AA395=11,AA395=18),"an ","a ")&amp;AA395&amp;"-minute walk from your office, "&amp;IF(AF395&lt;&gt;"","£"&amp;IF(AF395=INT(AF395),TEXT(AF395,"0"),TEXT(AF395,"0.00")),"[PRICE PER PLAYER]")&amp;" a player. Happy to hold it for "&amp;F395&amp;"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LINK]")&amp;CHAR(10)&amp;CHAR(10)&amp;"Best,"&amp;CHAR(10)&amp;IF(AM395&lt;&gt;"",AM395,IF(Offer!$C$5&lt;&gt;"",Offer!$C$5,"[NAME]"))&amp;CHAR(10)&amp;"FC Urban"</f>
        <v/>
      </c>
      <c r="AL395" s="14">
        <f>IF(AH395="","No email yet",IF(ISNUMBER(SEARCH("[",AJ395)),"Fill placeholders",IF(ISNUMBER(AD395),"Ready to send","Ready · no fixed slot")))</f>
        <v/>
      </c>
      <c r="AO395" s="17" t="n"/>
      <c r="AP395" s="17" t="n"/>
    </row>
    <row r="396">
      <c r="A396" s="11" t="n">
        <v>394</v>
      </c>
      <c r="B396" s="11" t="n">
        <v>3</v>
      </c>
      <c r="C396" s="11" t="inlineStr">
        <is>
          <t>Insurance / broker</t>
        </is>
      </c>
      <c r="D396" s="11" t="inlineStr">
        <is>
          <t>City of London</t>
        </is>
      </c>
      <c r="E396" s="11" t="inlineStr">
        <is>
          <t>Statera Managing Agency Limited</t>
        </is>
      </c>
      <c r="F396" s="11" t="inlineStr">
        <is>
          <t>Statera Managing Agency</t>
        </is>
      </c>
      <c r="G396" s="12" t="inlineStr">
        <is>
          <t>https://www.statera.co.uk</t>
        </is>
      </c>
      <c r="H396" s="11" t="inlineStr">
        <is>
          <t>info@statera.co.uk</t>
        </is>
      </c>
      <c r="I396" s="11" t="inlineStr">
        <is>
          <t>general</t>
        </is>
      </c>
      <c r="J396" s="12" t="inlineStr">
        <is>
          <t>Open page</t>
        </is>
      </c>
      <c r="K396" s="11" t="inlineStr">
        <is>
          <t>16059213</t>
        </is>
      </c>
      <c r="L396" s="12" t="inlineStr">
        <is>
          <t>Open</t>
        </is>
      </c>
      <c r="M396" s="11" t="inlineStr">
        <is>
          <t>Full</t>
        </is>
      </c>
      <c r="N396" s="13" t="n">
        <v>45600</v>
      </c>
      <c r="O396" s="11" t="inlineStr">
        <is>
          <t>The Hallmark Building, 2Nd Floor, 52-56 Leadenhall Street, London</t>
        </is>
      </c>
      <c r="P396" s="11" t="inlineStr">
        <is>
          <t>EC3A 2BJ</t>
        </is>
      </c>
      <c r="Q396" s="11" t="inlineStr">
        <is>
          <t>No</t>
        </is>
      </c>
      <c r="W396" s="11" t="inlineStr">
        <is>
          <t>Liverpool St - Attlee Centre</t>
        </is>
      </c>
      <c r="X396" s="11" t="n">
        <v>11</v>
      </c>
      <c r="Y396" s="11" t="inlineStr">
        <is>
          <t>Shoreditch Powerleague (18.7)</t>
        </is>
      </c>
      <c r="Z396" s="11" t="inlineStr">
        <is>
          <t>Shoreditch Powerleague</t>
        </is>
      </c>
      <c r="AA396" s="11" t="n">
        <v>19</v>
      </c>
      <c r="AB396" s="14">
        <f>IFERROR(INDEX(Venues!$E$2:$E$17,MATCH(Z396,Venues!$A$2:$A$17,0)),"Not checked")</f>
        <v/>
      </c>
      <c r="AC396" s="14">
        <f>IFERROR(INDEX(Venues!$F$2:$F$17,MATCH(Z396,Venues!$A$2:$A$17,0)),0)</f>
        <v/>
      </c>
      <c r="AD396" s="15">
        <f>IFERROR(INDEX(Venues!$M$2:$M$17,MATCH(Z396,Venues!$A$2:$A$17,0)),"")</f>
        <v/>
      </c>
      <c r="AE396" s="14">
        <f>IFERROR(INDEX(Venues!$N$2:$N$17,MATCH(Z396,Venues!$A$2:$A$17,0)),"5-a-side")</f>
        <v/>
      </c>
      <c r="AF396" s="16">
        <f>IF(Offer!$C$4="","",Offer!$C$4)</f>
        <v/>
      </c>
      <c r="AG396" s="14">
        <f>Z396&amp;" ("&amp;AA396&amp;" min walk) · "&amp;IF(ISNUMBER(AD396),TEXT(AD396,"ddd d mmm, hh:mm"),"slot to confirm with venue")&amp;" · "&amp;AE396&amp;" · "&amp;IF(AF396&lt;&gt;"","£"&amp;TEXT(AF396,"0.00")&amp;" pp","price TBC")</f>
        <v/>
      </c>
      <c r="AH396" s="14">
        <f>IF(U396&lt;&gt;"",U396,IF(H396&lt;&gt;"",H396,""))</f>
        <v/>
      </c>
      <c r="AI396" s="14">
        <f>"After-work football for "&amp;F396&amp;" · "&amp;Z396&amp;", "&amp;AA396&amp;" min from your office"</f>
        <v/>
      </c>
      <c r="AJ396" s="14">
        <f>"Hi "&amp;IF(R396&lt;&gt;"",R396,F396&amp;" team")&amp;","&amp;CHAR(10)&amp;CHAR(10)&amp;"I'm "&amp;IF(AM396&lt;&gt;"",AM396,IF(Offer!$C$5&lt;&gt;"",Offer!$C$5,"[NAME]"))&amp;" from FC Urban. We organise after-work football for teams in the City and Canary Wharf."&amp;CHAR(10)&amp;CHAR(10)&amp;"We have a "&amp;AE396&amp;" pitch at "&amp;Z396&amp;", "&amp;IF(OR(AA396=8,AA396=11,AA396=18),"an ","a ")&amp;AA396&amp;"-minute walk from your "&amp;P396&amp;" office, "&amp;IF(ISNUMBER(AD396),"on "&amp;TEXT(AD396,"dddd d mmmm")&amp;" at "&amp;TEXT(AD396,"hh:mm"),"on a weekday evening that suits your team")&amp;". It's "&amp;IF(AF396&lt;&gt;"","£"&amp;IF(AF396=INT(AF396),TEXT(AF396,"0"),TEXT(AF396,"0.00")),"[PRICE PER PLAYER]")&amp;" a player and we handle the pitch booking, sign-ups and payments, so all it takes is one person sharing a link with the team."&amp;CHAR(10)&amp;CHAR(10)&amp;"It works well as a team social or "&amp;IF(ISNUMBER(SEARCH(LEFT(F396,1),"AEIOU")),"an ","a ")&amp;F396&amp;"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LINK]")&amp;CHAR(10)&amp;CHAR(10)&amp;"Best,"&amp;CHAR(10)&amp;IF(AM396&lt;&gt;"",AM396,IF(Offer!$C$5&lt;&gt;"",Offer!$C$5,"[NAME]"))&amp;CHAR(10)&amp;"FC Urban"</f>
        <v/>
      </c>
      <c r="AK396" s="14">
        <f>"Hi "&amp;IF(R396&lt;&gt;"",R396,F396&amp;" team")&amp;","&amp;CHAR(10)&amp;CHAR(10)&amp;"Just bumping this up. The "&amp;AE396&amp;" pitch at "&amp;Z396&amp;" is still free "&amp;IF(ISNUMBER(AD396),TEXT(AD396,"ddd d mmm")&amp;", "&amp;TEXT(AD396,"hh:mm"),"weekday evenings")&amp;", "&amp;IF(OR(AA396=8,AA396=11,AA396=18),"an ","a ")&amp;AA396&amp;"-minute walk from your office, "&amp;IF(AF396&lt;&gt;"","£"&amp;IF(AF396=INT(AF396),TEXT(AF396,"0"),TEXT(AF396,"0.00")),"[PRICE PER PLAYER]")&amp;" a player. Happy to hold it for "&amp;F396&amp;"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LINK]")&amp;CHAR(10)&amp;CHAR(10)&amp;"Best,"&amp;CHAR(10)&amp;IF(AM396&lt;&gt;"",AM396,IF(Offer!$C$5&lt;&gt;"",Offer!$C$5,"[NAME]"))&amp;CHAR(10)&amp;"FC Urban"</f>
        <v/>
      </c>
      <c r="AL396" s="14">
        <f>IF(AH396="","No email yet",IF(ISNUMBER(SEARCH("[",AJ396)),"Fill placeholders",IF(ISNUMBER(AD396),"Ready to send","Ready · no fixed slot")))</f>
        <v/>
      </c>
      <c r="AO396" s="17" t="n"/>
      <c r="AP396" s="17" t="n"/>
    </row>
    <row r="397">
      <c r="A397" s="11" t="n">
        <v>395</v>
      </c>
      <c r="B397" s="11" t="n">
        <v>3</v>
      </c>
      <c r="C397" s="11" t="inlineStr">
        <is>
          <t>Insurance / broker</t>
        </is>
      </c>
      <c r="D397" s="11" t="inlineStr">
        <is>
          <t>City of London</t>
        </is>
      </c>
      <c r="E397" s="11" t="inlineStr">
        <is>
          <t>Tegron Specialty Limited</t>
        </is>
      </c>
      <c r="F397" s="11" t="inlineStr">
        <is>
          <t>Tegron Specialty</t>
        </is>
      </c>
      <c r="G397" s="12" t="inlineStr">
        <is>
          <t>https://tegronspecialty.com</t>
        </is>
      </c>
      <c r="H397" s="11" t="inlineStr">
        <is>
          <t>hello@tegronspecialty.com</t>
        </is>
      </c>
      <c r="I397" s="11" t="inlineStr">
        <is>
          <t>general</t>
        </is>
      </c>
      <c r="J397" s="12" t="inlineStr">
        <is>
          <t>Open page</t>
        </is>
      </c>
      <c r="K397" s="11" t="inlineStr">
        <is>
          <t>13367163</t>
        </is>
      </c>
      <c r="L397" s="12" t="inlineStr">
        <is>
          <t>Open</t>
        </is>
      </c>
      <c r="M397" s="11" t="inlineStr">
        <is>
          <t>Full</t>
        </is>
      </c>
      <c r="N397" s="13" t="n">
        <v>44315</v>
      </c>
      <c r="O397" s="11" t="inlineStr">
        <is>
          <t>The Hallmark Building, 2Nd Floor, 52-56 Leadenhall Street, London</t>
        </is>
      </c>
      <c r="P397" s="11" t="inlineStr">
        <is>
          <t>EC3A 2BJ</t>
        </is>
      </c>
      <c r="Q397" s="11" t="inlineStr">
        <is>
          <t>No</t>
        </is>
      </c>
      <c r="W397" s="11" t="inlineStr">
        <is>
          <t>Liverpool St - Attlee Centre</t>
        </is>
      </c>
      <c r="X397" s="11" t="n">
        <v>11</v>
      </c>
      <c r="Y397" s="11" t="inlineStr">
        <is>
          <t>Shoreditch Powerleague (18.7)</t>
        </is>
      </c>
      <c r="Z397" s="11" t="inlineStr">
        <is>
          <t>Shoreditch Powerleague</t>
        </is>
      </c>
      <c r="AA397" s="11" t="n">
        <v>19</v>
      </c>
      <c r="AB397" s="14">
        <f>IFERROR(INDEX(Venues!$E$2:$E$17,MATCH(Z397,Venues!$A$2:$A$17,0)),"Not checked")</f>
        <v/>
      </c>
      <c r="AC397" s="14">
        <f>IFERROR(INDEX(Venues!$F$2:$F$17,MATCH(Z397,Venues!$A$2:$A$17,0)),0)</f>
        <v/>
      </c>
      <c r="AD397" s="15">
        <f>IFERROR(INDEX(Venues!$M$2:$M$17,MATCH(Z397,Venues!$A$2:$A$17,0)),"")</f>
        <v/>
      </c>
      <c r="AE397" s="14">
        <f>IFERROR(INDEX(Venues!$N$2:$N$17,MATCH(Z397,Venues!$A$2:$A$17,0)),"5-a-side")</f>
        <v/>
      </c>
      <c r="AF397" s="16">
        <f>IF(Offer!$C$4="","",Offer!$C$4)</f>
        <v/>
      </c>
      <c r="AG397" s="14">
        <f>Z397&amp;" ("&amp;AA397&amp;" min walk) · "&amp;IF(ISNUMBER(AD397),TEXT(AD397,"ddd d mmm, hh:mm"),"slot to confirm with venue")&amp;" · "&amp;AE397&amp;" · "&amp;IF(AF397&lt;&gt;"","£"&amp;TEXT(AF397,"0.00")&amp;" pp","price TBC")</f>
        <v/>
      </c>
      <c r="AH397" s="14">
        <f>IF(U397&lt;&gt;"",U397,IF(H397&lt;&gt;"",H397,""))</f>
        <v/>
      </c>
      <c r="AI397" s="14">
        <f>"After-work football for "&amp;F397&amp;" · "&amp;Z397&amp;", "&amp;AA397&amp;" min from your office"</f>
        <v/>
      </c>
      <c r="AJ397" s="14">
        <f>"Hi "&amp;IF(R397&lt;&gt;"",R397,F397&amp;" team")&amp;","&amp;CHAR(10)&amp;CHAR(10)&amp;"I'm "&amp;IF(AM397&lt;&gt;"",AM397,IF(Offer!$C$5&lt;&gt;"",Offer!$C$5,"[NAME]"))&amp;" from FC Urban. We organise after-work football for teams in the City and Canary Wharf."&amp;CHAR(10)&amp;CHAR(10)&amp;"We have a "&amp;AE397&amp;" pitch at "&amp;Z397&amp;", "&amp;IF(OR(AA397=8,AA397=11,AA397=18),"an ","a ")&amp;AA397&amp;"-minute walk from your "&amp;P397&amp;" office, "&amp;IF(ISNUMBER(AD397),"on "&amp;TEXT(AD397,"dddd d mmmm")&amp;" at "&amp;TEXT(AD397,"hh:mm"),"on a weekday evening that suits your team")&amp;". It's "&amp;IF(AF397&lt;&gt;"","£"&amp;IF(AF397=INT(AF397),TEXT(AF397,"0"),TEXT(AF397,"0.00")),"[PRICE PER PLAYER]")&amp;" a player and we handle the pitch booking, sign-ups and payments, so all it takes is one person sharing a link with the team."&amp;CHAR(10)&amp;CHAR(10)&amp;"It works well as a team social or "&amp;IF(ISNUMBER(SEARCH(LEFT(F397,1),"AEIOU")),"an ","a ")&amp;F397&amp;"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LINK]")&amp;CHAR(10)&amp;CHAR(10)&amp;"Best,"&amp;CHAR(10)&amp;IF(AM397&lt;&gt;"",AM397,IF(Offer!$C$5&lt;&gt;"",Offer!$C$5,"[NAME]"))&amp;CHAR(10)&amp;"FC Urban"</f>
        <v/>
      </c>
      <c r="AK397" s="14">
        <f>"Hi "&amp;IF(R397&lt;&gt;"",R397,F397&amp;" team")&amp;","&amp;CHAR(10)&amp;CHAR(10)&amp;"Just bumping this up. The "&amp;AE397&amp;" pitch at "&amp;Z397&amp;" is still free "&amp;IF(ISNUMBER(AD397),TEXT(AD397,"ddd d mmm")&amp;", "&amp;TEXT(AD397,"hh:mm"),"weekday evenings")&amp;", "&amp;IF(OR(AA397=8,AA397=11,AA397=18),"an ","a ")&amp;AA397&amp;"-minute walk from your office, "&amp;IF(AF397&lt;&gt;"","£"&amp;IF(AF397=INT(AF397),TEXT(AF397,"0"),TEXT(AF397,"0.00")),"[PRICE PER PLAYER]")&amp;" a player. Happy to hold it for "&amp;F397&amp;"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LINK]")&amp;CHAR(10)&amp;CHAR(10)&amp;"Best,"&amp;CHAR(10)&amp;IF(AM397&lt;&gt;"",AM397,IF(Offer!$C$5&lt;&gt;"",Offer!$C$5,"[NAME]"))&amp;CHAR(10)&amp;"FC Urban"</f>
        <v/>
      </c>
      <c r="AL397" s="14">
        <f>IF(AH397="","No email yet",IF(ISNUMBER(SEARCH("[",AJ397)),"Fill placeholders",IF(ISNUMBER(AD397),"Ready to send","Ready · no fixed slot")))</f>
        <v/>
      </c>
      <c r="AO397" s="17" t="n"/>
      <c r="AP397" s="17" t="n"/>
    </row>
    <row r="398">
      <c r="A398" s="11" t="n">
        <v>396</v>
      </c>
      <c r="B398" s="11" t="n">
        <v>3</v>
      </c>
      <c r="C398" s="11" t="inlineStr">
        <is>
          <t>Insurance / broker</t>
        </is>
      </c>
      <c r="D398" s="11" t="inlineStr">
        <is>
          <t>City of London</t>
        </is>
      </c>
      <c r="E398" s="11" t="inlineStr">
        <is>
          <t>Tiomanta Specialty Limited</t>
        </is>
      </c>
      <c r="F398" s="11" t="inlineStr">
        <is>
          <t>Tiomanta Specialty</t>
        </is>
      </c>
      <c r="G398" s="12" t="inlineStr">
        <is>
          <t>https://www.tiomantaspecialty.com</t>
        </is>
      </c>
      <c r="H398" s="11" t="inlineStr">
        <is>
          <t>info@tiomantaspecialty.com</t>
        </is>
      </c>
      <c r="I398" s="11" t="inlineStr">
        <is>
          <t>general</t>
        </is>
      </c>
      <c r="J398" s="12" t="inlineStr">
        <is>
          <t>Open page</t>
        </is>
      </c>
      <c r="K398" s="11" t="inlineStr">
        <is>
          <t>11197968</t>
        </is>
      </c>
      <c r="L398" s="12" t="inlineStr">
        <is>
          <t>Open</t>
        </is>
      </c>
      <c r="M398" s="11" t="inlineStr">
        <is>
          <t>Full</t>
        </is>
      </c>
      <c r="N398" s="13" t="n">
        <v>43140</v>
      </c>
      <c r="O398" s="11" t="inlineStr">
        <is>
          <t>22 Bishopsgate, Level 42, London</t>
        </is>
      </c>
      <c r="P398" s="11" t="inlineStr">
        <is>
          <t>EC2N 4BQ</t>
        </is>
      </c>
      <c r="Q398" s="11" t="inlineStr">
        <is>
          <t>No</t>
        </is>
      </c>
      <c r="W398" s="11" t="inlineStr">
        <is>
          <t>Liverpool St - Attlee Centre</t>
        </is>
      </c>
      <c r="X398" s="11" t="n">
        <v>14</v>
      </c>
      <c r="Y398" s="11" t="inlineStr">
        <is>
          <t>City of London School (EC4V 3AL) (18.7); Shoreditch Powerleague (18.7)</t>
        </is>
      </c>
      <c r="Z398" s="11" t="inlineStr">
        <is>
          <t>City of London School (EC4V 3AL)</t>
        </is>
      </c>
      <c r="AA398" s="11" t="n">
        <v>19</v>
      </c>
      <c r="AB398" s="14">
        <f>IFERROR(INDEX(Venues!$E$2:$E$17,MATCH(Z398,Venues!$A$2:$A$17,0)),"Not checked")</f>
        <v/>
      </c>
      <c r="AC398" s="14">
        <f>IFERROR(INDEX(Venues!$F$2:$F$17,MATCH(Z398,Venues!$A$2:$A$17,0)),0)</f>
        <v/>
      </c>
      <c r="AD398" s="15">
        <f>IFERROR(INDEX(Venues!$M$2:$M$17,MATCH(Z398,Venues!$A$2:$A$17,0)),"")</f>
        <v/>
      </c>
      <c r="AE398" s="14">
        <f>IFERROR(INDEX(Venues!$N$2:$N$17,MATCH(Z398,Venues!$A$2:$A$17,0)),"5-a-side")</f>
        <v/>
      </c>
      <c r="AF398" s="16">
        <f>IF(Offer!$C$4="","",Offer!$C$4)</f>
        <v/>
      </c>
      <c r="AG398" s="14">
        <f>Z398&amp;" ("&amp;AA398&amp;" min walk) · "&amp;IF(ISNUMBER(AD398),TEXT(AD398,"ddd d mmm, hh:mm"),"slot to confirm with venue")&amp;" · "&amp;AE398&amp;" · "&amp;IF(AF398&lt;&gt;"","£"&amp;TEXT(AF398,"0.00")&amp;" pp","price TBC")</f>
        <v/>
      </c>
      <c r="AH398" s="14">
        <f>IF(U398&lt;&gt;"",U398,IF(H398&lt;&gt;"",H398,""))</f>
        <v/>
      </c>
      <c r="AI398" s="14">
        <f>"After-work football for "&amp;F398&amp;" · "&amp;Z398&amp;", "&amp;AA398&amp;" min from your office"</f>
        <v/>
      </c>
      <c r="AJ398" s="14">
        <f>"Hi "&amp;IF(R398&lt;&gt;"",R398,F398&amp;" team")&amp;","&amp;CHAR(10)&amp;CHAR(10)&amp;"I'm "&amp;IF(AM398&lt;&gt;"",AM398,IF(Offer!$C$5&lt;&gt;"",Offer!$C$5,"[NAME]"))&amp;" from FC Urban. We organise after-work football for teams in the City and Canary Wharf."&amp;CHAR(10)&amp;CHAR(10)&amp;"We have a "&amp;AE398&amp;" pitch at "&amp;Z398&amp;", "&amp;IF(OR(AA398=8,AA398=11,AA398=18),"an ","a ")&amp;AA398&amp;"-minute walk from your "&amp;P398&amp;" office, "&amp;IF(ISNUMBER(AD398),"on "&amp;TEXT(AD398,"dddd d mmmm")&amp;" at "&amp;TEXT(AD398,"hh:mm"),"on a weekday evening that suits your team")&amp;". It's "&amp;IF(AF398&lt;&gt;"","£"&amp;IF(AF398=INT(AF398),TEXT(AF398,"0"),TEXT(AF398,"0.00")),"[PRICE PER PLAYER]")&amp;" a player and we handle the pitch booking, sign-ups and payments, so all it takes is one person sharing a link with the team."&amp;CHAR(10)&amp;CHAR(10)&amp;"It works well as a team social or "&amp;IF(ISNUMBER(SEARCH(LEFT(F398,1),"AEIOU")),"an ","a ")&amp;F398&amp;"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LINK]")&amp;CHAR(10)&amp;CHAR(10)&amp;"Best,"&amp;CHAR(10)&amp;IF(AM398&lt;&gt;"",AM398,IF(Offer!$C$5&lt;&gt;"",Offer!$C$5,"[NAME]"))&amp;CHAR(10)&amp;"FC Urban"</f>
        <v/>
      </c>
      <c r="AK398" s="14">
        <f>"Hi "&amp;IF(R398&lt;&gt;"",R398,F398&amp;" team")&amp;","&amp;CHAR(10)&amp;CHAR(10)&amp;"Just bumping this up. The "&amp;AE398&amp;" pitch at "&amp;Z398&amp;" is still free "&amp;IF(ISNUMBER(AD398),TEXT(AD398,"ddd d mmm")&amp;", "&amp;TEXT(AD398,"hh:mm"),"weekday evenings")&amp;", "&amp;IF(OR(AA398=8,AA398=11,AA398=18),"an ","a ")&amp;AA398&amp;"-minute walk from your office, "&amp;IF(AF398&lt;&gt;"","£"&amp;IF(AF398=INT(AF398),TEXT(AF398,"0"),TEXT(AF398,"0.00")),"[PRICE PER PLAYER]")&amp;" a player. Happy to hold it for "&amp;F398&amp;"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LINK]")&amp;CHAR(10)&amp;CHAR(10)&amp;"Best,"&amp;CHAR(10)&amp;IF(AM398&lt;&gt;"",AM398,IF(Offer!$C$5&lt;&gt;"",Offer!$C$5,"[NAME]"))&amp;CHAR(10)&amp;"FC Urban"</f>
        <v/>
      </c>
      <c r="AL398" s="14">
        <f>IF(AH398="","No email yet",IF(ISNUMBER(SEARCH("[",AJ398)),"Fill placeholders",IF(ISNUMBER(AD398),"Ready to send","Ready · no fixed slot")))</f>
        <v/>
      </c>
      <c r="AO398" s="17" t="n"/>
      <c r="AP398" s="17" t="n"/>
    </row>
    <row r="399">
      <c r="A399" s="11" t="n">
        <v>397</v>
      </c>
      <c r="B399" s="11" t="n">
        <v>3</v>
      </c>
      <c r="C399" s="11" t="inlineStr">
        <is>
          <t>Insurance / broker</t>
        </is>
      </c>
      <c r="D399" s="11" t="inlineStr">
        <is>
          <t>City of London</t>
        </is>
      </c>
      <c r="E399" s="11" t="inlineStr">
        <is>
          <t>Toyota Insurance Management UK Limited</t>
        </is>
      </c>
      <c r="F399" s="11" t="inlineStr">
        <is>
          <t>Toyota Insurance Management</t>
        </is>
      </c>
      <c r="G399" s="12" t="inlineStr">
        <is>
          <t>https://www.toyota.com</t>
        </is>
      </c>
      <c r="H399" s="11" t="inlineStr">
        <is>
          <t>dmca@toyota.com</t>
        </is>
      </c>
      <c r="I399" s="11" t="inlineStr">
        <is>
          <t>named person</t>
        </is>
      </c>
      <c r="J399" s="12" t="inlineStr">
        <is>
          <t>Open page</t>
        </is>
      </c>
      <c r="K399" s="11" t="inlineStr">
        <is>
          <t>14297877</t>
        </is>
      </c>
      <c r="L399" s="12" t="inlineStr">
        <is>
          <t>Open</t>
        </is>
      </c>
      <c r="M399" s="11" t="inlineStr">
        <is>
          <t>Full</t>
        </is>
      </c>
      <c r="N399" s="13" t="n">
        <v>44789</v>
      </c>
      <c r="O399" s="11" t="inlineStr">
        <is>
          <t>7Th Floor, 52-56 Leadenhall Street, London</t>
        </is>
      </c>
      <c r="P399" s="11" t="inlineStr">
        <is>
          <t>EC3A 2BJ</t>
        </is>
      </c>
      <c r="Q399" s="11" t="inlineStr">
        <is>
          <t>No</t>
        </is>
      </c>
      <c r="W399" s="11" t="inlineStr">
        <is>
          <t>Liverpool St - Attlee Centre</t>
        </is>
      </c>
      <c r="X399" s="11" t="n">
        <v>11</v>
      </c>
      <c r="Y399" s="11" t="inlineStr">
        <is>
          <t>Shoreditch Powerleague (18.7)</t>
        </is>
      </c>
      <c r="Z399" s="11" t="inlineStr">
        <is>
          <t>Shoreditch Powerleague</t>
        </is>
      </c>
      <c r="AA399" s="11" t="n">
        <v>19</v>
      </c>
      <c r="AB399" s="14">
        <f>IFERROR(INDEX(Venues!$E$2:$E$17,MATCH(Z399,Venues!$A$2:$A$17,0)),"Not checked")</f>
        <v/>
      </c>
      <c r="AC399" s="14">
        <f>IFERROR(INDEX(Venues!$F$2:$F$17,MATCH(Z399,Venues!$A$2:$A$17,0)),0)</f>
        <v/>
      </c>
      <c r="AD399" s="15">
        <f>IFERROR(INDEX(Venues!$M$2:$M$17,MATCH(Z399,Venues!$A$2:$A$17,0)),"")</f>
        <v/>
      </c>
      <c r="AE399" s="14">
        <f>IFERROR(INDEX(Venues!$N$2:$N$17,MATCH(Z399,Venues!$A$2:$A$17,0)),"5-a-side")</f>
        <v/>
      </c>
      <c r="AF399" s="16">
        <f>IF(Offer!$C$4="","",Offer!$C$4)</f>
        <v/>
      </c>
      <c r="AG399" s="14">
        <f>Z399&amp;" ("&amp;AA399&amp;" min walk) · "&amp;IF(ISNUMBER(AD399),TEXT(AD399,"ddd d mmm, hh:mm"),"slot to confirm with venue")&amp;" · "&amp;AE399&amp;" · "&amp;IF(AF399&lt;&gt;"","£"&amp;TEXT(AF399,"0.00")&amp;" pp","price TBC")</f>
        <v/>
      </c>
      <c r="AH399" s="14">
        <f>IF(U399&lt;&gt;"",U399,IF(H399&lt;&gt;"",H399,""))</f>
        <v/>
      </c>
      <c r="AI399" s="14">
        <f>"After-work football for "&amp;F399&amp;" · "&amp;Z399&amp;", "&amp;AA399&amp;" min from your office"</f>
        <v/>
      </c>
      <c r="AJ399" s="14">
        <f>"Hi "&amp;IF(R399&lt;&gt;"",R399,F399&amp;" team")&amp;","&amp;CHAR(10)&amp;CHAR(10)&amp;"I'm "&amp;IF(AM399&lt;&gt;"",AM399,IF(Offer!$C$5&lt;&gt;"",Offer!$C$5,"[NAME]"))&amp;" from FC Urban. We organise after-work football for teams in the City and Canary Wharf."&amp;CHAR(10)&amp;CHAR(10)&amp;"We have a "&amp;AE399&amp;" pitch at "&amp;Z399&amp;", "&amp;IF(OR(AA399=8,AA399=11,AA399=18),"an ","a ")&amp;AA399&amp;"-minute walk from your "&amp;P399&amp;" office, "&amp;IF(ISNUMBER(AD399),"on "&amp;TEXT(AD399,"dddd d mmmm")&amp;" at "&amp;TEXT(AD399,"hh:mm"),"on a weekday evening that suits your team")&amp;". It's "&amp;IF(AF399&lt;&gt;"","£"&amp;IF(AF399=INT(AF399),TEXT(AF399,"0"),TEXT(AF399,"0.00")),"[PRICE PER PLAYER]")&amp;" a player and we handle the pitch booking, sign-ups and payments, so all it takes is one person sharing a link with the team."&amp;CHAR(10)&amp;CHAR(10)&amp;"It works well as a team social or "&amp;IF(ISNUMBER(SEARCH(LEFT(F399,1),"AEIOU")),"an ","a ")&amp;F399&amp;"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LINK]")&amp;CHAR(10)&amp;CHAR(10)&amp;"Best,"&amp;CHAR(10)&amp;IF(AM399&lt;&gt;"",AM399,IF(Offer!$C$5&lt;&gt;"",Offer!$C$5,"[NAME]"))&amp;CHAR(10)&amp;"FC Urban"</f>
        <v/>
      </c>
      <c r="AK399" s="14">
        <f>"Hi "&amp;IF(R399&lt;&gt;"",R399,F399&amp;" team")&amp;","&amp;CHAR(10)&amp;CHAR(10)&amp;"Just bumping this up. The "&amp;AE399&amp;" pitch at "&amp;Z399&amp;" is still free "&amp;IF(ISNUMBER(AD399),TEXT(AD399,"ddd d mmm")&amp;", "&amp;TEXT(AD399,"hh:mm"),"weekday evenings")&amp;", "&amp;IF(OR(AA399=8,AA399=11,AA399=18),"an ","a ")&amp;AA399&amp;"-minute walk from your office, "&amp;IF(AF399&lt;&gt;"","£"&amp;IF(AF399=INT(AF399),TEXT(AF399,"0"),TEXT(AF399,"0.00")),"[PRICE PER PLAYER]")&amp;" a player. Happy to hold it for "&amp;F399&amp;"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LINK]")&amp;CHAR(10)&amp;CHAR(10)&amp;"Best,"&amp;CHAR(10)&amp;IF(AM399&lt;&gt;"",AM399,IF(Offer!$C$5&lt;&gt;"",Offer!$C$5,"[NAME]"))&amp;CHAR(10)&amp;"FC Urban"</f>
        <v/>
      </c>
      <c r="AL399" s="14">
        <f>IF(AH399="","No email yet",IF(ISNUMBER(SEARCH("[",AJ399)),"Fill placeholders",IF(ISNUMBER(AD399),"Ready to send","Ready · no fixed slot")))</f>
        <v/>
      </c>
      <c r="AO399" s="17" t="n"/>
      <c r="AP399" s="17" t="n"/>
    </row>
    <row r="400">
      <c r="A400" s="11" t="n">
        <v>398</v>
      </c>
      <c r="B400" s="11" t="n">
        <v>3</v>
      </c>
      <c r="C400" s="11" t="inlineStr">
        <is>
          <t>Insurance / broker</t>
        </is>
      </c>
      <c r="D400" s="11" t="inlineStr">
        <is>
          <t>City of London</t>
        </is>
      </c>
      <c r="E400" s="11" t="inlineStr">
        <is>
          <t>Trenwick Underwriting Limited</t>
        </is>
      </c>
      <c r="F400" s="11" t="inlineStr">
        <is>
          <t>Trenwick Underwriting</t>
        </is>
      </c>
      <c r="G400" s="12" t="inlineStr">
        <is>
          <t>https://www.trenwick.com</t>
        </is>
      </c>
      <c r="H400" s="11" t="inlineStr">
        <is>
          <t>info@trenwick.com</t>
        </is>
      </c>
      <c r="I400" s="11" t="inlineStr">
        <is>
          <t>general</t>
        </is>
      </c>
      <c r="J400" s="12" t="inlineStr">
        <is>
          <t>Open page</t>
        </is>
      </c>
      <c r="K400" s="11" t="inlineStr">
        <is>
          <t>02549227</t>
        </is>
      </c>
      <c r="L400" s="12" t="inlineStr">
        <is>
          <t>Open</t>
        </is>
      </c>
      <c r="M400" s="11" t="inlineStr">
        <is>
          <t>Full</t>
        </is>
      </c>
      <c r="N400" s="13" t="n">
        <v>33162</v>
      </c>
      <c r="O400" s="11" t="inlineStr">
        <is>
          <t>Floor 29, 22 Bishopsgate, London</t>
        </is>
      </c>
      <c r="P400" s="11" t="inlineStr">
        <is>
          <t>EC2N 4BQ</t>
        </is>
      </c>
      <c r="Q400" s="11" t="inlineStr">
        <is>
          <t>No</t>
        </is>
      </c>
      <c r="W400" s="11" t="inlineStr">
        <is>
          <t>Liverpool St - Attlee Centre</t>
        </is>
      </c>
      <c r="X400" s="11" t="n">
        <v>14</v>
      </c>
      <c r="Y400" s="11" t="inlineStr">
        <is>
          <t>City of London School (EC4V 3AL) (18.7); Shoreditch Powerleague (18.7)</t>
        </is>
      </c>
      <c r="Z400" s="11" t="inlineStr">
        <is>
          <t>City of London School (EC4V 3AL)</t>
        </is>
      </c>
      <c r="AA400" s="11" t="n">
        <v>19</v>
      </c>
      <c r="AB400" s="14">
        <f>IFERROR(INDEX(Venues!$E$2:$E$17,MATCH(Z400,Venues!$A$2:$A$17,0)),"Not checked")</f>
        <v/>
      </c>
      <c r="AC400" s="14">
        <f>IFERROR(INDEX(Venues!$F$2:$F$17,MATCH(Z400,Venues!$A$2:$A$17,0)),0)</f>
        <v/>
      </c>
      <c r="AD400" s="15">
        <f>IFERROR(INDEX(Venues!$M$2:$M$17,MATCH(Z400,Venues!$A$2:$A$17,0)),"")</f>
        <v/>
      </c>
      <c r="AE400" s="14">
        <f>IFERROR(INDEX(Venues!$N$2:$N$17,MATCH(Z400,Venues!$A$2:$A$17,0)),"5-a-side")</f>
        <v/>
      </c>
      <c r="AF400" s="16">
        <f>IF(Offer!$C$4="","",Offer!$C$4)</f>
        <v/>
      </c>
      <c r="AG400" s="14">
        <f>Z400&amp;" ("&amp;AA400&amp;" min walk) · "&amp;IF(ISNUMBER(AD400),TEXT(AD400,"ddd d mmm, hh:mm"),"slot to confirm with venue")&amp;" · "&amp;AE400&amp;" · "&amp;IF(AF400&lt;&gt;"","£"&amp;TEXT(AF400,"0.00")&amp;" pp","price TBC")</f>
        <v/>
      </c>
      <c r="AH400" s="14">
        <f>IF(U400&lt;&gt;"",U400,IF(H400&lt;&gt;"",H400,""))</f>
        <v/>
      </c>
      <c r="AI400" s="14">
        <f>"After-work football for "&amp;F400&amp;" · "&amp;Z400&amp;", "&amp;AA400&amp;" min from your office"</f>
        <v/>
      </c>
      <c r="AJ400" s="14">
        <f>"Hi "&amp;IF(R400&lt;&gt;"",R400,F400&amp;" team")&amp;","&amp;CHAR(10)&amp;CHAR(10)&amp;"I'm "&amp;IF(AM400&lt;&gt;"",AM400,IF(Offer!$C$5&lt;&gt;"",Offer!$C$5,"[NAME]"))&amp;" from FC Urban. We organise after-work football for teams in the City and Canary Wharf."&amp;CHAR(10)&amp;CHAR(10)&amp;"We have a "&amp;AE400&amp;" pitch at "&amp;Z400&amp;", "&amp;IF(OR(AA400=8,AA400=11,AA400=18),"an ","a ")&amp;AA400&amp;"-minute walk from your "&amp;P400&amp;" office, "&amp;IF(ISNUMBER(AD400),"on "&amp;TEXT(AD400,"dddd d mmmm")&amp;" at "&amp;TEXT(AD400,"hh:mm"),"on a weekday evening that suits your team")&amp;". It's "&amp;IF(AF400&lt;&gt;"","£"&amp;IF(AF400=INT(AF400),TEXT(AF400,"0"),TEXT(AF400,"0.00")),"[PRICE PER PLAYER]")&amp;" a player and we handle the pitch booking, sign-ups and payments, so all it takes is one person sharing a link with the team."&amp;CHAR(10)&amp;CHAR(10)&amp;"It works well as a team social or "&amp;IF(ISNUMBER(SEARCH(LEFT(F400,1),"AEIOU")),"an ","a ")&amp;F400&amp;"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LINK]")&amp;CHAR(10)&amp;CHAR(10)&amp;"Best,"&amp;CHAR(10)&amp;IF(AM400&lt;&gt;"",AM400,IF(Offer!$C$5&lt;&gt;"",Offer!$C$5,"[NAME]"))&amp;CHAR(10)&amp;"FC Urban"</f>
        <v/>
      </c>
      <c r="AK400" s="14">
        <f>"Hi "&amp;IF(R400&lt;&gt;"",R400,F400&amp;" team")&amp;","&amp;CHAR(10)&amp;CHAR(10)&amp;"Just bumping this up. The "&amp;AE400&amp;" pitch at "&amp;Z400&amp;" is still free "&amp;IF(ISNUMBER(AD400),TEXT(AD400,"ddd d mmm")&amp;", "&amp;TEXT(AD400,"hh:mm"),"weekday evenings")&amp;", "&amp;IF(OR(AA400=8,AA400=11,AA400=18),"an ","a ")&amp;AA400&amp;"-minute walk from your office, "&amp;IF(AF400&lt;&gt;"","£"&amp;IF(AF400=INT(AF400),TEXT(AF400,"0"),TEXT(AF400,"0.00")),"[PRICE PER PLAYER]")&amp;" a player. Happy to hold it for "&amp;F400&amp;"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LINK]")&amp;CHAR(10)&amp;CHAR(10)&amp;"Best,"&amp;CHAR(10)&amp;IF(AM400&lt;&gt;"",AM400,IF(Offer!$C$5&lt;&gt;"",Offer!$C$5,"[NAME]"))&amp;CHAR(10)&amp;"FC Urban"</f>
        <v/>
      </c>
      <c r="AL400" s="14">
        <f>IF(AH400="","No email yet",IF(ISNUMBER(SEARCH("[",AJ400)),"Fill placeholders",IF(ISNUMBER(AD400),"Ready to send","Ready · no fixed slot")))</f>
        <v/>
      </c>
      <c r="AO400" s="17" t="n"/>
      <c r="AP400" s="17" t="n"/>
    </row>
    <row r="401">
      <c r="A401" s="11" t="n">
        <v>399</v>
      </c>
      <c r="B401" s="11" t="n">
        <v>3</v>
      </c>
      <c r="C401" s="11" t="inlineStr">
        <is>
          <t>Insurance / broker</t>
        </is>
      </c>
      <c r="D401" s="11" t="inlineStr">
        <is>
          <t>City of London</t>
        </is>
      </c>
      <c r="E401" s="11" t="inlineStr">
        <is>
          <t>Clear Insurance Management Limited</t>
        </is>
      </c>
      <c r="F401" s="11" t="inlineStr">
        <is>
          <t>Clear Insurance Management</t>
        </is>
      </c>
      <c r="G401" s="12" t="inlineStr">
        <is>
          <t>https://mediaoptions.com</t>
        </is>
      </c>
      <c r="H401" s="11" t="inlineStr">
        <is>
          <t>broker@mediaoptions.com</t>
        </is>
      </c>
      <c r="I401" s="11" t="inlineStr">
        <is>
          <t>named person</t>
        </is>
      </c>
      <c r="J401" s="12" t="inlineStr">
        <is>
          <t>Open page</t>
        </is>
      </c>
      <c r="K401" s="11" t="inlineStr">
        <is>
          <t>03712209</t>
        </is>
      </c>
      <c r="L401" s="12" t="inlineStr">
        <is>
          <t>Open</t>
        </is>
      </c>
      <c r="M401" s="11" t="inlineStr">
        <is>
          <t>Full</t>
        </is>
      </c>
      <c r="N401" s="13" t="n">
        <v>36202</v>
      </c>
      <c r="O401" s="11" t="inlineStr">
        <is>
          <t>1 Great Tower Street, London</t>
        </is>
      </c>
      <c r="P401" s="11" t="inlineStr">
        <is>
          <t>EC3R 5AA</t>
        </is>
      </c>
      <c r="Q401" s="11" t="inlineStr">
        <is>
          <t>Yes</t>
        </is>
      </c>
      <c r="W401" s="11" t="inlineStr">
        <is>
          <t>Marlborough Sports Garden (SE1 1SD)</t>
        </is>
      </c>
      <c r="X401" s="11" t="n">
        <v>17</v>
      </c>
      <c r="Y401" s="11" t="inlineStr">
        <is>
          <t>Liverpool St - Attlee Centre (17.5); City of London School (EC4V 3AL) (19)</t>
        </is>
      </c>
      <c r="Z401" s="11" t="inlineStr">
        <is>
          <t>City of London School (EC4V 3AL)</t>
        </is>
      </c>
      <c r="AA401" s="11" t="n">
        <v>19</v>
      </c>
      <c r="AB401" s="14">
        <f>IFERROR(INDEX(Venues!$E$2:$E$17,MATCH(Z401,Venues!$A$2:$A$17,0)),"Not checked")</f>
        <v/>
      </c>
      <c r="AC401" s="14">
        <f>IFERROR(INDEX(Venues!$F$2:$F$17,MATCH(Z401,Venues!$A$2:$A$17,0)),0)</f>
        <v/>
      </c>
      <c r="AD401" s="15">
        <f>IFERROR(INDEX(Venues!$M$2:$M$17,MATCH(Z401,Venues!$A$2:$A$17,0)),"")</f>
        <v/>
      </c>
      <c r="AE401" s="14">
        <f>IFERROR(INDEX(Venues!$N$2:$N$17,MATCH(Z401,Venues!$A$2:$A$17,0)),"5-a-side")</f>
        <v/>
      </c>
      <c r="AF401" s="16">
        <f>IF(Offer!$C$4="","",Offer!$C$4)</f>
        <v/>
      </c>
      <c r="AG401" s="14">
        <f>Z401&amp;" ("&amp;AA401&amp;" min walk) · "&amp;IF(ISNUMBER(AD401),TEXT(AD401,"ddd d mmm, hh:mm"),"slot to confirm with venue")&amp;" · "&amp;AE401&amp;" · "&amp;IF(AF401&lt;&gt;"","£"&amp;TEXT(AF401,"0.00")&amp;" pp","price TBC")</f>
        <v/>
      </c>
      <c r="AH401" s="14">
        <f>IF(U401&lt;&gt;"",U401,IF(H401&lt;&gt;"",H401,""))</f>
        <v/>
      </c>
      <c r="AI401" s="14">
        <f>"After-work football for "&amp;F401&amp;" · "&amp;Z401&amp;", "&amp;AA401&amp;" min from your office"</f>
        <v/>
      </c>
      <c r="AJ401" s="14">
        <f>"Hi "&amp;IF(R401&lt;&gt;"",R401,F401&amp;" team")&amp;","&amp;CHAR(10)&amp;CHAR(10)&amp;"I'm "&amp;IF(AM401&lt;&gt;"",AM401,IF(Offer!$C$5&lt;&gt;"",Offer!$C$5,"[NAME]"))&amp;" from FC Urban. We organise after-work football for teams in the City and Canary Wharf."&amp;CHAR(10)&amp;CHAR(10)&amp;"We have a "&amp;AE401&amp;" pitch at "&amp;Z401&amp;", "&amp;IF(OR(AA401=8,AA401=11,AA401=18),"an ","a ")&amp;AA401&amp;"-minute walk from your "&amp;P401&amp;" office, "&amp;IF(ISNUMBER(AD401),"on "&amp;TEXT(AD401,"dddd d mmmm")&amp;" at "&amp;TEXT(AD401,"hh:mm"),"on a weekday evening that suits your team")&amp;". It's "&amp;IF(AF401&lt;&gt;"","£"&amp;IF(AF401=INT(AF401),TEXT(AF401,"0"),TEXT(AF401,"0.00")),"[PRICE PER PLAYER]")&amp;" a player and we handle the pitch booking, sign-ups and payments, so all it takes is one person sharing a link with the team."&amp;CHAR(10)&amp;CHAR(10)&amp;"It works well as a team social or "&amp;IF(ISNUMBER(SEARCH(LEFT(F401,1),"AEIOU")),"an ","a ")&amp;F401&amp;"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LINK]")&amp;CHAR(10)&amp;CHAR(10)&amp;"Best,"&amp;CHAR(10)&amp;IF(AM401&lt;&gt;"",AM401,IF(Offer!$C$5&lt;&gt;"",Offer!$C$5,"[NAME]"))&amp;CHAR(10)&amp;"FC Urban"</f>
        <v/>
      </c>
      <c r="AK401" s="14">
        <f>"Hi "&amp;IF(R401&lt;&gt;"",R401,F401&amp;" team")&amp;","&amp;CHAR(10)&amp;CHAR(10)&amp;"Just bumping this up. The "&amp;AE401&amp;" pitch at "&amp;Z401&amp;" is still free "&amp;IF(ISNUMBER(AD401),TEXT(AD401,"ddd d mmm")&amp;", "&amp;TEXT(AD401,"hh:mm"),"weekday evenings")&amp;", "&amp;IF(OR(AA401=8,AA401=11,AA401=18),"an ","a ")&amp;AA401&amp;"-minute walk from your office, "&amp;IF(AF401&lt;&gt;"","£"&amp;IF(AF401=INT(AF401),TEXT(AF401,"0"),TEXT(AF401,"0.00")),"[PRICE PER PLAYER]")&amp;" a player. Happy to hold it for "&amp;F401&amp;"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LINK]")&amp;CHAR(10)&amp;CHAR(10)&amp;"Best,"&amp;CHAR(10)&amp;IF(AM401&lt;&gt;"",AM401,IF(Offer!$C$5&lt;&gt;"",Offer!$C$5,"[NAME]"))&amp;CHAR(10)&amp;"FC Urban"</f>
        <v/>
      </c>
      <c r="AL401" s="14">
        <f>IF(AH401="","No email yet",IF(ISNUMBER(SEARCH("[",AJ401)),"Fill placeholders",IF(ISNUMBER(AD401),"Ready to send","Ready · no fixed slot")))</f>
        <v/>
      </c>
      <c r="AO401" s="17" t="n"/>
      <c r="AP401" s="17" t="n"/>
    </row>
    <row r="402">
      <c r="A402" s="11" t="n">
        <v>400</v>
      </c>
      <c r="B402" s="11" t="n">
        <v>3</v>
      </c>
      <c r="C402" s="11" t="inlineStr">
        <is>
          <t>Insurance / broker</t>
        </is>
      </c>
      <c r="D402" s="11" t="inlineStr">
        <is>
          <t>City of London</t>
        </is>
      </c>
      <c r="E402" s="11" t="inlineStr">
        <is>
          <t>Ulyssere Limited</t>
        </is>
      </c>
      <c r="F402" s="11" t="inlineStr">
        <is>
          <t>Ulyssere</t>
        </is>
      </c>
      <c r="G402" s="12" t="inlineStr">
        <is>
          <t>https://www.ulyssere.com</t>
        </is>
      </c>
      <c r="H402" s="11" t="inlineStr">
        <is>
          <t>info@ulyssere.com</t>
        </is>
      </c>
      <c r="I402" s="11" t="inlineStr">
        <is>
          <t>general</t>
        </is>
      </c>
      <c r="J402" s="12" t="inlineStr">
        <is>
          <t>Open page</t>
        </is>
      </c>
      <c r="K402" s="11" t="inlineStr">
        <is>
          <t>03606440</t>
        </is>
      </c>
      <c r="L402" s="12" t="inlineStr">
        <is>
          <t>Open</t>
        </is>
      </c>
      <c r="M402" s="11" t="inlineStr">
        <is>
          <t>Full</t>
        </is>
      </c>
      <c r="N402" s="13" t="n">
        <v>36005</v>
      </c>
      <c r="O402" s="11" t="inlineStr">
        <is>
          <t>Office Suite 2.15, 34, Lime Street, London</t>
        </is>
      </c>
      <c r="P402" s="11" t="inlineStr">
        <is>
          <t>EC3M 7AT</t>
        </is>
      </c>
      <c r="Q402" s="11" t="inlineStr">
        <is>
          <t>Yes</t>
        </is>
      </c>
      <c r="W402" s="11" t="inlineStr">
        <is>
          <t>Liverpool St - Attlee Centre</t>
        </is>
      </c>
      <c r="X402" s="11" t="n">
        <v>15</v>
      </c>
      <c r="Y402" s="11" t="inlineStr">
        <is>
          <t>City of London School (EC4V 3AL) (19)</t>
        </is>
      </c>
      <c r="Z402" s="11" t="inlineStr">
        <is>
          <t>City of London School (EC4V 3AL)</t>
        </is>
      </c>
      <c r="AA402" s="11" t="n">
        <v>19</v>
      </c>
      <c r="AB402" s="14">
        <f>IFERROR(INDEX(Venues!$E$2:$E$17,MATCH(Z402,Venues!$A$2:$A$17,0)),"Not checked")</f>
        <v/>
      </c>
      <c r="AC402" s="14">
        <f>IFERROR(INDEX(Venues!$F$2:$F$17,MATCH(Z402,Venues!$A$2:$A$17,0)),0)</f>
        <v/>
      </c>
      <c r="AD402" s="15">
        <f>IFERROR(INDEX(Venues!$M$2:$M$17,MATCH(Z402,Venues!$A$2:$A$17,0)),"")</f>
        <v/>
      </c>
      <c r="AE402" s="14">
        <f>IFERROR(INDEX(Venues!$N$2:$N$17,MATCH(Z402,Venues!$A$2:$A$17,0)),"5-a-side")</f>
        <v/>
      </c>
      <c r="AF402" s="16">
        <f>IF(Offer!$C$4="","",Offer!$C$4)</f>
        <v/>
      </c>
      <c r="AG402" s="14">
        <f>Z402&amp;" ("&amp;AA402&amp;" min walk) · "&amp;IF(ISNUMBER(AD402),TEXT(AD402,"ddd d mmm, hh:mm"),"slot to confirm with venue")&amp;" · "&amp;AE402&amp;" · "&amp;IF(AF402&lt;&gt;"","£"&amp;TEXT(AF402,"0.00")&amp;" pp","price TBC")</f>
        <v/>
      </c>
      <c r="AH402" s="14">
        <f>IF(U402&lt;&gt;"",U402,IF(H402&lt;&gt;"",H402,""))</f>
        <v/>
      </c>
      <c r="AI402" s="14">
        <f>"After-work football for "&amp;F402&amp;" · "&amp;Z402&amp;", "&amp;AA402&amp;" min from your office"</f>
        <v/>
      </c>
      <c r="AJ402" s="14">
        <f>"Hi "&amp;IF(R402&lt;&gt;"",R402,F402&amp;" team")&amp;","&amp;CHAR(10)&amp;CHAR(10)&amp;"I'm "&amp;IF(AM402&lt;&gt;"",AM402,IF(Offer!$C$5&lt;&gt;"",Offer!$C$5,"[NAME]"))&amp;" from FC Urban. We organise after-work football for teams in the City and Canary Wharf."&amp;CHAR(10)&amp;CHAR(10)&amp;"We have a "&amp;AE402&amp;" pitch at "&amp;Z402&amp;", "&amp;IF(OR(AA402=8,AA402=11,AA402=18),"an ","a ")&amp;AA402&amp;"-minute walk from your "&amp;P402&amp;" office, "&amp;IF(ISNUMBER(AD402),"on "&amp;TEXT(AD402,"dddd d mmmm")&amp;" at "&amp;TEXT(AD402,"hh:mm"),"on a weekday evening that suits your team")&amp;". It's "&amp;IF(AF402&lt;&gt;"","£"&amp;IF(AF402=INT(AF402),TEXT(AF402,"0"),TEXT(AF402,"0.00")),"[PRICE PER PLAYER]")&amp;" a player and we handle the pitch booking, sign-ups and payments, so all it takes is one person sharing a link with the team."&amp;CHAR(10)&amp;CHAR(10)&amp;"It works well as a team social or "&amp;IF(ISNUMBER(SEARCH(LEFT(F402,1),"AEIOU")),"an ","a ")&amp;F402&amp;" vs clients game. Would your team be up for it, or is there someone who'd enjoy organising it?"&amp;IF(Offer!$C$7&lt;&gt;""," Spots are held until "&amp;TEXT(Offer!$C$7,"dddd d mmmm")&amp;".","")&amp;" "&amp;IF(Offer!$C$6&lt;&gt;"",Offer!$C$6,"[JOINING LINK]")&amp;CHAR(10)&amp;CHAR(10)&amp;"Best,"&amp;CHAR(10)&amp;IF(AM402&lt;&gt;"",AM402,IF(Offer!$C$5&lt;&gt;"",Offer!$C$5,"[NAME]"))&amp;CHAR(10)&amp;"FC Urban"</f>
        <v/>
      </c>
      <c r="AK402" s="14">
        <f>"Hi "&amp;IF(R402&lt;&gt;"",R402,F402&amp;" team")&amp;","&amp;CHAR(10)&amp;CHAR(10)&amp;"Just bumping this up. The "&amp;AE402&amp;" pitch at "&amp;Z402&amp;" is still free "&amp;IF(ISNUMBER(AD402),TEXT(AD402,"ddd d mmm")&amp;", "&amp;TEXT(AD402,"hh:mm"),"weekday evenings")&amp;", "&amp;IF(OR(AA402=8,AA402=11,AA402=18),"an ","a ")&amp;AA402&amp;"-minute walk from your office, "&amp;IF(AF402&lt;&gt;"","£"&amp;IF(AF402=INT(AF402),TEXT(AF402,"0"),TEXT(AF402,"0.00")),"[PRICE PER PLAYER]")&amp;" a player. Happy to hold it for "&amp;F402&amp;" if someone on the team fancies organising a game."&amp;IF(Offer!$C$7&lt;&gt;""," Spots are held until "&amp;TEXT(Offer!$C$7,"dddd d mmmm")&amp;".","")&amp;" "&amp;IF(Offer!$C$6&lt;&gt;"",Offer!$C$6,"[JOINING LINK]")&amp;CHAR(10)&amp;CHAR(10)&amp;"Best,"&amp;CHAR(10)&amp;IF(AM402&lt;&gt;"",AM402,IF(Offer!$C$5&lt;&gt;"",Offer!$C$5,"[NAME]"))&amp;CHAR(10)&amp;"FC Urban"</f>
        <v/>
      </c>
      <c r="AL402" s="14">
        <f>IF(AH402="","No email yet",IF(ISNUMBER(SEARCH("[",AJ402)),"Fill placeholders",IF(ISNUMBER(AD402),"Ready to send","Ready · no fixed slot")))</f>
        <v/>
      </c>
      <c r="AO402" s="17" t="n"/>
      <c r="AP402" s="17" t="n"/>
    </row>
  </sheetData>
  <autoFilter ref="A2:AX402"/>
  <mergeCells count="5">
    <mergeCell ref="R1:V1"/>
    <mergeCell ref="W1:Y1"/>
    <mergeCell ref="A1:Q1"/>
    <mergeCell ref="AM1:AX1"/>
    <mergeCell ref="Z1:AL1"/>
  </mergeCells>
  <dataValidations count="8">
    <dataValidation sqref="AM3:AM1000" showDropDown="0" showInputMessage="0" showErrorMessage="0" allowBlank="1" type="list">
      <formula1>"Brian,Joep,Luuk,Stan,Nero,Nicky"</formula1>
    </dataValidation>
    <dataValidation sqref="AN3:AN1000" showDropDown="0" showInputMessage="0" showErrorMessage="0" allowBlank="1" type="list">
      <formula1>"Email,Phone,Walk-in,Other"</formula1>
    </dataValidation>
    <dataValidation sqref="AQ3:AQ1000" showDropDown="0" showInputMessage="0" showErrorMessage="0" allowBlank="1" type="list">
      <formula1>"Yes,No"</formula1>
    </dataValidation>
    <dataValidation sqref="AR3:AR1000" showDropDown="0" showInputMessage="0" showErrorMessage="0" allowBlank="1" type="list">
      <formula1>"Yes,No"</formula1>
    </dataValidation>
    <dataValidation sqref="AS3:AS1000" showDropDown="0" showInputMessage="0" showErrorMessage="0" allowBlank="1" type="list">
      <formula1>"Yes,No"</formula1>
    </dataValidation>
    <dataValidation sqref="AT3:AT1000" showDropDown="0" showInputMessage="0" showErrorMessage="0" allowBlank="1" type="list">
      <formula1>"Yes,No"</formula1>
    </dataValidation>
    <dataValidation sqref="AU3:AU1000" showDropDown="0" showInputMessage="0" showErrorMessage="0" allowBlank="1" type="list">
      <formula1>"Yes,No"</formula1>
    </dataValidation>
    <dataValidation sqref="AO3:AO1000 AP3:AP1000" showDropDown="0" showInputMessage="0" showErrorMessage="0" allowBlank="1" type="date"/>
  </dataValidations>
  <hyperlinks>
    <hyperlink xmlns:r="http://schemas.openxmlformats.org/officeDocument/2006/relationships" ref="G3" r:id="rId1"/>
    <hyperlink xmlns:r="http://schemas.openxmlformats.org/officeDocument/2006/relationships" ref="J3" r:id="rId2"/>
    <hyperlink xmlns:r="http://schemas.openxmlformats.org/officeDocument/2006/relationships" ref="L3" r:id="rId3"/>
    <hyperlink xmlns:r="http://schemas.openxmlformats.org/officeDocument/2006/relationships" ref="G4" r:id="rId4"/>
    <hyperlink xmlns:r="http://schemas.openxmlformats.org/officeDocument/2006/relationships" ref="J4" r:id="rId5"/>
    <hyperlink xmlns:r="http://schemas.openxmlformats.org/officeDocument/2006/relationships" ref="L4" r:id="rId6"/>
    <hyperlink xmlns:r="http://schemas.openxmlformats.org/officeDocument/2006/relationships" ref="G5" r:id="rId7"/>
    <hyperlink xmlns:r="http://schemas.openxmlformats.org/officeDocument/2006/relationships" ref="J5" r:id="rId8"/>
    <hyperlink xmlns:r="http://schemas.openxmlformats.org/officeDocument/2006/relationships" ref="L5" r:id="rId9"/>
    <hyperlink xmlns:r="http://schemas.openxmlformats.org/officeDocument/2006/relationships" ref="G6" r:id="rId10"/>
    <hyperlink xmlns:r="http://schemas.openxmlformats.org/officeDocument/2006/relationships" ref="L6" r:id="rId11"/>
    <hyperlink xmlns:r="http://schemas.openxmlformats.org/officeDocument/2006/relationships" ref="G7" r:id="rId12"/>
    <hyperlink xmlns:r="http://schemas.openxmlformats.org/officeDocument/2006/relationships" ref="J7" r:id="rId13"/>
    <hyperlink xmlns:r="http://schemas.openxmlformats.org/officeDocument/2006/relationships" ref="L7" r:id="rId14"/>
    <hyperlink xmlns:r="http://schemas.openxmlformats.org/officeDocument/2006/relationships" ref="G8" r:id="rId15"/>
    <hyperlink xmlns:r="http://schemas.openxmlformats.org/officeDocument/2006/relationships" ref="J8" r:id="rId16"/>
    <hyperlink xmlns:r="http://schemas.openxmlformats.org/officeDocument/2006/relationships" ref="L8" r:id="rId17"/>
    <hyperlink xmlns:r="http://schemas.openxmlformats.org/officeDocument/2006/relationships" ref="G9" r:id="rId18"/>
    <hyperlink xmlns:r="http://schemas.openxmlformats.org/officeDocument/2006/relationships" ref="J9" r:id="rId19"/>
    <hyperlink xmlns:r="http://schemas.openxmlformats.org/officeDocument/2006/relationships" ref="L9" r:id="rId20"/>
    <hyperlink xmlns:r="http://schemas.openxmlformats.org/officeDocument/2006/relationships" ref="G10" r:id="rId21"/>
    <hyperlink xmlns:r="http://schemas.openxmlformats.org/officeDocument/2006/relationships" ref="J10" r:id="rId22"/>
    <hyperlink xmlns:r="http://schemas.openxmlformats.org/officeDocument/2006/relationships" ref="L10" r:id="rId23"/>
    <hyperlink xmlns:r="http://schemas.openxmlformats.org/officeDocument/2006/relationships" ref="G11" r:id="rId24"/>
    <hyperlink xmlns:r="http://schemas.openxmlformats.org/officeDocument/2006/relationships" ref="J11" r:id="rId25"/>
    <hyperlink xmlns:r="http://schemas.openxmlformats.org/officeDocument/2006/relationships" ref="L11" r:id="rId26"/>
    <hyperlink xmlns:r="http://schemas.openxmlformats.org/officeDocument/2006/relationships" ref="G12" r:id="rId27"/>
    <hyperlink xmlns:r="http://schemas.openxmlformats.org/officeDocument/2006/relationships" ref="J12" r:id="rId28"/>
    <hyperlink xmlns:r="http://schemas.openxmlformats.org/officeDocument/2006/relationships" ref="L12" r:id="rId29"/>
    <hyperlink xmlns:r="http://schemas.openxmlformats.org/officeDocument/2006/relationships" ref="G13" r:id="rId30"/>
    <hyperlink xmlns:r="http://schemas.openxmlformats.org/officeDocument/2006/relationships" ref="L13" r:id="rId31"/>
    <hyperlink xmlns:r="http://schemas.openxmlformats.org/officeDocument/2006/relationships" ref="G14" r:id="rId32"/>
    <hyperlink xmlns:r="http://schemas.openxmlformats.org/officeDocument/2006/relationships" ref="J14" r:id="rId33"/>
    <hyperlink xmlns:r="http://schemas.openxmlformats.org/officeDocument/2006/relationships" ref="L14" r:id="rId34"/>
    <hyperlink xmlns:r="http://schemas.openxmlformats.org/officeDocument/2006/relationships" ref="G15" r:id="rId35"/>
    <hyperlink xmlns:r="http://schemas.openxmlformats.org/officeDocument/2006/relationships" ref="J15" r:id="rId36"/>
    <hyperlink xmlns:r="http://schemas.openxmlformats.org/officeDocument/2006/relationships" ref="L15" r:id="rId37"/>
    <hyperlink xmlns:r="http://schemas.openxmlformats.org/officeDocument/2006/relationships" ref="G16" r:id="rId38"/>
    <hyperlink xmlns:r="http://schemas.openxmlformats.org/officeDocument/2006/relationships" ref="J16" r:id="rId39"/>
    <hyperlink xmlns:r="http://schemas.openxmlformats.org/officeDocument/2006/relationships" ref="L16" r:id="rId40"/>
    <hyperlink xmlns:r="http://schemas.openxmlformats.org/officeDocument/2006/relationships" ref="G17" r:id="rId41"/>
    <hyperlink xmlns:r="http://schemas.openxmlformats.org/officeDocument/2006/relationships" ref="J17" r:id="rId42"/>
    <hyperlink xmlns:r="http://schemas.openxmlformats.org/officeDocument/2006/relationships" ref="L17" r:id="rId43"/>
    <hyperlink xmlns:r="http://schemas.openxmlformats.org/officeDocument/2006/relationships" ref="G18" r:id="rId44"/>
    <hyperlink xmlns:r="http://schemas.openxmlformats.org/officeDocument/2006/relationships" ref="J18" r:id="rId45"/>
    <hyperlink xmlns:r="http://schemas.openxmlformats.org/officeDocument/2006/relationships" ref="L18" r:id="rId46"/>
    <hyperlink xmlns:r="http://schemas.openxmlformats.org/officeDocument/2006/relationships" ref="G19" r:id="rId47"/>
    <hyperlink xmlns:r="http://schemas.openxmlformats.org/officeDocument/2006/relationships" ref="J19" r:id="rId48"/>
    <hyperlink xmlns:r="http://schemas.openxmlformats.org/officeDocument/2006/relationships" ref="L19" r:id="rId49"/>
    <hyperlink xmlns:r="http://schemas.openxmlformats.org/officeDocument/2006/relationships" ref="G20" r:id="rId50"/>
    <hyperlink xmlns:r="http://schemas.openxmlformats.org/officeDocument/2006/relationships" ref="J20" r:id="rId51"/>
    <hyperlink xmlns:r="http://schemas.openxmlformats.org/officeDocument/2006/relationships" ref="L20" r:id="rId52"/>
    <hyperlink xmlns:r="http://schemas.openxmlformats.org/officeDocument/2006/relationships" ref="G21" r:id="rId53"/>
    <hyperlink xmlns:r="http://schemas.openxmlformats.org/officeDocument/2006/relationships" ref="L21" r:id="rId54"/>
    <hyperlink xmlns:r="http://schemas.openxmlformats.org/officeDocument/2006/relationships" ref="G22" r:id="rId55"/>
    <hyperlink xmlns:r="http://schemas.openxmlformats.org/officeDocument/2006/relationships" ref="J22" r:id="rId56"/>
    <hyperlink xmlns:r="http://schemas.openxmlformats.org/officeDocument/2006/relationships" ref="L22" r:id="rId57"/>
    <hyperlink xmlns:r="http://schemas.openxmlformats.org/officeDocument/2006/relationships" ref="G23" r:id="rId58"/>
    <hyperlink xmlns:r="http://schemas.openxmlformats.org/officeDocument/2006/relationships" ref="J23" r:id="rId59"/>
    <hyperlink xmlns:r="http://schemas.openxmlformats.org/officeDocument/2006/relationships" ref="L23" r:id="rId60"/>
    <hyperlink xmlns:r="http://schemas.openxmlformats.org/officeDocument/2006/relationships" ref="G24" r:id="rId61"/>
    <hyperlink xmlns:r="http://schemas.openxmlformats.org/officeDocument/2006/relationships" ref="J24" r:id="rId62"/>
    <hyperlink xmlns:r="http://schemas.openxmlformats.org/officeDocument/2006/relationships" ref="L24" r:id="rId63"/>
    <hyperlink xmlns:r="http://schemas.openxmlformats.org/officeDocument/2006/relationships" ref="G25" r:id="rId64"/>
    <hyperlink xmlns:r="http://schemas.openxmlformats.org/officeDocument/2006/relationships" ref="J25" r:id="rId65"/>
    <hyperlink xmlns:r="http://schemas.openxmlformats.org/officeDocument/2006/relationships" ref="L25" r:id="rId66"/>
    <hyperlink xmlns:r="http://schemas.openxmlformats.org/officeDocument/2006/relationships" ref="G26" r:id="rId67"/>
    <hyperlink xmlns:r="http://schemas.openxmlformats.org/officeDocument/2006/relationships" ref="J26" r:id="rId68"/>
    <hyperlink xmlns:r="http://schemas.openxmlformats.org/officeDocument/2006/relationships" ref="L26" r:id="rId69"/>
    <hyperlink xmlns:r="http://schemas.openxmlformats.org/officeDocument/2006/relationships" ref="G27" r:id="rId70"/>
    <hyperlink xmlns:r="http://schemas.openxmlformats.org/officeDocument/2006/relationships" ref="J27" r:id="rId71"/>
    <hyperlink xmlns:r="http://schemas.openxmlformats.org/officeDocument/2006/relationships" ref="L27" r:id="rId72"/>
    <hyperlink xmlns:r="http://schemas.openxmlformats.org/officeDocument/2006/relationships" ref="G28" r:id="rId73"/>
    <hyperlink xmlns:r="http://schemas.openxmlformats.org/officeDocument/2006/relationships" ref="J28" r:id="rId74"/>
    <hyperlink xmlns:r="http://schemas.openxmlformats.org/officeDocument/2006/relationships" ref="L28" r:id="rId75"/>
    <hyperlink xmlns:r="http://schemas.openxmlformats.org/officeDocument/2006/relationships" ref="G29" r:id="rId76"/>
    <hyperlink xmlns:r="http://schemas.openxmlformats.org/officeDocument/2006/relationships" ref="J29" r:id="rId77"/>
    <hyperlink xmlns:r="http://schemas.openxmlformats.org/officeDocument/2006/relationships" ref="L29" r:id="rId78"/>
    <hyperlink xmlns:r="http://schemas.openxmlformats.org/officeDocument/2006/relationships" ref="G30" r:id="rId79"/>
    <hyperlink xmlns:r="http://schemas.openxmlformats.org/officeDocument/2006/relationships" ref="J30" r:id="rId80"/>
    <hyperlink xmlns:r="http://schemas.openxmlformats.org/officeDocument/2006/relationships" ref="L30" r:id="rId81"/>
    <hyperlink xmlns:r="http://schemas.openxmlformats.org/officeDocument/2006/relationships" ref="G31" r:id="rId82"/>
    <hyperlink xmlns:r="http://schemas.openxmlformats.org/officeDocument/2006/relationships" ref="J31" r:id="rId83"/>
    <hyperlink xmlns:r="http://schemas.openxmlformats.org/officeDocument/2006/relationships" ref="L31" r:id="rId84"/>
    <hyperlink xmlns:r="http://schemas.openxmlformats.org/officeDocument/2006/relationships" ref="G32" r:id="rId85"/>
    <hyperlink xmlns:r="http://schemas.openxmlformats.org/officeDocument/2006/relationships" ref="J32" r:id="rId86"/>
    <hyperlink xmlns:r="http://schemas.openxmlformats.org/officeDocument/2006/relationships" ref="L32" r:id="rId87"/>
    <hyperlink xmlns:r="http://schemas.openxmlformats.org/officeDocument/2006/relationships" ref="G33" r:id="rId88"/>
    <hyperlink xmlns:r="http://schemas.openxmlformats.org/officeDocument/2006/relationships" ref="J33" r:id="rId89"/>
    <hyperlink xmlns:r="http://schemas.openxmlformats.org/officeDocument/2006/relationships" ref="L33" r:id="rId90"/>
    <hyperlink xmlns:r="http://schemas.openxmlformats.org/officeDocument/2006/relationships" ref="G34" r:id="rId91"/>
    <hyperlink xmlns:r="http://schemas.openxmlformats.org/officeDocument/2006/relationships" ref="J34" r:id="rId92"/>
    <hyperlink xmlns:r="http://schemas.openxmlformats.org/officeDocument/2006/relationships" ref="L34" r:id="rId93"/>
    <hyperlink xmlns:r="http://schemas.openxmlformats.org/officeDocument/2006/relationships" ref="G35" r:id="rId94"/>
    <hyperlink xmlns:r="http://schemas.openxmlformats.org/officeDocument/2006/relationships" ref="J35" r:id="rId95"/>
    <hyperlink xmlns:r="http://schemas.openxmlformats.org/officeDocument/2006/relationships" ref="L35" r:id="rId96"/>
    <hyperlink xmlns:r="http://schemas.openxmlformats.org/officeDocument/2006/relationships" ref="G36" r:id="rId97"/>
    <hyperlink xmlns:r="http://schemas.openxmlformats.org/officeDocument/2006/relationships" ref="J36" r:id="rId98"/>
    <hyperlink xmlns:r="http://schemas.openxmlformats.org/officeDocument/2006/relationships" ref="L36" r:id="rId99"/>
    <hyperlink xmlns:r="http://schemas.openxmlformats.org/officeDocument/2006/relationships" ref="G37" r:id="rId100"/>
    <hyperlink xmlns:r="http://schemas.openxmlformats.org/officeDocument/2006/relationships" ref="L37" r:id="rId101"/>
    <hyperlink xmlns:r="http://schemas.openxmlformats.org/officeDocument/2006/relationships" ref="G38" r:id="rId102"/>
    <hyperlink xmlns:r="http://schemas.openxmlformats.org/officeDocument/2006/relationships" ref="J38" r:id="rId103"/>
    <hyperlink xmlns:r="http://schemas.openxmlformats.org/officeDocument/2006/relationships" ref="L38" r:id="rId104"/>
    <hyperlink xmlns:r="http://schemas.openxmlformats.org/officeDocument/2006/relationships" ref="G39" r:id="rId105"/>
    <hyperlink xmlns:r="http://schemas.openxmlformats.org/officeDocument/2006/relationships" ref="J39" r:id="rId106"/>
    <hyperlink xmlns:r="http://schemas.openxmlformats.org/officeDocument/2006/relationships" ref="L39" r:id="rId107"/>
    <hyperlink xmlns:r="http://schemas.openxmlformats.org/officeDocument/2006/relationships" ref="G40" r:id="rId108"/>
    <hyperlink xmlns:r="http://schemas.openxmlformats.org/officeDocument/2006/relationships" ref="J40" r:id="rId109"/>
    <hyperlink xmlns:r="http://schemas.openxmlformats.org/officeDocument/2006/relationships" ref="L40" r:id="rId110"/>
    <hyperlink xmlns:r="http://schemas.openxmlformats.org/officeDocument/2006/relationships" ref="G41" r:id="rId111"/>
    <hyperlink xmlns:r="http://schemas.openxmlformats.org/officeDocument/2006/relationships" ref="J41" r:id="rId112"/>
    <hyperlink xmlns:r="http://schemas.openxmlformats.org/officeDocument/2006/relationships" ref="L41" r:id="rId113"/>
    <hyperlink xmlns:r="http://schemas.openxmlformats.org/officeDocument/2006/relationships" ref="G42" r:id="rId114"/>
    <hyperlink xmlns:r="http://schemas.openxmlformats.org/officeDocument/2006/relationships" ref="J42" r:id="rId115"/>
    <hyperlink xmlns:r="http://schemas.openxmlformats.org/officeDocument/2006/relationships" ref="L42" r:id="rId116"/>
    <hyperlink xmlns:r="http://schemas.openxmlformats.org/officeDocument/2006/relationships" ref="G43" r:id="rId117"/>
    <hyperlink xmlns:r="http://schemas.openxmlformats.org/officeDocument/2006/relationships" ref="J43" r:id="rId118"/>
    <hyperlink xmlns:r="http://schemas.openxmlformats.org/officeDocument/2006/relationships" ref="L43" r:id="rId119"/>
    <hyperlink xmlns:r="http://schemas.openxmlformats.org/officeDocument/2006/relationships" ref="G44" r:id="rId120"/>
    <hyperlink xmlns:r="http://schemas.openxmlformats.org/officeDocument/2006/relationships" ref="J44" r:id="rId121"/>
    <hyperlink xmlns:r="http://schemas.openxmlformats.org/officeDocument/2006/relationships" ref="L44" r:id="rId122"/>
    <hyperlink xmlns:r="http://schemas.openxmlformats.org/officeDocument/2006/relationships" ref="G45" r:id="rId123"/>
    <hyperlink xmlns:r="http://schemas.openxmlformats.org/officeDocument/2006/relationships" ref="J45" r:id="rId124"/>
    <hyperlink xmlns:r="http://schemas.openxmlformats.org/officeDocument/2006/relationships" ref="L45" r:id="rId125"/>
    <hyperlink xmlns:r="http://schemas.openxmlformats.org/officeDocument/2006/relationships" ref="G46" r:id="rId126"/>
    <hyperlink xmlns:r="http://schemas.openxmlformats.org/officeDocument/2006/relationships" ref="J46" r:id="rId127"/>
    <hyperlink xmlns:r="http://schemas.openxmlformats.org/officeDocument/2006/relationships" ref="G47" r:id="rId128"/>
    <hyperlink xmlns:r="http://schemas.openxmlformats.org/officeDocument/2006/relationships" ref="J47" r:id="rId129"/>
    <hyperlink xmlns:r="http://schemas.openxmlformats.org/officeDocument/2006/relationships" ref="L47" r:id="rId130"/>
    <hyperlink xmlns:r="http://schemas.openxmlformats.org/officeDocument/2006/relationships" ref="G48" r:id="rId131"/>
    <hyperlink xmlns:r="http://schemas.openxmlformats.org/officeDocument/2006/relationships" ref="L48" r:id="rId132"/>
    <hyperlink xmlns:r="http://schemas.openxmlformats.org/officeDocument/2006/relationships" ref="G49" r:id="rId133"/>
    <hyperlink xmlns:r="http://schemas.openxmlformats.org/officeDocument/2006/relationships" ref="J49" r:id="rId134"/>
    <hyperlink xmlns:r="http://schemas.openxmlformats.org/officeDocument/2006/relationships" ref="L49" r:id="rId135"/>
    <hyperlink xmlns:r="http://schemas.openxmlformats.org/officeDocument/2006/relationships" ref="G50" r:id="rId136"/>
    <hyperlink xmlns:r="http://schemas.openxmlformats.org/officeDocument/2006/relationships" ref="J50" r:id="rId137"/>
    <hyperlink xmlns:r="http://schemas.openxmlformats.org/officeDocument/2006/relationships" ref="L50" r:id="rId138"/>
    <hyperlink xmlns:r="http://schemas.openxmlformats.org/officeDocument/2006/relationships" ref="G51" r:id="rId139"/>
    <hyperlink xmlns:r="http://schemas.openxmlformats.org/officeDocument/2006/relationships" ref="J51" r:id="rId140"/>
    <hyperlink xmlns:r="http://schemas.openxmlformats.org/officeDocument/2006/relationships" ref="L51" r:id="rId141"/>
    <hyperlink xmlns:r="http://schemas.openxmlformats.org/officeDocument/2006/relationships" ref="G52" r:id="rId142"/>
    <hyperlink xmlns:r="http://schemas.openxmlformats.org/officeDocument/2006/relationships" ref="J52" r:id="rId143"/>
    <hyperlink xmlns:r="http://schemas.openxmlformats.org/officeDocument/2006/relationships" ref="L52" r:id="rId144"/>
    <hyperlink xmlns:r="http://schemas.openxmlformats.org/officeDocument/2006/relationships" ref="G53" r:id="rId145"/>
    <hyperlink xmlns:r="http://schemas.openxmlformats.org/officeDocument/2006/relationships" ref="J53" r:id="rId146"/>
    <hyperlink xmlns:r="http://schemas.openxmlformats.org/officeDocument/2006/relationships" ref="L53" r:id="rId147"/>
    <hyperlink xmlns:r="http://schemas.openxmlformats.org/officeDocument/2006/relationships" ref="G54" r:id="rId148"/>
    <hyperlink xmlns:r="http://schemas.openxmlformats.org/officeDocument/2006/relationships" ref="J54" r:id="rId149"/>
    <hyperlink xmlns:r="http://schemas.openxmlformats.org/officeDocument/2006/relationships" ref="L54" r:id="rId150"/>
    <hyperlink xmlns:r="http://schemas.openxmlformats.org/officeDocument/2006/relationships" ref="G55" r:id="rId151"/>
    <hyperlink xmlns:r="http://schemas.openxmlformats.org/officeDocument/2006/relationships" ref="J55" r:id="rId152"/>
    <hyperlink xmlns:r="http://schemas.openxmlformats.org/officeDocument/2006/relationships" ref="L55" r:id="rId153"/>
    <hyperlink xmlns:r="http://schemas.openxmlformats.org/officeDocument/2006/relationships" ref="G56" r:id="rId154"/>
    <hyperlink xmlns:r="http://schemas.openxmlformats.org/officeDocument/2006/relationships" ref="J56" r:id="rId155"/>
    <hyperlink xmlns:r="http://schemas.openxmlformats.org/officeDocument/2006/relationships" ref="L56" r:id="rId156"/>
    <hyperlink xmlns:r="http://schemas.openxmlformats.org/officeDocument/2006/relationships" ref="G57" r:id="rId157"/>
    <hyperlink xmlns:r="http://schemas.openxmlformats.org/officeDocument/2006/relationships" ref="J57" r:id="rId158"/>
    <hyperlink xmlns:r="http://schemas.openxmlformats.org/officeDocument/2006/relationships" ref="L57" r:id="rId159"/>
    <hyperlink xmlns:r="http://schemas.openxmlformats.org/officeDocument/2006/relationships" ref="G58" r:id="rId160"/>
    <hyperlink xmlns:r="http://schemas.openxmlformats.org/officeDocument/2006/relationships" ref="J58" r:id="rId161"/>
    <hyperlink xmlns:r="http://schemas.openxmlformats.org/officeDocument/2006/relationships" ref="L58" r:id="rId162"/>
    <hyperlink xmlns:r="http://schemas.openxmlformats.org/officeDocument/2006/relationships" ref="G59" r:id="rId163"/>
    <hyperlink xmlns:r="http://schemas.openxmlformats.org/officeDocument/2006/relationships" ref="J59" r:id="rId164"/>
    <hyperlink xmlns:r="http://schemas.openxmlformats.org/officeDocument/2006/relationships" ref="L59" r:id="rId165"/>
    <hyperlink xmlns:r="http://schemas.openxmlformats.org/officeDocument/2006/relationships" ref="G60" r:id="rId166"/>
    <hyperlink xmlns:r="http://schemas.openxmlformats.org/officeDocument/2006/relationships" ref="J60" r:id="rId167"/>
    <hyperlink xmlns:r="http://schemas.openxmlformats.org/officeDocument/2006/relationships" ref="L60" r:id="rId168"/>
    <hyperlink xmlns:r="http://schemas.openxmlformats.org/officeDocument/2006/relationships" ref="G61" r:id="rId169"/>
    <hyperlink xmlns:r="http://schemas.openxmlformats.org/officeDocument/2006/relationships" ref="J61" r:id="rId170"/>
    <hyperlink xmlns:r="http://schemas.openxmlformats.org/officeDocument/2006/relationships" ref="L61" r:id="rId171"/>
    <hyperlink xmlns:r="http://schemas.openxmlformats.org/officeDocument/2006/relationships" ref="G62" r:id="rId172"/>
    <hyperlink xmlns:r="http://schemas.openxmlformats.org/officeDocument/2006/relationships" ref="J62" r:id="rId173"/>
    <hyperlink xmlns:r="http://schemas.openxmlformats.org/officeDocument/2006/relationships" ref="L62" r:id="rId174"/>
    <hyperlink xmlns:r="http://schemas.openxmlformats.org/officeDocument/2006/relationships" ref="G63" r:id="rId175"/>
    <hyperlink xmlns:r="http://schemas.openxmlformats.org/officeDocument/2006/relationships" ref="J63" r:id="rId176"/>
    <hyperlink xmlns:r="http://schemas.openxmlformats.org/officeDocument/2006/relationships" ref="L63" r:id="rId177"/>
    <hyperlink xmlns:r="http://schemas.openxmlformats.org/officeDocument/2006/relationships" ref="G64" r:id="rId178"/>
    <hyperlink xmlns:r="http://schemas.openxmlformats.org/officeDocument/2006/relationships" ref="J64" r:id="rId179"/>
    <hyperlink xmlns:r="http://schemas.openxmlformats.org/officeDocument/2006/relationships" ref="L64" r:id="rId180"/>
    <hyperlink xmlns:r="http://schemas.openxmlformats.org/officeDocument/2006/relationships" ref="G65" r:id="rId181"/>
    <hyperlink xmlns:r="http://schemas.openxmlformats.org/officeDocument/2006/relationships" ref="J65" r:id="rId182"/>
    <hyperlink xmlns:r="http://schemas.openxmlformats.org/officeDocument/2006/relationships" ref="L65" r:id="rId183"/>
    <hyperlink xmlns:r="http://schemas.openxmlformats.org/officeDocument/2006/relationships" ref="G66" r:id="rId184"/>
    <hyperlink xmlns:r="http://schemas.openxmlformats.org/officeDocument/2006/relationships" ref="J66" r:id="rId185"/>
    <hyperlink xmlns:r="http://schemas.openxmlformats.org/officeDocument/2006/relationships" ref="L66" r:id="rId186"/>
    <hyperlink xmlns:r="http://schemas.openxmlformats.org/officeDocument/2006/relationships" ref="G67" r:id="rId187"/>
    <hyperlink xmlns:r="http://schemas.openxmlformats.org/officeDocument/2006/relationships" ref="J67" r:id="rId188"/>
    <hyperlink xmlns:r="http://schemas.openxmlformats.org/officeDocument/2006/relationships" ref="L67" r:id="rId189"/>
    <hyperlink xmlns:r="http://schemas.openxmlformats.org/officeDocument/2006/relationships" ref="G68" r:id="rId190"/>
    <hyperlink xmlns:r="http://schemas.openxmlformats.org/officeDocument/2006/relationships" ref="J68" r:id="rId191"/>
    <hyperlink xmlns:r="http://schemas.openxmlformats.org/officeDocument/2006/relationships" ref="L68" r:id="rId192"/>
    <hyperlink xmlns:r="http://schemas.openxmlformats.org/officeDocument/2006/relationships" ref="G69" r:id="rId193"/>
    <hyperlink xmlns:r="http://schemas.openxmlformats.org/officeDocument/2006/relationships" ref="J69" r:id="rId194"/>
    <hyperlink xmlns:r="http://schemas.openxmlformats.org/officeDocument/2006/relationships" ref="L69" r:id="rId195"/>
    <hyperlink xmlns:r="http://schemas.openxmlformats.org/officeDocument/2006/relationships" ref="G70" r:id="rId196"/>
    <hyperlink xmlns:r="http://schemas.openxmlformats.org/officeDocument/2006/relationships" ref="J70" r:id="rId197"/>
    <hyperlink xmlns:r="http://schemas.openxmlformats.org/officeDocument/2006/relationships" ref="L70" r:id="rId198"/>
    <hyperlink xmlns:r="http://schemas.openxmlformats.org/officeDocument/2006/relationships" ref="G71" r:id="rId199"/>
    <hyperlink xmlns:r="http://schemas.openxmlformats.org/officeDocument/2006/relationships" ref="J71" r:id="rId200"/>
    <hyperlink xmlns:r="http://schemas.openxmlformats.org/officeDocument/2006/relationships" ref="L71" r:id="rId201"/>
    <hyperlink xmlns:r="http://schemas.openxmlformats.org/officeDocument/2006/relationships" ref="G72" r:id="rId202"/>
    <hyperlink xmlns:r="http://schemas.openxmlformats.org/officeDocument/2006/relationships" ref="J72" r:id="rId203"/>
    <hyperlink xmlns:r="http://schemas.openxmlformats.org/officeDocument/2006/relationships" ref="L72" r:id="rId204"/>
    <hyperlink xmlns:r="http://schemas.openxmlformats.org/officeDocument/2006/relationships" ref="G73" r:id="rId205"/>
    <hyperlink xmlns:r="http://schemas.openxmlformats.org/officeDocument/2006/relationships" ref="J73" r:id="rId206"/>
    <hyperlink xmlns:r="http://schemas.openxmlformats.org/officeDocument/2006/relationships" ref="L73" r:id="rId207"/>
    <hyperlink xmlns:r="http://schemas.openxmlformats.org/officeDocument/2006/relationships" ref="G74" r:id="rId208"/>
    <hyperlink xmlns:r="http://schemas.openxmlformats.org/officeDocument/2006/relationships" ref="J74" r:id="rId209"/>
    <hyperlink xmlns:r="http://schemas.openxmlformats.org/officeDocument/2006/relationships" ref="L74" r:id="rId210"/>
    <hyperlink xmlns:r="http://schemas.openxmlformats.org/officeDocument/2006/relationships" ref="G75" r:id="rId211"/>
    <hyperlink xmlns:r="http://schemas.openxmlformats.org/officeDocument/2006/relationships" ref="J75" r:id="rId212"/>
    <hyperlink xmlns:r="http://schemas.openxmlformats.org/officeDocument/2006/relationships" ref="L75" r:id="rId213"/>
    <hyperlink xmlns:r="http://schemas.openxmlformats.org/officeDocument/2006/relationships" ref="L76" r:id="rId214"/>
    <hyperlink xmlns:r="http://schemas.openxmlformats.org/officeDocument/2006/relationships" ref="G77" r:id="rId215"/>
    <hyperlink xmlns:r="http://schemas.openxmlformats.org/officeDocument/2006/relationships" ref="L77" r:id="rId216"/>
    <hyperlink xmlns:r="http://schemas.openxmlformats.org/officeDocument/2006/relationships" ref="G78" r:id="rId217"/>
    <hyperlink xmlns:r="http://schemas.openxmlformats.org/officeDocument/2006/relationships" ref="J78" r:id="rId218"/>
    <hyperlink xmlns:r="http://schemas.openxmlformats.org/officeDocument/2006/relationships" ref="L78" r:id="rId219"/>
    <hyperlink xmlns:r="http://schemas.openxmlformats.org/officeDocument/2006/relationships" ref="G79" r:id="rId220"/>
    <hyperlink xmlns:r="http://schemas.openxmlformats.org/officeDocument/2006/relationships" ref="J79" r:id="rId221"/>
    <hyperlink xmlns:r="http://schemas.openxmlformats.org/officeDocument/2006/relationships" ref="L79" r:id="rId222"/>
    <hyperlink xmlns:r="http://schemas.openxmlformats.org/officeDocument/2006/relationships" ref="G80" r:id="rId223"/>
    <hyperlink xmlns:r="http://schemas.openxmlformats.org/officeDocument/2006/relationships" ref="J80" r:id="rId224"/>
    <hyperlink xmlns:r="http://schemas.openxmlformats.org/officeDocument/2006/relationships" ref="L80" r:id="rId225"/>
    <hyperlink xmlns:r="http://schemas.openxmlformats.org/officeDocument/2006/relationships" ref="G81" r:id="rId226"/>
    <hyperlink xmlns:r="http://schemas.openxmlformats.org/officeDocument/2006/relationships" ref="J81" r:id="rId227"/>
    <hyperlink xmlns:r="http://schemas.openxmlformats.org/officeDocument/2006/relationships" ref="L81" r:id="rId228"/>
    <hyperlink xmlns:r="http://schemas.openxmlformats.org/officeDocument/2006/relationships" ref="G82" r:id="rId229"/>
    <hyperlink xmlns:r="http://schemas.openxmlformats.org/officeDocument/2006/relationships" ref="J82" r:id="rId230"/>
    <hyperlink xmlns:r="http://schemas.openxmlformats.org/officeDocument/2006/relationships" ref="L82" r:id="rId231"/>
    <hyperlink xmlns:r="http://schemas.openxmlformats.org/officeDocument/2006/relationships" ref="G83" r:id="rId232"/>
    <hyperlink xmlns:r="http://schemas.openxmlformats.org/officeDocument/2006/relationships" ref="J83" r:id="rId233"/>
    <hyperlink xmlns:r="http://schemas.openxmlformats.org/officeDocument/2006/relationships" ref="L83" r:id="rId234"/>
    <hyperlink xmlns:r="http://schemas.openxmlformats.org/officeDocument/2006/relationships" ref="G84" r:id="rId235"/>
    <hyperlink xmlns:r="http://schemas.openxmlformats.org/officeDocument/2006/relationships" ref="J84" r:id="rId236"/>
    <hyperlink xmlns:r="http://schemas.openxmlformats.org/officeDocument/2006/relationships" ref="L84" r:id="rId237"/>
    <hyperlink xmlns:r="http://schemas.openxmlformats.org/officeDocument/2006/relationships" ref="G85" r:id="rId238"/>
    <hyperlink xmlns:r="http://schemas.openxmlformats.org/officeDocument/2006/relationships" ref="J85" r:id="rId239"/>
    <hyperlink xmlns:r="http://schemas.openxmlformats.org/officeDocument/2006/relationships" ref="L85" r:id="rId240"/>
    <hyperlink xmlns:r="http://schemas.openxmlformats.org/officeDocument/2006/relationships" ref="G86" r:id="rId241"/>
    <hyperlink xmlns:r="http://schemas.openxmlformats.org/officeDocument/2006/relationships" ref="J86" r:id="rId242"/>
    <hyperlink xmlns:r="http://schemas.openxmlformats.org/officeDocument/2006/relationships" ref="L86" r:id="rId243"/>
    <hyperlink xmlns:r="http://schemas.openxmlformats.org/officeDocument/2006/relationships" ref="G87" r:id="rId244"/>
    <hyperlink xmlns:r="http://schemas.openxmlformats.org/officeDocument/2006/relationships" ref="J87" r:id="rId245"/>
    <hyperlink xmlns:r="http://schemas.openxmlformats.org/officeDocument/2006/relationships" ref="L87" r:id="rId246"/>
    <hyperlink xmlns:r="http://schemas.openxmlformats.org/officeDocument/2006/relationships" ref="G88" r:id="rId247"/>
    <hyperlink xmlns:r="http://schemas.openxmlformats.org/officeDocument/2006/relationships" ref="J88" r:id="rId248"/>
    <hyperlink xmlns:r="http://schemas.openxmlformats.org/officeDocument/2006/relationships" ref="L88" r:id="rId249"/>
    <hyperlink xmlns:r="http://schemas.openxmlformats.org/officeDocument/2006/relationships" ref="G89" r:id="rId250"/>
    <hyperlink xmlns:r="http://schemas.openxmlformats.org/officeDocument/2006/relationships" ref="L89" r:id="rId251"/>
    <hyperlink xmlns:r="http://schemas.openxmlformats.org/officeDocument/2006/relationships" ref="G90" r:id="rId252"/>
    <hyperlink xmlns:r="http://schemas.openxmlformats.org/officeDocument/2006/relationships" ref="J90" r:id="rId253"/>
    <hyperlink xmlns:r="http://schemas.openxmlformats.org/officeDocument/2006/relationships" ref="L90" r:id="rId254"/>
    <hyperlink xmlns:r="http://schemas.openxmlformats.org/officeDocument/2006/relationships" ref="G91" r:id="rId255"/>
    <hyperlink xmlns:r="http://schemas.openxmlformats.org/officeDocument/2006/relationships" ref="J91" r:id="rId256"/>
    <hyperlink xmlns:r="http://schemas.openxmlformats.org/officeDocument/2006/relationships" ref="L91" r:id="rId257"/>
    <hyperlink xmlns:r="http://schemas.openxmlformats.org/officeDocument/2006/relationships" ref="G92" r:id="rId258"/>
    <hyperlink xmlns:r="http://schemas.openxmlformats.org/officeDocument/2006/relationships" ref="J92" r:id="rId259"/>
    <hyperlink xmlns:r="http://schemas.openxmlformats.org/officeDocument/2006/relationships" ref="L92" r:id="rId260"/>
    <hyperlink xmlns:r="http://schemas.openxmlformats.org/officeDocument/2006/relationships" ref="G93" r:id="rId261"/>
    <hyperlink xmlns:r="http://schemas.openxmlformats.org/officeDocument/2006/relationships" ref="J93" r:id="rId262"/>
    <hyperlink xmlns:r="http://schemas.openxmlformats.org/officeDocument/2006/relationships" ref="L93" r:id="rId263"/>
    <hyperlink xmlns:r="http://schemas.openxmlformats.org/officeDocument/2006/relationships" ref="G94" r:id="rId264"/>
    <hyperlink xmlns:r="http://schemas.openxmlformats.org/officeDocument/2006/relationships" ref="J94" r:id="rId265"/>
    <hyperlink xmlns:r="http://schemas.openxmlformats.org/officeDocument/2006/relationships" ref="L94" r:id="rId266"/>
    <hyperlink xmlns:r="http://schemas.openxmlformats.org/officeDocument/2006/relationships" ref="G95" r:id="rId267"/>
    <hyperlink xmlns:r="http://schemas.openxmlformats.org/officeDocument/2006/relationships" ref="J95" r:id="rId268"/>
    <hyperlink xmlns:r="http://schemas.openxmlformats.org/officeDocument/2006/relationships" ref="L95" r:id="rId269"/>
    <hyperlink xmlns:r="http://schemas.openxmlformats.org/officeDocument/2006/relationships" ref="G96" r:id="rId270"/>
    <hyperlink xmlns:r="http://schemas.openxmlformats.org/officeDocument/2006/relationships" ref="J96" r:id="rId271"/>
    <hyperlink xmlns:r="http://schemas.openxmlformats.org/officeDocument/2006/relationships" ref="L96" r:id="rId272"/>
    <hyperlink xmlns:r="http://schemas.openxmlformats.org/officeDocument/2006/relationships" ref="G97" r:id="rId273"/>
    <hyperlink xmlns:r="http://schemas.openxmlformats.org/officeDocument/2006/relationships" ref="J97" r:id="rId274"/>
    <hyperlink xmlns:r="http://schemas.openxmlformats.org/officeDocument/2006/relationships" ref="L97" r:id="rId275"/>
    <hyperlink xmlns:r="http://schemas.openxmlformats.org/officeDocument/2006/relationships" ref="G98" r:id="rId276"/>
    <hyperlink xmlns:r="http://schemas.openxmlformats.org/officeDocument/2006/relationships" ref="J98" r:id="rId277"/>
    <hyperlink xmlns:r="http://schemas.openxmlformats.org/officeDocument/2006/relationships" ref="L98" r:id="rId278"/>
    <hyperlink xmlns:r="http://schemas.openxmlformats.org/officeDocument/2006/relationships" ref="G99" r:id="rId279"/>
    <hyperlink xmlns:r="http://schemas.openxmlformats.org/officeDocument/2006/relationships" ref="J99" r:id="rId280"/>
    <hyperlink xmlns:r="http://schemas.openxmlformats.org/officeDocument/2006/relationships" ref="L99" r:id="rId281"/>
    <hyperlink xmlns:r="http://schemas.openxmlformats.org/officeDocument/2006/relationships" ref="G100" r:id="rId282"/>
    <hyperlink xmlns:r="http://schemas.openxmlformats.org/officeDocument/2006/relationships" ref="J100" r:id="rId283"/>
    <hyperlink xmlns:r="http://schemas.openxmlformats.org/officeDocument/2006/relationships" ref="L100" r:id="rId284"/>
    <hyperlink xmlns:r="http://schemas.openxmlformats.org/officeDocument/2006/relationships" ref="G101" r:id="rId285"/>
    <hyperlink xmlns:r="http://schemas.openxmlformats.org/officeDocument/2006/relationships" ref="J101" r:id="rId286"/>
    <hyperlink xmlns:r="http://schemas.openxmlformats.org/officeDocument/2006/relationships" ref="L101" r:id="rId287"/>
    <hyperlink xmlns:r="http://schemas.openxmlformats.org/officeDocument/2006/relationships" ref="G102" r:id="rId288"/>
    <hyperlink xmlns:r="http://schemas.openxmlformats.org/officeDocument/2006/relationships" ref="J102" r:id="rId289"/>
    <hyperlink xmlns:r="http://schemas.openxmlformats.org/officeDocument/2006/relationships" ref="L102" r:id="rId290"/>
    <hyperlink xmlns:r="http://schemas.openxmlformats.org/officeDocument/2006/relationships" ref="G103" r:id="rId291"/>
    <hyperlink xmlns:r="http://schemas.openxmlformats.org/officeDocument/2006/relationships" ref="L103" r:id="rId292"/>
    <hyperlink xmlns:r="http://schemas.openxmlformats.org/officeDocument/2006/relationships" ref="G104" r:id="rId293"/>
    <hyperlink xmlns:r="http://schemas.openxmlformats.org/officeDocument/2006/relationships" ref="J104" r:id="rId294"/>
    <hyperlink xmlns:r="http://schemas.openxmlformats.org/officeDocument/2006/relationships" ref="L104" r:id="rId295"/>
    <hyperlink xmlns:r="http://schemas.openxmlformats.org/officeDocument/2006/relationships" ref="G105" r:id="rId296"/>
    <hyperlink xmlns:r="http://schemas.openxmlformats.org/officeDocument/2006/relationships" ref="J105" r:id="rId297"/>
    <hyperlink xmlns:r="http://schemas.openxmlformats.org/officeDocument/2006/relationships" ref="L105" r:id="rId298"/>
    <hyperlink xmlns:r="http://schemas.openxmlformats.org/officeDocument/2006/relationships" ref="G106" r:id="rId299"/>
    <hyperlink xmlns:r="http://schemas.openxmlformats.org/officeDocument/2006/relationships" ref="J106" r:id="rId300"/>
    <hyperlink xmlns:r="http://schemas.openxmlformats.org/officeDocument/2006/relationships" ref="L106" r:id="rId301"/>
    <hyperlink xmlns:r="http://schemas.openxmlformats.org/officeDocument/2006/relationships" ref="G107" r:id="rId302"/>
    <hyperlink xmlns:r="http://schemas.openxmlformats.org/officeDocument/2006/relationships" ref="J107" r:id="rId303"/>
    <hyperlink xmlns:r="http://schemas.openxmlformats.org/officeDocument/2006/relationships" ref="L107" r:id="rId304"/>
    <hyperlink xmlns:r="http://schemas.openxmlformats.org/officeDocument/2006/relationships" ref="G108" r:id="rId305"/>
    <hyperlink xmlns:r="http://schemas.openxmlformats.org/officeDocument/2006/relationships" ref="J108" r:id="rId306"/>
    <hyperlink xmlns:r="http://schemas.openxmlformats.org/officeDocument/2006/relationships" ref="L108" r:id="rId307"/>
    <hyperlink xmlns:r="http://schemas.openxmlformats.org/officeDocument/2006/relationships" ref="G109" r:id="rId308"/>
    <hyperlink xmlns:r="http://schemas.openxmlformats.org/officeDocument/2006/relationships" ref="J109" r:id="rId309"/>
    <hyperlink xmlns:r="http://schemas.openxmlformats.org/officeDocument/2006/relationships" ref="L109" r:id="rId310"/>
    <hyperlink xmlns:r="http://schemas.openxmlformats.org/officeDocument/2006/relationships" ref="G110" r:id="rId311"/>
    <hyperlink xmlns:r="http://schemas.openxmlformats.org/officeDocument/2006/relationships" ref="L110" r:id="rId312"/>
    <hyperlink xmlns:r="http://schemas.openxmlformats.org/officeDocument/2006/relationships" ref="G111" r:id="rId313"/>
    <hyperlink xmlns:r="http://schemas.openxmlformats.org/officeDocument/2006/relationships" ref="J111" r:id="rId314"/>
    <hyperlink xmlns:r="http://schemas.openxmlformats.org/officeDocument/2006/relationships" ref="L111" r:id="rId315"/>
    <hyperlink xmlns:r="http://schemas.openxmlformats.org/officeDocument/2006/relationships" ref="G112" r:id="rId316"/>
    <hyperlink xmlns:r="http://schemas.openxmlformats.org/officeDocument/2006/relationships" ref="J112" r:id="rId317"/>
    <hyperlink xmlns:r="http://schemas.openxmlformats.org/officeDocument/2006/relationships" ref="L112" r:id="rId318"/>
    <hyperlink xmlns:r="http://schemas.openxmlformats.org/officeDocument/2006/relationships" ref="G113" r:id="rId319"/>
    <hyperlink xmlns:r="http://schemas.openxmlformats.org/officeDocument/2006/relationships" ref="J113" r:id="rId320"/>
    <hyperlink xmlns:r="http://schemas.openxmlformats.org/officeDocument/2006/relationships" ref="L113" r:id="rId321"/>
    <hyperlink xmlns:r="http://schemas.openxmlformats.org/officeDocument/2006/relationships" ref="G114" r:id="rId322"/>
    <hyperlink xmlns:r="http://schemas.openxmlformats.org/officeDocument/2006/relationships" ref="L114" r:id="rId323"/>
    <hyperlink xmlns:r="http://schemas.openxmlformats.org/officeDocument/2006/relationships" ref="G115" r:id="rId324"/>
    <hyperlink xmlns:r="http://schemas.openxmlformats.org/officeDocument/2006/relationships" ref="J115" r:id="rId325"/>
    <hyperlink xmlns:r="http://schemas.openxmlformats.org/officeDocument/2006/relationships" ref="L115" r:id="rId326"/>
    <hyperlink xmlns:r="http://schemas.openxmlformats.org/officeDocument/2006/relationships" ref="G116" r:id="rId327"/>
    <hyperlink xmlns:r="http://schemas.openxmlformats.org/officeDocument/2006/relationships" ref="J116" r:id="rId328"/>
    <hyperlink xmlns:r="http://schemas.openxmlformats.org/officeDocument/2006/relationships" ref="L116" r:id="rId329"/>
    <hyperlink xmlns:r="http://schemas.openxmlformats.org/officeDocument/2006/relationships" ref="G117" r:id="rId330"/>
    <hyperlink xmlns:r="http://schemas.openxmlformats.org/officeDocument/2006/relationships" ref="J117" r:id="rId331"/>
    <hyperlink xmlns:r="http://schemas.openxmlformats.org/officeDocument/2006/relationships" ref="L117" r:id="rId332"/>
    <hyperlink xmlns:r="http://schemas.openxmlformats.org/officeDocument/2006/relationships" ref="G118" r:id="rId333"/>
    <hyperlink xmlns:r="http://schemas.openxmlformats.org/officeDocument/2006/relationships" ref="J118" r:id="rId334"/>
    <hyperlink xmlns:r="http://schemas.openxmlformats.org/officeDocument/2006/relationships" ref="L118" r:id="rId335"/>
    <hyperlink xmlns:r="http://schemas.openxmlformats.org/officeDocument/2006/relationships" ref="G119" r:id="rId336"/>
    <hyperlink xmlns:r="http://schemas.openxmlformats.org/officeDocument/2006/relationships" ref="J119" r:id="rId337"/>
    <hyperlink xmlns:r="http://schemas.openxmlformats.org/officeDocument/2006/relationships" ref="L119" r:id="rId338"/>
    <hyperlink xmlns:r="http://schemas.openxmlformats.org/officeDocument/2006/relationships" ref="G120" r:id="rId339"/>
    <hyperlink xmlns:r="http://schemas.openxmlformats.org/officeDocument/2006/relationships" ref="J120" r:id="rId340"/>
    <hyperlink xmlns:r="http://schemas.openxmlformats.org/officeDocument/2006/relationships" ref="L120" r:id="rId341"/>
    <hyperlink xmlns:r="http://schemas.openxmlformats.org/officeDocument/2006/relationships" ref="G121" r:id="rId342"/>
    <hyperlink xmlns:r="http://schemas.openxmlformats.org/officeDocument/2006/relationships" ref="J121" r:id="rId343"/>
    <hyperlink xmlns:r="http://schemas.openxmlformats.org/officeDocument/2006/relationships" ref="L121" r:id="rId344"/>
    <hyperlink xmlns:r="http://schemas.openxmlformats.org/officeDocument/2006/relationships" ref="G122" r:id="rId345"/>
    <hyperlink xmlns:r="http://schemas.openxmlformats.org/officeDocument/2006/relationships" ref="L122" r:id="rId346"/>
    <hyperlink xmlns:r="http://schemas.openxmlformats.org/officeDocument/2006/relationships" ref="G123" r:id="rId347"/>
    <hyperlink xmlns:r="http://schemas.openxmlformats.org/officeDocument/2006/relationships" ref="J123" r:id="rId348"/>
    <hyperlink xmlns:r="http://schemas.openxmlformats.org/officeDocument/2006/relationships" ref="L123" r:id="rId349"/>
    <hyperlink xmlns:r="http://schemas.openxmlformats.org/officeDocument/2006/relationships" ref="G124" r:id="rId350"/>
    <hyperlink xmlns:r="http://schemas.openxmlformats.org/officeDocument/2006/relationships" ref="L124" r:id="rId351"/>
    <hyperlink xmlns:r="http://schemas.openxmlformats.org/officeDocument/2006/relationships" ref="G125" r:id="rId352"/>
    <hyperlink xmlns:r="http://schemas.openxmlformats.org/officeDocument/2006/relationships" ref="J125" r:id="rId353"/>
    <hyperlink xmlns:r="http://schemas.openxmlformats.org/officeDocument/2006/relationships" ref="L125" r:id="rId354"/>
    <hyperlink xmlns:r="http://schemas.openxmlformats.org/officeDocument/2006/relationships" ref="G126" r:id="rId355"/>
    <hyperlink xmlns:r="http://schemas.openxmlformats.org/officeDocument/2006/relationships" ref="J126" r:id="rId356"/>
    <hyperlink xmlns:r="http://schemas.openxmlformats.org/officeDocument/2006/relationships" ref="L126" r:id="rId357"/>
    <hyperlink xmlns:r="http://schemas.openxmlformats.org/officeDocument/2006/relationships" ref="G127" r:id="rId358"/>
    <hyperlink xmlns:r="http://schemas.openxmlformats.org/officeDocument/2006/relationships" ref="J127" r:id="rId359"/>
    <hyperlink xmlns:r="http://schemas.openxmlformats.org/officeDocument/2006/relationships" ref="L127" r:id="rId360"/>
    <hyperlink xmlns:r="http://schemas.openxmlformats.org/officeDocument/2006/relationships" ref="G128" r:id="rId361"/>
    <hyperlink xmlns:r="http://schemas.openxmlformats.org/officeDocument/2006/relationships" ref="J128" r:id="rId362"/>
    <hyperlink xmlns:r="http://schemas.openxmlformats.org/officeDocument/2006/relationships" ref="L128" r:id="rId363"/>
    <hyperlink xmlns:r="http://schemas.openxmlformats.org/officeDocument/2006/relationships" ref="G129" r:id="rId364"/>
    <hyperlink xmlns:r="http://schemas.openxmlformats.org/officeDocument/2006/relationships" ref="J129" r:id="rId365"/>
    <hyperlink xmlns:r="http://schemas.openxmlformats.org/officeDocument/2006/relationships" ref="L129" r:id="rId366"/>
    <hyperlink xmlns:r="http://schemas.openxmlformats.org/officeDocument/2006/relationships" ref="G130" r:id="rId367"/>
    <hyperlink xmlns:r="http://schemas.openxmlformats.org/officeDocument/2006/relationships" ref="J130" r:id="rId368"/>
    <hyperlink xmlns:r="http://schemas.openxmlformats.org/officeDocument/2006/relationships" ref="L130" r:id="rId369"/>
    <hyperlink xmlns:r="http://schemas.openxmlformats.org/officeDocument/2006/relationships" ref="L131" r:id="rId370"/>
    <hyperlink xmlns:r="http://schemas.openxmlformats.org/officeDocument/2006/relationships" ref="G132" r:id="rId371"/>
    <hyperlink xmlns:r="http://schemas.openxmlformats.org/officeDocument/2006/relationships" ref="J132" r:id="rId372"/>
    <hyperlink xmlns:r="http://schemas.openxmlformats.org/officeDocument/2006/relationships" ref="L132" r:id="rId373"/>
    <hyperlink xmlns:r="http://schemas.openxmlformats.org/officeDocument/2006/relationships" ref="G133" r:id="rId374"/>
    <hyperlink xmlns:r="http://schemas.openxmlformats.org/officeDocument/2006/relationships" ref="J133" r:id="rId375"/>
    <hyperlink xmlns:r="http://schemas.openxmlformats.org/officeDocument/2006/relationships" ref="L133" r:id="rId376"/>
    <hyperlink xmlns:r="http://schemas.openxmlformats.org/officeDocument/2006/relationships" ref="G134" r:id="rId377"/>
    <hyperlink xmlns:r="http://schemas.openxmlformats.org/officeDocument/2006/relationships" ref="L134" r:id="rId378"/>
    <hyperlink xmlns:r="http://schemas.openxmlformats.org/officeDocument/2006/relationships" ref="G135" r:id="rId379"/>
    <hyperlink xmlns:r="http://schemas.openxmlformats.org/officeDocument/2006/relationships" ref="J135" r:id="rId380"/>
    <hyperlink xmlns:r="http://schemas.openxmlformats.org/officeDocument/2006/relationships" ref="L135" r:id="rId381"/>
    <hyperlink xmlns:r="http://schemas.openxmlformats.org/officeDocument/2006/relationships" ref="G136" r:id="rId382"/>
    <hyperlink xmlns:r="http://schemas.openxmlformats.org/officeDocument/2006/relationships" ref="J136" r:id="rId383"/>
    <hyperlink xmlns:r="http://schemas.openxmlformats.org/officeDocument/2006/relationships" ref="L136" r:id="rId384"/>
    <hyperlink xmlns:r="http://schemas.openxmlformats.org/officeDocument/2006/relationships" ref="G137" r:id="rId385"/>
    <hyperlink xmlns:r="http://schemas.openxmlformats.org/officeDocument/2006/relationships" ref="J137" r:id="rId386"/>
    <hyperlink xmlns:r="http://schemas.openxmlformats.org/officeDocument/2006/relationships" ref="L137" r:id="rId387"/>
    <hyperlink xmlns:r="http://schemas.openxmlformats.org/officeDocument/2006/relationships" ref="G138" r:id="rId388"/>
    <hyperlink xmlns:r="http://schemas.openxmlformats.org/officeDocument/2006/relationships" ref="J138" r:id="rId389"/>
    <hyperlink xmlns:r="http://schemas.openxmlformats.org/officeDocument/2006/relationships" ref="L138" r:id="rId390"/>
    <hyperlink xmlns:r="http://schemas.openxmlformats.org/officeDocument/2006/relationships" ref="G139" r:id="rId391"/>
    <hyperlink xmlns:r="http://schemas.openxmlformats.org/officeDocument/2006/relationships" ref="J139" r:id="rId392"/>
    <hyperlink xmlns:r="http://schemas.openxmlformats.org/officeDocument/2006/relationships" ref="L139" r:id="rId393"/>
    <hyperlink xmlns:r="http://schemas.openxmlformats.org/officeDocument/2006/relationships" ref="G140" r:id="rId394"/>
    <hyperlink xmlns:r="http://schemas.openxmlformats.org/officeDocument/2006/relationships" ref="J140" r:id="rId395"/>
    <hyperlink xmlns:r="http://schemas.openxmlformats.org/officeDocument/2006/relationships" ref="L140" r:id="rId396"/>
    <hyperlink xmlns:r="http://schemas.openxmlformats.org/officeDocument/2006/relationships" ref="G141" r:id="rId397"/>
    <hyperlink xmlns:r="http://schemas.openxmlformats.org/officeDocument/2006/relationships" ref="L141" r:id="rId398"/>
    <hyperlink xmlns:r="http://schemas.openxmlformats.org/officeDocument/2006/relationships" ref="G142" r:id="rId399"/>
    <hyperlink xmlns:r="http://schemas.openxmlformats.org/officeDocument/2006/relationships" ref="J142" r:id="rId400"/>
    <hyperlink xmlns:r="http://schemas.openxmlformats.org/officeDocument/2006/relationships" ref="L142" r:id="rId401"/>
    <hyperlink xmlns:r="http://schemas.openxmlformats.org/officeDocument/2006/relationships" ref="G143" r:id="rId402"/>
    <hyperlink xmlns:r="http://schemas.openxmlformats.org/officeDocument/2006/relationships" ref="J143" r:id="rId403"/>
    <hyperlink xmlns:r="http://schemas.openxmlformats.org/officeDocument/2006/relationships" ref="L143" r:id="rId404"/>
    <hyperlink xmlns:r="http://schemas.openxmlformats.org/officeDocument/2006/relationships" ref="G144" r:id="rId405"/>
    <hyperlink xmlns:r="http://schemas.openxmlformats.org/officeDocument/2006/relationships" ref="J144" r:id="rId406"/>
    <hyperlink xmlns:r="http://schemas.openxmlformats.org/officeDocument/2006/relationships" ref="L144" r:id="rId407"/>
    <hyperlink xmlns:r="http://schemas.openxmlformats.org/officeDocument/2006/relationships" ref="G145" r:id="rId408"/>
    <hyperlink xmlns:r="http://schemas.openxmlformats.org/officeDocument/2006/relationships" ref="L145" r:id="rId409"/>
    <hyperlink xmlns:r="http://schemas.openxmlformats.org/officeDocument/2006/relationships" ref="G146" r:id="rId410"/>
    <hyperlink xmlns:r="http://schemas.openxmlformats.org/officeDocument/2006/relationships" ref="J146" r:id="rId411"/>
    <hyperlink xmlns:r="http://schemas.openxmlformats.org/officeDocument/2006/relationships" ref="L146" r:id="rId412"/>
    <hyperlink xmlns:r="http://schemas.openxmlformats.org/officeDocument/2006/relationships" ref="G147" r:id="rId413"/>
    <hyperlink xmlns:r="http://schemas.openxmlformats.org/officeDocument/2006/relationships" ref="J147" r:id="rId414"/>
    <hyperlink xmlns:r="http://schemas.openxmlformats.org/officeDocument/2006/relationships" ref="L147" r:id="rId415"/>
    <hyperlink xmlns:r="http://schemas.openxmlformats.org/officeDocument/2006/relationships" ref="G148" r:id="rId416"/>
    <hyperlink xmlns:r="http://schemas.openxmlformats.org/officeDocument/2006/relationships" ref="J148" r:id="rId417"/>
    <hyperlink xmlns:r="http://schemas.openxmlformats.org/officeDocument/2006/relationships" ref="L148" r:id="rId418"/>
    <hyperlink xmlns:r="http://schemas.openxmlformats.org/officeDocument/2006/relationships" ref="G149" r:id="rId419"/>
    <hyperlink xmlns:r="http://schemas.openxmlformats.org/officeDocument/2006/relationships" ref="J149" r:id="rId420"/>
    <hyperlink xmlns:r="http://schemas.openxmlformats.org/officeDocument/2006/relationships" ref="L149" r:id="rId421"/>
    <hyperlink xmlns:r="http://schemas.openxmlformats.org/officeDocument/2006/relationships" ref="L150" r:id="rId422"/>
    <hyperlink xmlns:r="http://schemas.openxmlformats.org/officeDocument/2006/relationships" ref="G151" r:id="rId423"/>
    <hyperlink xmlns:r="http://schemas.openxmlformats.org/officeDocument/2006/relationships" ref="J151" r:id="rId424"/>
    <hyperlink xmlns:r="http://schemas.openxmlformats.org/officeDocument/2006/relationships" ref="L151" r:id="rId425"/>
    <hyperlink xmlns:r="http://schemas.openxmlformats.org/officeDocument/2006/relationships" ref="G152" r:id="rId426"/>
    <hyperlink xmlns:r="http://schemas.openxmlformats.org/officeDocument/2006/relationships" ref="J152" r:id="rId427"/>
    <hyperlink xmlns:r="http://schemas.openxmlformats.org/officeDocument/2006/relationships" ref="L152" r:id="rId428"/>
    <hyperlink xmlns:r="http://schemas.openxmlformats.org/officeDocument/2006/relationships" ref="J153" r:id="rId429"/>
    <hyperlink xmlns:r="http://schemas.openxmlformats.org/officeDocument/2006/relationships" ref="L153" r:id="rId430"/>
    <hyperlink xmlns:r="http://schemas.openxmlformats.org/officeDocument/2006/relationships" ref="G154" r:id="rId431"/>
    <hyperlink xmlns:r="http://schemas.openxmlformats.org/officeDocument/2006/relationships" ref="J154" r:id="rId432"/>
    <hyperlink xmlns:r="http://schemas.openxmlformats.org/officeDocument/2006/relationships" ref="L154" r:id="rId433"/>
    <hyperlink xmlns:r="http://schemas.openxmlformats.org/officeDocument/2006/relationships" ref="G155" r:id="rId434"/>
    <hyperlink xmlns:r="http://schemas.openxmlformats.org/officeDocument/2006/relationships" ref="J155" r:id="rId435"/>
    <hyperlink xmlns:r="http://schemas.openxmlformats.org/officeDocument/2006/relationships" ref="L155" r:id="rId436"/>
    <hyperlink xmlns:r="http://schemas.openxmlformats.org/officeDocument/2006/relationships" ref="G156" r:id="rId437"/>
    <hyperlink xmlns:r="http://schemas.openxmlformats.org/officeDocument/2006/relationships" ref="J156" r:id="rId438"/>
    <hyperlink xmlns:r="http://schemas.openxmlformats.org/officeDocument/2006/relationships" ref="L156" r:id="rId439"/>
    <hyperlink xmlns:r="http://schemas.openxmlformats.org/officeDocument/2006/relationships" ref="J157" r:id="rId440"/>
    <hyperlink xmlns:r="http://schemas.openxmlformats.org/officeDocument/2006/relationships" ref="L157" r:id="rId441"/>
    <hyperlink xmlns:r="http://schemas.openxmlformats.org/officeDocument/2006/relationships" ref="G158" r:id="rId442"/>
    <hyperlink xmlns:r="http://schemas.openxmlformats.org/officeDocument/2006/relationships" ref="J158" r:id="rId443"/>
    <hyperlink xmlns:r="http://schemas.openxmlformats.org/officeDocument/2006/relationships" ref="L158" r:id="rId444"/>
    <hyperlink xmlns:r="http://schemas.openxmlformats.org/officeDocument/2006/relationships" ref="G159" r:id="rId445"/>
    <hyperlink xmlns:r="http://schemas.openxmlformats.org/officeDocument/2006/relationships" ref="J159" r:id="rId446"/>
    <hyperlink xmlns:r="http://schemas.openxmlformats.org/officeDocument/2006/relationships" ref="L159" r:id="rId447"/>
    <hyperlink xmlns:r="http://schemas.openxmlformats.org/officeDocument/2006/relationships" ref="G160" r:id="rId448"/>
    <hyperlink xmlns:r="http://schemas.openxmlformats.org/officeDocument/2006/relationships" ref="J160" r:id="rId449"/>
    <hyperlink xmlns:r="http://schemas.openxmlformats.org/officeDocument/2006/relationships" ref="L160" r:id="rId450"/>
    <hyperlink xmlns:r="http://schemas.openxmlformats.org/officeDocument/2006/relationships" ref="G161" r:id="rId451"/>
    <hyperlink xmlns:r="http://schemas.openxmlformats.org/officeDocument/2006/relationships" ref="J161" r:id="rId452"/>
    <hyperlink xmlns:r="http://schemas.openxmlformats.org/officeDocument/2006/relationships" ref="L161" r:id="rId453"/>
    <hyperlink xmlns:r="http://schemas.openxmlformats.org/officeDocument/2006/relationships" ref="G162" r:id="rId454"/>
    <hyperlink xmlns:r="http://schemas.openxmlformats.org/officeDocument/2006/relationships" ref="J162" r:id="rId455"/>
    <hyperlink xmlns:r="http://schemas.openxmlformats.org/officeDocument/2006/relationships" ref="L162" r:id="rId456"/>
    <hyperlink xmlns:r="http://schemas.openxmlformats.org/officeDocument/2006/relationships" ref="G163" r:id="rId457"/>
    <hyperlink xmlns:r="http://schemas.openxmlformats.org/officeDocument/2006/relationships" ref="J163" r:id="rId458"/>
    <hyperlink xmlns:r="http://schemas.openxmlformats.org/officeDocument/2006/relationships" ref="L163" r:id="rId459"/>
    <hyperlink xmlns:r="http://schemas.openxmlformats.org/officeDocument/2006/relationships" ref="G164" r:id="rId460"/>
    <hyperlink xmlns:r="http://schemas.openxmlformats.org/officeDocument/2006/relationships" ref="L164" r:id="rId461"/>
    <hyperlink xmlns:r="http://schemas.openxmlformats.org/officeDocument/2006/relationships" ref="J165" r:id="rId462"/>
    <hyperlink xmlns:r="http://schemas.openxmlformats.org/officeDocument/2006/relationships" ref="L165" r:id="rId463"/>
    <hyperlink xmlns:r="http://schemas.openxmlformats.org/officeDocument/2006/relationships" ref="G166" r:id="rId464"/>
    <hyperlink xmlns:r="http://schemas.openxmlformats.org/officeDocument/2006/relationships" ref="J166" r:id="rId465"/>
    <hyperlink xmlns:r="http://schemas.openxmlformats.org/officeDocument/2006/relationships" ref="L166" r:id="rId466"/>
    <hyperlink xmlns:r="http://schemas.openxmlformats.org/officeDocument/2006/relationships" ref="L167" r:id="rId467"/>
    <hyperlink xmlns:r="http://schemas.openxmlformats.org/officeDocument/2006/relationships" ref="G168" r:id="rId468"/>
    <hyperlink xmlns:r="http://schemas.openxmlformats.org/officeDocument/2006/relationships" ref="J168" r:id="rId469"/>
    <hyperlink xmlns:r="http://schemas.openxmlformats.org/officeDocument/2006/relationships" ref="L168" r:id="rId470"/>
    <hyperlink xmlns:r="http://schemas.openxmlformats.org/officeDocument/2006/relationships" ref="G169" r:id="rId471"/>
    <hyperlink xmlns:r="http://schemas.openxmlformats.org/officeDocument/2006/relationships" ref="J169" r:id="rId472"/>
    <hyperlink xmlns:r="http://schemas.openxmlformats.org/officeDocument/2006/relationships" ref="L169" r:id="rId473"/>
    <hyperlink xmlns:r="http://schemas.openxmlformats.org/officeDocument/2006/relationships" ref="G170" r:id="rId474"/>
    <hyperlink xmlns:r="http://schemas.openxmlformats.org/officeDocument/2006/relationships" ref="J170" r:id="rId475"/>
    <hyperlink xmlns:r="http://schemas.openxmlformats.org/officeDocument/2006/relationships" ref="L170" r:id="rId476"/>
    <hyperlink xmlns:r="http://schemas.openxmlformats.org/officeDocument/2006/relationships" ref="J171" r:id="rId477"/>
    <hyperlink xmlns:r="http://schemas.openxmlformats.org/officeDocument/2006/relationships" ref="L171" r:id="rId478"/>
    <hyperlink xmlns:r="http://schemas.openxmlformats.org/officeDocument/2006/relationships" ref="G172" r:id="rId479"/>
    <hyperlink xmlns:r="http://schemas.openxmlformats.org/officeDocument/2006/relationships" ref="J172" r:id="rId480"/>
    <hyperlink xmlns:r="http://schemas.openxmlformats.org/officeDocument/2006/relationships" ref="L172" r:id="rId481"/>
    <hyperlink xmlns:r="http://schemas.openxmlformats.org/officeDocument/2006/relationships" ref="J173" r:id="rId482"/>
    <hyperlink xmlns:r="http://schemas.openxmlformats.org/officeDocument/2006/relationships" ref="L173" r:id="rId483"/>
    <hyperlink xmlns:r="http://schemas.openxmlformats.org/officeDocument/2006/relationships" ref="L174" r:id="rId484"/>
    <hyperlink xmlns:r="http://schemas.openxmlformats.org/officeDocument/2006/relationships" ref="L175" r:id="rId485"/>
    <hyperlink xmlns:r="http://schemas.openxmlformats.org/officeDocument/2006/relationships" ref="L176" r:id="rId486"/>
    <hyperlink xmlns:r="http://schemas.openxmlformats.org/officeDocument/2006/relationships" ref="L177" r:id="rId487"/>
    <hyperlink xmlns:r="http://schemas.openxmlformats.org/officeDocument/2006/relationships" ref="G178" r:id="rId488"/>
    <hyperlink xmlns:r="http://schemas.openxmlformats.org/officeDocument/2006/relationships" ref="L178" r:id="rId489"/>
    <hyperlink xmlns:r="http://schemas.openxmlformats.org/officeDocument/2006/relationships" ref="G179" r:id="rId490"/>
    <hyperlink xmlns:r="http://schemas.openxmlformats.org/officeDocument/2006/relationships" ref="J179" r:id="rId491"/>
    <hyperlink xmlns:r="http://schemas.openxmlformats.org/officeDocument/2006/relationships" ref="L179" r:id="rId492"/>
    <hyperlink xmlns:r="http://schemas.openxmlformats.org/officeDocument/2006/relationships" ref="G180" r:id="rId493"/>
    <hyperlink xmlns:r="http://schemas.openxmlformats.org/officeDocument/2006/relationships" ref="J180" r:id="rId494"/>
    <hyperlink xmlns:r="http://schemas.openxmlformats.org/officeDocument/2006/relationships" ref="L180" r:id="rId495"/>
    <hyperlink xmlns:r="http://schemas.openxmlformats.org/officeDocument/2006/relationships" ref="G181" r:id="rId496"/>
    <hyperlink xmlns:r="http://schemas.openxmlformats.org/officeDocument/2006/relationships" ref="J181" r:id="rId497"/>
    <hyperlink xmlns:r="http://schemas.openxmlformats.org/officeDocument/2006/relationships" ref="L181" r:id="rId498"/>
    <hyperlink xmlns:r="http://schemas.openxmlformats.org/officeDocument/2006/relationships" ref="L182" r:id="rId499"/>
    <hyperlink xmlns:r="http://schemas.openxmlformats.org/officeDocument/2006/relationships" ref="G183" r:id="rId500"/>
    <hyperlink xmlns:r="http://schemas.openxmlformats.org/officeDocument/2006/relationships" ref="J183" r:id="rId501"/>
    <hyperlink xmlns:r="http://schemas.openxmlformats.org/officeDocument/2006/relationships" ref="L183" r:id="rId502"/>
    <hyperlink xmlns:r="http://schemas.openxmlformats.org/officeDocument/2006/relationships" ref="G184" r:id="rId503"/>
    <hyperlink xmlns:r="http://schemas.openxmlformats.org/officeDocument/2006/relationships" ref="J184" r:id="rId504"/>
    <hyperlink xmlns:r="http://schemas.openxmlformats.org/officeDocument/2006/relationships" ref="L184" r:id="rId505"/>
    <hyperlink xmlns:r="http://schemas.openxmlformats.org/officeDocument/2006/relationships" ref="G185" r:id="rId506"/>
    <hyperlink xmlns:r="http://schemas.openxmlformats.org/officeDocument/2006/relationships" ref="J185" r:id="rId507"/>
    <hyperlink xmlns:r="http://schemas.openxmlformats.org/officeDocument/2006/relationships" ref="L185" r:id="rId508"/>
    <hyperlink xmlns:r="http://schemas.openxmlformats.org/officeDocument/2006/relationships" ref="G186" r:id="rId509"/>
    <hyperlink xmlns:r="http://schemas.openxmlformats.org/officeDocument/2006/relationships" ref="J186" r:id="rId510"/>
    <hyperlink xmlns:r="http://schemas.openxmlformats.org/officeDocument/2006/relationships" ref="L186" r:id="rId511"/>
    <hyperlink xmlns:r="http://schemas.openxmlformats.org/officeDocument/2006/relationships" ref="G187" r:id="rId512"/>
    <hyperlink xmlns:r="http://schemas.openxmlformats.org/officeDocument/2006/relationships" ref="J187" r:id="rId513"/>
    <hyperlink xmlns:r="http://schemas.openxmlformats.org/officeDocument/2006/relationships" ref="L187" r:id="rId514"/>
    <hyperlink xmlns:r="http://schemas.openxmlformats.org/officeDocument/2006/relationships" ref="G188" r:id="rId515"/>
    <hyperlink xmlns:r="http://schemas.openxmlformats.org/officeDocument/2006/relationships" ref="J188" r:id="rId516"/>
    <hyperlink xmlns:r="http://schemas.openxmlformats.org/officeDocument/2006/relationships" ref="L188" r:id="rId517"/>
    <hyperlink xmlns:r="http://schemas.openxmlformats.org/officeDocument/2006/relationships" ref="G189" r:id="rId518"/>
    <hyperlink xmlns:r="http://schemas.openxmlformats.org/officeDocument/2006/relationships" ref="L189" r:id="rId519"/>
    <hyperlink xmlns:r="http://schemas.openxmlformats.org/officeDocument/2006/relationships" ref="G190" r:id="rId520"/>
    <hyperlink xmlns:r="http://schemas.openxmlformats.org/officeDocument/2006/relationships" ref="J190" r:id="rId521"/>
    <hyperlink xmlns:r="http://schemas.openxmlformats.org/officeDocument/2006/relationships" ref="L190" r:id="rId522"/>
    <hyperlink xmlns:r="http://schemas.openxmlformats.org/officeDocument/2006/relationships" ref="G191" r:id="rId523"/>
    <hyperlink xmlns:r="http://schemas.openxmlformats.org/officeDocument/2006/relationships" ref="J191" r:id="rId524"/>
    <hyperlink xmlns:r="http://schemas.openxmlformats.org/officeDocument/2006/relationships" ref="L191" r:id="rId525"/>
    <hyperlink xmlns:r="http://schemas.openxmlformats.org/officeDocument/2006/relationships" ref="G192" r:id="rId526"/>
    <hyperlink xmlns:r="http://schemas.openxmlformats.org/officeDocument/2006/relationships" ref="J192" r:id="rId527"/>
    <hyperlink xmlns:r="http://schemas.openxmlformats.org/officeDocument/2006/relationships" ref="L192" r:id="rId528"/>
    <hyperlink xmlns:r="http://schemas.openxmlformats.org/officeDocument/2006/relationships" ref="G193" r:id="rId529"/>
    <hyperlink xmlns:r="http://schemas.openxmlformats.org/officeDocument/2006/relationships" ref="J193" r:id="rId530"/>
    <hyperlink xmlns:r="http://schemas.openxmlformats.org/officeDocument/2006/relationships" ref="L193" r:id="rId531"/>
    <hyperlink xmlns:r="http://schemas.openxmlformats.org/officeDocument/2006/relationships" ref="G194" r:id="rId532"/>
    <hyperlink xmlns:r="http://schemas.openxmlformats.org/officeDocument/2006/relationships" ref="J194" r:id="rId533"/>
    <hyperlink xmlns:r="http://schemas.openxmlformats.org/officeDocument/2006/relationships" ref="L194" r:id="rId534"/>
    <hyperlink xmlns:r="http://schemas.openxmlformats.org/officeDocument/2006/relationships" ref="G195" r:id="rId535"/>
    <hyperlink xmlns:r="http://schemas.openxmlformats.org/officeDocument/2006/relationships" ref="J195" r:id="rId536"/>
    <hyperlink xmlns:r="http://schemas.openxmlformats.org/officeDocument/2006/relationships" ref="L195" r:id="rId537"/>
    <hyperlink xmlns:r="http://schemas.openxmlformats.org/officeDocument/2006/relationships" ref="G196" r:id="rId538"/>
    <hyperlink xmlns:r="http://schemas.openxmlformats.org/officeDocument/2006/relationships" ref="J196" r:id="rId539"/>
    <hyperlink xmlns:r="http://schemas.openxmlformats.org/officeDocument/2006/relationships" ref="L196" r:id="rId540"/>
    <hyperlink xmlns:r="http://schemas.openxmlformats.org/officeDocument/2006/relationships" ref="G197" r:id="rId541"/>
    <hyperlink xmlns:r="http://schemas.openxmlformats.org/officeDocument/2006/relationships" ref="J197" r:id="rId542"/>
    <hyperlink xmlns:r="http://schemas.openxmlformats.org/officeDocument/2006/relationships" ref="L197" r:id="rId543"/>
    <hyperlink xmlns:r="http://schemas.openxmlformats.org/officeDocument/2006/relationships" ref="G198" r:id="rId544"/>
    <hyperlink xmlns:r="http://schemas.openxmlformats.org/officeDocument/2006/relationships" ref="J198" r:id="rId545"/>
    <hyperlink xmlns:r="http://schemas.openxmlformats.org/officeDocument/2006/relationships" ref="L198" r:id="rId546"/>
    <hyperlink xmlns:r="http://schemas.openxmlformats.org/officeDocument/2006/relationships" ref="G199" r:id="rId547"/>
    <hyperlink xmlns:r="http://schemas.openxmlformats.org/officeDocument/2006/relationships" ref="J199" r:id="rId548"/>
    <hyperlink xmlns:r="http://schemas.openxmlformats.org/officeDocument/2006/relationships" ref="L199" r:id="rId549"/>
    <hyperlink xmlns:r="http://schemas.openxmlformats.org/officeDocument/2006/relationships" ref="G200" r:id="rId550"/>
    <hyperlink xmlns:r="http://schemas.openxmlformats.org/officeDocument/2006/relationships" ref="J200" r:id="rId551"/>
    <hyperlink xmlns:r="http://schemas.openxmlformats.org/officeDocument/2006/relationships" ref="L200" r:id="rId552"/>
    <hyperlink xmlns:r="http://schemas.openxmlformats.org/officeDocument/2006/relationships" ref="G201" r:id="rId553"/>
    <hyperlink xmlns:r="http://schemas.openxmlformats.org/officeDocument/2006/relationships" ref="J201" r:id="rId554"/>
    <hyperlink xmlns:r="http://schemas.openxmlformats.org/officeDocument/2006/relationships" ref="L201" r:id="rId555"/>
    <hyperlink xmlns:r="http://schemas.openxmlformats.org/officeDocument/2006/relationships" ref="G202" r:id="rId556"/>
    <hyperlink xmlns:r="http://schemas.openxmlformats.org/officeDocument/2006/relationships" ref="J202" r:id="rId557"/>
    <hyperlink xmlns:r="http://schemas.openxmlformats.org/officeDocument/2006/relationships" ref="L202" r:id="rId558"/>
    <hyperlink xmlns:r="http://schemas.openxmlformats.org/officeDocument/2006/relationships" ref="G203" r:id="rId559"/>
    <hyperlink xmlns:r="http://schemas.openxmlformats.org/officeDocument/2006/relationships" ref="J203" r:id="rId560"/>
    <hyperlink xmlns:r="http://schemas.openxmlformats.org/officeDocument/2006/relationships" ref="L203" r:id="rId561"/>
    <hyperlink xmlns:r="http://schemas.openxmlformats.org/officeDocument/2006/relationships" ref="G204" r:id="rId562"/>
    <hyperlink xmlns:r="http://schemas.openxmlformats.org/officeDocument/2006/relationships" ref="L204" r:id="rId563"/>
    <hyperlink xmlns:r="http://schemas.openxmlformats.org/officeDocument/2006/relationships" ref="G205" r:id="rId564"/>
    <hyperlink xmlns:r="http://schemas.openxmlformats.org/officeDocument/2006/relationships" ref="L205" r:id="rId565"/>
    <hyperlink xmlns:r="http://schemas.openxmlformats.org/officeDocument/2006/relationships" ref="G206" r:id="rId566"/>
    <hyperlink xmlns:r="http://schemas.openxmlformats.org/officeDocument/2006/relationships" ref="L206" r:id="rId567"/>
    <hyperlink xmlns:r="http://schemas.openxmlformats.org/officeDocument/2006/relationships" ref="G207" r:id="rId568"/>
    <hyperlink xmlns:r="http://schemas.openxmlformats.org/officeDocument/2006/relationships" ref="J207" r:id="rId569"/>
    <hyperlink xmlns:r="http://schemas.openxmlformats.org/officeDocument/2006/relationships" ref="L207" r:id="rId570"/>
    <hyperlink xmlns:r="http://schemas.openxmlformats.org/officeDocument/2006/relationships" ref="G208" r:id="rId571"/>
    <hyperlink xmlns:r="http://schemas.openxmlformats.org/officeDocument/2006/relationships" ref="J208" r:id="rId572"/>
    <hyperlink xmlns:r="http://schemas.openxmlformats.org/officeDocument/2006/relationships" ref="L208" r:id="rId573"/>
    <hyperlink xmlns:r="http://schemas.openxmlformats.org/officeDocument/2006/relationships" ref="G209" r:id="rId574"/>
    <hyperlink xmlns:r="http://schemas.openxmlformats.org/officeDocument/2006/relationships" ref="J209" r:id="rId575"/>
    <hyperlink xmlns:r="http://schemas.openxmlformats.org/officeDocument/2006/relationships" ref="L209" r:id="rId576"/>
    <hyperlink xmlns:r="http://schemas.openxmlformats.org/officeDocument/2006/relationships" ref="G210" r:id="rId577"/>
    <hyperlink xmlns:r="http://schemas.openxmlformats.org/officeDocument/2006/relationships" ref="J210" r:id="rId578"/>
    <hyperlink xmlns:r="http://schemas.openxmlformats.org/officeDocument/2006/relationships" ref="L210" r:id="rId579"/>
    <hyperlink xmlns:r="http://schemas.openxmlformats.org/officeDocument/2006/relationships" ref="J211" r:id="rId580"/>
    <hyperlink xmlns:r="http://schemas.openxmlformats.org/officeDocument/2006/relationships" ref="L211" r:id="rId581"/>
    <hyperlink xmlns:r="http://schemas.openxmlformats.org/officeDocument/2006/relationships" ref="G212" r:id="rId582"/>
    <hyperlink xmlns:r="http://schemas.openxmlformats.org/officeDocument/2006/relationships" ref="J212" r:id="rId583"/>
    <hyperlink xmlns:r="http://schemas.openxmlformats.org/officeDocument/2006/relationships" ref="L212" r:id="rId584"/>
    <hyperlink xmlns:r="http://schemas.openxmlformats.org/officeDocument/2006/relationships" ref="G213" r:id="rId585"/>
    <hyperlink xmlns:r="http://schemas.openxmlformats.org/officeDocument/2006/relationships" ref="J213" r:id="rId586"/>
    <hyperlink xmlns:r="http://schemas.openxmlformats.org/officeDocument/2006/relationships" ref="L213" r:id="rId587"/>
    <hyperlink xmlns:r="http://schemas.openxmlformats.org/officeDocument/2006/relationships" ref="G214" r:id="rId588"/>
    <hyperlink xmlns:r="http://schemas.openxmlformats.org/officeDocument/2006/relationships" ref="J214" r:id="rId589"/>
    <hyperlink xmlns:r="http://schemas.openxmlformats.org/officeDocument/2006/relationships" ref="L214" r:id="rId590"/>
    <hyperlink xmlns:r="http://schemas.openxmlformats.org/officeDocument/2006/relationships" ref="G215" r:id="rId591"/>
    <hyperlink xmlns:r="http://schemas.openxmlformats.org/officeDocument/2006/relationships" ref="J215" r:id="rId592"/>
    <hyperlink xmlns:r="http://schemas.openxmlformats.org/officeDocument/2006/relationships" ref="L215" r:id="rId593"/>
    <hyperlink xmlns:r="http://schemas.openxmlformats.org/officeDocument/2006/relationships" ref="G216" r:id="rId594"/>
    <hyperlink xmlns:r="http://schemas.openxmlformats.org/officeDocument/2006/relationships" ref="L216" r:id="rId595"/>
    <hyperlink xmlns:r="http://schemas.openxmlformats.org/officeDocument/2006/relationships" ref="G217" r:id="rId596"/>
    <hyperlink xmlns:r="http://schemas.openxmlformats.org/officeDocument/2006/relationships" ref="J217" r:id="rId597"/>
    <hyperlink xmlns:r="http://schemas.openxmlformats.org/officeDocument/2006/relationships" ref="L217" r:id="rId598"/>
    <hyperlink xmlns:r="http://schemas.openxmlformats.org/officeDocument/2006/relationships" ref="G218" r:id="rId599"/>
    <hyperlink xmlns:r="http://schemas.openxmlformats.org/officeDocument/2006/relationships" ref="J218" r:id="rId600"/>
    <hyperlink xmlns:r="http://schemas.openxmlformats.org/officeDocument/2006/relationships" ref="L218" r:id="rId601"/>
    <hyperlink xmlns:r="http://schemas.openxmlformats.org/officeDocument/2006/relationships" ref="G219" r:id="rId602"/>
    <hyperlink xmlns:r="http://schemas.openxmlformats.org/officeDocument/2006/relationships" ref="J219" r:id="rId603"/>
    <hyperlink xmlns:r="http://schemas.openxmlformats.org/officeDocument/2006/relationships" ref="L219" r:id="rId604"/>
    <hyperlink xmlns:r="http://schemas.openxmlformats.org/officeDocument/2006/relationships" ref="J220" r:id="rId605"/>
    <hyperlink xmlns:r="http://schemas.openxmlformats.org/officeDocument/2006/relationships" ref="L220" r:id="rId606"/>
    <hyperlink xmlns:r="http://schemas.openxmlformats.org/officeDocument/2006/relationships" ref="G221" r:id="rId607"/>
    <hyperlink xmlns:r="http://schemas.openxmlformats.org/officeDocument/2006/relationships" ref="J221" r:id="rId608"/>
    <hyperlink xmlns:r="http://schemas.openxmlformats.org/officeDocument/2006/relationships" ref="L221" r:id="rId609"/>
    <hyperlink xmlns:r="http://schemas.openxmlformats.org/officeDocument/2006/relationships" ref="L222" r:id="rId610"/>
    <hyperlink xmlns:r="http://schemas.openxmlformats.org/officeDocument/2006/relationships" ref="G223" r:id="rId611"/>
    <hyperlink xmlns:r="http://schemas.openxmlformats.org/officeDocument/2006/relationships" ref="L223" r:id="rId612"/>
    <hyperlink xmlns:r="http://schemas.openxmlformats.org/officeDocument/2006/relationships" ref="G224" r:id="rId613"/>
    <hyperlink xmlns:r="http://schemas.openxmlformats.org/officeDocument/2006/relationships" ref="J224" r:id="rId614"/>
    <hyperlink xmlns:r="http://schemas.openxmlformats.org/officeDocument/2006/relationships" ref="L224" r:id="rId615"/>
    <hyperlink xmlns:r="http://schemas.openxmlformats.org/officeDocument/2006/relationships" ref="G225" r:id="rId616"/>
    <hyperlink xmlns:r="http://schemas.openxmlformats.org/officeDocument/2006/relationships" ref="J225" r:id="rId617"/>
    <hyperlink xmlns:r="http://schemas.openxmlformats.org/officeDocument/2006/relationships" ref="L225" r:id="rId618"/>
    <hyperlink xmlns:r="http://schemas.openxmlformats.org/officeDocument/2006/relationships" ref="G226" r:id="rId619"/>
    <hyperlink xmlns:r="http://schemas.openxmlformats.org/officeDocument/2006/relationships" ref="J226" r:id="rId620"/>
    <hyperlink xmlns:r="http://schemas.openxmlformats.org/officeDocument/2006/relationships" ref="L226" r:id="rId621"/>
    <hyperlink xmlns:r="http://schemas.openxmlformats.org/officeDocument/2006/relationships" ref="G227" r:id="rId622"/>
    <hyperlink xmlns:r="http://schemas.openxmlformats.org/officeDocument/2006/relationships" ref="J227" r:id="rId623"/>
    <hyperlink xmlns:r="http://schemas.openxmlformats.org/officeDocument/2006/relationships" ref="L227" r:id="rId624"/>
    <hyperlink xmlns:r="http://schemas.openxmlformats.org/officeDocument/2006/relationships" ref="G228" r:id="rId625"/>
    <hyperlink xmlns:r="http://schemas.openxmlformats.org/officeDocument/2006/relationships" ref="J228" r:id="rId626"/>
    <hyperlink xmlns:r="http://schemas.openxmlformats.org/officeDocument/2006/relationships" ref="L228" r:id="rId627"/>
    <hyperlink xmlns:r="http://schemas.openxmlformats.org/officeDocument/2006/relationships" ref="G229" r:id="rId628"/>
    <hyperlink xmlns:r="http://schemas.openxmlformats.org/officeDocument/2006/relationships" ref="L229" r:id="rId629"/>
    <hyperlink xmlns:r="http://schemas.openxmlformats.org/officeDocument/2006/relationships" ref="G230" r:id="rId630"/>
    <hyperlink xmlns:r="http://schemas.openxmlformats.org/officeDocument/2006/relationships" ref="J230" r:id="rId631"/>
    <hyperlink xmlns:r="http://schemas.openxmlformats.org/officeDocument/2006/relationships" ref="L230" r:id="rId632"/>
    <hyperlink xmlns:r="http://schemas.openxmlformats.org/officeDocument/2006/relationships" ref="G231" r:id="rId633"/>
    <hyperlink xmlns:r="http://schemas.openxmlformats.org/officeDocument/2006/relationships" ref="J231" r:id="rId634"/>
    <hyperlink xmlns:r="http://schemas.openxmlformats.org/officeDocument/2006/relationships" ref="L231" r:id="rId635"/>
    <hyperlink xmlns:r="http://schemas.openxmlformats.org/officeDocument/2006/relationships" ref="G232" r:id="rId636"/>
    <hyperlink xmlns:r="http://schemas.openxmlformats.org/officeDocument/2006/relationships" ref="J232" r:id="rId637"/>
    <hyperlink xmlns:r="http://schemas.openxmlformats.org/officeDocument/2006/relationships" ref="L232" r:id="rId638"/>
    <hyperlink xmlns:r="http://schemas.openxmlformats.org/officeDocument/2006/relationships" ref="G233" r:id="rId639"/>
    <hyperlink xmlns:r="http://schemas.openxmlformats.org/officeDocument/2006/relationships" ref="J233" r:id="rId640"/>
    <hyperlink xmlns:r="http://schemas.openxmlformats.org/officeDocument/2006/relationships" ref="L233" r:id="rId641"/>
    <hyperlink xmlns:r="http://schemas.openxmlformats.org/officeDocument/2006/relationships" ref="G234" r:id="rId642"/>
    <hyperlink xmlns:r="http://schemas.openxmlformats.org/officeDocument/2006/relationships" ref="J234" r:id="rId643"/>
    <hyperlink xmlns:r="http://schemas.openxmlformats.org/officeDocument/2006/relationships" ref="L234" r:id="rId644"/>
    <hyperlink xmlns:r="http://schemas.openxmlformats.org/officeDocument/2006/relationships" ref="L235" r:id="rId645"/>
    <hyperlink xmlns:r="http://schemas.openxmlformats.org/officeDocument/2006/relationships" ref="G236" r:id="rId646"/>
    <hyperlink xmlns:r="http://schemas.openxmlformats.org/officeDocument/2006/relationships" ref="J236" r:id="rId647"/>
    <hyperlink xmlns:r="http://schemas.openxmlformats.org/officeDocument/2006/relationships" ref="L236" r:id="rId648"/>
    <hyperlink xmlns:r="http://schemas.openxmlformats.org/officeDocument/2006/relationships" ref="G237" r:id="rId649"/>
    <hyperlink xmlns:r="http://schemas.openxmlformats.org/officeDocument/2006/relationships" ref="J237" r:id="rId650"/>
    <hyperlink xmlns:r="http://schemas.openxmlformats.org/officeDocument/2006/relationships" ref="L237" r:id="rId651"/>
    <hyperlink xmlns:r="http://schemas.openxmlformats.org/officeDocument/2006/relationships" ref="G238" r:id="rId652"/>
    <hyperlink xmlns:r="http://schemas.openxmlformats.org/officeDocument/2006/relationships" ref="J238" r:id="rId653"/>
    <hyperlink xmlns:r="http://schemas.openxmlformats.org/officeDocument/2006/relationships" ref="L238" r:id="rId654"/>
    <hyperlink xmlns:r="http://schemas.openxmlformats.org/officeDocument/2006/relationships" ref="G239" r:id="rId655"/>
    <hyperlink xmlns:r="http://schemas.openxmlformats.org/officeDocument/2006/relationships" ref="J239" r:id="rId656"/>
    <hyperlink xmlns:r="http://schemas.openxmlformats.org/officeDocument/2006/relationships" ref="L239" r:id="rId657"/>
    <hyperlink xmlns:r="http://schemas.openxmlformats.org/officeDocument/2006/relationships" ref="G240" r:id="rId658"/>
    <hyperlink xmlns:r="http://schemas.openxmlformats.org/officeDocument/2006/relationships" ref="J240" r:id="rId659"/>
    <hyperlink xmlns:r="http://schemas.openxmlformats.org/officeDocument/2006/relationships" ref="L240" r:id="rId660"/>
    <hyperlink xmlns:r="http://schemas.openxmlformats.org/officeDocument/2006/relationships" ref="G241" r:id="rId661"/>
    <hyperlink xmlns:r="http://schemas.openxmlformats.org/officeDocument/2006/relationships" ref="J241" r:id="rId662"/>
    <hyperlink xmlns:r="http://schemas.openxmlformats.org/officeDocument/2006/relationships" ref="L241" r:id="rId663"/>
    <hyperlink xmlns:r="http://schemas.openxmlformats.org/officeDocument/2006/relationships" ref="G242" r:id="rId664"/>
    <hyperlink xmlns:r="http://schemas.openxmlformats.org/officeDocument/2006/relationships" ref="J242" r:id="rId665"/>
    <hyperlink xmlns:r="http://schemas.openxmlformats.org/officeDocument/2006/relationships" ref="L242" r:id="rId666"/>
    <hyperlink xmlns:r="http://schemas.openxmlformats.org/officeDocument/2006/relationships" ref="G243" r:id="rId667"/>
    <hyperlink xmlns:r="http://schemas.openxmlformats.org/officeDocument/2006/relationships" ref="J243" r:id="rId668"/>
    <hyperlink xmlns:r="http://schemas.openxmlformats.org/officeDocument/2006/relationships" ref="L243" r:id="rId669"/>
    <hyperlink xmlns:r="http://schemas.openxmlformats.org/officeDocument/2006/relationships" ref="G244" r:id="rId670"/>
    <hyperlink xmlns:r="http://schemas.openxmlformats.org/officeDocument/2006/relationships" ref="J244" r:id="rId671"/>
    <hyperlink xmlns:r="http://schemas.openxmlformats.org/officeDocument/2006/relationships" ref="L244" r:id="rId672"/>
    <hyperlink xmlns:r="http://schemas.openxmlformats.org/officeDocument/2006/relationships" ref="G245" r:id="rId673"/>
    <hyperlink xmlns:r="http://schemas.openxmlformats.org/officeDocument/2006/relationships" ref="J245" r:id="rId674"/>
    <hyperlink xmlns:r="http://schemas.openxmlformats.org/officeDocument/2006/relationships" ref="L245" r:id="rId675"/>
    <hyperlink xmlns:r="http://schemas.openxmlformats.org/officeDocument/2006/relationships" ref="G246" r:id="rId676"/>
    <hyperlink xmlns:r="http://schemas.openxmlformats.org/officeDocument/2006/relationships" ref="J246" r:id="rId677"/>
    <hyperlink xmlns:r="http://schemas.openxmlformats.org/officeDocument/2006/relationships" ref="L246" r:id="rId678"/>
    <hyperlink xmlns:r="http://schemas.openxmlformats.org/officeDocument/2006/relationships" ref="J247" r:id="rId679"/>
    <hyperlink xmlns:r="http://schemas.openxmlformats.org/officeDocument/2006/relationships" ref="L247" r:id="rId680"/>
    <hyperlink xmlns:r="http://schemas.openxmlformats.org/officeDocument/2006/relationships" ref="J248" r:id="rId681"/>
    <hyperlink xmlns:r="http://schemas.openxmlformats.org/officeDocument/2006/relationships" ref="L248" r:id="rId682"/>
    <hyperlink xmlns:r="http://schemas.openxmlformats.org/officeDocument/2006/relationships" ref="G249" r:id="rId683"/>
    <hyperlink xmlns:r="http://schemas.openxmlformats.org/officeDocument/2006/relationships" ref="J249" r:id="rId684"/>
    <hyperlink xmlns:r="http://schemas.openxmlformats.org/officeDocument/2006/relationships" ref="L249" r:id="rId685"/>
    <hyperlink xmlns:r="http://schemas.openxmlformats.org/officeDocument/2006/relationships" ref="G250" r:id="rId686"/>
    <hyperlink xmlns:r="http://schemas.openxmlformats.org/officeDocument/2006/relationships" ref="J250" r:id="rId687"/>
    <hyperlink xmlns:r="http://schemas.openxmlformats.org/officeDocument/2006/relationships" ref="L250" r:id="rId688"/>
    <hyperlink xmlns:r="http://schemas.openxmlformats.org/officeDocument/2006/relationships" ref="G251" r:id="rId689"/>
    <hyperlink xmlns:r="http://schemas.openxmlformats.org/officeDocument/2006/relationships" ref="J251" r:id="rId690"/>
    <hyperlink xmlns:r="http://schemas.openxmlformats.org/officeDocument/2006/relationships" ref="L251" r:id="rId691"/>
    <hyperlink xmlns:r="http://schemas.openxmlformats.org/officeDocument/2006/relationships" ref="G252" r:id="rId692"/>
    <hyperlink xmlns:r="http://schemas.openxmlformats.org/officeDocument/2006/relationships" ref="J252" r:id="rId693"/>
    <hyperlink xmlns:r="http://schemas.openxmlformats.org/officeDocument/2006/relationships" ref="L252" r:id="rId694"/>
    <hyperlink xmlns:r="http://schemas.openxmlformats.org/officeDocument/2006/relationships" ref="G253" r:id="rId695"/>
    <hyperlink xmlns:r="http://schemas.openxmlformats.org/officeDocument/2006/relationships" ref="J253" r:id="rId696"/>
    <hyperlink xmlns:r="http://schemas.openxmlformats.org/officeDocument/2006/relationships" ref="L253" r:id="rId697"/>
    <hyperlink xmlns:r="http://schemas.openxmlformats.org/officeDocument/2006/relationships" ref="G254" r:id="rId698"/>
    <hyperlink xmlns:r="http://schemas.openxmlformats.org/officeDocument/2006/relationships" ref="J254" r:id="rId699"/>
    <hyperlink xmlns:r="http://schemas.openxmlformats.org/officeDocument/2006/relationships" ref="L254" r:id="rId700"/>
    <hyperlink xmlns:r="http://schemas.openxmlformats.org/officeDocument/2006/relationships" ref="G255" r:id="rId701"/>
    <hyperlink xmlns:r="http://schemas.openxmlformats.org/officeDocument/2006/relationships" ref="J255" r:id="rId702"/>
    <hyperlink xmlns:r="http://schemas.openxmlformats.org/officeDocument/2006/relationships" ref="L255" r:id="rId703"/>
    <hyperlink xmlns:r="http://schemas.openxmlformats.org/officeDocument/2006/relationships" ref="G256" r:id="rId704"/>
    <hyperlink xmlns:r="http://schemas.openxmlformats.org/officeDocument/2006/relationships" ref="J256" r:id="rId705"/>
    <hyperlink xmlns:r="http://schemas.openxmlformats.org/officeDocument/2006/relationships" ref="L256" r:id="rId706"/>
    <hyperlink xmlns:r="http://schemas.openxmlformats.org/officeDocument/2006/relationships" ref="G257" r:id="rId707"/>
    <hyperlink xmlns:r="http://schemas.openxmlformats.org/officeDocument/2006/relationships" ref="J257" r:id="rId708"/>
    <hyperlink xmlns:r="http://schemas.openxmlformats.org/officeDocument/2006/relationships" ref="L257" r:id="rId709"/>
    <hyperlink xmlns:r="http://schemas.openxmlformats.org/officeDocument/2006/relationships" ref="G258" r:id="rId710"/>
    <hyperlink xmlns:r="http://schemas.openxmlformats.org/officeDocument/2006/relationships" ref="L258" r:id="rId711"/>
    <hyperlink xmlns:r="http://schemas.openxmlformats.org/officeDocument/2006/relationships" ref="G259" r:id="rId712"/>
    <hyperlink xmlns:r="http://schemas.openxmlformats.org/officeDocument/2006/relationships" ref="J259" r:id="rId713"/>
    <hyperlink xmlns:r="http://schemas.openxmlformats.org/officeDocument/2006/relationships" ref="L259" r:id="rId714"/>
    <hyperlink xmlns:r="http://schemas.openxmlformats.org/officeDocument/2006/relationships" ref="G260" r:id="rId715"/>
    <hyperlink xmlns:r="http://schemas.openxmlformats.org/officeDocument/2006/relationships" ref="J260" r:id="rId716"/>
    <hyperlink xmlns:r="http://schemas.openxmlformats.org/officeDocument/2006/relationships" ref="L260" r:id="rId717"/>
    <hyperlink xmlns:r="http://schemas.openxmlformats.org/officeDocument/2006/relationships" ref="G261" r:id="rId718"/>
    <hyperlink xmlns:r="http://schemas.openxmlformats.org/officeDocument/2006/relationships" ref="J261" r:id="rId719"/>
    <hyperlink xmlns:r="http://schemas.openxmlformats.org/officeDocument/2006/relationships" ref="L261" r:id="rId720"/>
    <hyperlink xmlns:r="http://schemas.openxmlformats.org/officeDocument/2006/relationships" ref="G262" r:id="rId721"/>
    <hyperlink xmlns:r="http://schemas.openxmlformats.org/officeDocument/2006/relationships" ref="J262" r:id="rId722"/>
    <hyperlink xmlns:r="http://schemas.openxmlformats.org/officeDocument/2006/relationships" ref="L262" r:id="rId723"/>
    <hyperlink xmlns:r="http://schemas.openxmlformats.org/officeDocument/2006/relationships" ref="G263" r:id="rId724"/>
    <hyperlink xmlns:r="http://schemas.openxmlformats.org/officeDocument/2006/relationships" ref="J263" r:id="rId725"/>
    <hyperlink xmlns:r="http://schemas.openxmlformats.org/officeDocument/2006/relationships" ref="L263" r:id="rId726"/>
    <hyperlink xmlns:r="http://schemas.openxmlformats.org/officeDocument/2006/relationships" ref="G264" r:id="rId727"/>
    <hyperlink xmlns:r="http://schemas.openxmlformats.org/officeDocument/2006/relationships" ref="J264" r:id="rId728"/>
    <hyperlink xmlns:r="http://schemas.openxmlformats.org/officeDocument/2006/relationships" ref="L264" r:id="rId729"/>
    <hyperlink xmlns:r="http://schemas.openxmlformats.org/officeDocument/2006/relationships" ref="G265" r:id="rId730"/>
    <hyperlink xmlns:r="http://schemas.openxmlformats.org/officeDocument/2006/relationships" ref="J265" r:id="rId731"/>
    <hyperlink xmlns:r="http://schemas.openxmlformats.org/officeDocument/2006/relationships" ref="L265" r:id="rId732"/>
    <hyperlink xmlns:r="http://schemas.openxmlformats.org/officeDocument/2006/relationships" ref="G266" r:id="rId733"/>
    <hyperlink xmlns:r="http://schemas.openxmlformats.org/officeDocument/2006/relationships" ref="J266" r:id="rId734"/>
    <hyperlink xmlns:r="http://schemas.openxmlformats.org/officeDocument/2006/relationships" ref="L266" r:id="rId735"/>
    <hyperlink xmlns:r="http://schemas.openxmlformats.org/officeDocument/2006/relationships" ref="L267" r:id="rId736"/>
    <hyperlink xmlns:r="http://schemas.openxmlformats.org/officeDocument/2006/relationships" ref="G268" r:id="rId737"/>
    <hyperlink xmlns:r="http://schemas.openxmlformats.org/officeDocument/2006/relationships" ref="J268" r:id="rId738"/>
    <hyperlink xmlns:r="http://schemas.openxmlformats.org/officeDocument/2006/relationships" ref="L268" r:id="rId739"/>
    <hyperlink xmlns:r="http://schemas.openxmlformats.org/officeDocument/2006/relationships" ref="G269" r:id="rId740"/>
    <hyperlink xmlns:r="http://schemas.openxmlformats.org/officeDocument/2006/relationships" ref="J269" r:id="rId741"/>
    <hyperlink xmlns:r="http://schemas.openxmlformats.org/officeDocument/2006/relationships" ref="L269" r:id="rId742"/>
    <hyperlink xmlns:r="http://schemas.openxmlformats.org/officeDocument/2006/relationships" ref="G270" r:id="rId743"/>
    <hyperlink xmlns:r="http://schemas.openxmlformats.org/officeDocument/2006/relationships" ref="J270" r:id="rId744"/>
    <hyperlink xmlns:r="http://schemas.openxmlformats.org/officeDocument/2006/relationships" ref="L270" r:id="rId745"/>
    <hyperlink xmlns:r="http://schemas.openxmlformats.org/officeDocument/2006/relationships" ref="G271" r:id="rId746"/>
    <hyperlink xmlns:r="http://schemas.openxmlformats.org/officeDocument/2006/relationships" ref="J271" r:id="rId747"/>
    <hyperlink xmlns:r="http://schemas.openxmlformats.org/officeDocument/2006/relationships" ref="L271" r:id="rId748"/>
    <hyperlink xmlns:r="http://schemas.openxmlformats.org/officeDocument/2006/relationships" ref="G272" r:id="rId749"/>
    <hyperlink xmlns:r="http://schemas.openxmlformats.org/officeDocument/2006/relationships" ref="J272" r:id="rId750"/>
    <hyperlink xmlns:r="http://schemas.openxmlformats.org/officeDocument/2006/relationships" ref="L272" r:id="rId751"/>
    <hyperlink xmlns:r="http://schemas.openxmlformats.org/officeDocument/2006/relationships" ref="G273" r:id="rId752"/>
    <hyperlink xmlns:r="http://schemas.openxmlformats.org/officeDocument/2006/relationships" ref="J273" r:id="rId753"/>
    <hyperlink xmlns:r="http://schemas.openxmlformats.org/officeDocument/2006/relationships" ref="L273" r:id="rId754"/>
    <hyperlink xmlns:r="http://schemas.openxmlformats.org/officeDocument/2006/relationships" ref="G274" r:id="rId755"/>
    <hyperlink xmlns:r="http://schemas.openxmlformats.org/officeDocument/2006/relationships" ref="L274" r:id="rId756"/>
    <hyperlink xmlns:r="http://schemas.openxmlformats.org/officeDocument/2006/relationships" ref="G275" r:id="rId757"/>
    <hyperlink xmlns:r="http://schemas.openxmlformats.org/officeDocument/2006/relationships" ref="J275" r:id="rId758"/>
    <hyperlink xmlns:r="http://schemas.openxmlformats.org/officeDocument/2006/relationships" ref="L275" r:id="rId759"/>
    <hyperlink xmlns:r="http://schemas.openxmlformats.org/officeDocument/2006/relationships" ref="G276" r:id="rId760"/>
    <hyperlink xmlns:r="http://schemas.openxmlformats.org/officeDocument/2006/relationships" ref="J276" r:id="rId761"/>
    <hyperlink xmlns:r="http://schemas.openxmlformats.org/officeDocument/2006/relationships" ref="L276" r:id="rId762"/>
    <hyperlink xmlns:r="http://schemas.openxmlformats.org/officeDocument/2006/relationships" ref="G277" r:id="rId763"/>
    <hyperlink xmlns:r="http://schemas.openxmlformats.org/officeDocument/2006/relationships" ref="J277" r:id="rId764"/>
    <hyperlink xmlns:r="http://schemas.openxmlformats.org/officeDocument/2006/relationships" ref="L277" r:id="rId765"/>
    <hyperlink xmlns:r="http://schemas.openxmlformats.org/officeDocument/2006/relationships" ref="G278" r:id="rId766"/>
    <hyperlink xmlns:r="http://schemas.openxmlformats.org/officeDocument/2006/relationships" ref="J278" r:id="rId767"/>
    <hyperlink xmlns:r="http://schemas.openxmlformats.org/officeDocument/2006/relationships" ref="L278" r:id="rId768"/>
    <hyperlink xmlns:r="http://schemas.openxmlformats.org/officeDocument/2006/relationships" ref="L279" r:id="rId769"/>
    <hyperlink xmlns:r="http://schemas.openxmlformats.org/officeDocument/2006/relationships" ref="G280" r:id="rId770"/>
    <hyperlink xmlns:r="http://schemas.openxmlformats.org/officeDocument/2006/relationships" ref="J280" r:id="rId771"/>
    <hyperlink xmlns:r="http://schemas.openxmlformats.org/officeDocument/2006/relationships" ref="L280" r:id="rId772"/>
    <hyperlink xmlns:r="http://schemas.openxmlformats.org/officeDocument/2006/relationships" ref="G281" r:id="rId773"/>
    <hyperlink xmlns:r="http://schemas.openxmlformats.org/officeDocument/2006/relationships" ref="J281" r:id="rId774"/>
    <hyperlink xmlns:r="http://schemas.openxmlformats.org/officeDocument/2006/relationships" ref="L281" r:id="rId775"/>
    <hyperlink xmlns:r="http://schemas.openxmlformats.org/officeDocument/2006/relationships" ref="G282" r:id="rId776"/>
    <hyperlink xmlns:r="http://schemas.openxmlformats.org/officeDocument/2006/relationships" ref="L282" r:id="rId777"/>
    <hyperlink xmlns:r="http://schemas.openxmlformats.org/officeDocument/2006/relationships" ref="L283" r:id="rId778"/>
    <hyperlink xmlns:r="http://schemas.openxmlformats.org/officeDocument/2006/relationships" ref="L284" r:id="rId779"/>
    <hyperlink xmlns:r="http://schemas.openxmlformats.org/officeDocument/2006/relationships" ref="L285" r:id="rId780"/>
    <hyperlink xmlns:r="http://schemas.openxmlformats.org/officeDocument/2006/relationships" ref="G286" r:id="rId781"/>
    <hyperlink xmlns:r="http://schemas.openxmlformats.org/officeDocument/2006/relationships" ref="J286" r:id="rId782"/>
    <hyperlink xmlns:r="http://schemas.openxmlformats.org/officeDocument/2006/relationships" ref="L286" r:id="rId783"/>
    <hyperlink xmlns:r="http://schemas.openxmlformats.org/officeDocument/2006/relationships" ref="L287" r:id="rId784"/>
    <hyperlink xmlns:r="http://schemas.openxmlformats.org/officeDocument/2006/relationships" ref="L288" r:id="rId785"/>
    <hyperlink xmlns:r="http://schemas.openxmlformats.org/officeDocument/2006/relationships" ref="G289" r:id="rId786"/>
    <hyperlink xmlns:r="http://schemas.openxmlformats.org/officeDocument/2006/relationships" ref="L289" r:id="rId787"/>
    <hyperlink xmlns:r="http://schemas.openxmlformats.org/officeDocument/2006/relationships" ref="G290" r:id="rId788"/>
    <hyperlink xmlns:r="http://schemas.openxmlformats.org/officeDocument/2006/relationships" ref="J290" r:id="rId789"/>
    <hyperlink xmlns:r="http://schemas.openxmlformats.org/officeDocument/2006/relationships" ref="L290" r:id="rId790"/>
    <hyperlink xmlns:r="http://schemas.openxmlformats.org/officeDocument/2006/relationships" ref="G291" r:id="rId791"/>
    <hyperlink xmlns:r="http://schemas.openxmlformats.org/officeDocument/2006/relationships" ref="J291" r:id="rId792"/>
    <hyperlink xmlns:r="http://schemas.openxmlformats.org/officeDocument/2006/relationships" ref="L291" r:id="rId793"/>
    <hyperlink xmlns:r="http://schemas.openxmlformats.org/officeDocument/2006/relationships" ref="L292" r:id="rId794"/>
    <hyperlink xmlns:r="http://schemas.openxmlformats.org/officeDocument/2006/relationships" ref="G293" r:id="rId795"/>
    <hyperlink xmlns:r="http://schemas.openxmlformats.org/officeDocument/2006/relationships" ref="J293" r:id="rId796"/>
    <hyperlink xmlns:r="http://schemas.openxmlformats.org/officeDocument/2006/relationships" ref="L293" r:id="rId797"/>
    <hyperlink xmlns:r="http://schemas.openxmlformats.org/officeDocument/2006/relationships" ref="G294" r:id="rId798"/>
    <hyperlink xmlns:r="http://schemas.openxmlformats.org/officeDocument/2006/relationships" ref="J294" r:id="rId799"/>
    <hyperlink xmlns:r="http://schemas.openxmlformats.org/officeDocument/2006/relationships" ref="L294" r:id="rId800"/>
    <hyperlink xmlns:r="http://schemas.openxmlformats.org/officeDocument/2006/relationships" ref="G295" r:id="rId801"/>
    <hyperlink xmlns:r="http://schemas.openxmlformats.org/officeDocument/2006/relationships" ref="J295" r:id="rId802"/>
    <hyperlink xmlns:r="http://schemas.openxmlformats.org/officeDocument/2006/relationships" ref="L295" r:id="rId803"/>
    <hyperlink xmlns:r="http://schemas.openxmlformats.org/officeDocument/2006/relationships" ref="G296" r:id="rId804"/>
    <hyperlink xmlns:r="http://schemas.openxmlformats.org/officeDocument/2006/relationships" ref="L296" r:id="rId805"/>
    <hyperlink xmlns:r="http://schemas.openxmlformats.org/officeDocument/2006/relationships" ref="G297" r:id="rId806"/>
    <hyperlink xmlns:r="http://schemas.openxmlformats.org/officeDocument/2006/relationships" ref="J297" r:id="rId807"/>
    <hyperlink xmlns:r="http://schemas.openxmlformats.org/officeDocument/2006/relationships" ref="L297" r:id="rId808"/>
    <hyperlink xmlns:r="http://schemas.openxmlformats.org/officeDocument/2006/relationships" ref="G298" r:id="rId809"/>
    <hyperlink xmlns:r="http://schemas.openxmlformats.org/officeDocument/2006/relationships" ref="J298" r:id="rId810"/>
    <hyperlink xmlns:r="http://schemas.openxmlformats.org/officeDocument/2006/relationships" ref="L298" r:id="rId811"/>
    <hyperlink xmlns:r="http://schemas.openxmlformats.org/officeDocument/2006/relationships" ref="G299" r:id="rId812"/>
    <hyperlink xmlns:r="http://schemas.openxmlformats.org/officeDocument/2006/relationships" ref="J299" r:id="rId813"/>
    <hyperlink xmlns:r="http://schemas.openxmlformats.org/officeDocument/2006/relationships" ref="L299" r:id="rId814"/>
    <hyperlink xmlns:r="http://schemas.openxmlformats.org/officeDocument/2006/relationships" ref="G300" r:id="rId815"/>
    <hyperlink xmlns:r="http://schemas.openxmlformats.org/officeDocument/2006/relationships" ref="J300" r:id="rId816"/>
    <hyperlink xmlns:r="http://schemas.openxmlformats.org/officeDocument/2006/relationships" ref="L300" r:id="rId817"/>
    <hyperlink xmlns:r="http://schemas.openxmlformats.org/officeDocument/2006/relationships" ref="G301" r:id="rId818"/>
    <hyperlink xmlns:r="http://schemas.openxmlformats.org/officeDocument/2006/relationships" ref="J301" r:id="rId819"/>
    <hyperlink xmlns:r="http://schemas.openxmlformats.org/officeDocument/2006/relationships" ref="L301" r:id="rId820"/>
    <hyperlink xmlns:r="http://schemas.openxmlformats.org/officeDocument/2006/relationships" ref="G302" r:id="rId821"/>
    <hyperlink xmlns:r="http://schemas.openxmlformats.org/officeDocument/2006/relationships" ref="J302" r:id="rId822"/>
    <hyperlink xmlns:r="http://schemas.openxmlformats.org/officeDocument/2006/relationships" ref="L302" r:id="rId823"/>
    <hyperlink xmlns:r="http://schemas.openxmlformats.org/officeDocument/2006/relationships" ref="G303" r:id="rId824"/>
    <hyperlink xmlns:r="http://schemas.openxmlformats.org/officeDocument/2006/relationships" ref="J303" r:id="rId825"/>
    <hyperlink xmlns:r="http://schemas.openxmlformats.org/officeDocument/2006/relationships" ref="L303" r:id="rId826"/>
    <hyperlink xmlns:r="http://schemas.openxmlformats.org/officeDocument/2006/relationships" ref="G304" r:id="rId827"/>
    <hyperlink xmlns:r="http://schemas.openxmlformats.org/officeDocument/2006/relationships" ref="J304" r:id="rId828"/>
    <hyperlink xmlns:r="http://schemas.openxmlformats.org/officeDocument/2006/relationships" ref="L304" r:id="rId829"/>
    <hyperlink xmlns:r="http://schemas.openxmlformats.org/officeDocument/2006/relationships" ref="G305" r:id="rId830"/>
    <hyperlink xmlns:r="http://schemas.openxmlformats.org/officeDocument/2006/relationships" ref="J305" r:id="rId831"/>
    <hyperlink xmlns:r="http://schemas.openxmlformats.org/officeDocument/2006/relationships" ref="L305" r:id="rId832"/>
    <hyperlink xmlns:r="http://schemas.openxmlformats.org/officeDocument/2006/relationships" ref="G306" r:id="rId833"/>
    <hyperlink xmlns:r="http://schemas.openxmlformats.org/officeDocument/2006/relationships" ref="J306" r:id="rId834"/>
    <hyperlink xmlns:r="http://schemas.openxmlformats.org/officeDocument/2006/relationships" ref="L306" r:id="rId835"/>
    <hyperlink xmlns:r="http://schemas.openxmlformats.org/officeDocument/2006/relationships" ref="L307" r:id="rId836"/>
    <hyperlink xmlns:r="http://schemas.openxmlformats.org/officeDocument/2006/relationships" ref="G308" r:id="rId837"/>
    <hyperlink xmlns:r="http://schemas.openxmlformats.org/officeDocument/2006/relationships" ref="J308" r:id="rId838"/>
    <hyperlink xmlns:r="http://schemas.openxmlformats.org/officeDocument/2006/relationships" ref="L308" r:id="rId839"/>
    <hyperlink xmlns:r="http://schemas.openxmlformats.org/officeDocument/2006/relationships" ref="L309" r:id="rId840"/>
    <hyperlink xmlns:r="http://schemas.openxmlformats.org/officeDocument/2006/relationships" ref="G310" r:id="rId841"/>
    <hyperlink xmlns:r="http://schemas.openxmlformats.org/officeDocument/2006/relationships" ref="L310" r:id="rId842"/>
    <hyperlink xmlns:r="http://schemas.openxmlformats.org/officeDocument/2006/relationships" ref="G311" r:id="rId843"/>
    <hyperlink xmlns:r="http://schemas.openxmlformats.org/officeDocument/2006/relationships" ref="L311" r:id="rId844"/>
    <hyperlink xmlns:r="http://schemas.openxmlformats.org/officeDocument/2006/relationships" ref="G312" r:id="rId845"/>
    <hyperlink xmlns:r="http://schemas.openxmlformats.org/officeDocument/2006/relationships" ref="L312" r:id="rId846"/>
    <hyperlink xmlns:r="http://schemas.openxmlformats.org/officeDocument/2006/relationships" ref="L313" r:id="rId847"/>
    <hyperlink xmlns:r="http://schemas.openxmlformats.org/officeDocument/2006/relationships" ref="G314" r:id="rId848"/>
    <hyperlink xmlns:r="http://schemas.openxmlformats.org/officeDocument/2006/relationships" ref="J314" r:id="rId849"/>
    <hyperlink xmlns:r="http://schemas.openxmlformats.org/officeDocument/2006/relationships" ref="L314" r:id="rId850"/>
    <hyperlink xmlns:r="http://schemas.openxmlformats.org/officeDocument/2006/relationships" ref="G315" r:id="rId851"/>
    <hyperlink xmlns:r="http://schemas.openxmlformats.org/officeDocument/2006/relationships" ref="J315" r:id="rId852"/>
    <hyperlink xmlns:r="http://schemas.openxmlformats.org/officeDocument/2006/relationships" ref="L315" r:id="rId853"/>
    <hyperlink xmlns:r="http://schemas.openxmlformats.org/officeDocument/2006/relationships" ref="G316" r:id="rId854"/>
    <hyperlink xmlns:r="http://schemas.openxmlformats.org/officeDocument/2006/relationships" ref="J316" r:id="rId855"/>
    <hyperlink xmlns:r="http://schemas.openxmlformats.org/officeDocument/2006/relationships" ref="L316" r:id="rId856"/>
    <hyperlink xmlns:r="http://schemas.openxmlformats.org/officeDocument/2006/relationships" ref="G317" r:id="rId857"/>
    <hyperlink xmlns:r="http://schemas.openxmlformats.org/officeDocument/2006/relationships" ref="J317" r:id="rId858"/>
    <hyperlink xmlns:r="http://schemas.openxmlformats.org/officeDocument/2006/relationships" ref="L317" r:id="rId859"/>
    <hyperlink xmlns:r="http://schemas.openxmlformats.org/officeDocument/2006/relationships" ref="G318" r:id="rId860"/>
    <hyperlink xmlns:r="http://schemas.openxmlformats.org/officeDocument/2006/relationships" ref="J318" r:id="rId861"/>
    <hyperlink xmlns:r="http://schemas.openxmlformats.org/officeDocument/2006/relationships" ref="L318" r:id="rId862"/>
    <hyperlink xmlns:r="http://schemas.openxmlformats.org/officeDocument/2006/relationships" ref="G319" r:id="rId863"/>
    <hyperlink xmlns:r="http://schemas.openxmlformats.org/officeDocument/2006/relationships" ref="J319" r:id="rId864"/>
    <hyperlink xmlns:r="http://schemas.openxmlformats.org/officeDocument/2006/relationships" ref="L319" r:id="rId865"/>
    <hyperlink xmlns:r="http://schemas.openxmlformats.org/officeDocument/2006/relationships" ref="G320" r:id="rId866"/>
    <hyperlink xmlns:r="http://schemas.openxmlformats.org/officeDocument/2006/relationships" ref="J320" r:id="rId867"/>
    <hyperlink xmlns:r="http://schemas.openxmlformats.org/officeDocument/2006/relationships" ref="L320" r:id="rId868"/>
    <hyperlink xmlns:r="http://schemas.openxmlformats.org/officeDocument/2006/relationships" ref="G321" r:id="rId869"/>
    <hyperlink xmlns:r="http://schemas.openxmlformats.org/officeDocument/2006/relationships" ref="J321" r:id="rId870"/>
    <hyperlink xmlns:r="http://schemas.openxmlformats.org/officeDocument/2006/relationships" ref="L321" r:id="rId871"/>
    <hyperlink xmlns:r="http://schemas.openxmlformats.org/officeDocument/2006/relationships" ref="G322" r:id="rId872"/>
    <hyperlink xmlns:r="http://schemas.openxmlformats.org/officeDocument/2006/relationships" ref="J322" r:id="rId873"/>
    <hyperlink xmlns:r="http://schemas.openxmlformats.org/officeDocument/2006/relationships" ref="L322" r:id="rId874"/>
    <hyperlink xmlns:r="http://schemas.openxmlformats.org/officeDocument/2006/relationships" ref="G323" r:id="rId875"/>
    <hyperlink xmlns:r="http://schemas.openxmlformats.org/officeDocument/2006/relationships" ref="J323" r:id="rId876"/>
    <hyperlink xmlns:r="http://schemas.openxmlformats.org/officeDocument/2006/relationships" ref="L323" r:id="rId877"/>
    <hyperlink xmlns:r="http://schemas.openxmlformats.org/officeDocument/2006/relationships" ref="G324" r:id="rId878"/>
    <hyperlink xmlns:r="http://schemas.openxmlformats.org/officeDocument/2006/relationships" ref="J324" r:id="rId879"/>
    <hyperlink xmlns:r="http://schemas.openxmlformats.org/officeDocument/2006/relationships" ref="L324" r:id="rId880"/>
    <hyperlink xmlns:r="http://schemas.openxmlformats.org/officeDocument/2006/relationships" ref="G325" r:id="rId881"/>
    <hyperlink xmlns:r="http://schemas.openxmlformats.org/officeDocument/2006/relationships" ref="J325" r:id="rId882"/>
    <hyperlink xmlns:r="http://schemas.openxmlformats.org/officeDocument/2006/relationships" ref="L325" r:id="rId883"/>
    <hyperlink xmlns:r="http://schemas.openxmlformats.org/officeDocument/2006/relationships" ref="L326" r:id="rId884"/>
    <hyperlink xmlns:r="http://schemas.openxmlformats.org/officeDocument/2006/relationships" ref="G327" r:id="rId885"/>
    <hyperlink xmlns:r="http://schemas.openxmlformats.org/officeDocument/2006/relationships" ref="L327" r:id="rId886"/>
    <hyperlink xmlns:r="http://schemas.openxmlformats.org/officeDocument/2006/relationships" ref="G328" r:id="rId887"/>
    <hyperlink xmlns:r="http://schemas.openxmlformats.org/officeDocument/2006/relationships" ref="L328" r:id="rId888"/>
    <hyperlink xmlns:r="http://schemas.openxmlformats.org/officeDocument/2006/relationships" ref="G329" r:id="rId889"/>
    <hyperlink xmlns:r="http://schemas.openxmlformats.org/officeDocument/2006/relationships" ref="L329" r:id="rId890"/>
    <hyperlink xmlns:r="http://schemas.openxmlformats.org/officeDocument/2006/relationships" ref="L330" r:id="rId891"/>
    <hyperlink xmlns:r="http://schemas.openxmlformats.org/officeDocument/2006/relationships" ref="J331" r:id="rId892"/>
    <hyperlink xmlns:r="http://schemas.openxmlformats.org/officeDocument/2006/relationships" ref="L331" r:id="rId893"/>
    <hyperlink xmlns:r="http://schemas.openxmlformats.org/officeDocument/2006/relationships" ref="G332" r:id="rId894"/>
    <hyperlink xmlns:r="http://schemas.openxmlformats.org/officeDocument/2006/relationships" ref="L332" r:id="rId895"/>
    <hyperlink xmlns:r="http://schemas.openxmlformats.org/officeDocument/2006/relationships" ref="G333" r:id="rId896"/>
    <hyperlink xmlns:r="http://schemas.openxmlformats.org/officeDocument/2006/relationships" ref="J333" r:id="rId897"/>
    <hyperlink xmlns:r="http://schemas.openxmlformats.org/officeDocument/2006/relationships" ref="L333" r:id="rId898"/>
    <hyperlink xmlns:r="http://schemas.openxmlformats.org/officeDocument/2006/relationships" ref="G334" r:id="rId899"/>
    <hyperlink xmlns:r="http://schemas.openxmlformats.org/officeDocument/2006/relationships" ref="J334" r:id="rId900"/>
    <hyperlink xmlns:r="http://schemas.openxmlformats.org/officeDocument/2006/relationships" ref="L334" r:id="rId901"/>
    <hyperlink xmlns:r="http://schemas.openxmlformats.org/officeDocument/2006/relationships" ref="G335" r:id="rId902"/>
    <hyperlink xmlns:r="http://schemas.openxmlformats.org/officeDocument/2006/relationships" ref="J335" r:id="rId903"/>
    <hyperlink xmlns:r="http://schemas.openxmlformats.org/officeDocument/2006/relationships" ref="L335" r:id="rId904"/>
    <hyperlink xmlns:r="http://schemas.openxmlformats.org/officeDocument/2006/relationships" ref="G336" r:id="rId905"/>
    <hyperlink xmlns:r="http://schemas.openxmlformats.org/officeDocument/2006/relationships" ref="J336" r:id="rId906"/>
    <hyperlink xmlns:r="http://schemas.openxmlformats.org/officeDocument/2006/relationships" ref="L336" r:id="rId907"/>
    <hyperlink xmlns:r="http://schemas.openxmlformats.org/officeDocument/2006/relationships" ref="G337" r:id="rId908"/>
    <hyperlink xmlns:r="http://schemas.openxmlformats.org/officeDocument/2006/relationships" ref="J337" r:id="rId909"/>
    <hyperlink xmlns:r="http://schemas.openxmlformats.org/officeDocument/2006/relationships" ref="L337" r:id="rId910"/>
    <hyperlink xmlns:r="http://schemas.openxmlformats.org/officeDocument/2006/relationships" ref="G338" r:id="rId911"/>
    <hyperlink xmlns:r="http://schemas.openxmlformats.org/officeDocument/2006/relationships" ref="J338" r:id="rId912"/>
    <hyperlink xmlns:r="http://schemas.openxmlformats.org/officeDocument/2006/relationships" ref="L338" r:id="rId913"/>
    <hyperlink xmlns:r="http://schemas.openxmlformats.org/officeDocument/2006/relationships" ref="G339" r:id="rId914"/>
    <hyperlink xmlns:r="http://schemas.openxmlformats.org/officeDocument/2006/relationships" ref="J339" r:id="rId915"/>
    <hyperlink xmlns:r="http://schemas.openxmlformats.org/officeDocument/2006/relationships" ref="L339" r:id="rId916"/>
    <hyperlink xmlns:r="http://schemas.openxmlformats.org/officeDocument/2006/relationships" ref="G340" r:id="rId917"/>
    <hyperlink xmlns:r="http://schemas.openxmlformats.org/officeDocument/2006/relationships" ref="J340" r:id="rId918"/>
    <hyperlink xmlns:r="http://schemas.openxmlformats.org/officeDocument/2006/relationships" ref="L340" r:id="rId919"/>
    <hyperlink xmlns:r="http://schemas.openxmlformats.org/officeDocument/2006/relationships" ref="G341" r:id="rId920"/>
    <hyperlink xmlns:r="http://schemas.openxmlformats.org/officeDocument/2006/relationships" ref="J341" r:id="rId921"/>
    <hyperlink xmlns:r="http://schemas.openxmlformats.org/officeDocument/2006/relationships" ref="L341" r:id="rId922"/>
    <hyperlink xmlns:r="http://schemas.openxmlformats.org/officeDocument/2006/relationships" ref="G342" r:id="rId923"/>
    <hyperlink xmlns:r="http://schemas.openxmlformats.org/officeDocument/2006/relationships" ref="J342" r:id="rId924"/>
    <hyperlink xmlns:r="http://schemas.openxmlformats.org/officeDocument/2006/relationships" ref="L342" r:id="rId925"/>
    <hyperlink xmlns:r="http://schemas.openxmlformats.org/officeDocument/2006/relationships" ref="G343" r:id="rId926"/>
    <hyperlink xmlns:r="http://schemas.openxmlformats.org/officeDocument/2006/relationships" ref="J343" r:id="rId927"/>
    <hyperlink xmlns:r="http://schemas.openxmlformats.org/officeDocument/2006/relationships" ref="L343" r:id="rId928"/>
    <hyperlink xmlns:r="http://schemas.openxmlformats.org/officeDocument/2006/relationships" ref="G344" r:id="rId929"/>
    <hyperlink xmlns:r="http://schemas.openxmlformats.org/officeDocument/2006/relationships" ref="J344" r:id="rId930"/>
    <hyperlink xmlns:r="http://schemas.openxmlformats.org/officeDocument/2006/relationships" ref="L344" r:id="rId931"/>
    <hyperlink xmlns:r="http://schemas.openxmlformats.org/officeDocument/2006/relationships" ref="G345" r:id="rId932"/>
    <hyperlink xmlns:r="http://schemas.openxmlformats.org/officeDocument/2006/relationships" ref="J345" r:id="rId933"/>
    <hyperlink xmlns:r="http://schemas.openxmlformats.org/officeDocument/2006/relationships" ref="L345" r:id="rId934"/>
    <hyperlink xmlns:r="http://schemas.openxmlformats.org/officeDocument/2006/relationships" ref="G346" r:id="rId935"/>
    <hyperlink xmlns:r="http://schemas.openxmlformats.org/officeDocument/2006/relationships" ref="J346" r:id="rId936"/>
    <hyperlink xmlns:r="http://schemas.openxmlformats.org/officeDocument/2006/relationships" ref="L346" r:id="rId937"/>
    <hyperlink xmlns:r="http://schemas.openxmlformats.org/officeDocument/2006/relationships" ref="G347" r:id="rId938"/>
    <hyperlink xmlns:r="http://schemas.openxmlformats.org/officeDocument/2006/relationships" ref="J347" r:id="rId939"/>
    <hyperlink xmlns:r="http://schemas.openxmlformats.org/officeDocument/2006/relationships" ref="L347" r:id="rId940"/>
    <hyperlink xmlns:r="http://schemas.openxmlformats.org/officeDocument/2006/relationships" ref="G348" r:id="rId941"/>
    <hyperlink xmlns:r="http://schemas.openxmlformats.org/officeDocument/2006/relationships" ref="J348" r:id="rId942"/>
    <hyperlink xmlns:r="http://schemas.openxmlformats.org/officeDocument/2006/relationships" ref="L348" r:id="rId943"/>
    <hyperlink xmlns:r="http://schemas.openxmlformats.org/officeDocument/2006/relationships" ref="G349" r:id="rId944"/>
    <hyperlink xmlns:r="http://schemas.openxmlformats.org/officeDocument/2006/relationships" ref="J349" r:id="rId945"/>
    <hyperlink xmlns:r="http://schemas.openxmlformats.org/officeDocument/2006/relationships" ref="L349" r:id="rId946"/>
    <hyperlink xmlns:r="http://schemas.openxmlformats.org/officeDocument/2006/relationships" ref="G350" r:id="rId947"/>
    <hyperlink xmlns:r="http://schemas.openxmlformats.org/officeDocument/2006/relationships" ref="J350" r:id="rId948"/>
    <hyperlink xmlns:r="http://schemas.openxmlformats.org/officeDocument/2006/relationships" ref="L350" r:id="rId949"/>
    <hyperlink xmlns:r="http://schemas.openxmlformats.org/officeDocument/2006/relationships" ref="G351" r:id="rId950"/>
    <hyperlink xmlns:r="http://schemas.openxmlformats.org/officeDocument/2006/relationships" ref="J351" r:id="rId951"/>
    <hyperlink xmlns:r="http://schemas.openxmlformats.org/officeDocument/2006/relationships" ref="L351" r:id="rId952"/>
    <hyperlink xmlns:r="http://schemas.openxmlformats.org/officeDocument/2006/relationships" ref="L352" r:id="rId953"/>
    <hyperlink xmlns:r="http://schemas.openxmlformats.org/officeDocument/2006/relationships" ref="G353" r:id="rId954"/>
    <hyperlink xmlns:r="http://schemas.openxmlformats.org/officeDocument/2006/relationships" ref="J353" r:id="rId955"/>
    <hyperlink xmlns:r="http://schemas.openxmlformats.org/officeDocument/2006/relationships" ref="L353" r:id="rId956"/>
    <hyperlink xmlns:r="http://schemas.openxmlformats.org/officeDocument/2006/relationships" ref="G354" r:id="rId957"/>
    <hyperlink xmlns:r="http://schemas.openxmlformats.org/officeDocument/2006/relationships" ref="J354" r:id="rId958"/>
    <hyperlink xmlns:r="http://schemas.openxmlformats.org/officeDocument/2006/relationships" ref="L354" r:id="rId959"/>
    <hyperlink xmlns:r="http://schemas.openxmlformats.org/officeDocument/2006/relationships" ref="G355" r:id="rId960"/>
    <hyperlink xmlns:r="http://schemas.openxmlformats.org/officeDocument/2006/relationships" ref="J355" r:id="rId961"/>
    <hyperlink xmlns:r="http://schemas.openxmlformats.org/officeDocument/2006/relationships" ref="L355" r:id="rId962"/>
    <hyperlink xmlns:r="http://schemas.openxmlformats.org/officeDocument/2006/relationships" ref="G356" r:id="rId963"/>
    <hyperlink xmlns:r="http://schemas.openxmlformats.org/officeDocument/2006/relationships" ref="J356" r:id="rId964"/>
    <hyperlink xmlns:r="http://schemas.openxmlformats.org/officeDocument/2006/relationships" ref="L356" r:id="rId965"/>
    <hyperlink xmlns:r="http://schemas.openxmlformats.org/officeDocument/2006/relationships" ref="G357" r:id="rId966"/>
    <hyperlink xmlns:r="http://schemas.openxmlformats.org/officeDocument/2006/relationships" ref="J357" r:id="rId967"/>
    <hyperlink xmlns:r="http://schemas.openxmlformats.org/officeDocument/2006/relationships" ref="L357" r:id="rId968"/>
    <hyperlink xmlns:r="http://schemas.openxmlformats.org/officeDocument/2006/relationships" ref="G358" r:id="rId969"/>
    <hyperlink xmlns:r="http://schemas.openxmlformats.org/officeDocument/2006/relationships" ref="J358" r:id="rId970"/>
    <hyperlink xmlns:r="http://schemas.openxmlformats.org/officeDocument/2006/relationships" ref="L358" r:id="rId971"/>
    <hyperlink xmlns:r="http://schemas.openxmlformats.org/officeDocument/2006/relationships" ref="G359" r:id="rId972"/>
    <hyperlink xmlns:r="http://schemas.openxmlformats.org/officeDocument/2006/relationships" ref="J359" r:id="rId973"/>
    <hyperlink xmlns:r="http://schemas.openxmlformats.org/officeDocument/2006/relationships" ref="L359" r:id="rId974"/>
    <hyperlink xmlns:r="http://schemas.openxmlformats.org/officeDocument/2006/relationships" ref="G360" r:id="rId975"/>
    <hyperlink xmlns:r="http://schemas.openxmlformats.org/officeDocument/2006/relationships" ref="J360" r:id="rId976"/>
    <hyperlink xmlns:r="http://schemas.openxmlformats.org/officeDocument/2006/relationships" ref="L360" r:id="rId977"/>
    <hyperlink xmlns:r="http://schemas.openxmlformats.org/officeDocument/2006/relationships" ref="G361" r:id="rId978"/>
    <hyperlink xmlns:r="http://schemas.openxmlformats.org/officeDocument/2006/relationships" ref="J361" r:id="rId979"/>
    <hyperlink xmlns:r="http://schemas.openxmlformats.org/officeDocument/2006/relationships" ref="L361" r:id="rId980"/>
    <hyperlink xmlns:r="http://schemas.openxmlformats.org/officeDocument/2006/relationships" ref="G362" r:id="rId981"/>
    <hyperlink xmlns:r="http://schemas.openxmlformats.org/officeDocument/2006/relationships" ref="J362" r:id="rId982"/>
    <hyperlink xmlns:r="http://schemas.openxmlformats.org/officeDocument/2006/relationships" ref="L362" r:id="rId983"/>
    <hyperlink xmlns:r="http://schemas.openxmlformats.org/officeDocument/2006/relationships" ref="G363" r:id="rId984"/>
    <hyperlink xmlns:r="http://schemas.openxmlformats.org/officeDocument/2006/relationships" ref="J363" r:id="rId985"/>
    <hyperlink xmlns:r="http://schemas.openxmlformats.org/officeDocument/2006/relationships" ref="L363" r:id="rId986"/>
    <hyperlink xmlns:r="http://schemas.openxmlformats.org/officeDocument/2006/relationships" ref="G364" r:id="rId987"/>
    <hyperlink xmlns:r="http://schemas.openxmlformats.org/officeDocument/2006/relationships" ref="J364" r:id="rId988"/>
    <hyperlink xmlns:r="http://schemas.openxmlformats.org/officeDocument/2006/relationships" ref="L364" r:id="rId989"/>
    <hyperlink xmlns:r="http://schemas.openxmlformats.org/officeDocument/2006/relationships" ref="G365" r:id="rId990"/>
    <hyperlink xmlns:r="http://schemas.openxmlformats.org/officeDocument/2006/relationships" ref="J365" r:id="rId991"/>
    <hyperlink xmlns:r="http://schemas.openxmlformats.org/officeDocument/2006/relationships" ref="L365" r:id="rId992"/>
    <hyperlink xmlns:r="http://schemas.openxmlformats.org/officeDocument/2006/relationships" ref="G366" r:id="rId993"/>
    <hyperlink xmlns:r="http://schemas.openxmlformats.org/officeDocument/2006/relationships" ref="J366" r:id="rId994"/>
    <hyperlink xmlns:r="http://schemas.openxmlformats.org/officeDocument/2006/relationships" ref="L366" r:id="rId995"/>
    <hyperlink xmlns:r="http://schemas.openxmlformats.org/officeDocument/2006/relationships" ref="G367" r:id="rId996"/>
    <hyperlink xmlns:r="http://schemas.openxmlformats.org/officeDocument/2006/relationships" ref="J367" r:id="rId997"/>
    <hyperlink xmlns:r="http://schemas.openxmlformats.org/officeDocument/2006/relationships" ref="L367" r:id="rId998"/>
    <hyperlink xmlns:r="http://schemas.openxmlformats.org/officeDocument/2006/relationships" ref="G368" r:id="rId999"/>
    <hyperlink xmlns:r="http://schemas.openxmlformats.org/officeDocument/2006/relationships" ref="J368" r:id="rId1000"/>
    <hyperlink xmlns:r="http://schemas.openxmlformats.org/officeDocument/2006/relationships" ref="L368" r:id="rId1001"/>
    <hyperlink xmlns:r="http://schemas.openxmlformats.org/officeDocument/2006/relationships" ref="G369" r:id="rId1002"/>
    <hyperlink xmlns:r="http://schemas.openxmlformats.org/officeDocument/2006/relationships" ref="J369" r:id="rId1003"/>
    <hyperlink xmlns:r="http://schemas.openxmlformats.org/officeDocument/2006/relationships" ref="L369" r:id="rId1004"/>
    <hyperlink xmlns:r="http://schemas.openxmlformats.org/officeDocument/2006/relationships" ref="G370" r:id="rId1005"/>
    <hyperlink xmlns:r="http://schemas.openxmlformats.org/officeDocument/2006/relationships" ref="J370" r:id="rId1006"/>
    <hyperlink xmlns:r="http://schemas.openxmlformats.org/officeDocument/2006/relationships" ref="L370" r:id="rId1007"/>
    <hyperlink xmlns:r="http://schemas.openxmlformats.org/officeDocument/2006/relationships" ref="G371" r:id="rId1008"/>
    <hyperlink xmlns:r="http://schemas.openxmlformats.org/officeDocument/2006/relationships" ref="J371" r:id="rId1009"/>
    <hyperlink xmlns:r="http://schemas.openxmlformats.org/officeDocument/2006/relationships" ref="L371" r:id="rId1010"/>
    <hyperlink xmlns:r="http://schemas.openxmlformats.org/officeDocument/2006/relationships" ref="G372" r:id="rId1011"/>
    <hyperlink xmlns:r="http://schemas.openxmlformats.org/officeDocument/2006/relationships" ref="J372" r:id="rId1012"/>
    <hyperlink xmlns:r="http://schemas.openxmlformats.org/officeDocument/2006/relationships" ref="L372" r:id="rId1013"/>
    <hyperlink xmlns:r="http://schemas.openxmlformats.org/officeDocument/2006/relationships" ref="G373" r:id="rId1014"/>
    <hyperlink xmlns:r="http://schemas.openxmlformats.org/officeDocument/2006/relationships" ref="J373" r:id="rId1015"/>
    <hyperlink xmlns:r="http://schemas.openxmlformats.org/officeDocument/2006/relationships" ref="L373" r:id="rId1016"/>
    <hyperlink xmlns:r="http://schemas.openxmlformats.org/officeDocument/2006/relationships" ref="G374" r:id="rId1017"/>
    <hyperlink xmlns:r="http://schemas.openxmlformats.org/officeDocument/2006/relationships" ref="J374" r:id="rId1018"/>
    <hyperlink xmlns:r="http://schemas.openxmlformats.org/officeDocument/2006/relationships" ref="L374" r:id="rId1019"/>
    <hyperlink xmlns:r="http://schemas.openxmlformats.org/officeDocument/2006/relationships" ref="G375" r:id="rId1020"/>
    <hyperlink xmlns:r="http://schemas.openxmlformats.org/officeDocument/2006/relationships" ref="J375" r:id="rId1021"/>
    <hyperlink xmlns:r="http://schemas.openxmlformats.org/officeDocument/2006/relationships" ref="L375" r:id="rId1022"/>
    <hyperlink xmlns:r="http://schemas.openxmlformats.org/officeDocument/2006/relationships" ref="G376" r:id="rId1023"/>
    <hyperlink xmlns:r="http://schemas.openxmlformats.org/officeDocument/2006/relationships" ref="J376" r:id="rId1024"/>
    <hyperlink xmlns:r="http://schemas.openxmlformats.org/officeDocument/2006/relationships" ref="L376" r:id="rId1025"/>
    <hyperlink xmlns:r="http://schemas.openxmlformats.org/officeDocument/2006/relationships" ref="G377" r:id="rId1026"/>
    <hyperlink xmlns:r="http://schemas.openxmlformats.org/officeDocument/2006/relationships" ref="J377" r:id="rId1027"/>
    <hyperlink xmlns:r="http://schemas.openxmlformats.org/officeDocument/2006/relationships" ref="L377" r:id="rId1028"/>
    <hyperlink xmlns:r="http://schemas.openxmlformats.org/officeDocument/2006/relationships" ref="G378" r:id="rId1029"/>
    <hyperlink xmlns:r="http://schemas.openxmlformats.org/officeDocument/2006/relationships" ref="J378" r:id="rId1030"/>
    <hyperlink xmlns:r="http://schemas.openxmlformats.org/officeDocument/2006/relationships" ref="L378" r:id="rId1031"/>
    <hyperlink xmlns:r="http://schemas.openxmlformats.org/officeDocument/2006/relationships" ref="G379" r:id="rId1032"/>
    <hyperlink xmlns:r="http://schemas.openxmlformats.org/officeDocument/2006/relationships" ref="J379" r:id="rId1033"/>
    <hyperlink xmlns:r="http://schemas.openxmlformats.org/officeDocument/2006/relationships" ref="L379" r:id="rId1034"/>
    <hyperlink xmlns:r="http://schemas.openxmlformats.org/officeDocument/2006/relationships" ref="G380" r:id="rId1035"/>
    <hyperlink xmlns:r="http://schemas.openxmlformats.org/officeDocument/2006/relationships" ref="J380" r:id="rId1036"/>
    <hyperlink xmlns:r="http://schemas.openxmlformats.org/officeDocument/2006/relationships" ref="L380" r:id="rId1037"/>
    <hyperlink xmlns:r="http://schemas.openxmlformats.org/officeDocument/2006/relationships" ref="G381" r:id="rId1038"/>
    <hyperlink xmlns:r="http://schemas.openxmlformats.org/officeDocument/2006/relationships" ref="J381" r:id="rId1039"/>
    <hyperlink xmlns:r="http://schemas.openxmlformats.org/officeDocument/2006/relationships" ref="L381" r:id="rId1040"/>
    <hyperlink xmlns:r="http://schemas.openxmlformats.org/officeDocument/2006/relationships" ref="G382" r:id="rId1041"/>
    <hyperlink xmlns:r="http://schemas.openxmlformats.org/officeDocument/2006/relationships" ref="J382" r:id="rId1042"/>
    <hyperlink xmlns:r="http://schemas.openxmlformats.org/officeDocument/2006/relationships" ref="L382" r:id="rId1043"/>
    <hyperlink xmlns:r="http://schemas.openxmlformats.org/officeDocument/2006/relationships" ref="G383" r:id="rId1044"/>
    <hyperlink xmlns:r="http://schemas.openxmlformats.org/officeDocument/2006/relationships" ref="J383" r:id="rId1045"/>
    <hyperlink xmlns:r="http://schemas.openxmlformats.org/officeDocument/2006/relationships" ref="L383" r:id="rId1046"/>
    <hyperlink xmlns:r="http://schemas.openxmlformats.org/officeDocument/2006/relationships" ref="G384" r:id="rId1047"/>
    <hyperlink xmlns:r="http://schemas.openxmlformats.org/officeDocument/2006/relationships" ref="J384" r:id="rId1048"/>
    <hyperlink xmlns:r="http://schemas.openxmlformats.org/officeDocument/2006/relationships" ref="L384" r:id="rId1049"/>
    <hyperlink xmlns:r="http://schemas.openxmlformats.org/officeDocument/2006/relationships" ref="G385" r:id="rId1050"/>
    <hyperlink xmlns:r="http://schemas.openxmlformats.org/officeDocument/2006/relationships" ref="J385" r:id="rId1051"/>
    <hyperlink xmlns:r="http://schemas.openxmlformats.org/officeDocument/2006/relationships" ref="L385" r:id="rId1052"/>
    <hyperlink xmlns:r="http://schemas.openxmlformats.org/officeDocument/2006/relationships" ref="G386" r:id="rId1053"/>
    <hyperlink xmlns:r="http://schemas.openxmlformats.org/officeDocument/2006/relationships" ref="J386" r:id="rId1054"/>
    <hyperlink xmlns:r="http://schemas.openxmlformats.org/officeDocument/2006/relationships" ref="L386" r:id="rId1055"/>
    <hyperlink xmlns:r="http://schemas.openxmlformats.org/officeDocument/2006/relationships" ref="G387" r:id="rId1056"/>
    <hyperlink xmlns:r="http://schemas.openxmlformats.org/officeDocument/2006/relationships" ref="J387" r:id="rId1057"/>
    <hyperlink xmlns:r="http://schemas.openxmlformats.org/officeDocument/2006/relationships" ref="L387" r:id="rId1058"/>
    <hyperlink xmlns:r="http://schemas.openxmlformats.org/officeDocument/2006/relationships" ref="G388" r:id="rId1059"/>
    <hyperlink xmlns:r="http://schemas.openxmlformats.org/officeDocument/2006/relationships" ref="J388" r:id="rId1060"/>
    <hyperlink xmlns:r="http://schemas.openxmlformats.org/officeDocument/2006/relationships" ref="L388" r:id="rId1061"/>
    <hyperlink xmlns:r="http://schemas.openxmlformats.org/officeDocument/2006/relationships" ref="G389" r:id="rId1062"/>
    <hyperlink xmlns:r="http://schemas.openxmlformats.org/officeDocument/2006/relationships" ref="J389" r:id="rId1063"/>
    <hyperlink xmlns:r="http://schemas.openxmlformats.org/officeDocument/2006/relationships" ref="L389" r:id="rId1064"/>
    <hyperlink xmlns:r="http://schemas.openxmlformats.org/officeDocument/2006/relationships" ref="G390" r:id="rId1065"/>
    <hyperlink xmlns:r="http://schemas.openxmlformats.org/officeDocument/2006/relationships" ref="J390" r:id="rId1066"/>
    <hyperlink xmlns:r="http://schemas.openxmlformats.org/officeDocument/2006/relationships" ref="L390" r:id="rId1067"/>
    <hyperlink xmlns:r="http://schemas.openxmlformats.org/officeDocument/2006/relationships" ref="G391" r:id="rId1068"/>
    <hyperlink xmlns:r="http://schemas.openxmlformats.org/officeDocument/2006/relationships" ref="J391" r:id="rId1069"/>
    <hyperlink xmlns:r="http://schemas.openxmlformats.org/officeDocument/2006/relationships" ref="L391" r:id="rId1070"/>
    <hyperlink xmlns:r="http://schemas.openxmlformats.org/officeDocument/2006/relationships" ref="G392" r:id="rId1071"/>
    <hyperlink xmlns:r="http://schemas.openxmlformats.org/officeDocument/2006/relationships" ref="J392" r:id="rId1072"/>
    <hyperlink xmlns:r="http://schemas.openxmlformats.org/officeDocument/2006/relationships" ref="L392" r:id="rId1073"/>
    <hyperlink xmlns:r="http://schemas.openxmlformats.org/officeDocument/2006/relationships" ref="G393" r:id="rId1074"/>
    <hyperlink xmlns:r="http://schemas.openxmlformats.org/officeDocument/2006/relationships" ref="J393" r:id="rId1075"/>
    <hyperlink xmlns:r="http://schemas.openxmlformats.org/officeDocument/2006/relationships" ref="L393" r:id="rId1076"/>
    <hyperlink xmlns:r="http://schemas.openxmlformats.org/officeDocument/2006/relationships" ref="G394" r:id="rId1077"/>
    <hyperlink xmlns:r="http://schemas.openxmlformats.org/officeDocument/2006/relationships" ref="J394" r:id="rId1078"/>
    <hyperlink xmlns:r="http://schemas.openxmlformats.org/officeDocument/2006/relationships" ref="L394" r:id="rId1079"/>
    <hyperlink xmlns:r="http://schemas.openxmlformats.org/officeDocument/2006/relationships" ref="G395" r:id="rId1080"/>
    <hyperlink xmlns:r="http://schemas.openxmlformats.org/officeDocument/2006/relationships" ref="J395" r:id="rId1081"/>
    <hyperlink xmlns:r="http://schemas.openxmlformats.org/officeDocument/2006/relationships" ref="L395" r:id="rId1082"/>
    <hyperlink xmlns:r="http://schemas.openxmlformats.org/officeDocument/2006/relationships" ref="G396" r:id="rId1083"/>
    <hyperlink xmlns:r="http://schemas.openxmlformats.org/officeDocument/2006/relationships" ref="J396" r:id="rId1084"/>
    <hyperlink xmlns:r="http://schemas.openxmlformats.org/officeDocument/2006/relationships" ref="L396" r:id="rId1085"/>
    <hyperlink xmlns:r="http://schemas.openxmlformats.org/officeDocument/2006/relationships" ref="G397" r:id="rId1086"/>
    <hyperlink xmlns:r="http://schemas.openxmlformats.org/officeDocument/2006/relationships" ref="J397" r:id="rId1087"/>
    <hyperlink xmlns:r="http://schemas.openxmlformats.org/officeDocument/2006/relationships" ref="L397" r:id="rId1088"/>
    <hyperlink xmlns:r="http://schemas.openxmlformats.org/officeDocument/2006/relationships" ref="G398" r:id="rId1089"/>
    <hyperlink xmlns:r="http://schemas.openxmlformats.org/officeDocument/2006/relationships" ref="J398" r:id="rId1090"/>
    <hyperlink xmlns:r="http://schemas.openxmlformats.org/officeDocument/2006/relationships" ref="L398" r:id="rId1091"/>
    <hyperlink xmlns:r="http://schemas.openxmlformats.org/officeDocument/2006/relationships" ref="G399" r:id="rId1092"/>
    <hyperlink xmlns:r="http://schemas.openxmlformats.org/officeDocument/2006/relationships" ref="J399" r:id="rId1093"/>
    <hyperlink xmlns:r="http://schemas.openxmlformats.org/officeDocument/2006/relationships" ref="L399" r:id="rId1094"/>
    <hyperlink xmlns:r="http://schemas.openxmlformats.org/officeDocument/2006/relationships" ref="G400" r:id="rId1095"/>
    <hyperlink xmlns:r="http://schemas.openxmlformats.org/officeDocument/2006/relationships" ref="J400" r:id="rId1096"/>
    <hyperlink xmlns:r="http://schemas.openxmlformats.org/officeDocument/2006/relationships" ref="L400" r:id="rId1097"/>
    <hyperlink xmlns:r="http://schemas.openxmlformats.org/officeDocument/2006/relationships" ref="G401" r:id="rId1098"/>
    <hyperlink xmlns:r="http://schemas.openxmlformats.org/officeDocument/2006/relationships" ref="J401" r:id="rId1099"/>
    <hyperlink xmlns:r="http://schemas.openxmlformats.org/officeDocument/2006/relationships" ref="L401" r:id="rId1100"/>
    <hyperlink xmlns:r="http://schemas.openxmlformats.org/officeDocument/2006/relationships" ref="G402" r:id="rId1101"/>
    <hyperlink xmlns:r="http://schemas.openxmlformats.org/officeDocument/2006/relationships" ref="J402" r:id="rId1102"/>
    <hyperlink xmlns:r="http://schemas.openxmlformats.org/officeDocument/2006/relationships" ref="L402" r:id="rId110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0" customWidth="1" min="3" max="3"/>
    <col width="8" customWidth="1" min="4" max="4"/>
    <col width="80" customWidth="1" min="5" max="5"/>
  </cols>
  <sheetData>
    <row r="1">
      <c r="B1" s="18" t="inlineStr">
        <is>
          <t>Offer · after-work football for City and Canary Wharf teams</t>
        </is>
      </c>
    </row>
    <row r="2">
      <c r="B2" s="19" t="inlineStr">
        <is>
          <t>Yellow cells are inputs. They feed every draft on Outreach. The pitch and slot per company come from Venues (Lead-with slot).</t>
        </is>
      </c>
    </row>
    <row r="3">
      <c r="B3" s="20" t="inlineStr">
        <is>
          <t>Item</t>
        </is>
      </c>
      <c r="C3" s="20" t="inlineStr">
        <is>
          <t>Value</t>
        </is>
      </c>
      <c r="D3" s="20" t="inlineStr">
        <is>
          <t>Owner</t>
        </is>
      </c>
      <c r="E3" s="20" t="inlineStr">
        <is>
          <t>Note</t>
        </is>
      </c>
    </row>
    <row r="4">
      <c r="B4" s="21" t="inlineStr">
        <is>
          <t>Price per player (£)</t>
        </is>
      </c>
      <c r="C4" s="22" t="n"/>
      <c r="D4" s="19" t="inlineStr">
        <is>
          <t>Brian</t>
        </is>
      </c>
      <c r="E4" s="19" t="inlineStr">
        <is>
          <t>Corporate teams can carry more than the Haggerston pilot. Compare with Venues › Cost per player at earliest.</t>
        </is>
      </c>
    </row>
    <row r="5">
      <c r="B5" s="21" t="inlineStr">
        <is>
          <t>Default sender (when Owner is empty)</t>
        </is>
      </c>
      <c r="C5" s="23" t="inlineStr">
        <is>
          <t>Brian</t>
        </is>
      </c>
      <c r="D5" s="19" t="n"/>
      <c r="E5" s="19" t="n"/>
    </row>
    <row r="6">
      <c r="B6" s="21" t="inlineStr">
        <is>
          <t>Joining link (app)</t>
        </is>
      </c>
      <c r="C6" s="23" t="n"/>
      <c r="D6" s="19" t="n"/>
      <c r="E6" s="19" t="n"/>
    </row>
    <row r="7">
      <c r="B7" s="21" t="inlineStr">
        <is>
          <t>Deadline for players to commit</t>
        </is>
      </c>
      <c r="C7" s="24" t="n"/>
      <c r="D7" s="19" t="n"/>
      <c r="E7" s="19" t="inlineStr">
        <is>
          <t>Date. Leave empty to drop the sentence.</t>
        </is>
      </c>
    </row>
    <row r="8">
      <c r="B8" s="21" t="inlineStr">
        <is>
          <t>Game length (min)</t>
        </is>
      </c>
      <c r="C8" s="23" t="n">
        <v>60</v>
      </c>
      <c r="D8" s="19" t="n"/>
      <c r="E8" s="19" t="n"/>
    </row>
    <row r="9">
      <c r="B9" s="21" t="inlineStr">
        <is>
          <t>Minimum paying players to cover hire</t>
        </is>
      </c>
      <c r="C9" s="25">
        <f>IF(OR(C4="",C4=0),"",ROUNDUP(_xlfn.MAXIFS(Venues!$I$2:$I$17,Venues!$F$2:$F$17,"&gt;0")/C4,0))</f>
        <v/>
      </c>
      <c r="D9" s="19" t="n"/>
      <c r="E9" s="19" t="inlineStr">
        <is>
          <t>Worst case across venues with open slots (highest earliest hire ÷ price).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6" customWidth="1" min="3" max="3"/>
    <col width="7" customWidth="1" min="4" max="4"/>
    <col width="7" customWidth="1" min="5" max="5"/>
    <col width="20" customWidth="1" min="6" max="6"/>
    <col width="16" customWidth="1" min="7" max="7"/>
    <col width="9" customWidth="1" min="8" max="8"/>
    <col width="16" customWidth="1" min="9" max="9"/>
    <col width="11" customWidth="1" min="10" max="10"/>
    <col width="10" customWidth="1" min="11" max="11"/>
    <col width="8" customWidth="1" min="12" max="12"/>
    <col width="30" customWidth="1" min="13" max="13"/>
    <col width="40" customWidth="1" min="14" max="14"/>
    <col width="70" customWidth="1" min="15" max="15"/>
    <col width="22" customWidth="1" min="16" max="16"/>
    <col width="8" customWidth="1" min="17" max="17"/>
    <col width="30" customWidth="1" min="18" max="18"/>
  </cols>
  <sheetData>
    <row r="1">
      <c r="A1" s="9" t="inlineStr">
        <is>
          <t>Venue</t>
        </is>
      </c>
      <c r="B1" s="9" t="inlineStr">
        <is>
          <t>Date</t>
        </is>
      </c>
      <c r="C1" s="9" t="inlineStr">
        <is>
          <t>Day</t>
        </is>
      </c>
      <c r="D1" s="9" t="inlineStr">
        <is>
          <t>Start</t>
        </is>
      </c>
      <c r="E1" s="9" t="inlineStr">
        <is>
          <t>End</t>
        </is>
      </c>
      <c r="F1" s="9" t="inlineStr">
        <is>
          <t>Slot start</t>
        </is>
      </c>
      <c r="G1" s="9" t="inlineStr">
        <is>
          <t>Format</t>
        </is>
      </c>
      <c r="H1" s="9" t="inlineStr">
        <is>
          <t>Players (full pitch)</t>
        </is>
      </c>
      <c r="I1" s="9" t="inlineStr">
        <is>
          <t>Status</t>
        </is>
      </c>
      <c r="J1" s="9" t="inlineStr">
        <is>
          <t>Hire (£ per slot)</t>
        </is>
      </c>
      <c r="K1" s="9" t="inlineStr">
        <is>
          <t>Cost per player (£)</t>
        </is>
      </c>
      <c r="L1" s="9" t="inlineStr">
        <is>
          <t>Floodlit</t>
        </is>
      </c>
      <c r="M1" s="9" t="inlineStr">
        <is>
          <t>Booking source</t>
        </is>
      </c>
      <c r="N1" s="9" t="inlineStr">
        <is>
          <t>Booking link</t>
        </is>
      </c>
      <c r="O1" s="9" t="inlineStr">
        <is>
          <t>Notes</t>
        </is>
      </c>
      <c r="P1" s="9" t="inlineStr">
        <is>
          <t>Checked</t>
        </is>
      </c>
      <c r="Q1" s="9" t="inlineStr">
        <is>
          <t>Rank in venue</t>
        </is>
      </c>
      <c r="R1" s="9" t="inlineStr">
        <is>
          <t>Key</t>
        </is>
      </c>
    </row>
    <row r="2">
      <c r="A2" s="26" t="inlineStr">
        <is>
          <t>Whitechapel</t>
        </is>
      </c>
      <c r="B2" s="27" t="n"/>
      <c r="C2" s="26" t="n"/>
      <c r="D2" s="28" t="n"/>
      <c r="E2" s="28" t="n"/>
      <c r="F2" s="29">
        <f>IF(B2="","",B2+D2)</f>
        <v/>
      </c>
      <c r="G2" s="26" t="inlineStr">
        <is>
          <t>5-a-side</t>
        </is>
      </c>
      <c r="H2" s="30">
        <f>IFERROR(VALUE(LEFT(G2,FIND("-",G2)-1))*2,"")</f>
        <v/>
      </c>
      <c r="I2" s="26" t="inlineStr">
        <is>
          <t>Contact required</t>
        </is>
      </c>
      <c r="J2" s="31" t="n"/>
      <c r="K2" s="32">
        <f>IF(OR(J2="",H2=""),"",J2/H2)</f>
        <v/>
      </c>
      <c r="L2" s="26" t="inlineStr">
        <is>
          <t>yes</t>
        </is>
      </c>
      <c r="M2" s="26" t="inlineStr">
        <is>
          <t>Mulberry Sports &amp; Leisure Centre (Parkwood Leisure)</t>
        </is>
      </c>
      <c r="N2" s="33" t="inlineStr">
        <is>
          <t>https://pitchbooking.com/partners/MULBERRYSPORTSLEISURECENTRE</t>
        </is>
      </c>
      <c r="O2" s="26" t="inlineStr">
        <is>
          <t>Enquiry only. Call 020 7790 3854. Centre is at Richard St E1 2JP (brief says E1 2JR). Weekday hours 18:00-22:00. Powerleague runs Mon and Tue 19:30 leagues here. Floodlit per Powerleague</t>
        </is>
      </c>
      <c r="P2" s="26" t="inlineStr">
        <is>
          <t>24 Sep 2026 (Claude in Chrome)</t>
        </is>
      </c>
      <c r="Q2" s="30">
        <f>IF(AND(I2="Available",F2&lt;&gt;""),COUNTIFS($A$2:$A$46,A2,$I$2:$I$46,"Available",$F$2:$F$46,"&lt;"&amp;F2)+1,"")</f>
        <v/>
      </c>
      <c r="R2" s="30">
        <f>IF(Q2="","",A2&amp;"#"&amp;Q2)</f>
        <v/>
      </c>
    </row>
    <row r="3">
      <c r="A3" s="26" t="inlineStr">
        <is>
          <t>Shoreditch Rooftop</t>
        </is>
      </c>
      <c r="B3" s="27" t="n">
        <v>46293</v>
      </c>
      <c r="C3" s="26" t="inlineStr">
        <is>
          <t>Mon</t>
        </is>
      </c>
      <c r="D3" s="28" t="n">
        <v>0.75</v>
      </c>
      <c r="E3" s="28" t="n">
        <v>0.7916666666666666</v>
      </c>
      <c r="F3" s="29">
        <f>IF(B3="","",B3+D3)</f>
        <v/>
      </c>
      <c r="G3" s="26" t="inlineStr">
        <is>
          <t>5-a-side</t>
        </is>
      </c>
      <c r="H3" s="30">
        <f>IFERROR(VALUE(LEFT(G3,FIND("-",G3)-1))*2,"")</f>
        <v/>
      </c>
      <c r="I3" s="26" t="inlineStr">
        <is>
          <t>Available</t>
        </is>
      </c>
      <c r="J3" s="31" t="n">
        <v>72.2</v>
      </c>
      <c r="K3" s="32">
        <f>IF(OR(J3="",H3=""),"",J3/H3)</f>
        <v/>
      </c>
      <c r="L3" s="26" t="inlineStr">
        <is>
          <t>yes</t>
        </is>
      </c>
      <c r="M3" s="26" t="inlineStr">
        <is>
          <t>Better (GLL)</t>
        </is>
      </c>
      <c r="N3" s="33" t="inlineStr">
        <is>
          <t>https://bookings.better.org.uk/location/britannia-leisure-centre/3g-cage/2026-09-28/by-time</t>
        </is>
      </c>
      <c r="O3" s="26" t="inlineStr">
        <is>
          <t>Football Pitch 2. Better account needed to book. 29 Sep 18:00-21:00 full. Better only releases slots 6 days ahead so 30 Sep onwards not visible yet</t>
        </is>
      </c>
      <c r="P3" s="26" t="inlineStr">
        <is>
          <t>24 Sep 2026 (Claude in Chrome)</t>
        </is>
      </c>
      <c r="Q3" s="30">
        <f>IF(AND(I3="Available",F3&lt;&gt;""),COUNTIFS($A$2:$A$46,A3,$I$2:$I$46,"Available",$F$2:$F$46,"&lt;"&amp;F3)+1,"")</f>
        <v/>
      </c>
      <c r="R3" s="30">
        <f>IF(Q3="","",A3&amp;"#"&amp;Q3)</f>
        <v/>
      </c>
    </row>
    <row r="4">
      <c r="A4" s="26" t="inlineStr">
        <is>
          <t>Old St - Moreland Primary School</t>
        </is>
      </c>
      <c r="B4" s="27" t="n">
        <v>46297</v>
      </c>
      <c r="C4" s="26" t="inlineStr">
        <is>
          <t>Fri</t>
        </is>
      </c>
      <c r="D4" s="28" t="n">
        <v>0.8333333333333334</v>
      </c>
      <c r="E4" s="28" t="n">
        <v>0.875</v>
      </c>
      <c r="F4" s="29">
        <f>IF(B4="","",B4+D4)</f>
        <v/>
      </c>
      <c r="G4" s="26" t="inlineStr">
        <is>
          <t>6-a-side</t>
        </is>
      </c>
      <c r="H4" s="30">
        <f>IFERROR(VALUE(LEFT(G4,FIND("-",G4)-1))*2,"")</f>
        <v/>
      </c>
      <c r="I4" s="26" t="inlineStr">
        <is>
          <t>Available</t>
        </is>
      </c>
      <c r="J4" s="31" t="n">
        <v>90</v>
      </c>
      <c r="K4" s="32">
        <f>IF(OR(J4="",H4=""),"",J4/H4)</f>
        <v/>
      </c>
      <c r="L4" s="26" t="inlineStr">
        <is>
          <t>yes</t>
        </is>
      </c>
      <c r="M4" s="26" t="inlineStr">
        <is>
          <t>PlayFootball</t>
        </is>
      </c>
      <c r="N4" s="33" t="inlineStr">
        <is>
          <t>https://www.playfootball.net/venues/old-street-moreland-school/book-a-pitch/87/6-a-side3gpitchhire</t>
        </is>
      </c>
      <c r="O4" s="26" t="n"/>
      <c r="P4" s="26" t="inlineStr">
        <is>
          <t>24 Sep 2026 (Claude in Chrome)</t>
        </is>
      </c>
      <c r="Q4" s="30">
        <f>IF(AND(I4="Available",F4&lt;&gt;""),COUNTIFS($A$2:$A$46,A4,$I$2:$I$46,"Available",$F$2:$F$46,"&lt;"&amp;F4)+1,"")</f>
        <v/>
      </c>
      <c r="R4" s="30">
        <f>IF(Q4="","",A4&amp;"#"&amp;Q4)</f>
        <v/>
      </c>
    </row>
    <row r="5">
      <c r="A5" s="26" t="inlineStr">
        <is>
          <t>Old St - Moreland Primary School</t>
        </is>
      </c>
      <c r="B5" s="27" t="n">
        <v>46304</v>
      </c>
      <c r="C5" s="26" t="inlineStr">
        <is>
          <t>Fri</t>
        </is>
      </c>
      <c r="D5" s="28" t="n">
        <v>0.8333333333333334</v>
      </c>
      <c r="E5" s="28" t="n">
        <v>0.875</v>
      </c>
      <c r="F5" s="29">
        <f>IF(B5="","",B5+D5)</f>
        <v/>
      </c>
      <c r="G5" s="26" t="inlineStr">
        <is>
          <t>6-a-side</t>
        </is>
      </c>
      <c r="H5" s="30">
        <f>IFERROR(VALUE(LEFT(G5,FIND("-",G5)-1))*2,"")</f>
        <v/>
      </c>
      <c r="I5" s="26" t="inlineStr">
        <is>
          <t>Available</t>
        </is>
      </c>
      <c r="J5" s="31" t="n">
        <v>90</v>
      </c>
      <c r="K5" s="32">
        <f>IF(OR(J5="",H5=""),"",J5/H5)</f>
        <v/>
      </c>
      <c r="L5" s="26" t="inlineStr">
        <is>
          <t>yes</t>
        </is>
      </c>
      <c r="M5" s="26" t="inlineStr">
        <is>
          <t>PlayFootball</t>
        </is>
      </c>
      <c r="N5" s="33" t="inlineStr">
        <is>
          <t>https://www.playfootball.net/venues/old-street-moreland-school/book-a-pitch/87/6-a-side3gpitchhire</t>
        </is>
      </c>
      <c r="O5" s="26" t="n"/>
      <c r="P5" s="26" t="inlineStr">
        <is>
          <t>24 Sep 2026 (Claude in Chrome)</t>
        </is>
      </c>
      <c r="Q5" s="30">
        <f>IF(AND(I5="Available",F5&lt;&gt;""),COUNTIFS($A$2:$A$46,A5,$I$2:$I$46,"Available",$F$2:$F$46,"&lt;"&amp;F5)+1,"")</f>
        <v/>
      </c>
      <c r="R5" s="30">
        <f>IF(Q5="","",A5&amp;"#"&amp;Q5)</f>
        <v/>
      </c>
    </row>
    <row r="6">
      <c r="A6" s="26" t="inlineStr">
        <is>
          <t>Old St - Moreland Primary School</t>
        </is>
      </c>
      <c r="B6" s="27" t="n">
        <v>46307</v>
      </c>
      <c r="C6" s="26" t="inlineStr">
        <is>
          <t>Mon</t>
        </is>
      </c>
      <c r="D6" s="28" t="n">
        <v>0.75</v>
      </c>
      <c r="E6" s="28" t="n">
        <v>0.7916666666666666</v>
      </c>
      <c r="F6" s="29">
        <f>IF(B6="","",B6+D6)</f>
        <v/>
      </c>
      <c r="G6" s="26" t="inlineStr">
        <is>
          <t>6-a-side</t>
        </is>
      </c>
      <c r="H6" s="30">
        <f>IFERROR(VALUE(LEFT(G6,FIND("-",G6)-1))*2,"")</f>
        <v/>
      </c>
      <c r="I6" s="26" t="inlineStr">
        <is>
          <t>Available</t>
        </is>
      </c>
      <c r="J6" s="31" t="n">
        <v>90</v>
      </c>
      <c r="K6" s="32">
        <f>IF(OR(J6="",H6=""),"",J6/H6)</f>
        <v/>
      </c>
      <c r="L6" s="26" t="inlineStr">
        <is>
          <t>yes</t>
        </is>
      </c>
      <c r="M6" s="26" t="inlineStr">
        <is>
          <t>PlayFootball</t>
        </is>
      </c>
      <c r="N6" s="33" t="inlineStr">
        <is>
          <t>https://www.playfootball.net/venues/old-street-moreland-school/book-a-pitch/87/6-a-side3gpitchhire</t>
        </is>
      </c>
      <c r="O6" s="26" t="n"/>
      <c r="P6" s="26" t="inlineStr">
        <is>
          <t>24 Sep 2026 (Claude in Chrome)</t>
        </is>
      </c>
      <c r="Q6" s="30">
        <f>IF(AND(I6="Available",F6&lt;&gt;""),COUNTIFS($A$2:$A$46,A6,$I$2:$I$46,"Available",$F$2:$F$46,"&lt;"&amp;F6)+1,"")</f>
        <v/>
      </c>
      <c r="R6" s="30">
        <f>IF(Q6="","",A6&amp;"#"&amp;Q6)</f>
        <v/>
      </c>
    </row>
    <row r="7">
      <c r="A7" s="26" t="inlineStr">
        <is>
          <t>Old St - Moreland Primary School</t>
        </is>
      </c>
      <c r="B7" s="27" t="n">
        <v>46307</v>
      </c>
      <c r="C7" s="26" t="inlineStr">
        <is>
          <t>Mon</t>
        </is>
      </c>
      <c r="D7" s="28" t="n">
        <v>0.7916666666666666</v>
      </c>
      <c r="E7" s="28" t="n">
        <v>0.8333333333333334</v>
      </c>
      <c r="F7" s="29">
        <f>IF(B7="","",B7+D7)</f>
        <v/>
      </c>
      <c r="G7" s="26" t="inlineStr">
        <is>
          <t>6-a-side</t>
        </is>
      </c>
      <c r="H7" s="30">
        <f>IFERROR(VALUE(LEFT(G7,FIND("-",G7)-1))*2,"")</f>
        <v/>
      </c>
      <c r="I7" s="26" t="inlineStr">
        <is>
          <t>Available</t>
        </is>
      </c>
      <c r="J7" s="31" t="n">
        <v>90</v>
      </c>
      <c r="K7" s="32">
        <f>IF(OR(J7="",H7=""),"",J7/H7)</f>
        <v/>
      </c>
      <c r="L7" s="26" t="inlineStr">
        <is>
          <t>yes</t>
        </is>
      </c>
      <c r="M7" s="26" t="inlineStr">
        <is>
          <t>PlayFootball</t>
        </is>
      </c>
      <c r="N7" s="33" t="inlineStr">
        <is>
          <t>https://www.playfootball.net/venues/old-street-moreland-school/book-a-pitch/87/6-a-side3gpitchhire</t>
        </is>
      </c>
      <c r="O7" s="26" t="n"/>
      <c r="P7" s="26" t="inlineStr">
        <is>
          <t>24 Sep 2026 (Claude in Chrome)</t>
        </is>
      </c>
      <c r="Q7" s="30">
        <f>IF(AND(I7="Available",F7&lt;&gt;""),COUNTIFS($A$2:$A$46,A7,$I$2:$I$46,"Available",$F$2:$F$46,"&lt;"&amp;F7)+1,"")</f>
        <v/>
      </c>
      <c r="R7" s="30">
        <f>IF(Q7="","",A7&amp;"#"&amp;Q7)</f>
        <v/>
      </c>
    </row>
    <row r="8">
      <c r="A8" s="26" t="inlineStr">
        <is>
          <t>Old St - Moreland Primary School</t>
        </is>
      </c>
      <c r="B8" s="27" t="n">
        <v>46307</v>
      </c>
      <c r="C8" s="26" t="inlineStr">
        <is>
          <t>Mon</t>
        </is>
      </c>
      <c r="D8" s="28" t="n">
        <v>0.8333333333333334</v>
      </c>
      <c r="E8" s="28" t="n">
        <v>0.875</v>
      </c>
      <c r="F8" s="29">
        <f>IF(B8="","",B8+D8)</f>
        <v/>
      </c>
      <c r="G8" s="26" t="inlineStr">
        <is>
          <t>6-a-side</t>
        </is>
      </c>
      <c r="H8" s="30">
        <f>IFERROR(VALUE(LEFT(G8,FIND("-",G8)-1))*2,"")</f>
        <v/>
      </c>
      <c r="I8" s="26" t="inlineStr">
        <is>
          <t>Available</t>
        </is>
      </c>
      <c r="J8" s="31" t="n">
        <v>90</v>
      </c>
      <c r="K8" s="32">
        <f>IF(OR(J8="",H8=""),"",J8/H8)</f>
        <v/>
      </c>
      <c r="L8" s="26" t="inlineStr">
        <is>
          <t>yes</t>
        </is>
      </c>
      <c r="M8" s="26" t="inlineStr">
        <is>
          <t>PlayFootball</t>
        </is>
      </c>
      <c r="N8" s="33" t="inlineStr">
        <is>
          <t>https://www.playfootball.net/venues/old-street-moreland-school/book-a-pitch/87/6-a-side3gpitchhire</t>
        </is>
      </c>
      <c r="O8" s="26" t="n"/>
      <c r="P8" s="26" t="inlineStr">
        <is>
          <t>24 Sep 2026 (Claude in Chrome)</t>
        </is>
      </c>
      <c r="Q8" s="30">
        <f>IF(AND(I8="Available",F8&lt;&gt;""),COUNTIFS($A$2:$A$46,A8,$I$2:$I$46,"Available",$F$2:$F$46,"&lt;"&amp;F8)+1,"")</f>
        <v/>
      </c>
      <c r="R8" s="30">
        <f>IF(Q8="","",A8&amp;"#"&amp;Q8)</f>
        <v/>
      </c>
    </row>
    <row r="9">
      <c r="A9" s="26" t="inlineStr">
        <is>
          <t>Old St - Moreland Primary School</t>
        </is>
      </c>
      <c r="B9" s="27" t="n">
        <v>46311</v>
      </c>
      <c r="C9" s="26" t="inlineStr">
        <is>
          <t>Fri</t>
        </is>
      </c>
      <c r="D9" s="28" t="n">
        <v>0.8333333333333334</v>
      </c>
      <c r="E9" s="28" t="n">
        <v>0.875</v>
      </c>
      <c r="F9" s="29">
        <f>IF(B9="","",B9+D9)</f>
        <v/>
      </c>
      <c r="G9" s="26" t="inlineStr">
        <is>
          <t>6-a-side</t>
        </is>
      </c>
      <c r="H9" s="30">
        <f>IFERROR(VALUE(LEFT(G9,FIND("-",G9)-1))*2,"")</f>
        <v/>
      </c>
      <c r="I9" s="26" t="inlineStr">
        <is>
          <t>Available</t>
        </is>
      </c>
      <c r="J9" s="31" t="n">
        <v>90</v>
      </c>
      <c r="K9" s="32">
        <f>IF(OR(J9="",H9=""),"",J9/H9)</f>
        <v/>
      </c>
      <c r="L9" s="26" t="inlineStr">
        <is>
          <t>yes</t>
        </is>
      </c>
      <c r="M9" s="26" t="inlineStr">
        <is>
          <t>PlayFootball</t>
        </is>
      </c>
      <c r="N9" s="33" t="inlineStr">
        <is>
          <t>https://www.playfootball.net/venues/old-street-moreland-school/book-a-pitch/87/6-a-side3gpitchhire</t>
        </is>
      </c>
      <c r="O9" s="26" t="n"/>
      <c r="P9" s="26" t="inlineStr">
        <is>
          <t>24 Sep 2026 (Claude in Chrome)</t>
        </is>
      </c>
      <c r="Q9" s="30">
        <f>IF(AND(I9="Available",F9&lt;&gt;""),COUNTIFS($A$2:$A$46,A9,$I$2:$I$46,"Available",$F$2:$F$46,"&lt;"&amp;F9)+1,"")</f>
        <v/>
      </c>
      <c r="R9" s="30">
        <f>IF(Q9="","",A9&amp;"#"&amp;Q9)</f>
        <v/>
      </c>
    </row>
    <row r="10">
      <c r="A10" s="26" t="inlineStr">
        <is>
          <t>Old St - Moreland Primary School</t>
        </is>
      </c>
      <c r="B10" s="27" t="n">
        <v>46314</v>
      </c>
      <c r="C10" s="26" t="inlineStr">
        <is>
          <t>Mon</t>
        </is>
      </c>
      <c r="D10" s="28" t="n">
        <v>0.75</v>
      </c>
      <c r="E10" s="28" t="n">
        <v>0.7916666666666666</v>
      </c>
      <c r="F10" s="29">
        <f>IF(B10="","",B10+D10)</f>
        <v/>
      </c>
      <c r="G10" s="26" t="inlineStr">
        <is>
          <t>6-a-side</t>
        </is>
      </c>
      <c r="H10" s="30">
        <f>IFERROR(VALUE(LEFT(G10,FIND("-",G10)-1))*2,"")</f>
        <v/>
      </c>
      <c r="I10" s="26" t="inlineStr">
        <is>
          <t>Available</t>
        </is>
      </c>
      <c r="J10" s="31" t="n">
        <v>90</v>
      </c>
      <c r="K10" s="32">
        <f>IF(OR(J10="",H10=""),"",J10/H10)</f>
        <v/>
      </c>
      <c r="L10" s="26" t="inlineStr">
        <is>
          <t>yes</t>
        </is>
      </c>
      <c r="M10" s="26" t="inlineStr">
        <is>
          <t>PlayFootball</t>
        </is>
      </c>
      <c r="N10" s="33" t="inlineStr">
        <is>
          <t>https://www.playfootball.net/venues/old-street-moreland-school/book-a-pitch/87/6-a-side3gpitchhire</t>
        </is>
      </c>
      <c r="O10" s="26" t="inlineStr">
        <is>
          <t>Bookable 30 days ahead so 21-23 Oct not open yet</t>
        </is>
      </c>
      <c r="P10" s="26" t="inlineStr">
        <is>
          <t>24 Sep 2026 (Claude in Chrome)</t>
        </is>
      </c>
      <c r="Q10" s="30">
        <f>IF(AND(I10="Available",F10&lt;&gt;""),COUNTIFS($A$2:$A$46,A10,$I$2:$I$46,"Available",$F$2:$F$46,"&lt;"&amp;F10)+1,"")</f>
        <v/>
      </c>
      <c r="R10" s="30">
        <f>IF(Q10="","",A10&amp;"#"&amp;Q10)</f>
        <v/>
      </c>
    </row>
    <row r="11">
      <c r="A11" s="26" t="inlineStr">
        <is>
          <t>Old St - Moreland Primary School</t>
        </is>
      </c>
      <c r="B11" s="27" t="n">
        <v>46314</v>
      </c>
      <c r="C11" s="26" t="inlineStr">
        <is>
          <t>Mon</t>
        </is>
      </c>
      <c r="D11" s="28" t="n">
        <v>0.7916666666666666</v>
      </c>
      <c r="E11" s="28" t="n">
        <v>0.8333333333333334</v>
      </c>
      <c r="F11" s="29">
        <f>IF(B11="","",B11+D11)</f>
        <v/>
      </c>
      <c r="G11" s="26" t="inlineStr">
        <is>
          <t>6-a-side</t>
        </is>
      </c>
      <c r="H11" s="30">
        <f>IFERROR(VALUE(LEFT(G11,FIND("-",G11)-1))*2,"")</f>
        <v/>
      </c>
      <c r="I11" s="26" t="inlineStr">
        <is>
          <t>Available</t>
        </is>
      </c>
      <c r="J11" s="31" t="n">
        <v>90</v>
      </c>
      <c r="K11" s="32">
        <f>IF(OR(J11="",H11=""),"",J11/H11)</f>
        <v/>
      </c>
      <c r="L11" s="26" t="inlineStr">
        <is>
          <t>yes</t>
        </is>
      </c>
      <c r="M11" s="26" t="inlineStr">
        <is>
          <t>PlayFootball</t>
        </is>
      </c>
      <c r="N11" s="33" t="inlineStr">
        <is>
          <t>https://www.playfootball.net/venues/old-street-moreland-school/book-a-pitch/87/6-a-side3gpitchhire</t>
        </is>
      </c>
      <c r="O11" s="26" t="inlineStr">
        <is>
          <t>Bookable 30 days ahead so 21-23 Oct not open yet</t>
        </is>
      </c>
      <c r="P11" s="26" t="inlineStr">
        <is>
          <t>24 Sep 2026 (Claude in Chrome)</t>
        </is>
      </c>
      <c r="Q11" s="30">
        <f>IF(AND(I11="Available",F11&lt;&gt;""),COUNTIFS($A$2:$A$46,A11,$I$2:$I$46,"Available",$F$2:$F$46,"&lt;"&amp;F11)+1,"")</f>
        <v/>
      </c>
      <c r="R11" s="30">
        <f>IF(Q11="","",A11&amp;"#"&amp;Q11)</f>
        <v/>
      </c>
    </row>
    <row r="12">
      <c r="A12" s="26" t="inlineStr">
        <is>
          <t>Old St - Moreland Primary School</t>
        </is>
      </c>
      <c r="B12" s="27" t="n">
        <v>46314</v>
      </c>
      <c r="C12" s="26" t="inlineStr">
        <is>
          <t>Mon</t>
        </is>
      </c>
      <c r="D12" s="28" t="n">
        <v>0.8333333333333334</v>
      </c>
      <c r="E12" s="28" t="n">
        <v>0.875</v>
      </c>
      <c r="F12" s="29">
        <f>IF(B12="","",B12+D12)</f>
        <v/>
      </c>
      <c r="G12" s="26" t="inlineStr">
        <is>
          <t>6-a-side</t>
        </is>
      </c>
      <c r="H12" s="30">
        <f>IFERROR(VALUE(LEFT(G12,FIND("-",G12)-1))*2,"")</f>
        <v/>
      </c>
      <c r="I12" s="26" t="inlineStr">
        <is>
          <t>Available</t>
        </is>
      </c>
      <c r="J12" s="31" t="n">
        <v>90</v>
      </c>
      <c r="K12" s="32">
        <f>IF(OR(J12="",H12=""),"",J12/H12)</f>
        <v/>
      </c>
      <c r="L12" s="26" t="inlineStr">
        <is>
          <t>yes</t>
        </is>
      </c>
      <c r="M12" s="26" t="inlineStr">
        <is>
          <t>PlayFootball</t>
        </is>
      </c>
      <c r="N12" s="33" t="inlineStr">
        <is>
          <t>https://www.playfootball.net/venues/old-street-moreland-school/book-a-pitch/87/6-a-side3gpitchhire</t>
        </is>
      </c>
      <c r="O12" s="26" t="inlineStr">
        <is>
          <t>Bookable 30 days ahead so 21-23 Oct not open yet</t>
        </is>
      </c>
      <c r="P12" s="26" t="inlineStr">
        <is>
          <t>24 Sep 2026 (Claude in Chrome)</t>
        </is>
      </c>
      <c r="Q12" s="30">
        <f>IF(AND(I12="Available",F12&lt;&gt;""),COUNTIFS($A$2:$A$46,A12,$I$2:$I$46,"Available",$F$2:$F$46,"&lt;"&amp;F12)+1,"")</f>
        <v/>
      </c>
      <c r="R12" s="30">
        <f>IF(Q12="","",A12&amp;"#"&amp;Q12)</f>
        <v/>
      </c>
    </row>
    <row r="13">
      <c r="A13" s="26" t="inlineStr">
        <is>
          <t>Old St - Moreland Primary School</t>
        </is>
      </c>
      <c r="B13" s="27" t="n">
        <v>46315</v>
      </c>
      <c r="C13" s="26" t="inlineStr">
        <is>
          <t>Tue</t>
        </is>
      </c>
      <c r="D13" s="28" t="n">
        <v>0.75</v>
      </c>
      <c r="E13" s="28" t="n">
        <v>0.7916666666666666</v>
      </c>
      <c r="F13" s="29">
        <f>IF(B13="","",B13+D13)</f>
        <v/>
      </c>
      <c r="G13" s="26" t="inlineStr">
        <is>
          <t>6-a-side</t>
        </is>
      </c>
      <c r="H13" s="30">
        <f>IFERROR(VALUE(LEFT(G13,FIND("-",G13)-1))*2,"")</f>
        <v/>
      </c>
      <c r="I13" s="26" t="inlineStr">
        <is>
          <t>Available</t>
        </is>
      </c>
      <c r="J13" s="31" t="n">
        <v>90</v>
      </c>
      <c r="K13" s="32">
        <f>IF(OR(J13="",H13=""),"",J13/H13)</f>
        <v/>
      </c>
      <c r="L13" s="26" t="inlineStr">
        <is>
          <t>yes</t>
        </is>
      </c>
      <c r="M13" s="26" t="inlineStr">
        <is>
          <t>PlayFootball</t>
        </is>
      </c>
      <c r="N13" s="33" t="inlineStr">
        <is>
          <t>https://www.playfootball.net/venues/old-street-moreland-school/book-a-pitch/87/6-a-side3gpitchhire</t>
        </is>
      </c>
      <c r="O13" s="26" t="inlineStr">
        <is>
          <t>Bookable 30 days ahead so 21-23 Oct not open yet</t>
        </is>
      </c>
      <c r="P13" s="26" t="inlineStr">
        <is>
          <t>24 Sep 2026 (Claude in Chrome)</t>
        </is>
      </c>
      <c r="Q13" s="30">
        <f>IF(AND(I13="Available",F13&lt;&gt;""),COUNTIFS($A$2:$A$46,A13,$I$2:$I$46,"Available",$F$2:$F$46,"&lt;"&amp;F13)+1,"")</f>
        <v/>
      </c>
      <c r="R13" s="30">
        <f>IF(Q13="","",A13&amp;"#"&amp;Q13)</f>
        <v/>
      </c>
    </row>
    <row r="14">
      <c r="A14" s="26" t="inlineStr">
        <is>
          <t>Old St - Moreland Primary School</t>
        </is>
      </c>
      <c r="B14" s="27" t="n">
        <v>46315</v>
      </c>
      <c r="C14" s="26" t="inlineStr">
        <is>
          <t>Tue</t>
        </is>
      </c>
      <c r="D14" s="28" t="n">
        <v>0.7916666666666666</v>
      </c>
      <c r="E14" s="28" t="n">
        <v>0.8333333333333334</v>
      </c>
      <c r="F14" s="29">
        <f>IF(B14="","",B14+D14)</f>
        <v/>
      </c>
      <c r="G14" s="26" t="inlineStr">
        <is>
          <t>6-a-side</t>
        </is>
      </c>
      <c r="H14" s="30">
        <f>IFERROR(VALUE(LEFT(G14,FIND("-",G14)-1))*2,"")</f>
        <v/>
      </c>
      <c r="I14" s="26" t="inlineStr">
        <is>
          <t>Available</t>
        </is>
      </c>
      <c r="J14" s="31" t="n">
        <v>90</v>
      </c>
      <c r="K14" s="32">
        <f>IF(OR(J14="",H14=""),"",J14/H14)</f>
        <v/>
      </c>
      <c r="L14" s="26" t="inlineStr">
        <is>
          <t>yes</t>
        </is>
      </c>
      <c r="M14" s="26" t="inlineStr">
        <is>
          <t>PlayFootball</t>
        </is>
      </c>
      <c r="N14" s="33" t="inlineStr">
        <is>
          <t>https://www.playfootball.net/venues/old-street-moreland-school/book-a-pitch/87/6-a-side3gpitchhire</t>
        </is>
      </c>
      <c r="O14" s="26" t="inlineStr">
        <is>
          <t>Bookable 30 days ahead so 21-23 Oct not open yet</t>
        </is>
      </c>
      <c r="P14" s="26" t="inlineStr">
        <is>
          <t>24 Sep 2026 (Claude in Chrome)</t>
        </is>
      </c>
      <c r="Q14" s="30">
        <f>IF(AND(I14="Available",F14&lt;&gt;""),COUNTIFS($A$2:$A$46,A14,$I$2:$I$46,"Available",$F$2:$F$46,"&lt;"&amp;F14)+1,"")</f>
        <v/>
      </c>
      <c r="R14" s="30">
        <f>IF(Q14="","",A14&amp;"#"&amp;Q14)</f>
        <v/>
      </c>
    </row>
    <row r="15">
      <c r="A15" s="26" t="inlineStr">
        <is>
          <t>Old St - Moreland Primary School</t>
        </is>
      </c>
      <c r="B15" s="27" t="n">
        <v>46315</v>
      </c>
      <c r="C15" s="26" t="inlineStr">
        <is>
          <t>Tue</t>
        </is>
      </c>
      <c r="D15" s="28" t="n">
        <v>0.8333333333333334</v>
      </c>
      <c r="E15" s="28" t="n">
        <v>0.875</v>
      </c>
      <c r="F15" s="29">
        <f>IF(B15="","",B15+D15)</f>
        <v/>
      </c>
      <c r="G15" s="26" t="inlineStr">
        <is>
          <t>6-a-side</t>
        </is>
      </c>
      <c r="H15" s="30">
        <f>IFERROR(VALUE(LEFT(G15,FIND("-",G15)-1))*2,"")</f>
        <v/>
      </c>
      <c r="I15" s="26" t="inlineStr">
        <is>
          <t>Available</t>
        </is>
      </c>
      <c r="J15" s="31" t="n">
        <v>90</v>
      </c>
      <c r="K15" s="32">
        <f>IF(OR(J15="",H15=""),"",J15/H15)</f>
        <v/>
      </c>
      <c r="L15" s="26" t="inlineStr">
        <is>
          <t>yes</t>
        </is>
      </c>
      <c r="M15" s="26" t="inlineStr">
        <is>
          <t>PlayFootball</t>
        </is>
      </c>
      <c r="N15" s="33" t="inlineStr">
        <is>
          <t>https://www.playfootball.net/venues/old-street-moreland-school/book-a-pitch/87/6-a-side3gpitchhire</t>
        </is>
      </c>
      <c r="O15" s="26" t="inlineStr">
        <is>
          <t>Bookable 30 days ahead so 21-23 Oct not open yet</t>
        </is>
      </c>
      <c r="P15" s="26" t="inlineStr">
        <is>
          <t>24 Sep 2026 (Claude in Chrome)</t>
        </is>
      </c>
      <c r="Q15" s="30">
        <f>IF(AND(I15="Available",F15&lt;&gt;""),COUNTIFS($A$2:$A$46,A15,$I$2:$I$46,"Available",$F$2:$F$46,"&lt;"&amp;F15)+1,"")</f>
        <v/>
      </c>
      <c r="R15" s="30">
        <f>IF(Q15="","",A15&amp;"#"&amp;Q15)</f>
        <v/>
      </c>
    </row>
    <row r="16">
      <c r="A16" s="26" t="inlineStr">
        <is>
          <t>Shoreditch Powerleague</t>
        </is>
      </c>
      <c r="B16" s="27" t="n">
        <v>46293</v>
      </c>
      <c r="C16" s="26" t="inlineStr">
        <is>
          <t>Mon</t>
        </is>
      </c>
      <c r="D16" s="28" t="n">
        <v>0.7361111111111112</v>
      </c>
      <c r="E16" s="28" t="n">
        <v>0.7638888888888888</v>
      </c>
      <c r="F16" s="29">
        <f>IF(B16="","",B16+D16)</f>
        <v/>
      </c>
      <c r="G16" s="26" t="inlineStr">
        <is>
          <t>5-a-side</t>
        </is>
      </c>
      <c r="H16" s="30">
        <f>IFERROR(VALUE(LEFT(G16,FIND("-",G16)-1))*2,"")</f>
        <v/>
      </c>
      <c r="I16" s="26" t="inlineStr">
        <is>
          <t>Available</t>
        </is>
      </c>
      <c r="J16" s="31" t="n">
        <v>110</v>
      </c>
      <c r="K16" s="32">
        <f>IF(OR(J16="",H16=""),"",J16/H16)</f>
        <v/>
      </c>
      <c r="L16" s="26" t="inlineStr">
        <is>
          <t>yes</t>
        </is>
      </c>
      <c r="M16" s="26" t="inlineStr">
        <is>
          <t>Powerleague official website (online booking)</t>
        </is>
      </c>
      <c r="N16" s="33" t="inlineStr">
        <is>
          <t>https://www.powerleague.com/select-time?search_location_id=a20a54a1-3bdd-57b8-e211-6f44da11e82f&amp;search_booking_type_name=5-a-side%20Football</t>
        </is>
      </c>
      <c r="O16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16" s="26" t="inlineStr">
        <is>
          <t>24 Sep 2026 (web check)</t>
        </is>
      </c>
      <c r="Q16" s="30">
        <f>IF(AND(I16="Available",F16&lt;&gt;""),COUNTIFS($A$2:$A$46,A16,$I$2:$I$46,"Available",$F$2:$F$46,"&lt;"&amp;F16)+1,"")</f>
        <v/>
      </c>
      <c r="R16" s="30">
        <f>IF(Q16="","",A16&amp;"#"&amp;Q16)</f>
        <v/>
      </c>
    </row>
    <row r="17">
      <c r="A17" s="26" t="inlineStr">
        <is>
          <t>Shoreditch Powerleague</t>
        </is>
      </c>
      <c r="B17" s="27" t="n">
        <v>46293</v>
      </c>
      <c r="C17" s="26" t="inlineStr">
        <is>
          <t>Mon</t>
        </is>
      </c>
      <c r="D17" s="28" t="n">
        <v>0.8194444444444444</v>
      </c>
      <c r="E17" s="28" t="n">
        <v>0.8472222222222222</v>
      </c>
      <c r="F17" s="29">
        <f>IF(B17="","",B17+D17)</f>
        <v/>
      </c>
      <c r="G17" s="26" t="inlineStr">
        <is>
          <t>5-a-side</t>
        </is>
      </c>
      <c r="H17" s="30">
        <f>IFERROR(VALUE(LEFT(G17,FIND("-",G17)-1))*2,"")</f>
        <v/>
      </c>
      <c r="I17" s="26" t="inlineStr">
        <is>
          <t>Available</t>
        </is>
      </c>
      <c r="J17" s="31" t="n">
        <v>110</v>
      </c>
      <c r="K17" s="32">
        <f>IF(OR(J17="",H17=""),"",J17/H17)</f>
        <v/>
      </c>
      <c r="L17" s="26" t="inlineStr">
        <is>
          <t>yes</t>
        </is>
      </c>
      <c r="M17" s="26" t="inlineStr">
        <is>
          <t>Powerleague official website (online booking)</t>
        </is>
      </c>
      <c r="N17" s="33" t="inlineStr">
        <is>
          <t>https://www.powerleague.com/select-time?search_location_id=a20a54a1-3bdd-57b8-e211-6f44da11e82f&amp;search_booking_type_name=5-a-side%20Football</t>
        </is>
      </c>
      <c r="O17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17" s="26" t="inlineStr">
        <is>
          <t>24 Sep 2026 (web check)</t>
        </is>
      </c>
      <c r="Q17" s="30">
        <f>IF(AND(I17="Available",F17&lt;&gt;""),COUNTIFS($A$2:$A$46,A17,$I$2:$I$46,"Available",$F$2:$F$46,"&lt;"&amp;F17)+1,"")</f>
        <v/>
      </c>
      <c r="R17" s="30">
        <f>IF(Q17="","",A17&amp;"#"&amp;Q17)</f>
        <v/>
      </c>
    </row>
    <row r="18">
      <c r="A18" s="26" t="inlineStr">
        <is>
          <t>Shoreditch Powerleague</t>
        </is>
      </c>
      <c r="B18" s="27" t="n">
        <v>46293</v>
      </c>
      <c r="C18" s="26" t="inlineStr">
        <is>
          <t>Mon</t>
        </is>
      </c>
      <c r="D18" s="28" t="n">
        <v>0.8472222222222222</v>
      </c>
      <c r="E18" s="28" t="n">
        <v>0.875</v>
      </c>
      <c r="F18" s="29">
        <f>IF(B18="","",B18+D18)</f>
        <v/>
      </c>
      <c r="G18" s="26" t="inlineStr">
        <is>
          <t>5-a-side</t>
        </is>
      </c>
      <c r="H18" s="30">
        <f>IFERROR(VALUE(LEFT(G18,FIND("-",G18)-1))*2,"")</f>
        <v/>
      </c>
      <c r="I18" s="26" t="inlineStr">
        <is>
          <t>Available</t>
        </is>
      </c>
      <c r="J18" s="31" t="n">
        <v>110</v>
      </c>
      <c r="K18" s="32">
        <f>IF(OR(J18="",H18=""),"",J18/H18)</f>
        <v/>
      </c>
      <c r="L18" s="26" t="inlineStr">
        <is>
          <t>yes</t>
        </is>
      </c>
      <c r="M18" s="26" t="inlineStr">
        <is>
          <t>Powerleague official website (online booking)</t>
        </is>
      </c>
      <c r="N18" s="33" t="inlineStr">
        <is>
          <t>https://www.powerleague.com/select-time?search_location_id=a20a54a1-3bdd-57b8-e211-6f44da11e82f&amp;search_booking_type_name=5-a-side%20Football</t>
        </is>
      </c>
      <c r="O18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18" s="26" t="inlineStr">
        <is>
          <t>24 Sep 2026 (web check)</t>
        </is>
      </c>
      <c r="Q18" s="30">
        <f>IF(AND(I18="Available",F18&lt;&gt;""),COUNTIFS($A$2:$A$46,A18,$I$2:$I$46,"Available",$F$2:$F$46,"&lt;"&amp;F18)+1,"")</f>
        <v/>
      </c>
      <c r="R18" s="30">
        <f>IF(Q18="","",A18&amp;"#"&amp;Q18)</f>
        <v/>
      </c>
    </row>
    <row r="19">
      <c r="A19" s="26" t="inlineStr">
        <is>
          <t>Shoreditch Powerleague</t>
        </is>
      </c>
      <c r="B19" s="27" t="n">
        <v>46294</v>
      </c>
      <c r="C19" s="26" t="inlineStr">
        <is>
          <t>Tue</t>
        </is>
      </c>
      <c r="D19" s="28" t="n">
        <v>0.8472222222222222</v>
      </c>
      <c r="E19" s="28" t="n">
        <v>0.875</v>
      </c>
      <c r="F19" s="29">
        <f>IF(B19="","",B19+D19)</f>
        <v/>
      </c>
      <c r="G19" s="26" t="inlineStr">
        <is>
          <t>5-a-side</t>
        </is>
      </c>
      <c r="H19" s="30">
        <f>IFERROR(VALUE(LEFT(G19,FIND("-",G19)-1))*2,"")</f>
        <v/>
      </c>
      <c r="I19" s="26" t="inlineStr">
        <is>
          <t>Available</t>
        </is>
      </c>
      <c r="J19" s="31" t="n">
        <v>110</v>
      </c>
      <c r="K19" s="32">
        <f>IF(OR(J19="",H19=""),"",J19/H19)</f>
        <v/>
      </c>
      <c r="L19" s="26" t="inlineStr">
        <is>
          <t>yes</t>
        </is>
      </c>
      <c r="M19" s="26" t="inlineStr">
        <is>
          <t>Powerleague official website (online booking)</t>
        </is>
      </c>
      <c r="N19" s="33" t="inlineStr">
        <is>
          <t>https://www.powerleague.com/select-time?search_location_id=a20a54a1-3bdd-57b8-e211-6f44da11e82f&amp;search_booking_type_name=5-a-side%20Football</t>
        </is>
      </c>
      <c r="O19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19" s="26" t="inlineStr">
        <is>
          <t>24 Sep 2026 (web check)</t>
        </is>
      </c>
      <c r="Q19" s="30">
        <f>IF(AND(I19="Available",F19&lt;&gt;""),COUNTIFS($A$2:$A$46,A19,$I$2:$I$46,"Available",$F$2:$F$46,"&lt;"&amp;F19)+1,"")</f>
        <v/>
      </c>
      <c r="R19" s="30">
        <f>IF(Q19="","",A19&amp;"#"&amp;Q19)</f>
        <v/>
      </c>
    </row>
    <row r="20">
      <c r="A20" s="26" t="inlineStr">
        <is>
          <t>Shoreditch Powerleague</t>
        </is>
      </c>
      <c r="B20" s="27" t="n">
        <v>46295</v>
      </c>
      <c r="C20" s="26" t="inlineStr">
        <is>
          <t>Wed</t>
        </is>
      </c>
      <c r="D20" s="28" t="n">
        <v>0.8472222222222222</v>
      </c>
      <c r="E20" s="28" t="n">
        <v>0.875</v>
      </c>
      <c r="F20" s="29">
        <f>IF(B20="","",B20+D20)</f>
        <v/>
      </c>
      <c r="G20" s="26" t="inlineStr">
        <is>
          <t>5-a-side</t>
        </is>
      </c>
      <c r="H20" s="30">
        <f>IFERROR(VALUE(LEFT(G20,FIND("-",G20)-1))*2,"")</f>
        <v/>
      </c>
      <c r="I20" s="26" t="inlineStr">
        <is>
          <t>Available</t>
        </is>
      </c>
      <c r="J20" s="31" t="n">
        <v>110</v>
      </c>
      <c r="K20" s="32">
        <f>IF(OR(J20="",H20=""),"",J20/H20)</f>
        <v/>
      </c>
      <c r="L20" s="26" t="inlineStr">
        <is>
          <t>yes</t>
        </is>
      </c>
      <c r="M20" s="26" t="inlineStr">
        <is>
          <t>Powerleague official website (online booking)</t>
        </is>
      </c>
      <c r="N20" s="33" t="inlineStr">
        <is>
          <t>https://www.powerleague.com/select-time?search_location_id=a20a54a1-3bdd-57b8-e211-6f44da11e82f&amp;search_booking_type_name=5-a-side%20Football</t>
        </is>
      </c>
      <c r="O20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0" s="26" t="inlineStr">
        <is>
          <t>24 Sep 2026 (web check)</t>
        </is>
      </c>
      <c r="Q20" s="30">
        <f>IF(AND(I20="Available",F20&lt;&gt;""),COUNTIFS($A$2:$A$46,A20,$I$2:$I$46,"Available",$F$2:$F$46,"&lt;"&amp;F20)+1,"")</f>
        <v/>
      </c>
      <c r="R20" s="30">
        <f>IF(Q20="","",A20&amp;"#"&amp;Q20)</f>
        <v/>
      </c>
    </row>
    <row r="21">
      <c r="A21" s="26" t="inlineStr">
        <is>
          <t>Shoreditch Powerleague</t>
        </is>
      </c>
      <c r="B21" s="27" t="n">
        <v>46296</v>
      </c>
      <c r="C21" s="26" t="inlineStr">
        <is>
          <t>Thu</t>
        </is>
      </c>
      <c r="D21" s="28" t="n">
        <v>0.7638888888888888</v>
      </c>
      <c r="E21" s="28" t="n">
        <v>0.7916666666666666</v>
      </c>
      <c r="F21" s="29">
        <f>IF(B21="","",B21+D21)</f>
        <v/>
      </c>
      <c r="G21" s="26" t="inlineStr">
        <is>
          <t>5-a-side</t>
        </is>
      </c>
      <c r="H21" s="30">
        <f>IFERROR(VALUE(LEFT(G21,FIND("-",G21)-1))*2,"")</f>
        <v/>
      </c>
      <c r="I21" s="26" t="inlineStr">
        <is>
          <t>Available</t>
        </is>
      </c>
      <c r="J21" s="31" t="n">
        <v>110</v>
      </c>
      <c r="K21" s="32">
        <f>IF(OR(J21="",H21=""),"",J21/H21)</f>
        <v/>
      </c>
      <c r="L21" s="26" t="inlineStr">
        <is>
          <t>yes</t>
        </is>
      </c>
      <c r="M21" s="26" t="inlineStr">
        <is>
          <t>Powerleague official website (online booking)</t>
        </is>
      </c>
      <c r="N21" s="33" t="inlineStr">
        <is>
          <t>https://www.powerleague.com/select-time?search_location_id=a20a54a1-3bdd-57b8-e211-6f44da11e82f&amp;search_booking_type_name=5-a-side%20Football</t>
        </is>
      </c>
      <c r="O21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1" s="26" t="inlineStr">
        <is>
          <t>24 Sep 2026 (web check)</t>
        </is>
      </c>
      <c r="Q21" s="30">
        <f>IF(AND(I21="Available",F21&lt;&gt;""),COUNTIFS($A$2:$A$46,A21,$I$2:$I$46,"Available",$F$2:$F$46,"&lt;"&amp;F21)+1,"")</f>
        <v/>
      </c>
      <c r="R21" s="30">
        <f>IF(Q21="","",A21&amp;"#"&amp;Q21)</f>
        <v/>
      </c>
    </row>
    <row r="22">
      <c r="A22" s="26" t="inlineStr">
        <is>
          <t>Shoreditch Powerleague</t>
        </is>
      </c>
      <c r="B22" s="27" t="n">
        <v>46296</v>
      </c>
      <c r="C22" s="26" t="inlineStr">
        <is>
          <t>Thu</t>
        </is>
      </c>
      <c r="D22" s="28" t="n">
        <v>0.8194444444444444</v>
      </c>
      <c r="E22" s="28" t="n">
        <v>0.8472222222222222</v>
      </c>
      <c r="F22" s="29">
        <f>IF(B22="","",B22+D22)</f>
        <v/>
      </c>
      <c r="G22" s="26" t="inlineStr">
        <is>
          <t>5-a-side</t>
        </is>
      </c>
      <c r="H22" s="30">
        <f>IFERROR(VALUE(LEFT(G22,FIND("-",G22)-1))*2,"")</f>
        <v/>
      </c>
      <c r="I22" s="26" t="inlineStr">
        <is>
          <t>Available</t>
        </is>
      </c>
      <c r="J22" s="31" t="n">
        <v>110</v>
      </c>
      <c r="K22" s="32">
        <f>IF(OR(J22="",H22=""),"",J22/H22)</f>
        <v/>
      </c>
      <c r="L22" s="26" t="inlineStr">
        <is>
          <t>yes</t>
        </is>
      </c>
      <c r="M22" s="26" t="inlineStr">
        <is>
          <t>Powerleague official website (online booking)</t>
        </is>
      </c>
      <c r="N22" s="33" t="inlineStr">
        <is>
          <t>https://www.powerleague.com/select-time?search_location_id=a20a54a1-3bdd-57b8-e211-6f44da11e82f&amp;search_booking_type_name=5-a-side%20Football</t>
        </is>
      </c>
      <c r="O22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2" s="26" t="inlineStr">
        <is>
          <t>24 Sep 2026 (web check)</t>
        </is>
      </c>
      <c r="Q22" s="30">
        <f>IF(AND(I22="Available",F22&lt;&gt;""),COUNTIFS($A$2:$A$46,A22,$I$2:$I$46,"Available",$F$2:$F$46,"&lt;"&amp;F22)+1,"")</f>
        <v/>
      </c>
      <c r="R22" s="30">
        <f>IF(Q22="","",A22&amp;"#"&amp;Q22)</f>
        <v/>
      </c>
    </row>
    <row r="23">
      <c r="A23" s="26" t="inlineStr">
        <is>
          <t>Shoreditch Powerleague</t>
        </is>
      </c>
      <c r="B23" s="27" t="n">
        <v>46296</v>
      </c>
      <c r="C23" s="26" t="inlineStr">
        <is>
          <t>Thu</t>
        </is>
      </c>
      <c r="D23" s="28" t="n">
        <v>0.8472222222222222</v>
      </c>
      <c r="E23" s="28" t="n">
        <v>0.875</v>
      </c>
      <c r="F23" s="29">
        <f>IF(B23="","",B23+D23)</f>
        <v/>
      </c>
      <c r="G23" s="26" t="inlineStr">
        <is>
          <t>5-a-side</t>
        </is>
      </c>
      <c r="H23" s="30">
        <f>IFERROR(VALUE(LEFT(G23,FIND("-",G23)-1))*2,"")</f>
        <v/>
      </c>
      <c r="I23" s="26" t="inlineStr">
        <is>
          <t>Available</t>
        </is>
      </c>
      <c r="J23" s="31" t="n">
        <v>110</v>
      </c>
      <c r="K23" s="32">
        <f>IF(OR(J23="",H23=""),"",J23/H23)</f>
        <v/>
      </c>
      <c r="L23" s="26" t="inlineStr">
        <is>
          <t>yes</t>
        </is>
      </c>
      <c r="M23" s="26" t="inlineStr">
        <is>
          <t>Powerleague official website (online booking)</t>
        </is>
      </c>
      <c r="N23" s="33" t="inlineStr">
        <is>
          <t>https://www.powerleague.com/select-time?search_location_id=a20a54a1-3bdd-57b8-e211-6f44da11e82f&amp;search_booking_type_name=5-a-side%20Football</t>
        </is>
      </c>
      <c r="O23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3" s="26" t="inlineStr">
        <is>
          <t>24 Sep 2026 (web check)</t>
        </is>
      </c>
      <c r="Q23" s="30">
        <f>IF(AND(I23="Available",F23&lt;&gt;""),COUNTIFS($A$2:$A$46,A23,$I$2:$I$46,"Available",$F$2:$F$46,"&lt;"&amp;F23)+1,"")</f>
        <v/>
      </c>
      <c r="R23" s="30">
        <f>IF(Q23="","",A23&amp;"#"&amp;Q23)</f>
        <v/>
      </c>
    </row>
    <row r="24">
      <c r="A24" s="26" t="inlineStr">
        <is>
          <t>Shoreditch Powerleague</t>
        </is>
      </c>
      <c r="B24" s="27" t="n">
        <v>46297</v>
      </c>
      <c r="C24" s="26" t="inlineStr">
        <is>
          <t>Fri</t>
        </is>
      </c>
      <c r="D24" s="28" t="n">
        <v>0.7361111111111112</v>
      </c>
      <c r="E24" s="28" t="n">
        <v>0.7638888888888888</v>
      </c>
      <c r="F24" s="29">
        <f>IF(B24="","",B24+D24)</f>
        <v/>
      </c>
      <c r="G24" s="26" t="inlineStr">
        <is>
          <t>5-a-side</t>
        </is>
      </c>
      <c r="H24" s="30">
        <f>IFERROR(VALUE(LEFT(G24,FIND("-",G24)-1))*2,"")</f>
        <v/>
      </c>
      <c r="I24" s="26" t="inlineStr">
        <is>
          <t>Available</t>
        </is>
      </c>
      <c r="J24" s="31" t="n">
        <v>110</v>
      </c>
      <c r="K24" s="32">
        <f>IF(OR(J24="",H24=""),"",J24/H24)</f>
        <v/>
      </c>
      <c r="L24" s="26" t="inlineStr">
        <is>
          <t>yes</t>
        </is>
      </c>
      <c r="M24" s="26" t="inlineStr">
        <is>
          <t>Powerleague official website (online booking)</t>
        </is>
      </c>
      <c r="N24" s="33" t="inlineStr">
        <is>
          <t>https://www.powerleague.com/select-time?search_location_id=a20a54a1-3bdd-57b8-e211-6f44da11e82f&amp;search_booking_type_name=5-a-side%20Football</t>
        </is>
      </c>
      <c r="O24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4" s="26" t="inlineStr">
        <is>
          <t>24 Sep 2026 (web check)</t>
        </is>
      </c>
      <c r="Q24" s="30">
        <f>IF(AND(I24="Available",F24&lt;&gt;""),COUNTIFS($A$2:$A$46,A24,$I$2:$I$46,"Available",$F$2:$F$46,"&lt;"&amp;F24)+1,"")</f>
        <v/>
      </c>
      <c r="R24" s="30">
        <f>IF(Q24="","",A24&amp;"#"&amp;Q24)</f>
        <v/>
      </c>
    </row>
    <row r="25">
      <c r="A25" s="26" t="inlineStr">
        <is>
          <t>Shoreditch Powerleague</t>
        </is>
      </c>
      <c r="B25" s="27" t="n">
        <v>46297</v>
      </c>
      <c r="C25" s="26" t="inlineStr">
        <is>
          <t>Fri</t>
        </is>
      </c>
      <c r="D25" s="28" t="n">
        <v>0.7638888888888888</v>
      </c>
      <c r="E25" s="28" t="n">
        <v>0.7916666666666666</v>
      </c>
      <c r="F25" s="29">
        <f>IF(B25="","",B25+D25)</f>
        <v/>
      </c>
      <c r="G25" s="26" t="inlineStr">
        <is>
          <t>5-a-side</t>
        </is>
      </c>
      <c r="H25" s="30">
        <f>IFERROR(VALUE(LEFT(G25,FIND("-",G25)-1))*2,"")</f>
        <v/>
      </c>
      <c r="I25" s="26" t="inlineStr">
        <is>
          <t>Available</t>
        </is>
      </c>
      <c r="J25" s="31" t="n">
        <v>110</v>
      </c>
      <c r="K25" s="32">
        <f>IF(OR(J25="",H25=""),"",J25/H25)</f>
        <v/>
      </c>
      <c r="L25" s="26" t="inlineStr">
        <is>
          <t>yes</t>
        </is>
      </c>
      <c r="M25" s="26" t="inlineStr">
        <is>
          <t>Powerleague official website (online booking)</t>
        </is>
      </c>
      <c r="N25" s="33" t="inlineStr">
        <is>
          <t>https://www.powerleague.com/select-time?search_location_id=a20a54a1-3bdd-57b8-e211-6f44da11e82f&amp;search_booking_type_name=5-a-side%20Football</t>
        </is>
      </c>
      <c r="O25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5" s="26" t="inlineStr">
        <is>
          <t>24 Sep 2026 (web check)</t>
        </is>
      </c>
      <c r="Q25" s="30">
        <f>IF(AND(I25="Available",F25&lt;&gt;""),COUNTIFS($A$2:$A$46,A25,$I$2:$I$46,"Available",$F$2:$F$46,"&lt;"&amp;F25)+1,"")</f>
        <v/>
      </c>
      <c r="R25" s="30">
        <f>IF(Q25="","",A25&amp;"#"&amp;Q25)</f>
        <v/>
      </c>
    </row>
    <row r="26">
      <c r="A26" s="26" t="inlineStr">
        <is>
          <t>Shoreditch Powerleague</t>
        </is>
      </c>
      <c r="B26" s="27" t="n">
        <v>46297</v>
      </c>
      <c r="C26" s="26" t="inlineStr">
        <is>
          <t>Fri</t>
        </is>
      </c>
      <c r="D26" s="28" t="n">
        <v>0.7916666666666666</v>
      </c>
      <c r="E26" s="28" t="n">
        <v>0.8194444444444444</v>
      </c>
      <c r="F26" s="29">
        <f>IF(B26="","",B26+D26)</f>
        <v/>
      </c>
      <c r="G26" s="26" t="inlineStr">
        <is>
          <t>5-a-side</t>
        </is>
      </c>
      <c r="H26" s="30">
        <f>IFERROR(VALUE(LEFT(G26,FIND("-",G26)-1))*2,"")</f>
        <v/>
      </c>
      <c r="I26" s="26" t="inlineStr">
        <is>
          <t>Available</t>
        </is>
      </c>
      <c r="J26" s="31" t="n">
        <v>110</v>
      </c>
      <c r="K26" s="32">
        <f>IF(OR(J26="",H26=""),"",J26/H26)</f>
        <v/>
      </c>
      <c r="L26" s="26" t="inlineStr">
        <is>
          <t>yes</t>
        </is>
      </c>
      <c r="M26" s="26" t="inlineStr">
        <is>
          <t>Powerleague official website (online booking)</t>
        </is>
      </c>
      <c r="N26" s="33" t="inlineStr">
        <is>
          <t>https://www.powerleague.com/select-time?search_location_id=a20a54a1-3bdd-57b8-e211-6f44da11e82f&amp;search_booking_type_name=5-a-side%20Football</t>
        </is>
      </c>
      <c r="O26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6" s="26" t="inlineStr">
        <is>
          <t>24 Sep 2026 (web check)</t>
        </is>
      </c>
      <c r="Q26" s="30">
        <f>IF(AND(I26="Available",F26&lt;&gt;""),COUNTIFS($A$2:$A$46,A26,$I$2:$I$46,"Available",$F$2:$F$46,"&lt;"&amp;F26)+1,"")</f>
        <v/>
      </c>
      <c r="R26" s="30">
        <f>IF(Q26="","",A26&amp;"#"&amp;Q26)</f>
        <v/>
      </c>
    </row>
    <row r="27">
      <c r="A27" s="26" t="inlineStr">
        <is>
          <t>Shoreditch Powerleague</t>
        </is>
      </c>
      <c r="B27" s="27" t="n">
        <v>46297</v>
      </c>
      <c r="C27" s="26" t="inlineStr">
        <is>
          <t>Fri</t>
        </is>
      </c>
      <c r="D27" s="28" t="n">
        <v>0.8194444444444444</v>
      </c>
      <c r="E27" s="28" t="n">
        <v>0.8472222222222222</v>
      </c>
      <c r="F27" s="29">
        <f>IF(B27="","",B27+D27)</f>
        <v/>
      </c>
      <c r="G27" s="26" t="inlineStr">
        <is>
          <t>5-a-side</t>
        </is>
      </c>
      <c r="H27" s="30">
        <f>IFERROR(VALUE(LEFT(G27,FIND("-",G27)-1))*2,"")</f>
        <v/>
      </c>
      <c r="I27" s="26" t="inlineStr">
        <is>
          <t>Available</t>
        </is>
      </c>
      <c r="J27" s="31" t="n">
        <v>110</v>
      </c>
      <c r="K27" s="32">
        <f>IF(OR(J27="",H27=""),"",J27/H27)</f>
        <v/>
      </c>
      <c r="L27" s="26" t="inlineStr">
        <is>
          <t>yes</t>
        </is>
      </c>
      <c r="M27" s="26" t="inlineStr">
        <is>
          <t>Powerleague official website (online booking)</t>
        </is>
      </c>
      <c r="N27" s="33" t="inlineStr">
        <is>
          <t>https://www.powerleague.com/select-time?search_location_id=a20a54a1-3bdd-57b8-e211-6f44da11e82f&amp;search_booking_type_name=5-a-side%20Football</t>
        </is>
      </c>
      <c r="O27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7" s="26" t="inlineStr">
        <is>
          <t>24 Sep 2026 (web check)</t>
        </is>
      </c>
      <c r="Q27" s="30">
        <f>IF(AND(I27="Available",F27&lt;&gt;""),COUNTIFS($A$2:$A$46,A27,$I$2:$I$46,"Available",$F$2:$F$46,"&lt;"&amp;F27)+1,"")</f>
        <v/>
      </c>
      <c r="R27" s="30">
        <f>IF(Q27="","",A27&amp;"#"&amp;Q27)</f>
        <v/>
      </c>
    </row>
    <row r="28">
      <c r="A28" s="26" t="inlineStr">
        <is>
          <t>Shoreditch Powerleague</t>
        </is>
      </c>
      <c r="B28" s="27" t="n">
        <v>46297</v>
      </c>
      <c r="C28" s="26" t="inlineStr">
        <is>
          <t>Fri</t>
        </is>
      </c>
      <c r="D28" s="28" t="n">
        <v>0.8472222222222222</v>
      </c>
      <c r="E28" s="28" t="n">
        <v>0.875</v>
      </c>
      <c r="F28" s="29">
        <f>IF(B28="","",B28+D28)</f>
        <v/>
      </c>
      <c r="G28" s="26" t="inlineStr">
        <is>
          <t>5-a-side</t>
        </is>
      </c>
      <c r="H28" s="30">
        <f>IFERROR(VALUE(LEFT(G28,FIND("-",G28)-1))*2,"")</f>
        <v/>
      </c>
      <c r="I28" s="26" t="inlineStr">
        <is>
          <t>Available</t>
        </is>
      </c>
      <c r="J28" s="31" t="n">
        <v>110</v>
      </c>
      <c r="K28" s="32">
        <f>IF(OR(J28="",H28=""),"",J28/H28)</f>
        <v/>
      </c>
      <c r="L28" s="26" t="inlineStr">
        <is>
          <t>yes</t>
        </is>
      </c>
      <c r="M28" s="26" t="inlineStr">
        <is>
          <t>Powerleague official website (online booking)</t>
        </is>
      </c>
      <c r="N28" s="33" t="inlineStr">
        <is>
          <t>https://www.powerleague.com/select-time?search_location_id=a20a54a1-3bdd-57b8-e211-6f44da11e82f&amp;search_booking_type_name=5-a-side%20Football</t>
        </is>
      </c>
      <c r="O28" s="26" t="inlineStr">
        <is>
          <t>40-min booking slot (whole pitch); system releases bookings up to ~14 days ahead (snapshot taken 24 Sep 2026, showing through 2 Oct 2026 as publicly bookable); later dates in window (5 Oct-23 Oct) not yet released to public at time of check</t>
        </is>
      </c>
      <c r="P28" s="26" t="inlineStr">
        <is>
          <t>24 Sep 2026 (web check)</t>
        </is>
      </c>
      <c r="Q28" s="30">
        <f>IF(AND(I28="Available",F28&lt;&gt;""),COUNTIFS($A$2:$A$46,A28,$I$2:$I$46,"Available",$F$2:$F$46,"&lt;"&amp;F28)+1,"")</f>
        <v/>
      </c>
      <c r="R28" s="30">
        <f>IF(Q28="","",A28&amp;"#"&amp;Q28)</f>
        <v/>
      </c>
    </row>
    <row r="29">
      <c r="A29" s="26" t="inlineStr">
        <is>
          <t>Liverpool St - Attlee Centre</t>
        </is>
      </c>
      <c r="B29" s="27" t="n"/>
      <c r="C29" s="26" t="n"/>
      <c r="D29" s="28" t="n"/>
      <c r="E29" s="28" t="n"/>
      <c r="F29" s="29">
        <f>IF(B29="","",B29+D29)</f>
        <v/>
      </c>
      <c r="G29" s="26" t="n"/>
      <c r="H29" s="30">
        <f>IFERROR(VALUE(LEFT(G29,FIND("-",G29)-1))*2,"")</f>
        <v/>
      </c>
      <c r="I29" s="26" t="inlineStr">
        <is>
          <t>Contact required</t>
        </is>
      </c>
      <c r="J29" s="31" t="n"/>
      <c r="K29" s="32">
        <f>IF(OR(J29="",H29=""),"",J29/H29)</f>
        <v/>
      </c>
      <c r="L29" s="26" t="inlineStr">
        <is>
          <t>unknown</t>
        </is>
      </c>
      <c r="M29" s="26" t="inlineStr">
        <is>
          <t>Attlee Youth &amp; Community Centre (direct enquiry, no online calendar found)</t>
        </is>
      </c>
      <c r="N29" s="33" t="inlineStr">
        <is>
          <t>https://attleecentre.org/hire-our-spaces/</t>
        </is>
      </c>
      <c r="O29" s="26" t="inlineStr">
        <is>
          <t>Community centre with a football pitch/MUGA and sports hall for hire. No online booking calendar found; the hire-our-spaces page returned a server error on two fetch attempts and general web search shows enquiry-only booking (email/phone/callback). Open Mon-Fri 10:00-21:00, Sat 12:00-18:00.</t>
        </is>
      </c>
      <c r="P29" s="26" t="inlineStr">
        <is>
          <t>24 Sep 2026 (web check)</t>
        </is>
      </c>
      <c r="Q29" s="30">
        <f>IF(AND(I29="Available",F29&lt;&gt;""),COUNTIFS($A$2:$A$46,A29,$I$2:$I$46,"Available",$F$2:$F$46,"&lt;"&amp;F29)+1,"")</f>
        <v/>
      </c>
      <c r="R29" s="30">
        <f>IF(Q29="","",A29&amp;"#"&amp;Q29)</f>
        <v/>
      </c>
    </row>
    <row r="30">
      <c r="A30" s="26" t="inlineStr">
        <is>
          <t>St Pancras - Coram's Fields 3G</t>
        </is>
      </c>
      <c r="B30" s="27" t="n"/>
      <c r="C30" s="26" t="n"/>
      <c r="D30" s="28" t="n"/>
      <c r="E30" s="28" t="n"/>
      <c r="F30" s="29">
        <f>IF(B30="","",B30+D30)</f>
        <v/>
      </c>
      <c r="G30" s="26" t="inlineStr">
        <is>
          <t>8-a-side (floodlit 3G)</t>
        </is>
      </c>
      <c r="H30" s="30">
        <f>IFERROR(VALUE(LEFT(G30,FIND("-",G30)-1))*2,"")</f>
        <v/>
      </c>
      <c r="I30" s="26" t="inlineStr">
        <is>
          <t>Contact required</t>
        </is>
      </c>
      <c r="J30" s="31" t="n"/>
      <c r="K30" s="32">
        <f>IF(OR(J30="",H30=""),"",J30/H30)</f>
        <v/>
      </c>
      <c r="L30" s="26" t="inlineStr">
        <is>
          <t>yes</t>
        </is>
      </c>
      <c r="M30" s="26" t="inlineStr">
        <is>
          <t>Coram's Fields direct + Bookteq online widget</t>
        </is>
      </c>
      <c r="N30" s="33" t="inlineStr">
        <is>
          <t>https://coramsfields.org/facility-hire/sport-facility-hire/</t>
        </is>
      </c>
      <c r="O30" s="26" t="inlineStr">
        <is>
          <t>Online booking widget (widget.bookteq.com/coramsfields) is a JS Angular app with no static/API data visible to automated fetch; the facility-hire page itself is behind a bot-check/loading screen. Reported rates from web search (unverified on-page): approx GBP145/hr peak, GBP125/hr off-peak. Also listed on Playfinder. No specific open slots could be confirmed.</t>
        </is>
      </c>
      <c r="P30" s="26" t="inlineStr">
        <is>
          <t>24 Sep 2026 (web check)</t>
        </is>
      </c>
      <c r="Q30" s="30">
        <f>IF(AND(I30="Available",F30&lt;&gt;""),COUNTIFS($A$2:$A$46,A30,$I$2:$I$46,"Available",$F$2:$F$46,"&lt;"&amp;F30)+1,"")</f>
        <v/>
      </c>
      <c r="R30" s="30">
        <f>IF(Q30="","",A30&amp;"#"&amp;Q30)</f>
        <v/>
      </c>
    </row>
    <row r="31">
      <c r="A31" s="26" t="inlineStr">
        <is>
          <t>Borough Academy</t>
        </is>
      </c>
      <c r="B31" s="27" t="n"/>
      <c r="C31" s="26" t="n"/>
      <c r="D31" s="28" t="n"/>
      <c r="E31" s="28" t="n"/>
      <c r="F31" s="29">
        <f>IF(B31="","",B31+D31)</f>
        <v/>
      </c>
      <c r="G31" s="26" t="inlineStr">
        <is>
          <t>7-a-side (floodlit 3G, 37x55m)</t>
        </is>
      </c>
      <c r="H31" s="30">
        <f>IFERROR(VALUE(LEFT(G31,FIND("-",G31)-1))*2,"")</f>
        <v/>
      </c>
      <c r="I31" s="26" t="inlineStr">
        <is>
          <t>Contact required</t>
        </is>
      </c>
      <c r="J31" s="31" t="n">
        <v>100</v>
      </c>
      <c r="K31" s="32">
        <f>IF(OR(J31="",H31=""),"",J31/H31)</f>
        <v/>
      </c>
      <c r="L31" s="26" t="inlineStr">
        <is>
          <t>yes</t>
        </is>
      </c>
      <c r="M31" s="26" t="inlineStr">
        <is>
          <t>Vivify Venues online booking system</t>
        </is>
      </c>
      <c r="N31" s="33" t="inlineStr">
        <is>
          <t>https://www.vivifyvenues.com/venues/borough-academy/3g-pitch-borough</t>
        </is>
      </c>
      <c r="O31" s="26" t="inlineStr">
        <is>
          <t>Page confirms weekday opening hours Mon-Fri 17:30-21:00 (matches requested window) at GBP100.00/hr + VAT standard rate (weekend match rate GBP69.40/hr). The live booking calendar is rendered by a Laravel Livewire component loaded via AJAX after page load, so no automated (non-JS) fetch could read actual open dates/times. Address: 94 Southwark Bridge Road, London SE1 0EX.</t>
        </is>
      </c>
      <c r="P31" s="26" t="inlineStr">
        <is>
          <t>24 Sep 2026 (web check)</t>
        </is>
      </c>
      <c r="Q31" s="30">
        <f>IF(AND(I31="Available",F31&lt;&gt;""),COUNTIFS($A$2:$A$46,A31,$I$2:$I$46,"Available",$F$2:$F$46,"&lt;"&amp;F31)+1,"")</f>
        <v/>
      </c>
      <c r="R31" s="30">
        <f>IF(Q31="","",A31&amp;"#"&amp;Q31)</f>
        <v/>
      </c>
    </row>
    <row r="32">
      <c r="A32" s="26" t="inlineStr">
        <is>
          <t>Poplar</t>
        </is>
      </c>
      <c r="B32" s="27" t="n"/>
      <c r="C32" s="26" t="n"/>
      <c r="D32" s="28" t="n"/>
      <c r="E32" s="28" t="n"/>
      <c r="F32" s="29">
        <f>IF(B32="","",B32+D32)</f>
        <v/>
      </c>
      <c r="G32" s="26" t="n"/>
      <c r="H32" s="30">
        <f>IFERROR(VALUE(LEFT(G32,FIND("-",G32)-1))*2,"")</f>
        <v/>
      </c>
      <c r="I32" s="26" t="inlineStr">
        <is>
          <t>Contact required</t>
        </is>
      </c>
      <c r="J32" s="31" t="n"/>
      <c r="K32" s="32">
        <f>IF(OR(J32="",H32=""),"",J32/H32)</f>
        <v/>
      </c>
      <c r="L32" s="26" t="n"/>
      <c r="M32" s="26" t="inlineStr">
        <is>
          <t>FC Urban (corporate enquiry - Typeform)</t>
        </is>
      </c>
      <c r="N32" s="33" t="inlineStr">
        <is>
          <t>https://fcurban.typeform.com/to/p2vDaixk</t>
        </is>
      </c>
      <c r="O32" s="26" t="inlineStr">
        <is>
          <t>Actual pitch operator is "The Workhouse" outdoor 3G pitch, floodlit, 116 Poplar High St E14 0AF. FC Urban's whole-pitch corporate booking is enquiry-only (Typeform proposal request), not a self-service calendar. FC Urban's separate casual drop-in game product (play.fcurban.com) showed individual join-a-game slots around 20:00 on Tue/Thu, but that is per-player joining, not whole-pitch hire, so not listed as a slot.</t>
        </is>
      </c>
      <c r="P32" s="26" t="inlineStr">
        <is>
          <t>24 Sep 2026 (web check)</t>
        </is>
      </c>
      <c r="Q32" s="30">
        <f>IF(AND(I32="Available",F32&lt;&gt;""),COUNTIFS($A$2:$A$46,A32,$I$2:$I$46,"Available",$F$2:$F$46,"&lt;"&amp;F32)+1,"")</f>
        <v/>
      </c>
      <c r="R32" s="30">
        <f>IF(Q32="","",A32&amp;"#"&amp;Q32)</f>
        <v/>
      </c>
    </row>
    <row r="33">
      <c r="A33" s="26" t="inlineStr">
        <is>
          <t>Isle of Dogs (Canary Wharf) - George Green's School</t>
        </is>
      </c>
      <c r="B33" s="27" t="n"/>
      <c r="C33" s="26" t="n"/>
      <c r="D33" s="28" t="n"/>
      <c r="E33" s="28" t="n"/>
      <c r="F33" s="29">
        <f>IF(B33="","",B33+D33)</f>
        <v/>
      </c>
      <c r="G33" s="26" t="n"/>
      <c r="H33" s="30">
        <f>IFERROR(VALUE(LEFT(G33,FIND("-",G33)-1))*2,"")</f>
        <v/>
      </c>
      <c r="I33" s="26" t="inlineStr">
        <is>
          <t>Contact required</t>
        </is>
      </c>
      <c r="J33" s="31" t="n"/>
      <c r="K33" s="32">
        <f>IF(OR(J33="",H33=""),"",J33/H33)</f>
        <v/>
      </c>
      <c r="L33" s="26" t="n"/>
      <c r="M33" s="26" t="inlineStr">
        <is>
          <t>FC Urban (corporate enquiry) / George Green's School direct</t>
        </is>
      </c>
      <c r="N33" s="33" t="inlineStr">
        <is>
          <t>https://fcurban.typeform.com/to/p2vDaixk</t>
        </is>
      </c>
      <c r="O33" s="26" t="inlineStr">
        <is>
          <t>FC Urban location page shows "New games coming soon" - no open drop-in games currently. School lets its own 3G pitch directly: bookings@georgegreens.com, 020 7001 9441, weekday hire window 17:00-22:00 (within target window). School also has a Pitchbooking online page (https://pitchbooking.com/book/George-Green-S-School-And-Sports-Centre) but its calendar would not render reliably in this session (JS app repeatedly failed to load third-party map/analytics scripts); call/email to check live slots.</t>
        </is>
      </c>
      <c r="P33" s="26" t="inlineStr">
        <is>
          <t>24 Sep 2026 (web check)</t>
        </is>
      </c>
      <c r="Q33" s="30">
        <f>IF(AND(I33="Available",F33&lt;&gt;""),COUNTIFS($A$2:$A$46,A33,$I$2:$I$46,"Available",$F$2:$F$46,"&lt;"&amp;F33)+1,"")</f>
        <v/>
      </c>
      <c r="R33" s="30">
        <f>IF(Q33="","",A33&amp;"#"&amp;Q33)</f>
        <v/>
      </c>
    </row>
    <row r="34">
      <c r="A34" s="26" t="inlineStr">
        <is>
          <t>Bermondsey Riverside</t>
        </is>
      </c>
      <c r="B34" s="27" t="n"/>
      <c r="C34" s="26" t="n"/>
      <c r="D34" s="28" t="n"/>
      <c r="E34" s="28" t="n"/>
      <c r="F34" s="29">
        <f>IF(B34="","",B34+D34)</f>
        <v/>
      </c>
      <c r="G34" s="26" t="n"/>
      <c r="H34" s="30">
        <f>IFERROR(VALUE(LEFT(G34,FIND("-",G34)-1))*2,"")</f>
        <v/>
      </c>
      <c r="I34" s="26" t="inlineStr">
        <is>
          <t>Contact required</t>
        </is>
      </c>
      <c r="J34" s="31" t="n"/>
      <c r="K34" s="32">
        <f>IF(OR(J34="",H34=""),"",J34/H34)</f>
        <v/>
      </c>
      <c r="L34" s="26" t="n"/>
      <c r="M34" s="26" t="inlineStr">
        <is>
          <t>FC Urban (corporate enquiry) / SchoolHire / Powerleague</t>
        </is>
      </c>
      <c r="N34" s="33" t="inlineStr">
        <is>
          <t>https://fcurban.typeform.com/to/p2vDaixk</t>
        </is>
      </c>
      <c r="O34" s="26" t="inlineStr">
        <is>
          <t>Venue is St Joseph's Primary School, George Row SE16 4UP, 2G pitch, no floodlights. FC Urban page shows 0 games/week scheduled (no open drop-in games). SchoolHire lists this pitch from GBP 75.50 (https://schoolhire.co.uk/london-southwark/stjosephsgeorgerow/football/30426) but the page could not be accessed in this session (blocked to automated browsing) to confirm a live calendar. Powerleague also lists a Bermondsey/St Joseph's venue - enquiries@powerleague.com, 0800 567 0757.</t>
        </is>
      </c>
      <c r="P34" s="26" t="inlineStr">
        <is>
          <t>24 Sep 2026 (web check)</t>
        </is>
      </c>
      <c r="Q34" s="30">
        <f>IF(AND(I34="Available",F34&lt;&gt;""),COUNTIFS($A$2:$A$46,A34,$I$2:$I$46,"Available",$F$2:$F$46,"&lt;"&amp;F34)+1,"")</f>
        <v/>
      </c>
      <c r="R34" s="30">
        <f>IF(Q34="","",A34&amp;"#"&amp;Q34)</f>
        <v/>
      </c>
    </row>
    <row r="35">
      <c r="A35" s="26" t="inlineStr">
        <is>
          <t>PlayFootball Canary Wharf - Westferry (E14 8HH)</t>
        </is>
      </c>
      <c r="B35" s="27" t="n"/>
      <c r="C35" s="26" t="n"/>
      <c r="D35" s="28" t="n"/>
      <c r="E35" s="28" t="n"/>
      <c r="F35" s="29">
        <f>IF(B35="","",B35+D35)</f>
        <v/>
      </c>
      <c r="G35" s="26" t="n"/>
      <c r="H35" s="30">
        <f>IFERROR(VALUE(LEFT(G35,FIND("-",G35)-1))*2,"")</f>
        <v/>
      </c>
      <c r="I35" s="26" t="inlineStr">
        <is>
          <t>Contact required</t>
        </is>
      </c>
      <c r="J35" s="31" t="n"/>
      <c r="K35" s="32">
        <f>IF(OR(J35="",H35=""),"",J35/H35)</f>
        <v/>
      </c>
      <c r="L35" s="26" t="n"/>
      <c r="M35" s="26" t="inlineStr">
        <is>
          <t>PlayFootball.net</t>
        </is>
      </c>
      <c r="N35" s="33" t="inlineStr">
        <is>
          <t>https://www.playfootball.net/venues/canary-wharf/book-a-pitch/85/5-a-side3gpitchhire</t>
        </is>
      </c>
      <c r="O35" s="26" t="inlineStr">
        <is>
          <t>Cyril Jackson Primary School (North Building), 51 Three Colt Street, Limehouse Causeway, E14 8HH - approx. 10 min walk from Canary Wharf station / 4 min from Westferry DLR. Floodlit 3G pitch (relaid winter 2025), 5-a-side format, site claims online booking up to 30 days ahead, but the booking calendar returned 403/blocked automated access in this session so specific dates/prices could not be confirmed - check the URL directly.</t>
        </is>
      </c>
      <c r="P35" s="26" t="inlineStr">
        <is>
          <t>24 Sep 2026 (web check)</t>
        </is>
      </c>
      <c r="Q35" s="30">
        <f>IF(AND(I35="Available",F35&lt;&gt;""),COUNTIFS($A$2:$A$46,A35,$I$2:$I$46,"Available",$F$2:$F$46,"&lt;"&amp;F35)+1,"")</f>
        <v/>
      </c>
      <c r="R35" s="30">
        <f>IF(Q35="","",A35&amp;"#"&amp;Q35)</f>
        <v/>
      </c>
    </row>
    <row r="36">
      <c r="A36" s="26" t="inlineStr">
        <is>
          <t>Fives Dockland Centre (E14 9GW)</t>
        </is>
      </c>
      <c r="B36" s="27" t="n"/>
      <c r="C36" s="26" t="n"/>
      <c r="D36" s="28" t="n"/>
      <c r="E36" s="28" t="n"/>
      <c r="F36" s="29">
        <f>IF(B36="","",B36+D36)</f>
        <v/>
      </c>
      <c r="G36" s="26" t="n"/>
      <c r="H36" s="30">
        <f>IFERROR(VALUE(LEFT(G36,FIND("-",G36)-1))*2,"")</f>
        <v/>
      </c>
      <c r="I36" s="26" t="inlineStr">
        <is>
          <t>Contact required</t>
        </is>
      </c>
      <c r="J36" s="31" t="n"/>
      <c r="K36" s="32">
        <f>IF(OR(J36="",H36=""),"",J36/H36)</f>
        <v/>
      </c>
      <c r="L36" s="26" t="n"/>
      <c r="M36" s="26" t="inlineStr">
        <is>
          <t>football5s.com (Fives)</t>
        </is>
      </c>
      <c r="N36" s="33" t="inlineStr">
        <is>
          <t>https://www.football5s.com/docklands/</t>
        </is>
      </c>
      <c r="O36" s="26" t="inlineStr">
        <is>
          <t>Selsdon Way, City Harbour NCP, Tower Hamlets, E14 9GW - rooftop + indoor 5-a-side venue (2 outdoor, 3 indoor pitches, 5G rubber-crumb surface), reachable in under 5 min by DLR to Cross Harbour but roughly 1.3-1.5km / ~18-20 min walk from Canary Wharf station (at or slightly beyond the ~19 min target). Booking mechanics are on a separate "how it works" page not captured in this session; pricing not shown on the pages fetched.</t>
        </is>
      </c>
      <c r="P36" s="26" t="inlineStr">
        <is>
          <t>24 Sep 2026 (web check)</t>
        </is>
      </c>
      <c r="Q36" s="30">
        <f>IF(AND(I36="Available",F36&lt;&gt;""),COUNTIFS($A$2:$A$46,A36,$I$2:$I$46,"Available",$F$2:$F$46,"&lt;"&amp;F36)+1,"")</f>
        <v/>
      </c>
      <c r="R36" s="30">
        <f>IF(Q36="","",A36&amp;"#"&amp;Q36)</f>
        <v/>
      </c>
    </row>
    <row r="37">
      <c r="A37" s="26" t="inlineStr">
        <is>
          <t>City of London School (EC4V 3AL)</t>
        </is>
      </c>
      <c r="B37" s="27" t="n">
        <v>46297</v>
      </c>
      <c r="C37" s="26" t="inlineStr">
        <is>
          <t>Fri</t>
        </is>
      </c>
      <c r="D37" s="28" t="n">
        <v>0.75</v>
      </c>
      <c r="E37" s="28" t="n">
        <v>0.8958333333333334</v>
      </c>
      <c r="F37" s="29">
        <f>IF(B37="","",B37+D37)</f>
        <v/>
      </c>
      <c r="G37" s="26" t="inlineStr">
        <is>
          <t>7-a-side</t>
        </is>
      </c>
      <c r="H37" s="30">
        <f>IFERROR(VALUE(LEFT(G37,FIND("-",G37)-1))*2,"")</f>
        <v/>
      </c>
      <c r="I37" s="26" t="inlineStr">
        <is>
          <t>Available</t>
        </is>
      </c>
      <c r="J37" s="31" t="n">
        <v>165</v>
      </c>
      <c r="K37" s="32">
        <f>IF(OR(J37="",H37=""),"",J37/H37)</f>
        <v/>
      </c>
      <c r="L37" s="26" t="inlineStr">
        <is>
          <t>yes</t>
        </is>
      </c>
      <c r="M37" s="26" t="inlineStr">
        <is>
          <t>SchoolHire</t>
        </is>
      </c>
      <c r="N37" s="33" t="inlineStr">
        <is>
          <t>https://schoolhire.co.uk/london-city-of-london/cityoflondonmain/football-pitch/26084</t>
        </is>
      </c>
      <c r="O37" s="26" t="inlineStr">
        <is>
          <t>Outdoor 4G, 5/7/9-a-side. £ per hour, 2-hour minimum. Outdoor 4G all-weather pitch; £165/hr weekday, 2h min booking, block bookings encouraged; whole 18:00-21:30 block shown open on live calendar</t>
        </is>
      </c>
      <c r="P37" s="26" t="inlineStr">
        <is>
          <t>24 Sep 2026 (web check)</t>
        </is>
      </c>
      <c r="Q37" s="30">
        <f>IF(AND(I37="Available",F37&lt;&gt;""),COUNTIFS($A$2:$A$46,A37,$I$2:$I$46,"Available",$F$2:$F$46,"&lt;"&amp;F37)+1,"")</f>
        <v/>
      </c>
      <c r="R37" s="30">
        <f>IF(Q37="","",A37&amp;"#"&amp;Q37)</f>
        <v/>
      </c>
    </row>
    <row r="38">
      <c r="A38" s="26" t="inlineStr">
        <is>
          <t>City of London School (EC4V 3AL)</t>
        </is>
      </c>
      <c r="B38" s="27" t="n">
        <v>46304</v>
      </c>
      <c r="C38" s="26" t="inlineStr">
        <is>
          <t>Fri</t>
        </is>
      </c>
      <c r="D38" s="28" t="n">
        <v>0.75</v>
      </c>
      <c r="E38" s="28" t="n">
        <v>0.8958333333333334</v>
      </c>
      <c r="F38" s="29">
        <f>IF(B38="","",B38+D38)</f>
        <v/>
      </c>
      <c r="G38" s="26" t="inlineStr">
        <is>
          <t>7-a-side</t>
        </is>
      </c>
      <c r="H38" s="30">
        <f>IFERROR(VALUE(LEFT(G38,FIND("-",G38)-1))*2,"")</f>
        <v/>
      </c>
      <c r="I38" s="26" t="inlineStr">
        <is>
          <t>Available</t>
        </is>
      </c>
      <c r="J38" s="31" t="n">
        <v>165</v>
      </c>
      <c r="K38" s="32">
        <f>IF(OR(J38="",H38=""),"",J38/H38)</f>
        <v/>
      </c>
      <c r="L38" s="26" t="inlineStr">
        <is>
          <t>yes</t>
        </is>
      </c>
      <c r="M38" s="26" t="inlineStr">
        <is>
          <t>SchoolHire</t>
        </is>
      </c>
      <c r="N38" s="33" t="inlineStr">
        <is>
          <t>https://schoolhire.co.uk/london-city-of-london/cityoflondonmain/football-pitch/26084</t>
        </is>
      </c>
      <c r="O38" s="26" t="inlineStr">
        <is>
          <t>Outdoor 4G, 5/7/9-a-side. £ per hour, 2-hour minimum. Same recurring weekly pattern seen for all 4 Fridays checked in window; £165/hr weekday, 2h min booking</t>
        </is>
      </c>
      <c r="P38" s="26" t="inlineStr">
        <is>
          <t>24 Sep 2026 (web check)</t>
        </is>
      </c>
      <c r="Q38" s="30">
        <f>IF(AND(I38="Available",F38&lt;&gt;""),COUNTIFS($A$2:$A$46,A38,$I$2:$I$46,"Available",$F$2:$F$46,"&lt;"&amp;F38)+1,"")</f>
        <v/>
      </c>
      <c r="R38" s="30">
        <f>IF(Q38="","",A38&amp;"#"&amp;Q38)</f>
        <v/>
      </c>
    </row>
    <row r="39">
      <c r="A39" s="26" t="inlineStr">
        <is>
          <t>City of London School (EC4V 3AL)</t>
        </is>
      </c>
      <c r="B39" s="27" t="n">
        <v>46311</v>
      </c>
      <c r="C39" s="26" t="inlineStr">
        <is>
          <t>Fri</t>
        </is>
      </c>
      <c r="D39" s="28" t="n">
        <v>0.75</v>
      </c>
      <c r="E39" s="28" t="n">
        <v>0.8958333333333334</v>
      </c>
      <c r="F39" s="29">
        <f>IF(B39="","",B39+D39)</f>
        <v/>
      </c>
      <c r="G39" s="26" t="inlineStr">
        <is>
          <t>7-a-side</t>
        </is>
      </c>
      <c r="H39" s="30">
        <f>IFERROR(VALUE(LEFT(G39,FIND("-",G39)-1))*2,"")</f>
        <v/>
      </c>
      <c r="I39" s="26" t="inlineStr">
        <is>
          <t>Available</t>
        </is>
      </c>
      <c r="J39" s="31" t="n">
        <v>165</v>
      </c>
      <c r="K39" s="32">
        <f>IF(OR(J39="",H39=""),"",J39/H39)</f>
        <v/>
      </c>
      <c r="L39" s="26" t="inlineStr">
        <is>
          <t>yes</t>
        </is>
      </c>
      <c r="M39" s="26" t="inlineStr">
        <is>
          <t>SchoolHire</t>
        </is>
      </c>
      <c r="N39" s="33" t="inlineStr">
        <is>
          <t>https://schoolhire.co.uk/london-city-of-london/cityoflondonmain/football-pitch/26084</t>
        </is>
      </c>
      <c r="O39" s="26" t="inlineStr">
        <is>
          <t>Outdoor 4G, 5/7/9-a-side. £ per hour, 2-hour minimum. Same recurring weekly pattern seen for all 4 Fridays checked in window; £165/hr weekday, 2h min booking</t>
        </is>
      </c>
      <c r="P39" s="26" t="inlineStr">
        <is>
          <t>24 Sep 2026 (web check)</t>
        </is>
      </c>
      <c r="Q39" s="30">
        <f>IF(AND(I39="Available",F39&lt;&gt;""),COUNTIFS($A$2:$A$46,A39,$I$2:$I$46,"Available",$F$2:$F$46,"&lt;"&amp;F39)+1,"")</f>
        <v/>
      </c>
      <c r="R39" s="30">
        <f>IF(Q39="","",A39&amp;"#"&amp;Q39)</f>
        <v/>
      </c>
    </row>
    <row r="40">
      <c r="A40" s="26" t="inlineStr">
        <is>
          <t>City of London School (EC4V 3AL)</t>
        </is>
      </c>
      <c r="B40" s="27" t="n">
        <v>46318</v>
      </c>
      <c r="C40" s="26" t="inlineStr">
        <is>
          <t>Fri</t>
        </is>
      </c>
      <c r="D40" s="28" t="n">
        <v>0.75</v>
      </c>
      <c r="E40" s="28" t="n">
        <v>0.8958333333333334</v>
      </c>
      <c r="F40" s="29">
        <f>IF(B40="","",B40+D40)</f>
        <v/>
      </c>
      <c r="G40" s="26" t="inlineStr">
        <is>
          <t>7-a-side</t>
        </is>
      </c>
      <c r="H40" s="30">
        <f>IFERROR(VALUE(LEFT(G40,FIND("-",G40)-1))*2,"")</f>
        <v/>
      </c>
      <c r="I40" s="26" t="inlineStr">
        <is>
          <t>Available</t>
        </is>
      </c>
      <c r="J40" s="31" t="n">
        <v>165</v>
      </c>
      <c r="K40" s="32">
        <f>IF(OR(J40="",H40=""),"",J40/H40)</f>
        <v/>
      </c>
      <c r="L40" s="26" t="inlineStr">
        <is>
          <t>yes</t>
        </is>
      </c>
      <c r="M40" s="26" t="inlineStr">
        <is>
          <t>SchoolHire</t>
        </is>
      </c>
      <c r="N40" s="33" t="inlineStr">
        <is>
          <t>https://schoolhire.co.uk/london-city-of-london/cityoflondonmain/football-pitch/26084</t>
        </is>
      </c>
      <c r="O40" s="26" t="inlineStr">
        <is>
          <t>Outdoor 4G, 5/7/9-a-side. £ per hour, 2-hour minimum. Same recurring weekly pattern seen for all 4 Fridays checked in window; £165/hr weekday, 2h min booking</t>
        </is>
      </c>
      <c r="P40" s="26" t="inlineStr">
        <is>
          <t>24 Sep 2026 (web check)</t>
        </is>
      </c>
      <c r="Q40" s="30">
        <f>IF(AND(I40="Available",F40&lt;&gt;""),COUNTIFS($A$2:$A$46,A40,$I$2:$I$46,"Available",$F$2:$F$46,"&lt;"&amp;F40)+1,"")</f>
        <v/>
      </c>
      <c r="R40" s="30">
        <f>IF(Q40="","",A40&amp;"#"&amp;Q40)</f>
        <v/>
      </c>
    </row>
    <row r="41">
      <c r="A41" s="26" t="inlineStr">
        <is>
          <t>City of London School (EC4V 3AL)</t>
        </is>
      </c>
      <c r="B41" s="27" t="n">
        <v>46314</v>
      </c>
      <c r="C41" s="26" t="inlineStr">
        <is>
          <t>Mon</t>
        </is>
      </c>
      <c r="D41" s="28" t="n">
        <v>0.75</v>
      </c>
      <c r="E41" s="28" t="n">
        <v>0.9166666666666666</v>
      </c>
      <c r="F41" s="29">
        <f>IF(B41="","",B41+D41)</f>
        <v/>
      </c>
      <c r="G41" s="26" t="inlineStr">
        <is>
          <t>5-a-side</t>
        </is>
      </c>
      <c r="H41" s="30">
        <f>IFERROR(VALUE(LEFT(G41,FIND("-",G41)-1))*2,"")</f>
        <v/>
      </c>
      <c r="I41" s="26" t="inlineStr">
        <is>
          <t>Available</t>
        </is>
      </c>
      <c r="J41" s="31" t="n">
        <v>115</v>
      </c>
      <c r="K41" s="32">
        <f>IF(OR(J41="",H41=""),"",J41/H41)</f>
        <v/>
      </c>
      <c r="L41" s="26" t="inlineStr">
        <is>
          <t>n/a</t>
        </is>
      </c>
      <c r="M41" s="26" t="inlineStr">
        <is>
          <t>SchoolHire</t>
        </is>
      </c>
      <c r="N41" s="33" t="inlineStr">
        <is>
          <t>https://schoolhire.co.uk/london-city-of-london/cityoflondonmain/sports-hall/26089</t>
        </is>
      </c>
      <c r="O41" s="26" t="inlineStr">
        <is>
          <t>INDOOR sports hall. Indoor, Sport England spec sports hall, wooden sprung floor; £115/hr weekday, 2h min booking; only weekday evening open in the 4 weeks checked (Mon-Thu otherwise fully booked most weeks) - recurring weekly pattern</t>
        </is>
      </c>
      <c r="P41" s="26" t="inlineStr">
        <is>
          <t>24 Sep 2026 (web check)</t>
        </is>
      </c>
      <c r="Q41" s="30">
        <f>IF(AND(I41="Available",F41&lt;&gt;""),COUNTIFS($A$2:$A$46,A41,$I$2:$I$46,"Available",$F$2:$F$46,"&lt;"&amp;F41)+1,"")</f>
        <v/>
      </c>
      <c r="R41" s="30">
        <f>IF(Q41="","",A41&amp;"#"&amp;Q41)</f>
        <v/>
      </c>
    </row>
    <row r="42">
      <c r="A42" s="26" t="inlineStr">
        <is>
          <t>St Pancras - Coram's Fields 3G</t>
        </is>
      </c>
      <c r="B42" s="27" t="n">
        <v>46297</v>
      </c>
      <c r="C42" s="26" t="inlineStr">
        <is>
          <t>Fri</t>
        </is>
      </c>
      <c r="D42" s="28" t="n">
        <v>0.7916666666666666</v>
      </c>
      <c r="E42" s="28" t="n">
        <v>0.8333333333333334</v>
      </c>
      <c r="F42" s="29">
        <f>IF(B42="","",B42+D42)</f>
        <v/>
      </c>
      <c r="G42" s="26" t="inlineStr">
        <is>
          <t>8-a-side</t>
        </is>
      </c>
      <c r="H42" s="30">
        <f>IFERROR(VALUE(LEFT(G42,FIND("-",G42)-1))*2,"")</f>
        <v/>
      </c>
      <c r="I42" s="26" t="inlineStr">
        <is>
          <t>Available</t>
        </is>
      </c>
      <c r="J42" s="31" t="n">
        <v>145</v>
      </c>
      <c r="K42" s="32">
        <f>IF(OR(J42="",H42=""),"",J42/H42)</f>
        <v/>
      </c>
      <c r="L42" s="26" t="inlineStr">
        <is>
          <t>yes</t>
        </is>
      </c>
      <c r="M42" s="26" t="inlineStr">
        <is>
          <t>Bookteq / Playfinder</t>
        </is>
      </c>
      <c r="N42" s="33" t="inlineStr">
        <is>
          <t>https://widget.bookteq.com/coramsfields/9401847d-d903-40d0-af50-65340bb5c326/book-online</t>
        </is>
      </c>
      <c r="O42" s="26" t="inlineStr">
        <is>
          <t>Live calendar showed 'partial availability' (some, not all, of the 3 shared pitches free) around this hour - approx time read off calendar, confirm exact pitch/time on the booking site before relying on it; weekday evening rate £145/hr. Mon-Thu evenings in both weeks sampled (28 Sep-9 Oct) were fully booked across all 3 pitches</t>
        </is>
      </c>
      <c r="P42" s="26" t="inlineStr">
        <is>
          <t>24 Sep 2026 (web check)</t>
        </is>
      </c>
      <c r="Q42" s="30">
        <f>IF(AND(I42="Available",F42&lt;&gt;""),COUNTIFS($A$2:$A$46,A42,$I$2:$I$46,"Available",$F$2:$F$46,"&lt;"&amp;F42)+1,"")</f>
        <v/>
      </c>
      <c r="R42" s="30">
        <f>IF(Q42="","",A42&amp;"#"&amp;Q42)</f>
        <v/>
      </c>
    </row>
    <row r="43">
      <c r="A43" s="26" t="inlineStr">
        <is>
          <t>St Pancras - Coram's Fields 3G</t>
        </is>
      </c>
      <c r="B43" s="27" t="n">
        <v>46304</v>
      </c>
      <c r="C43" s="26" t="inlineStr">
        <is>
          <t>Fri</t>
        </is>
      </c>
      <c r="D43" s="28" t="n">
        <v>0.75</v>
      </c>
      <c r="E43" s="28" t="n">
        <v>0.7916666666666666</v>
      </c>
      <c r="F43" s="29">
        <f>IF(B43="","",B43+D43)</f>
        <v/>
      </c>
      <c r="G43" s="26" t="inlineStr">
        <is>
          <t>8-a-side</t>
        </is>
      </c>
      <c r="H43" s="30">
        <f>IFERROR(VALUE(LEFT(G43,FIND("-",G43)-1))*2,"")</f>
        <v/>
      </c>
      <c r="I43" s="26" t="inlineStr">
        <is>
          <t>Available</t>
        </is>
      </c>
      <c r="J43" s="31" t="n">
        <v>145</v>
      </c>
      <c r="K43" s="32">
        <f>IF(OR(J43="",H43=""),"",J43/H43)</f>
        <v/>
      </c>
      <c r="L43" s="26" t="inlineStr">
        <is>
          <t>yes</t>
        </is>
      </c>
      <c r="M43" s="26" t="inlineStr">
        <is>
          <t>Bookteq / Playfinder</t>
        </is>
      </c>
      <c r="N43" s="33" t="inlineStr">
        <is>
          <t>https://widget.bookteq.com/coramsfields/9401847d-d903-40d0-af50-65340bb5c326/book-online</t>
        </is>
      </c>
      <c r="O43" s="26" t="inlineStr">
        <is>
          <t>Live calendar showed 'partial availability' around this hour - approx time read off calendar, confirm exact pitch/time on the booking site; weekday evening rate £145/hr</t>
        </is>
      </c>
      <c r="P43" s="26" t="inlineStr">
        <is>
          <t>24 Sep 2026 (web check)</t>
        </is>
      </c>
      <c r="Q43" s="30">
        <f>IF(AND(I43="Available",F43&lt;&gt;""),COUNTIFS($A$2:$A$46,A43,$I$2:$I$46,"Available",$F$2:$F$46,"&lt;"&amp;F43)+1,"")</f>
        <v/>
      </c>
      <c r="R43" s="30">
        <f>IF(Q43="","",A43&amp;"#"&amp;Q43)</f>
        <v/>
      </c>
    </row>
    <row r="44">
      <c r="A44" s="26" t="inlineStr">
        <is>
          <t>Marlborough Sports Garden (SE1 1SD)</t>
        </is>
      </c>
      <c r="B44" s="27" t="n"/>
      <c r="C44" s="26" t="n"/>
      <c r="D44" s="28" t="n"/>
      <c r="E44" s="28" t="n"/>
      <c r="F44" s="29">
        <f>IF(B44="","",B44+D44)</f>
        <v/>
      </c>
      <c r="G44" s="26" t="inlineStr">
        <is>
          <t>5-a-side/6-a-side outdoor 3G</t>
        </is>
      </c>
      <c r="H44" s="30">
        <f>IFERROR(VALUE(LEFT(G44,FIND("-",G44)-1))*2,"")</f>
        <v/>
      </c>
      <c r="I44" s="26" t="inlineStr">
        <is>
          <t>Contact required</t>
        </is>
      </c>
      <c r="J44" s="31" t="n"/>
      <c r="K44" s="32">
        <f>IF(OR(J44="",H44=""),"",J44/H44)</f>
        <v/>
      </c>
      <c r="L44" s="26" t="inlineStr">
        <is>
          <t>yes</t>
        </is>
      </c>
      <c r="M44" s="26" t="inlineStr">
        <is>
          <t>PlayFootball / Bankside Open Spaces Trust</t>
        </is>
      </c>
      <c r="N44" s="33" t="inlineStr">
        <is>
          <t>https://www.playfootball.net/venues/marlborough-sports-garden/book-a-pitch</t>
        </is>
      </c>
      <c r="O44" s="26" t="inlineStr">
        <is>
          <t>Live calendar (sample viewed: Thu 24-Sun 27 Sep) showed weekday peak 60min whole-pitch slots at £109/hr around 17:30-19:00, with some hours booked; could not page the calendar forward to the 28 Sep-23 Oct window within session time - bookable online up to 30 days ahead via PlayFootball (weekday 12:00-14:00 and after 17:30) or Playfinder (other times); pitch closed to general adult hire Mon-Fri 15:00-17:30 for school priority use</t>
        </is>
      </c>
      <c r="P44" s="26" t="inlineStr">
        <is>
          <t>24 Sep 2026 (web check)</t>
        </is>
      </c>
      <c r="Q44" s="30">
        <f>IF(AND(I44="Available",F44&lt;&gt;""),COUNTIFS($A$2:$A$46,A44,$I$2:$I$46,"Available",$F$2:$F$46,"&lt;"&amp;F44)+1,"")</f>
        <v/>
      </c>
      <c r="R44" s="30">
        <f>IF(Q44="","",A44&amp;"#"&amp;Q44)</f>
        <v/>
      </c>
    </row>
    <row r="45">
      <c r="A45" s="26" t="inlineStr">
        <is>
          <t>Angel Centre (EC1V 7DD)</t>
        </is>
      </c>
      <c r="B45" s="27" t="n"/>
      <c r="C45" s="26" t="n"/>
      <c r="D45" s="28" t="n"/>
      <c r="E45" s="28" t="n"/>
      <c r="F45" s="29">
        <f>IF(B45="","",B45+D45)</f>
        <v/>
      </c>
      <c r="G45" s="26" t="inlineStr">
        <is>
          <t>5-a-side/7-a-side outdoor</t>
        </is>
      </c>
      <c r="H45" s="30">
        <f>IFERROR(VALUE(LEFT(G45,FIND("-",G45)-1))*2,"")</f>
        <v/>
      </c>
      <c r="I45" s="26" t="inlineStr">
        <is>
          <t>Contact required</t>
        </is>
      </c>
      <c r="J45" s="31" t="n"/>
      <c r="K45" s="32">
        <f>IF(OR(J45="",H45=""),"",J45/H45)</f>
        <v/>
      </c>
      <c r="L45" s="26" t="inlineStr">
        <is>
          <t>unknown</t>
        </is>
      </c>
      <c r="M45" s="26" t="inlineStr">
        <is>
          <t>SchoolHire</t>
        </is>
      </c>
      <c r="N45" s="33" t="inlineStr">
        <is>
          <t>https://schoolhire.co.uk/london-islington/angelcentre/football/35397</t>
        </is>
      </c>
      <c r="O45" s="26" t="inlineStr">
        <is>
          <t>Live calendar for week of 21-27 Sep showed the pitch fully available 07:00-22:00 every day with no bookings shown, and the 'Next week' control was disabled on the page, so the 28 Sep-23 Oct window could not be confirmed directly in this session. Weekday hourly rate £64 peak / £25 off-peak. Use the site's Book Now / Message button or call the venue to confirm/hold a slot.</t>
        </is>
      </c>
      <c r="P45" s="26" t="inlineStr">
        <is>
          <t>24 Sep 2026 (web check)</t>
        </is>
      </c>
      <c r="Q45" s="30">
        <f>IF(AND(I45="Available",F45&lt;&gt;""),COUNTIFS($A$2:$A$46,A45,$I$2:$I$46,"Available",$F$2:$F$46,"&lt;"&amp;F45)+1,"")</f>
        <v/>
      </c>
      <c r="R45" s="30">
        <f>IF(Q45="","",A45&amp;"#"&amp;Q45)</f>
        <v/>
      </c>
    </row>
    <row r="46">
      <c r="A46" s="26" t="inlineStr">
        <is>
          <t>Finsbury Leisure Centre (EC1V 3PU)</t>
        </is>
      </c>
      <c r="B46" s="27" t="n"/>
      <c r="C46" s="26" t="n"/>
      <c r="D46" s="28" t="n"/>
      <c r="E46" s="28" t="n"/>
      <c r="F46" s="29">
        <f>IF(B46="","",B46+D46)</f>
        <v/>
      </c>
      <c r="G46" s="26" t="inlineStr">
        <is>
          <t>5-a-side</t>
        </is>
      </c>
      <c r="H46" s="30">
        <f>IFERROR(VALUE(LEFT(G46,FIND("-",G46)-1))*2,"")</f>
        <v/>
      </c>
      <c r="I46" s="26" t="inlineStr">
        <is>
          <t>Contact required</t>
        </is>
      </c>
      <c r="J46" s="31" t="n">
        <v>82.40000000000001</v>
      </c>
      <c r="K46" s="32">
        <f>IF(OR(J46="",H46=""),"",J46/H46)</f>
        <v/>
      </c>
      <c r="L46" s="26" t="inlineStr">
        <is>
          <t>yes</t>
        </is>
      </c>
      <c r="M46" s="26" t="inlineStr">
        <is>
          <t>Better/GLL</t>
        </is>
      </c>
      <c r="N46" s="33" t="inlineStr">
        <is>
          <t>https://www.better.org.uk/leisure-centre/london/islington/finsbury/timetable</t>
        </is>
      </c>
      <c r="O46" s="26" t="inlineStr">
        <is>
          <t>Shared pay-and-play session, not exclusive pitch hire. Seen open 29-30 Sep. 1 space available (Pitch 2 &amp; 4 shown); pay-and-play SHARED session not exclusive pitch hire, price is per space (£82.40 non-member / £71.10 member, weekday 16:00-22:00 peak); outdoor 3G</t>
        </is>
      </c>
      <c r="P46" s="26" t="inlineStr">
        <is>
          <t>24 Sep 2026 (web check)</t>
        </is>
      </c>
      <c r="Q46" s="30">
        <f>IF(AND(I46="Available",F46&lt;&gt;""),COUNTIFS($A$2:$A$46,A46,$I$2:$I$46,"Available",$F$2:$F$46,"&lt;"&amp;F46)+1,"")</f>
        <v/>
      </c>
      <c r="R46" s="30">
        <f>IF(Q46="","",A46&amp;"#"&amp;Q46)</f>
        <v/>
      </c>
    </row>
  </sheetData>
  <autoFilter ref="A1:R4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36" customWidth="1" min="3" max="3"/>
    <col width="10" customWidth="1" min="4" max="4"/>
    <col width="16" customWidth="1" min="5" max="5"/>
    <col width="9" customWidth="1" min="6" max="6"/>
    <col width="20" customWidth="1" min="7" max="7"/>
    <col width="13" customWidth="1" min="8" max="8"/>
    <col width="10" customWidth="1" min="9" max="9"/>
    <col width="10" customWidth="1" min="10" max="10"/>
    <col width="20" customWidth="1" min="11" max="11"/>
    <col width="12" customWidth="1" min="12" max="12"/>
    <col width="20" customWidth="1" min="13" max="13"/>
    <col width="12" customWidth="1" min="14" max="14"/>
    <col width="8" customWidth="1" min="15" max="15"/>
    <col width="28" customWidth="1" min="16" max="16"/>
    <col width="36" customWidth="1" min="17" max="17"/>
    <col width="30" customWidth="1" min="18" max="18"/>
    <col width="15" customWidth="1" min="19" max="19"/>
    <col width="26" customWidth="1" min="20" max="20"/>
    <col width="60" customWidth="1" min="21" max="21"/>
    <col width="34" customWidth="1" min="22" max="22"/>
    <col width="10" customWidth="1" min="23" max="23"/>
    <col width="10" customWidth="1" min="24" max="24"/>
  </cols>
  <sheetData>
    <row r="1">
      <c r="A1" s="9" t="inlineStr">
        <is>
          <t>Venue</t>
        </is>
      </c>
      <c r="B1" s="9" t="inlineStr">
        <is>
          <t>Type</t>
        </is>
      </c>
      <c r="C1" s="9" t="inlineStr">
        <is>
          <t>Address</t>
        </is>
      </c>
      <c r="D1" s="9" t="inlineStr">
        <is>
          <t>Postcode</t>
        </is>
      </c>
      <c r="E1" s="9" t="inlineStr">
        <is>
          <t>Status</t>
        </is>
      </c>
      <c r="F1" s="9" t="inlineStr">
        <is>
          <t>Open after-work slots</t>
        </is>
      </c>
      <c r="G1" s="9" t="inlineStr">
        <is>
          <t>Earliest open slot</t>
        </is>
      </c>
      <c r="H1" s="9" t="inlineStr">
        <is>
          <t>Earliest format</t>
        </is>
      </c>
      <c r="I1" s="9" t="inlineStr">
        <is>
          <t>Earliest hire (£)</t>
        </is>
      </c>
      <c r="J1" s="9" t="inlineStr">
        <is>
          <t>Cost per player at earliest (£)</t>
        </is>
      </c>
      <c r="K1" s="10" t="inlineStr">
        <is>
          <t>Chosen slot (override)</t>
        </is>
      </c>
      <c r="L1" s="10" t="inlineStr">
        <is>
          <t>Chosen format (override)</t>
        </is>
      </c>
      <c r="M1" s="9" t="inlineStr">
        <is>
          <t>Lead-with slot</t>
        </is>
      </c>
      <c r="N1" s="9" t="inlineStr">
        <is>
          <t>Lead-with format</t>
        </is>
      </c>
      <c r="O1" s="9" t="inlineStr">
        <is>
          <t>Floodlit</t>
        </is>
      </c>
      <c r="P1" s="9" t="inlineStr">
        <is>
          <t>Booking source</t>
        </is>
      </c>
      <c r="Q1" s="9" t="inlineStr">
        <is>
          <t>Booking link</t>
        </is>
      </c>
      <c r="R1" s="9" t="inlineStr">
        <is>
          <t>Booking contact</t>
        </is>
      </c>
      <c r="S1" s="9" t="inlineStr">
        <is>
          <t>Phone</t>
        </is>
      </c>
      <c r="T1" s="9" t="inlineStr">
        <is>
          <t>Email</t>
        </is>
      </c>
      <c r="U1" s="9" t="inlineStr">
        <is>
          <t>How to book / notes</t>
        </is>
      </c>
      <c r="V1" s="9" t="inlineStr">
        <is>
          <t>FC Urban page</t>
        </is>
      </c>
      <c r="W1" s="9" t="inlineStr">
        <is>
          <t>Companies: nearest pitch</t>
        </is>
      </c>
      <c r="X1" s="9" t="inlineStr">
        <is>
          <t>Companies: lead with</t>
        </is>
      </c>
    </row>
    <row r="2">
      <c r="A2" s="11" t="inlineStr">
        <is>
          <t>Bermondsey Riverside</t>
        </is>
      </c>
      <c r="B2" s="11" t="inlineStr">
        <is>
          <t>FC Urban venue</t>
        </is>
      </c>
      <c r="C2" s="11" t="inlineStr">
        <is>
          <t>George Row, SE16 4UP</t>
        </is>
      </c>
      <c r="D2" s="11" t="inlineStr">
        <is>
          <t>SE16 4UP</t>
        </is>
      </c>
      <c r="E2" s="11" t="inlineStr">
        <is>
          <t>Contact required</t>
        </is>
      </c>
      <c r="F2" s="14">
        <f>COUNTIFS(Slots!$A$2:$A$46,A2,Slots!$I$2:$I$46,"Available")</f>
        <v/>
      </c>
      <c r="G2" s="15">
        <f>IF(F2=0,"",_xlfn.MINIFS(Slots!$F$2:$F$46,Slots!$A$2:$A$46,A2,Slots!$I$2:$I$46,"Available"))</f>
        <v/>
      </c>
      <c r="H2" s="14">
        <f>IFERROR(INDEX(Slots!$G$2:$G$46,MATCH(A2&amp;"#1",Slots!$R$2:$R$46,0)),"")</f>
        <v/>
      </c>
      <c r="I2" s="16">
        <f>IFERROR(INDEX(Slots!$J$2:$J$46,MATCH(A2&amp;"#1",Slots!$R$2:$R$46,0)),"")</f>
        <v/>
      </c>
      <c r="J2" s="16">
        <f>IFERROR(INDEX(Slots!$K$2:$K$46,MATCH(A2&amp;"#1",Slots!$R$2:$R$46,0)),"")</f>
        <v/>
      </c>
      <c r="K2" s="34" t="n"/>
      <c r="L2" s="35" t="n"/>
      <c r="M2" s="15">
        <f>IF(K2&lt;&gt;"",K2,G2)</f>
        <v/>
      </c>
      <c r="N2" s="14">
        <f>IF(L2&lt;&gt;"",L2,IF(H2&lt;&gt;"",H2,"5-a-side"))</f>
        <v/>
      </c>
      <c r="O2" s="11" t="n"/>
      <c r="P2" s="11" t="inlineStr">
        <is>
          <t>FC Urban (corporate enquiry) / SchoolHire / Powerleague</t>
        </is>
      </c>
      <c r="Q2" s="12" t="inlineStr">
        <is>
          <t>https://fcurban.typeform.com/to/p2vDaixk</t>
        </is>
      </c>
      <c r="R2" s="11" t="n"/>
      <c r="S2" s="11" t="n"/>
      <c r="T2" s="11" t="n"/>
      <c r="U2" s="36" t="inlineStr">
        <is>
          <t>Address: St Joseph's Primary School, George Row, London SE16 4UP. FC Urban corporate enquiry: https://fcurban.typeform.com/to/p2vDaixk. SchoolHire listing (from GBP 75.50): https://schoolhire.co.uk/london-southwark/stjosephsgeorgerow/football/30426 (not verified this session). Powerleague: enquiries@powerleague.com / 0800 567 0757.</t>
        </is>
      </c>
      <c r="V2" s="12" t="inlineStr">
        <is>
          <t>https://www.fcurban.com/locations/bermondsey-riverside</t>
        </is>
      </c>
      <c r="W2" s="14">
        <f>COUNTIF(Outreach!$W$3:$W$1000,A2)</f>
        <v/>
      </c>
      <c r="X2" s="14">
        <f>COUNTIF(Outreach!$Z$3:$Z$1000,A2)</f>
        <v/>
      </c>
    </row>
    <row r="3">
      <c r="A3" s="11" t="inlineStr">
        <is>
          <t>Borough Academy</t>
        </is>
      </c>
      <c r="B3" s="11" t="inlineStr">
        <is>
          <t>FC Urban venue</t>
        </is>
      </c>
      <c r="C3" s="11" t="inlineStr">
        <is>
          <t>King's Ct, SE1 0BU</t>
        </is>
      </c>
      <c r="D3" s="11" t="inlineStr">
        <is>
          <t>SE1 0BU</t>
        </is>
      </c>
      <c r="E3" s="11" t="inlineStr">
        <is>
          <t>Contact required</t>
        </is>
      </c>
      <c r="F3" s="14">
        <f>COUNTIFS(Slots!$A$2:$A$46,A3,Slots!$I$2:$I$46,"Available")</f>
        <v/>
      </c>
      <c r="G3" s="15">
        <f>IF(F3=0,"",_xlfn.MINIFS(Slots!$F$2:$F$46,Slots!$A$2:$A$46,A3,Slots!$I$2:$I$46,"Available"))</f>
        <v/>
      </c>
      <c r="H3" s="14">
        <f>IFERROR(INDEX(Slots!$G$2:$G$46,MATCH(A3&amp;"#1",Slots!$R$2:$R$46,0)),"")</f>
        <v/>
      </c>
      <c r="I3" s="16">
        <f>IFERROR(INDEX(Slots!$J$2:$J$46,MATCH(A3&amp;"#1",Slots!$R$2:$R$46,0)),"")</f>
        <v/>
      </c>
      <c r="J3" s="16">
        <f>IFERROR(INDEX(Slots!$K$2:$K$46,MATCH(A3&amp;"#1",Slots!$R$2:$R$46,0)),"")</f>
        <v/>
      </c>
      <c r="K3" s="34" t="n"/>
      <c r="L3" s="35" t="n"/>
      <c r="M3" s="15">
        <f>IF(K3&lt;&gt;"",K3,G3)</f>
        <v/>
      </c>
      <c r="N3" s="14">
        <f>IF(L3&lt;&gt;"",L3,IF(H3&lt;&gt;"",H3,"5-a-side"))</f>
        <v/>
      </c>
      <c r="O3" s="11" t="inlineStr">
        <is>
          <t>yes</t>
        </is>
      </c>
      <c r="P3" s="11" t="inlineStr">
        <is>
          <t>Vivify Venues online booking system</t>
        </is>
      </c>
      <c r="Q3" s="12" t="inlineStr">
        <is>
          <t>https://www.vivifyvenues.com/venues/borough-academy/3g-pitch-borough</t>
        </is>
      </c>
      <c r="R3" s="11" t="n"/>
      <c r="S3" s="11" t="inlineStr">
        <is>
          <t>0161 694 0111</t>
        </is>
      </c>
      <c r="T3" s="11" t="inlineStr">
        <is>
          <t>support@vivifyvenues.com</t>
        </is>
      </c>
      <c r="U3" s="36" t="inlineStr">
        <is>
          <t>Booked via Vivify Venues (vivifyvenues.com/venues/borough-academy). Address: 94 Southwark Bridge Road / Kings Court, London SE1 0EX/0BU. Standard rate GBP100.00/hr + VAT, weekday hours 17:30-21:00.</t>
        </is>
      </c>
      <c r="V3" s="12" t="inlineStr">
        <is>
          <t>https://www.fcurban.com/locations/borough-academy</t>
        </is>
      </c>
      <c r="W3" s="14">
        <f>COUNTIF(Outreach!$W$3:$W$1000,A3)</f>
        <v/>
      </c>
      <c r="X3" s="14">
        <f>COUNTIF(Outreach!$Z$3:$Z$1000,A3)</f>
        <v/>
      </c>
    </row>
    <row r="4">
      <c r="A4" s="11" t="inlineStr">
        <is>
          <t>Isle of Dogs (Canary Wharf) - George Green's School</t>
        </is>
      </c>
      <c r="B4" s="11" t="inlineStr">
        <is>
          <t>FC Urban venue</t>
        </is>
      </c>
      <c r="C4" s="11" t="inlineStr">
        <is>
          <t>Manchester Road, E14 3DW</t>
        </is>
      </c>
      <c r="D4" s="11" t="inlineStr">
        <is>
          <t>E14 3DW</t>
        </is>
      </c>
      <c r="E4" s="11" t="inlineStr">
        <is>
          <t>Contact required</t>
        </is>
      </c>
      <c r="F4" s="14">
        <f>COUNTIFS(Slots!$A$2:$A$46,A4,Slots!$I$2:$I$46,"Available")</f>
        <v/>
      </c>
      <c r="G4" s="15">
        <f>IF(F4=0,"",_xlfn.MINIFS(Slots!$F$2:$F$46,Slots!$A$2:$A$46,A4,Slots!$I$2:$I$46,"Available"))</f>
        <v/>
      </c>
      <c r="H4" s="14">
        <f>IFERROR(INDEX(Slots!$G$2:$G$46,MATCH(A4&amp;"#1",Slots!$R$2:$R$46,0)),"")</f>
        <v/>
      </c>
      <c r="I4" s="16">
        <f>IFERROR(INDEX(Slots!$J$2:$J$46,MATCH(A4&amp;"#1",Slots!$R$2:$R$46,0)),"")</f>
        <v/>
      </c>
      <c r="J4" s="16">
        <f>IFERROR(INDEX(Slots!$K$2:$K$46,MATCH(A4&amp;"#1",Slots!$R$2:$R$46,0)),"")</f>
        <v/>
      </c>
      <c r="K4" s="34" t="n"/>
      <c r="L4" s="35" t="n"/>
      <c r="M4" s="15">
        <f>IF(K4&lt;&gt;"",K4,G4)</f>
        <v/>
      </c>
      <c r="N4" s="14">
        <f>IF(L4&lt;&gt;"",L4,IF(H4&lt;&gt;"",H4,"5-a-side"))</f>
        <v/>
      </c>
      <c r="O4" s="11" t="n"/>
      <c r="P4" s="11" t="inlineStr">
        <is>
          <t>FC Urban (corporate enquiry) / George Green's School direct</t>
        </is>
      </c>
      <c r="Q4" s="12" t="inlineStr">
        <is>
          <t>https://fcurban.typeform.com/to/p2vDaixk</t>
        </is>
      </c>
      <c r="R4" s="11" t="inlineStr">
        <is>
          <t>George Green's School lettings</t>
        </is>
      </c>
      <c r="S4" s="11" t="inlineStr">
        <is>
          <t>02070019441</t>
        </is>
      </c>
      <c r="T4" s="11" t="inlineStr">
        <is>
          <t>bookings@georgegreens.com</t>
        </is>
      </c>
      <c r="U4" s="36" t="inlineStr">
        <is>
          <t>Address: 100 Manchester Road, Isle of Dogs, London E14 3DW. Lettings phone hours: weekdays 17:00-22:00, weekends 09:00-18:00. Also FC Urban corporate enquiry: https://fcurban.typeform.com/to/p2vDaixk. School also listed on Pitchbooking (calendar not verified this session).</t>
        </is>
      </c>
      <c r="V4" s="12" t="inlineStr">
        <is>
          <t>https://www.fcurban.com/locations/isle-of-dogs-canary-wharf-george-greens-school</t>
        </is>
      </c>
      <c r="W4" s="14">
        <f>COUNTIF(Outreach!$W$3:$W$1000,A4)</f>
        <v/>
      </c>
      <c r="X4" s="14">
        <f>COUNTIF(Outreach!$Z$3:$Z$1000,A4)</f>
        <v/>
      </c>
    </row>
    <row r="5">
      <c r="A5" s="11" t="inlineStr">
        <is>
          <t>Liverpool St - Attlee Centre</t>
        </is>
      </c>
      <c r="B5" s="11" t="inlineStr">
        <is>
          <t>FC Urban venue</t>
        </is>
      </c>
      <c r="C5" s="11" t="inlineStr">
        <is>
          <t>Thrawl Street, E1 6RT</t>
        </is>
      </c>
      <c r="D5" s="11" t="inlineStr">
        <is>
          <t>E1 6RT</t>
        </is>
      </c>
      <c r="E5" s="11" t="inlineStr">
        <is>
          <t>Contact required</t>
        </is>
      </c>
      <c r="F5" s="14">
        <f>COUNTIFS(Slots!$A$2:$A$46,A5,Slots!$I$2:$I$46,"Available")</f>
        <v/>
      </c>
      <c r="G5" s="15">
        <f>IF(F5=0,"",_xlfn.MINIFS(Slots!$F$2:$F$46,Slots!$A$2:$A$46,A5,Slots!$I$2:$I$46,"Available"))</f>
        <v/>
      </c>
      <c r="H5" s="14">
        <f>IFERROR(INDEX(Slots!$G$2:$G$46,MATCH(A5&amp;"#1",Slots!$R$2:$R$46,0)),"")</f>
        <v/>
      </c>
      <c r="I5" s="16">
        <f>IFERROR(INDEX(Slots!$J$2:$J$46,MATCH(A5&amp;"#1",Slots!$R$2:$R$46,0)),"")</f>
        <v/>
      </c>
      <c r="J5" s="16">
        <f>IFERROR(INDEX(Slots!$K$2:$K$46,MATCH(A5&amp;"#1",Slots!$R$2:$R$46,0)),"")</f>
        <v/>
      </c>
      <c r="K5" s="34" t="n"/>
      <c r="L5" s="35" t="n"/>
      <c r="M5" s="15">
        <f>IF(K5&lt;&gt;"",K5,G5)</f>
        <v/>
      </c>
      <c r="N5" s="14">
        <f>IF(L5&lt;&gt;"",L5,IF(H5&lt;&gt;"",H5,"5-a-side"))</f>
        <v/>
      </c>
      <c r="O5" s="11" t="inlineStr">
        <is>
          <t>unknown</t>
        </is>
      </c>
      <c r="P5" s="11" t="inlineStr">
        <is>
          <t>Attlee Youth &amp; Community Centre (direct enquiry, no online calendar found)</t>
        </is>
      </c>
      <c r="Q5" s="12" t="inlineStr">
        <is>
          <t>https://attleecentre.org/hire-our-spaces/</t>
        </is>
      </c>
      <c r="R5" s="11" t="n"/>
      <c r="S5" s="11" t="inlineStr">
        <is>
          <t>020 7375 3212</t>
        </is>
      </c>
      <c r="T5" s="11" t="inlineStr">
        <is>
          <t>admin@attleecentre.org</t>
        </is>
      </c>
      <c r="U5" s="36" t="inlineStr">
        <is>
          <t>Address: 5 Thrawl Street, London E1 6RT. Open Mon-Fri 10:00-21:00, Sat 12:00-18:00. Hire enquiry via email or phone/callback; no online calendar found.</t>
        </is>
      </c>
      <c r="V5" s="12" t="inlineStr">
        <is>
          <t>https://www.fcurban.com/locations/liverpool-st-attlee-centre</t>
        </is>
      </c>
      <c r="W5" s="14">
        <f>COUNTIF(Outreach!$W$3:$W$1000,A5)</f>
        <v/>
      </c>
      <c r="X5" s="14">
        <f>COUNTIF(Outreach!$Z$3:$Z$1000,A5)</f>
        <v/>
      </c>
    </row>
    <row r="6">
      <c r="A6" s="11" t="inlineStr">
        <is>
          <t>Old St - Moreland Primary School</t>
        </is>
      </c>
      <c r="B6" s="11" t="inlineStr">
        <is>
          <t>FC Urban venue</t>
        </is>
      </c>
      <c r="C6" s="11" t="inlineStr">
        <is>
          <t>Gard Street, EC1V 8DW</t>
        </is>
      </c>
      <c r="D6" s="11" t="inlineStr">
        <is>
          <t>EC1V 8DW</t>
        </is>
      </c>
      <c r="E6" s="11" t="inlineStr">
        <is>
          <t>Available</t>
        </is>
      </c>
      <c r="F6" s="14">
        <f>COUNTIFS(Slots!$A$2:$A$46,A6,Slots!$I$2:$I$46,"Available")</f>
        <v/>
      </c>
      <c r="G6" s="15">
        <f>IF(F6=0,"",_xlfn.MINIFS(Slots!$F$2:$F$46,Slots!$A$2:$A$46,A6,Slots!$I$2:$I$46,"Available"))</f>
        <v/>
      </c>
      <c r="H6" s="14">
        <f>IFERROR(INDEX(Slots!$G$2:$G$46,MATCH(A6&amp;"#1",Slots!$R$2:$R$46,0)),"")</f>
        <v/>
      </c>
      <c r="I6" s="16">
        <f>IFERROR(INDEX(Slots!$J$2:$J$46,MATCH(A6&amp;"#1",Slots!$R$2:$R$46,0)),"")</f>
        <v/>
      </c>
      <c r="J6" s="16">
        <f>IFERROR(INDEX(Slots!$K$2:$K$46,MATCH(A6&amp;"#1",Slots!$R$2:$R$46,0)),"")</f>
        <v/>
      </c>
      <c r="K6" s="34" t="n"/>
      <c r="L6" s="35" t="n"/>
      <c r="M6" s="15">
        <f>IF(K6&lt;&gt;"",K6,G6)</f>
        <v/>
      </c>
      <c r="N6" s="14">
        <f>IF(L6&lt;&gt;"",L6,IF(H6&lt;&gt;"",H6,"5-a-side"))</f>
        <v/>
      </c>
      <c r="O6" s="11" t="inlineStr">
        <is>
          <t>yes</t>
        </is>
      </c>
      <c r="P6" s="11" t="inlineStr">
        <is>
          <t>PlayFootball</t>
        </is>
      </c>
      <c r="Q6" s="12" t="inlineStr">
        <is>
          <t>https://www.playfootball.net/venues/old-street-moreland-school/book-a-pitch/87/6-a-side3gpitchhire</t>
        </is>
      </c>
      <c r="R6" s="11" t="n"/>
      <c r="S6" s="11" t="n"/>
      <c r="T6" s="11" t="n"/>
      <c r="U6" s="36" t="inlineStr">
        <is>
          <t>Booked via PlayFootball (playfootball.net) online system, said to open ~30 days ahead; site blocked automated access so no direct contact/phone could be confirmed. Enquiry form on playfootball.net (48hr response quoted). Address: Moreland Primary School, Gard Street/Moreland Street, London EC1V 8DW/8BB.</t>
        </is>
      </c>
      <c r="V6" s="12" t="inlineStr">
        <is>
          <t>https://www.fcurban.com/locations/old-st-moreland-primary-school</t>
        </is>
      </c>
      <c r="W6" s="14">
        <f>COUNTIF(Outreach!$W$3:$W$1000,A6)</f>
        <v/>
      </c>
      <c r="X6" s="14">
        <f>COUNTIF(Outreach!$Z$3:$Z$1000,A6)</f>
        <v/>
      </c>
    </row>
    <row r="7">
      <c r="A7" s="11" t="inlineStr">
        <is>
          <t>Poplar</t>
        </is>
      </c>
      <c r="B7" s="11" t="inlineStr">
        <is>
          <t>FC Urban venue</t>
        </is>
      </c>
      <c r="C7" s="11" t="inlineStr">
        <is>
          <t>Poplar High St, E14 0AF</t>
        </is>
      </c>
      <c r="D7" s="11" t="inlineStr">
        <is>
          <t>E14 0AF</t>
        </is>
      </c>
      <c r="E7" s="11" t="inlineStr">
        <is>
          <t>Contact required</t>
        </is>
      </c>
      <c r="F7" s="14">
        <f>COUNTIFS(Slots!$A$2:$A$46,A7,Slots!$I$2:$I$46,"Available")</f>
        <v/>
      </c>
      <c r="G7" s="15">
        <f>IF(F7=0,"",_xlfn.MINIFS(Slots!$F$2:$F$46,Slots!$A$2:$A$46,A7,Slots!$I$2:$I$46,"Available"))</f>
        <v/>
      </c>
      <c r="H7" s="14">
        <f>IFERROR(INDEX(Slots!$G$2:$G$46,MATCH(A7&amp;"#1",Slots!$R$2:$R$46,0)),"")</f>
        <v/>
      </c>
      <c r="I7" s="16">
        <f>IFERROR(INDEX(Slots!$J$2:$J$46,MATCH(A7&amp;"#1",Slots!$R$2:$R$46,0)),"")</f>
        <v/>
      </c>
      <c r="J7" s="16">
        <f>IFERROR(INDEX(Slots!$K$2:$K$46,MATCH(A7&amp;"#1",Slots!$R$2:$R$46,0)),"")</f>
        <v/>
      </c>
      <c r="K7" s="34" t="n"/>
      <c r="L7" s="35" t="n"/>
      <c r="M7" s="15">
        <f>IF(K7&lt;&gt;"",K7,G7)</f>
        <v/>
      </c>
      <c r="N7" s="14">
        <f>IF(L7&lt;&gt;"",L7,IF(H7&lt;&gt;"",H7,"5-a-side"))</f>
        <v/>
      </c>
      <c r="O7" s="11" t="n"/>
      <c r="P7" s="11" t="inlineStr">
        <is>
          <t>FC Urban (corporate enquiry - Typeform)</t>
        </is>
      </c>
      <c r="Q7" s="12" t="inlineStr">
        <is>
          <t>https://fcurban.typeform.com/to/p2vDaixk</t>
        </is>
      </c>
      <c r="R7" s="11" t="inlineStr">
        <is>
          <t>FC Urban (Urban Master: Matthias Silva)</t>
        </is>
      </c>
      <c r="S7" s="11" t="n"/>
      <c r="T7" s="11" t="n"/>
      <c r="U7" s="36" t="inlineStr">
        <is>
          <t>Corporate hire enquiry: https://fcurban.typeform.com/to/p2vDaixk. Underlying venue "The Workhouse" pitch, 116 Poplar High St E14 0AF.</t>
        </is>
      </c>
      <c r="V7" s="12" t="inlineStr">
        <is>
          <t>https://www.fcurban.com/locations/poplar</t>
        </is>
      </c>
      <c r="W7" s="14">
        <f>COUNTIF(Outreach!$W$3:$W$1000,A7)</f>
        <v/>
      </c>
      <c r="X7" s="14">
        <f>COUNTIF(Outreach!$Z$3:$Z$1000,A7)</f>
        <v/>
      </c>
    </row>
    <row r="8">
      <c r="A8" s="11" t="inlineStr">
        <is>
          <t>Shoreditch Powerleague</t>
        </is>
      </c>
      <c r="B8" s="11" t="inlineStr">
        <is>
          <t>FC Urban venue</t>
        </is>
      </c>
      <c r="C8" s="11" t="inlineStr">
        <is>
          <t>Braithwaite Street, E1 6GJ</t>
        </is>
      </c>
      <c r="D8" s="11" t="inlineStr">
        <is>
          <t>E1 6GJ</t>
        </is>
      </c>
      <c r="E8" s="11" t="inlineStr">
        <is>
          <t>Available</t>
        </is>
      </c>
      <c r="F8" s="14">
        <f>COUNTIFS(Slots!$A$2:$A$46,A8,Slots!$I$2:$I$46,"Available")</f>
        <v/>
      </c>
      <c r="G8" s="15">
        <f>IF(F8=0,"",_xlfn.MINIFS(Slots!$F$2:$F$46,Slots!$A$2:$A$46,A8,Slots!$I$2:$I$46,"Available"))</f>
        <v/>
      </c>
      <c r="H8" s="14">
        <f>IFERROR(INDEX(Slots!$G$2:$G$46,MATCH(A8&amp;"#1",Slots!$R$2:$R$46,0)),"")</f>
        <v/>
      </c>
      <c r="I8" s="16">
        <f>IFERROR(INDEX(Slots!$J$2:$J$46,MATCH(A8&amp;"#1",Slots!$R$2:$R$46,0)),"")</f>
        <v/>
      </c>
      <c r="J8" s="16">
        <f>IFERROR(INDEX(Slots!$K$2:$K$46,MATCH(A8&amp;"#1",Slots!$R$2:$R$46,0)),"")</f>
        <v/>
      </c>
      <c r="K8" s="34" t="n"/>
      <c r="L8" s="35" t="n"/>
      <c r="M8" s="15">
        <f>IF(K8&lt;&gt;"",K8,G8)</f>
        <v/>
      </c>
      <c r="N8" s="14">
        <f>IF(L8&lt;&gt;"",L8,IF(H8&lt;&gt;"",H8,"5-a-side"))</f>
        <v/>
      </c>
      <c r="O8" s="11" t="inlineStr">
        <is>
          <t>yes</t>
        </is>
      </c>
      <c r="P8" s="11" t="inlineStr">
        <is>
          <t>Powerleague official website (online booking)</t>
        </is>
      </c>
      <c r="Q8" s="12" t="inlineStr">
        <is>
          <t>https://www.powerleague.com/select-time?search_location_id=a20a54a1-3bdd-57b8-e211-6f44da11e82f&amp;search_booking_type_name=5-a-side%20Football</t>
        </is>
      </c>
      <c r="R8" s="11" t="inlineStr">
        <is>
          <t>Charlie Gordon (Club Manager)</t>
        </is>
      </c>
      <c r="S8" s="11" t="inlineStr">
        <is>
          <t>0207 749 9900</t>
        </is>
      </c>
      <c r="T8" s="11" t="inlineStr">
        <is>
          <t>shoreditch@powerleague.com</t>
        </is>
      </c>
      <c r="U8" s="36" t="inlineStr">
        <is>
          <t>Online booking at powerleague.com; bookings release approx 14 days ahead, with slots 10-14 days out shown as member-priority before opening to the public closer to the date.</t>
        </is>
      </c>
      <c r="V8" s="12" t="inlineStr">
        <is>
          <t>https://www.fcurban.com/locations/shoreditch-powerleague</t>
        </is>
      </c>
      <c r="W8" s="14">
        <f>COUNTIF(Outreach!$W$3:$W$1000,A8)</f>
        <v/>
      </c>
      <c r="X8" s="14">
        <f>COUNTIF(Outreach!$Z$3:$Z$1000,A8)</f>
        <v/>
      </c>
    </row>
    <row r="9">
      <c r="A9" s="11" t="inlineStr">
        <is>
          <t>Shoreditch Rooftop</t>
        </is>
      </c>
      <c r="B9" s="11" t="inlineStr">
        <is>
          <t>FC Urban venue</t>
        </is>
      </c>
      <c r="C9" s="11" t="inlineStr">
        <is>
          <t>Britannia Leisure Centre Pitfield Street, N1 5FT</t>
        </is>
      </c>
      <c r="D9" s="11" t="inlineStr">
        <is>
          <t>N1 5FT</t>
        </is>
      </c>
      <c r="E9" s="11" t="inlineStr">
        <is>
          <t>Available</t>
        </is>
      </c>
      <c r="F9" s="14">
        <f>COUNTIFS(Slots!$A$2:$A$46,A9,Slots!$I$2:$I$46,"Available")</f>
        <v/>
      </c>
      <c r="G9" s="15">
        <f>IF(F9=0,"",_xlfn.MINIFS(Slots!$F$2:$F$46,Slots!$A$2:$A$46,A9,Slots!$I$2:$I$46,"Available"))</f>
        <v/>
      </c>
      <c r="H9" s="14">
        <f>IFERROR(INDEX(Slots!$G$2:$G$46,MATCH(A9&amp;"#1",Slots!$R$2:$R$46,0)),"")</f>
        <v/>
      </c>
      <c r="I9" s="16">
        <f>IFERROR(INDEX(Slots!$J$2:$J$46,MATCH(A9&amp;"#1",Slots!$R$2:$R$46,0)),"")</f>
        <v/>
      </c>
      <c r="J9" s="16">
        <f>IFERROR(INDEX(Slots!$K$2:$K$46,MATCH(A9&amp;"#1",Slots!$R$2:$R$46,0)),"")</f>
        <v/>
      </c>
      <c r="K9" s="34" t="n"/>
      <c r="L9" s="35" t="n"/>
      <c r="M9" s="15">
        <f>IF(K9&lt;&gt;"",K9,G9)</f>
        <v/>
      </c>
      <c r="N9" s="14">
        <f>IF(L9&lt;&gt;"",L9,IF(H9&lt;&gt;"",H9,"5-a-side"))</f>
        <v/>
      </c>
      <c r="O9" s="11" t="inlineStr">
        <is>
          <t>yes</t>
        </is>
      </c>
      <c r="P9" s="11" t="inlineStr">
        <is>
          <t>Better (GLL)</t>
        </is>
      </c>
      <c r="Q9" s="12" t="inlineStr">
        <is>
          <t>https://bookings.better.org.uk/location/britannia-leisure-centre/3g-cage/2026-09-28/by-time</t>
        </is>
      </c>
      <c r="R9" s="11" t="inlineStr">
        <is>
          <t>Better - Britannia Leisure Centre</t>
        </is>
      </c>
      <c r="S9" s="11" t="n"/>
      <c r="T9" s="11" t="n"/>
      <c r="U9" s="36" t="inlineStr">
        <is>
          <t>Online at bookings.better.org.uk with a Better account. Slots released 6 days ahead. Ask Better about a block booking for later dates</t>
        </is>
      </c>
      <c r="V9" s="12" t="inlineStr">
        <is>
          <t>https://www.fcurban.com/locations/shoreditch-rooftop</t>
        </is>
      </c>
      <c r="W9" s="14">
        <f>COUNTIF(Outreach!$W$3:$W$1000,A9)</f>
        <v/>
      </c>
      <c r="X9" s="14">
        <f>COUNTIF(Outreach!$Z$3:$Z$1000,A9)</f>
        <v/>
      </c>
    </row>
    <row r="10">
      <c r="A10" s="11" t="inlineStr">
        <is>
          <t>St Pancras - Coram's Fields 3G</t>
        </is>
      </c>
      <c r="B10" s="11" t="inlineStr">
        <is>
          <t>FC Urban venue</t>
        </is>
      </c>
      <c r="C10" s="11" t="inlineStr">
        <is>
          <t>Brunswick Square, WC1N 1AZ</t>
        </is>
      </c>
      <c r="D10" s="11" t="inlineStr">
        <is>
          <t>WC1N 1AZ</t>
        </is>
      </c>
      <c r="E10" s="11" t="inlineStr">
        <is>
          <t>Available</t>
        </is>
      </c>
      <c r="F10" s="14">
        <f>COUNTIFS(Slots!$A$2:$A$46,A10,Slots!$I$2:$I$46,"Available")</f>
        <v/>
      </c>
      <c r="G10" s="15">
        <f>IF(F10=0,"",_xlfn.MINIFS(Slots!$F$2:$F$46,Slots!$A$2:$A$46,A10,Slots!$I$2:$I$46,"Available"))</f>
        <v/>
      </c>
      <c r="H10" s="14">
        <f>IFERROR(INDEX(Slots!$G$2:$G$46,MATCH(A10&amp;"#1",Slots!$R$2:$R$46,0)),"")</f>
        <v/>
      </c>
      <c r="I10" s="16">
        <f>IFERROR(INDEX(Slots!$J$2:$J$46,MATCH(A10&amp;"#1",Slots!$R$2:$R$46,0)),"")</f>
        <v/>
      </c>
      <c r="J10" s="16">
        <f>IFERROR(INDEX(Slots!$K$2:$K$46,MATCH(A10&amp;"#1",Slots!$R$2:$R$46,0)),"")</f>
        <v/>
      </c>
      <c r="K10" s="34" t="n"/>
      <c r="L10" s="35" t="n"/>
      <c r="M10" s="15">
        <f>IF(K10&lt;&gt;"",K10,G10)</f>
        <v/>
      </c>
      <c r="N10" s="14">
        <f>IF(L10&lt;&gt;"",L10,IF(H10&lt;&gt;"",H10,"5-a-side"))</f>
        <v/>
      </c>
      <c r="O10" s="11" t="inlineStr">
        <is>
          <t>yes</t>
        </is>
      </c>
      <c r="P10" s="11" t="inlineStr">
        <is>
          <t>Coram's Fields direct + Bookteq online widget</t>
        </is>
      </c>
      <c r="Q10" s="12" t="inlineStr">
        <is>
          <t>https://coramsfields.org/facility-hire/sport-facility-hire/</t>
        </is>
      </c>
      <c r="R10" s="11" t="n"/>
      <c r="S10" s="11" t="inlineStr">
        <is>
          <t>020 7837 6138</t>
        </is>
      </c>
      <c r="T10" s="11" t="inlineStr">
        <is>
          <t>info@coramsfields.org.uk</t>
        </is>
      </c>
      <c r="U10" s="36" t="inlineStr">
        <is>
          <t>Pitch access gate: 40 Brunswick Square, London, WC1N 1AZ (NOT the park's main Guilford Street entrance, WC1N 1DN). 3 outdoor floodlit 8-a-side 3G pitches (£145/hr evening &amp; weekend peak, £125/hr lunchtime); Pitch 3 has interchangeable 5-a-side goals. Booking queries: Playfinder, bookings@playfinder.com / 0333 300 3477.</t>
        </is>
      </c>
      <c r="V10" s="12" t="inlineStr">
        <is>
          <t>https://www.fcurban.com/locations/st-pancras-corams-fields-3g</t>
        </is>
      </c>
      <c r="W10" s="14">
        <f>COUNTIF(Outreach!$W$3:$W$1000,A10)</f>
        <v/>
      </c>
      <c r="X10" s="14">
        <f>COUNTIF(Outreach!$Z$3:$Z$1000,A10)</f>
        <v/>
      </c>
    </row>
    <row r="11">
      <c r="A11" s="11" t="inlineStr">
        <is>
          <t>Whitechapel</t>
        </is>
      </c>
      <c r="B11" s="11" t="inlineStr">
        <is>
          <t>FC Urban venue</t>
        </is>
      </c>
      <c r="C11" s="11" t="inlineStr">
        <is>
          <t>Richard St, E1 2JR</t>
        </is>
      </c>
      <c r="D11" s="11" t="inlineStr">
        <is>
          <t>E1 2JP</t>
        </is>
      </c>
      <c r="E11" s="11" t="inlineStr">
        <is>
          <t>Contact required</t>
        </is>
      </c>
      <c r="F11" s="14">
        <f>COUNTIFS(Slots!$A$2:$A$46,A11,Slots!$I$2:$I$46,"Available")</f>
        <v/>
      </c>
      <c r="G11" s="15">
        <f>IF(F11=0,"",_xlfn.MINIFS(Slots!$F$2:$F$46,Slots!$A$2:$A$46,A11,Slots!$I$2:$I$46,"Available"))</f>
        <v/>
      </c>
      <c r="H11" s="14">
        <f>IFERROR(INDEX(Slots!$G$2:$G$46,MATCH(A11&amp;"#1",Slots!$R$2:$R$46,0)),"")</f>
        <v/>
      </c>
      <c r="I11" s="16">
        <f>IFERROR(INDEX(Slots!$J$2:$J$46,MATCH(A11&amp;"#1",Slots!$R$2:$R$46,0)),"")</f>
        <v/>
      </c>
      <c r="J11" s="16">
        <f>IFERROR(INDEX(Slots!$K$2:$K$46,MATCH(A11&amp;"#1",Slots!$R$2:$R$46,0)),"")</f>
        <v/>
      </c>
      <c r="K11" s="34" t="n"/>
      <c r="L11" s="35" t="n"/>
      <c r="M11" s="15">
        <f>IF(K11&lt;&gt;"",K11,G11)</f>
        <v/>
      </c>
      <c r="N11" s="14">
        <f>IF(L11&lt;&gt;"",L11,IF(H11&lt;&gt;"",H11,"5-a-side"))</f>
        <v/>
      </c>
      <c r="O11" s="11" t="inlineStr">
        <is>
          <t>yes</t>
        </is>
      </c>
      <c r="P11" s="11" t="inlineStr">
        <is>
          <t>Mulberry Sports &amp; Leisure Centre (Parkwood Leisure)</t>
        </is>
      </c>
      <c r="Q11" s="12" t="inlineStr">
        <is>
          <t>https://pitchbooking.com/partners/MULBERRYSPORTSLEISURECENTRE</t>
        </is>
      </c>
      <c r="R11" s="11" t="inlineStr">
        <is>
          <t>Mulberry Sports &amp; Leisure Centre reception</t>
        </is>
      </c>
      <c r="S11" s="11" t="inlineStr">
        <is>
          <t>02077903854</t>
        </is>
      </c>
      <c r="T11" s="11" t="n"/>
      <c r="U11" s="36" t="inlineStr">
        <is>
          <t>Address: Richard Street, Tower Hamlets, London E1 2JP. Opening hours Mon-Fri 06:00-22:00, Sat-Sun 09:00-18:00. Powerleague Aldgate East franchise at same site: enquiries@powerleague.com / 0800 567 0757 (booking page not verified this session).</t>
        </is>
      </c>
      <c r="V11" s="12" t="inlineStr">
        <is>
          <t>https://www.fcurban.com/locations/whitechapel</t>
        </is>
      </c>
      <c r="W11" s="14">
        <f>COUNTIF(Outreach!$W$3:$W$1000,A11)</f>
        <v/>
      </c>
      <c r="X11" s="14">
        <f>COUNTIF(Outreach!$Z$3:$Z$1000,A11)</f>
        <v/>
      </c>
    </row>
    <row r="12">
      <c r="A12" s="11" t="inlineStr">
        <is>
          <t>PlayFootball Canary Wharf - Westferry (E14 8HH)</t>
        </is>
      </c>
      <c r="B12" s="11" t="inlineStr">
        <is>
          <t>Other bookable pitch</t>
        </is>
      </c>
      <c r="C12" s="11" t="n"/>
      <c r="D12" s="11" t="inlineStr">
        <is>
          <t>E14 8HH</t>
        </is>
      </c>
      <c r="E12" s="11" t="inlineStr">
        <is>
          <t>Contact required</t>
        </is>
      </c>
      <c r="F12" s="14">
        <f>COUNTIFS(Slots!$A$2:$A$46,A12,Slots!$I$2:$I$46,"Available")</f>
        <v/>
      </c>
      <c r="G12" s="15">
        <f>IF(F12=0,"",_xlfn.MINIFS(Slots!$F$2:$F$46,Slots!$A$2:$A$46,A12,Slots!$I$2:$I$46,"Available"))</f>
        <v/>
      </c>
      <c r="H12" s="14">
        <f>IFERROR(INDEX(Slots!$G$2:$G$46,MATCH(A12&amp;"#1",Slots!$R$2:$R$46,0)),"")</f>
        <v/>
      </c>
      <c r="I12" s="16">
        <f>IFERROR(INDEX(Slots!$J$2:$J$46,MATCH(A12&amp;"#1",Slots!$R$2:$R$46,0)),"")</f>
        <v/>
      </c>
      <c r="J12" s="16">
        <f>IFERROR(INDEX(Slots!$K$2:$K$46,MATCH(A12&amp;"#1",Slots!$R$2:$R$46,0)),"")</f>
        <v/>
      </c>
      <c r="K12" s="34" t="n"/>
      <c r="L12" s="35" t="n"/>
      <c r="M12" s="15">
        <f>IF(K12&lt;&gt;"",K12,G12)</f>
        <v/>
      </c>
      <c r="N12" s="14">
        <f>IF(L12&lt;&gt;"",L12,IF(H12&lt;&gt;"",H12,"5-a-side"))</f>
        <v/>
      </c>
      <c r="O12" s="11" t="n"/>
      <c r="P12" s="11" t="inlineStr">
        <is>
          <t>PlayFootball.net</t>
        </is>
      </c>
      <c r="Q12" s="12" t="inlineStr">
        <is>
          <t>https://www.playfootball.net/venues/canary-wharf/book-a-pitch/85/5-a-side3gpitchhire</t>
        </is>
      </c>
      <c r="R12" s="11" t="n"/>
      <c r="S12" s="11" t="n"/>
      <c r="T12" s="11" t="n"/>
      <c r="U12" s="36" t="inlineStr">
        <is>
          <t>Address: Cyril Jackson Primary School (North Building), 51 Three Colt Street, Limehouse Causeway, London E14 8HH. Booking site: https://www.playfootball.net/venues/canary-wharf/book-a-pitch/85/5-a-side3gpitchhire (returned 403 to automated access this session - browse directly for live slots/price/cancellation terms).</t>
        </is>
      </c>
      <c r="V12" s="11" t="n"/>
      <c r="W12" s="14">
        <f>COUNTIF(Outreach!$W$3:$W$1000,A12)</f>
        <v/>
      </c>
      <c r="X12" s="14">
        <f>COUNTIF(Outreach!$Z$3:$Z$1000,A12)</f>
        <v/>
      </c>
    </row>
    <row r="13">
      <c r="A13" s="11" t="inlineStr">
        <is>
          <t>Fives Dockland Centre (E14 9GW)</t>
        </is>
      </c>
      <c r="B13" s="11" t="inlineStr">
        <is>
          <t>Other bookable pitch</t>
        </is>
      </c>
      <c r="C13" s="11" t="n"/>
      <c r="D13" s="11" t="inlineStr">
        <is>
          <t>E14 9GW</t>
        </is>
      </c>
      <c r="E13" s="11" t="inlineStr">
        <is>
          <t>Contact required</t>
        </is>
      </c>
      <c r="F13" s="14">
        <f>COUNTIFS(Slots!$A$2:$A$46,A13,Slots!$I$2:$I$46,"Available")</f>
        <v/>
      </c>
      <c r="G13" s="15">
        <f>IF(F13=0,"",_xlfn.MINIFS(Slots!$F$2:$F$46,Slots!$A$2:$A$46,A13,Slots!$I$2:$I$46,"Available"))</f>
        <v/>
      </c>
      <c r="H13" s="14">
        <f>IFERROR(INDEX(Slots!$G$2:$G$46,MATCH(A13&amp;"#1",Slots!$R$2:$R$46,0)),"")</f>
        <v/>
      </c>
      <c r="I13" s="16">
        <f>IFERROR(INDEX(Slots!$J$2:$J$46,MATCH(A13&amp;"#1",Slots!$R$2:$R$46,0)),"")</f>
        <v/>
      </c>
      <c r="J13" s="16">
        <f>IFERROR(INDEX(Slots!$K$2:$K$46,MATCH(A13&amp;"#1",Slots!$R$2:$R$46,0)),"")</f>
        <v/>
      </c>
      <c r="K13" s="34" t="n"/>
      <c r="L13" s="35" t="n"/>
      <c r="M13" s="15">
        <f>IF(K13&lt;&gt;"",K13,G13)</f>
        <v/>
      </c>
      <c r="N13" s="14">
        <f>IF(L13&lt;&gt;"",L13,IF(H13&lt;&gt;"",H13,"5-a-side"))</f>
        <v/>
      </c>
      <c r="O13" s="11" t="n"/>
      <c r="P13" s="11" t="inlineStr">
        <is>
          <t>football5s.com (Fives)</t>
        </is>
      </c>
      <c r="Q13" s="12" t="inlineStr">
        <is>
          <t>https://www.football5s.com/docklands/</t>
        </is>
      </c>
      <c r="R13" s="11" t="n"/>
      <c r="S13" s="11" t="n"/>
      <c r="T13" s="11" t="n"/>
      <c r="U13" s="36" t="inlineStr">
        <is>
          <t>Address: Selsdon Way, City Harbour NCP, Tower Hamlets, London E14 9GW. Rooftop + indoor 5-a-side centre. Site: https://www.football5s.com/docklands/ - booking mechanics on a separate "how it works" page not reached this session; no direct phone/email captured.</t>
        </is>
      </c>
      <c r="V13" s="11" t="n"/>
      <c r="W13" s="14">
        <f>COUNTIF(Outreach!$W$3:$W$1000,A13)</f>
        <v/>
      </c>
      <c r="X13" s="14">
        <f>COUNTIF(Outreach!$Z$3:$Z$1000,A13)</f>
        <v/>
      </c>
    </row>
    <row r="14">
      <c r="A14" s="11" t="inlineStr">
        <is>
          <t>City of London School (EC4V 3AL)</t>
        </is>
      </c>
      <c r="B14" s="11" t="inlineStr">
        <is>
          <t>Other bookable pitch</t>
        </is>
      </c>
      <c r="C14" s="11" t="n"/>
      <c r="D14" s="11" t="inlineStr">
        <is>
          <t>EC4V 3AL</t>
        </is>
      </c>
      <c r="E14" s="11" t="inlineStr">
        <is>
          <t>Available</t>
        </is>
      </c>
      <c r="F14" s="14">
        <f>COUNTIFS(Slots!$A$2:$A$46,A14,Slots!$I$2:$I$46,"Available")</f>
        <v/>
      </c>
      <c r="G14" s="15">
        <f>IF(F14=0,"",_xlfn.MINIFS(Slots!$F$2:$F$46,Slots!$A$2:$A$46,A14,Slots!$I$2:$I$46,"Available"))</f>
        <v/>
      </c>
      <c r="H14" s="14">
        <f>IFERROR(INDEX(Slots!$G$2:$G$46,MATCH(A14&amp;"#1",Slots!$R$2:$R$46,0)),"")</f>
        <v/>
      </c>
      <c r="I14" s="16">
        <f>IFERROR(INDEX(Slots!$J$2:$J$46,MATCH(A14&amp;"#1",Slots!$R$2:$R$46,0)),"")</f>
        <v/>
      </c>
      <c r="J14" s="16">
        <f>IFERROR(INDEX(Slots!$K$2:$K$46,MATCH(A14&amp;"#1",Slots!$R$2:$R$46,0)),"")</f>
        <v/>
      </c>
      <c r="K14" s="34" t="n"/>
      <c r="L14" s="35" t="n"/>
      <c r="M14" s="15">
        <f>IF(K14&lt;&gt;"",K14,G14)</f>
        <v/>
      </c>
      <c r="N14" s="14">
        <f>IF(L14&lt;&gt;"",L14,IF(H14&lt;&gt;"",H14,"5-a-side"))</f>
        <v/>
      </c>
      <c r="O14" s="11" t="inlineStr">
        <is>
          <t>yes</t>
        </is>
      </c>
      <c r="P14" s="11" t="inlineStr">
        <is>
          <t>SchoolHire</t>
        </is>
      </c>
      <c r="Q14" s="12" t="inlineStr">
        <is>
          <t>https://schoolhire.co.uk/london-city-of-london/cityoflondonmain/football-pitch/26084</t>
        </is>
      </c>
      <c r="R14" s="11" t="n"/>
      <c r="S14" s="11" t="inlineStr">
        <is>
          <t>020 3680 6300</t>
        </is>
      </c>
      <c r="T14" s="11" t="inlineStr">
        <is>
          <t>enquiries@cityoflondonschool.org.uk</t>
        </is>
      </c>
      <c r="U14" s="36" t="inlineStr">
        <is>
          <t>107 Queen Victoria Street, London, EC4V 3AL. Sport England-spec all-weather 4G pitch (5/7/9-a-side, £165/hr weekday) and Sport England-spec sports hall (£115/hr weekday), both hireable Mon-Fri 18:00-22:00 in term time (extended hours in holidays); changing/showers available on request.</t>
        </is>
      </c>
      <c r="V14" s="11" t="n"/>
      <c r="W14" s="14">
        <f>COUNTIF(Outreach!$W$3:$W$1000,A14)</f>
        <v/>
      </c>
      <c r="X14" s="14">
        <f>COUNTIF(Outreach!$Z$3:$Z$1000,A14)</f>
        <v/>
      </c>
    </row>
    <row r="15">
      <c r="A15" s="11" t="inlineStr">
        <is>
          <t>Marlborough Sports Garden (SE1 1SD)</t>
        </is>
      </c>
      <c r="B15" s="11" t="inlineStr">
        <is>
          <t>Other bookable pitch</t>
        </is>
      </c>
      <c r="C15" s="11" t="n"/>
      <c r="D15" s="11" t="inlineStr">
        <is>
          <t>SE1 1SD</t>
        </is>
      </c>
      <c r="E15" s="11" t="inlineStr">
        <is>
          <t>Contact required</t>
        </is>
      </c>
      <c r="F15" s="14">
        <f>COUNTIFS(Slots!$A$2:$A$46,A15,Slots!$I$2:$I$46,"Available")</f>
        <v/>
      </c>
      <c r="G15" s="15">
        <f>IF(F15=0,"",_xlfn.MINIFS(Slots!$F$2:$F$46,Slots!$A$2:$A$46,A15,Slots!$I$2:$I$46,"Available"))</f>
        <v/>
      </c>
      <c r="H15" s="14">
        <f>IFERROR(INDEX(Slots!$G$2:$G$46,MATCH(A15&amp;"#1",Slots!$R$2:$R$46,0)),"")</f>
        <v/>
      </c>
      <c r="I15" s="16">
        <f>IFERROR(INDEX(Slots!$J$2:$J$46,MATCH(A15&amp;"#1",Slots!$R$2:$R$46,0)),"")</f>
        <v/>
      </c>
      <c r="J15" s="16">
        <f>IFERROR(INDEX(Slots!$K$2:$K$46,MATCH(A15&amp;"#1",Slots!$R$2:$R$46,0)),"")</f>
        <v/>
      </c>
      <c r="K15" s="34" t="n"/>
      <c r="L15" s="35" t="n"/>
      <c r="M15" s="15">
        <f>IF(K15&lt;&gt;"",K15,G15)</f>
        <v/>
      </c>
      <c r="N15" s="14">
        <f>IF(L15&lt;&gt;"",L15,IF(H15&lt;&gt;"",H15,"5-a-side"))</f>
        <v/>
      </c>
      <c r="O15" s="11" t="inlineStr">
        <is>
          <t>yes</t>
        </is>
      </c>
      <c r="P15" s="11" t="inlineStr">
        <is>
          <t>PlayFootball / Bankside Open Spaces Trust</t>
        </is>
      </c>
      <c r="Q15" s="12" t="inlineStr">
        <is>
          <t>https://www.playfootball.net/venues/marlborough-sports-garden/book-a-pitch</t>
        </is>
      </c>
      <c r="R15" s="11" t="inlineStr">
        <is>
          <t>Jack (Bankside Open Spaces Trust)</t>
        </is>
      </c>
      <c r="S15" s="11" t="inlineStr">
        <is>
          <t>020 7403 3393</t>
        </is>
      </c>
      <c r="T15" s="11" t="inlineStr">
        <is>
          <t>jack@bost.org.uk</t>
        </is>
      </c>
      <c r="U15" s="36" t="inlineStr">
        <is>
          <t>11-25 Union Street, London, SE1 1SD. Managed by Bankside Open Spaces Trust (BOST); outdoor floodlit 3G pitch, open 08:00-21:00 daily but closed to general adult hire Mon-Fri 15:00-17:30 (school priority use).</t>
        </is>
      </c>
      <c r="V15" s="11" t="n"/>
      <c r="W15" s="14">
        <f>COUNTIF(Outreach!$W$3:$W$1000,A15)</f>
        <v/>
      </c>
      <c r="X15" s="14">
        <f>COUNTIF(Outreach!$Z$3:$Z$1000,A15)</f>
        <v/>
      </c>
    </row>
    <row r="16">
      <c r="A16" s="11" t="inlineStr">
        <is>
          <t>Angel Centre (EC1V 7DD)</t>
        </is>
      </c>
      <c r="B16" s="11" t="inlineStr">
        <is>
          <t>Other bookable pitch</t>
        </is>
      </c>
      <c r="C16" s="11" t="n"/>
      <c r="D16" s="11" t="inlineStr">
        <is>
          <t>EC1V 7DD</t>
        </is>
      </c>
      <c r="E16" s="11" t="inlineStr">
        <is>
          <t>Contact required</t>
        </is>
      </c>
      <c r="F16" s="14">
        <f>COUNTIFS(Slots!$A$2:$A$46,A16,Slots!$I$2:$I$46,"Available")</f>
        <v/>
      </c>
      <c r="G16" s="15">
        <f>IF(F16=0,"",_xlfn.MINIFS(Slots!$F$2:$F$46,Slots!$A$2:$A$46,A16,Slots!$I$2:$I$46,"Available"))</f>
        <v/>
      </c>
      <c r="H16" s="14">
        <f>IFERROR(INDEX(Slots!$G$2:$G$46,MATCH(A16&amp;"#1",Slots!$R$2:$R$46,0)),"")</f>
        <v/>
      </c>
      <c r="I16" s="16">
        <f>IFERROR(INDEX(Slots!$J$2:$J$46,MATCH(A16&amp;"#1",Slots!$R$2:$R$46,0)),"")</f>
        <v/>
      </c>
      <c r="J16" s="16">
        <f>IFERROR(INDEX(Slots!$K$2:$K$46,MATCH(A16&amp;"#1",Slots!$R$2:$R$46,0)),"")</f>
        <v/>
      </c>
      <c r="K16" s="34" t="n"/>
      <c r="L16" s="35" t="n"/>
      <c r="M16" s="15">
        <f>IF(K16&lt;&gt;"",K16,G16)</f>
        <v/>
      </c>
      <c r="N16" s="14">
        <f>IF(L16&lt;&gt;"",L16,IF(H16&lt;&gt;"",H16,"5-a-side"))</f>
        <v/>
      </c>
      <c r="O16" s="11" t="inlineStr">
        <is>
          <t>unknown</t>
        </is>
      </c>
      <c r="P16" s="11" t="inlineStr">
        <is>
          <t>SchoolHire</t>
        </is>
      </c>
      <c r="Q16" s="12" t="inlineStr">
        <is>
          <t>https://schoolhire.co.uk/london-islington/angelcentre/football/35397</t>
        </is>
      </c>
      <c r="R16" s="11" t="n"/>
      <c r="S16" s="11" t="inlineStr">
        <is>
          <t>020 7832 5000</t>
        </is>
      </c>
      <c r="T16" s="11" t="n"/>
      <c r="U16" s="36" t="inlineStr">
        <is>
          <t>311-321 Goswell Road, Angel, London, EC1V 7DD (Capital City College site). Outdoor 5-a-side/7-a-side pitch; weekday hourly rate £64 peak / £25 off-peak. Lettings open 7 days a week in term time with extended hours in holidays.</t>
        </is>
      </c>
      <c r="V16" s="11" t="n"/>
      <c r="W16" s="14">
        <f>COUNTIF(Outreach!$W$3:$W$1000,A16)</f>
        <v/>
      </c>
      <c r="X16" s="14">
        <f>COUNTIF(Outreach!$Z$3:$Z$1000,A16)</f>
        <v/>
      </c>
    </row>
    <row r="17">
      <c r="A17" s="11" t="inlineStr">
        <is>
          <t>Finsbury Leisure Centre (EC1V 3PU)</t>
        </is>
      </c>
      <c r="B17" s="11" t="inlineStr">
        <is>
          <t>Other bookable pitch</t>
        </is>
      </c>
      <c r="C17" s="11" t="n"/>
      <c r="D17" s="11" t="inlineStr">
        <is>
          <t>EC1V 3PU</t>
        </is>
      </c>
      <c r="E17" s="11" t="inlineStr">
        <is>
          <t>Contact required</t>
        </is>
      </c>
      <c r="F17" s="14">
        <f>COUNTIFS(Slots!$A$2:$A$46,A17,Slots!$I$2:$I$46,"Available")</f>
        <v/>
      </c>
      <c r="G17" s="15">
        <f>IF(F17=0,"",_xlfn.MINIFS(Slots!$F$2:$F$46,Slots!$A$2:$A$46,A17,Slots!$I$2:$I$46,"Available"))</f>
        <v/>
      </c>
      <c r="H17" s="14">
        <f>IFERROR(INDEX(Slots!$G$2:$G$46,MATCH(A17&amp;"#1",Slots!$R$2:$R$46,0)),"")</f>
        <v/>
      </c>
      <c r="I17" s="16">
        <f>IFERROR(INDEX(Slots!$J$2:$J$46,MATCH(A17&amp;"#1",Slots!$R$2:$R$46,0)),"")</f>
        <v/>
      </c>
      <c r="J17" s="16">
        <f>IFERROR(INDEX(Slots!$K$2:$K$46,MATCH(A17&amp;"#1",Slots!$R$2:$R$46,0)),"")</f>
        <v/>
      </c>
      <c r="K17" s="34" t="n"/>
      <c r="L17" s="35" t="n"/>
      <c r="M17" s="15">
        <f>IF(K17&lt;&gt;"",K17,G17)</f>
        <v/>
      </c>
      <c r="N17" s="14">
        <f>IF(L17&lt;&gt;"",L17,IF(H17&lt;&gt;"",H17,"5-a-side"))</f>
        <v/>
      </c>
      <c r="O17" s="11" t="inlineStr">
        <is>
          <t>yes</t>
        </is>
      </c>
      <c r="P17" s="11" t="inlineStr">
        <is>
          <t>Better/GLL</t>
        </is>
      </c>
      <c r="Q17" s="12" t="inlineStr">
        <is>
          <t>https://www.better.org.uk/leisure-centre/london/islington/finsbury/timetable</t>
        </is>
      </c>
      <c r="R17" s="11" t="n"/>
      <c r="S17" s="11" t="inlineStr">
        <is>
          <t>020 7250 1303</t>
        </is>
      </c>
      <c r="T17" s="11" t="inlineStr">
        <is>
          <t>finsburyleisurecentre@gll.org</t>
        </is>
      </c>
      <c r="U17" s="36" t="inlineStr">
        <is>
          <t>Norman Street, Islington, London, EC1V 3PU. 4 outdoor 3G pitches bookable as shared pay-and-play 5-a-side sessions (45/60 min); also has an indoor sports hall (badminton/basketball/pickleball) and squash courts; no gym or pool at this site.</t>
        </is>
      </c>
      <c r="V17" s="11" t="n"/>
      <c r="W17" s="14">
        <f>COUNTIF(Outreach!$W$3:$W$1000,A17)</f>
        <v/>
      </c>
      <c r="X17" s="14">
        <f>COUNTIF(Outreach!$Z$3:$Z$1000,A17)</f>
        <v/>
      </c>
    </row>
  </sheetData>
  <autoFilter ref="A1:X17"/>
  <dataValidations count="1">
    <dataValidation sqref="L2:L17" showDropDown="0" showInputMessage="0" showErrorMessage="0" allowBlank="1" type="list">
      <formula1>"5-a-side,6-a-side,7-a-side,8-a-side,9-a-side,11-a-side"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V2" r:id="rId2"/>
    <hyperlink xmlns:r="http://schemas.openxmlformats.org/officeDocument/2006/relationships" ref="Q3" r:id="rId3"/>
    <hyperlink xmlns:r="http://schemas.openxmlformats.org/officeDocument/2006/relationships" ref="V3" r:id="rId4"/>
    <hyperlink xmlns:r="http://schemas.openxmlformats.org/officeDocument/2006/relationships" ref="Q4" r:id="rId5"/>
    <hyperlink xmlns:r="http://schemas.openxmlformats.org/officeDocument/2006/relationships" ref="V4" r:id="rId6"/>
    <hyperlink xmlns:r="http://schemas.openxmlformats.org/officeDocument/2006/relationships" ref="Q5" r:id="rId7"/>
    <hyperlink xmlns:r="http://schemas.openxmlformats.org/officeDocument/2006/relationships" ref="V5" r:id="rId8"/>
    <hyperlink xmlns:r="http://schemas.openxmlformats.org/officeDocument/2006/relationships" ref="Q6" r:id="rId9"/>
    <hyperlink xmlns:r="http://schemas.openxmlformats.org/officeDocument/2006/relationships" ref="V6" r:id="rId10"/>
    <hyperlink xmlns:r="http://schemas.openxmlformats.org/officeDocument/2006/relationships" ref="Q7" r:id="rId11"/>
    <hyperlink xmlns:r="http://schemas.openxmlformats.org/officeDocument/2006/relationships" ref="V7" r:id="rId12"/>
    <hyperlink xmlns:r="http://schemas.openxmlformats.org/officeDocument/2006/relationships" ref="Q8" r:id="rId13"/>
    <hyperlink xmlns:r="http://schemas.openxmlformats.org/officeDocument/2006/relationships" ref="V8" r:id="rId14"/>
    <hyperlink xmlns:r="http://schemas.openxmlformats.org/officeDocument/2006/relationships" ref="Q9" r:id="rId15"/>
    <hyperlink xmlns:r="http://schemas.openxmlformats.org/officeDocument/2006/relationships" ref="V9" r:id="rId16"/>
    <hyperlink xmlns:r="http://schemas.openxmlformats.org/officeDocument/2006/relationships" ref="Q10" r:id="rId17"/>
    <hyperlink xmlns:r="http://schemas.openxmlformats.org/officeDocument/2006/relationships" ref="V10" r:id="rId18"/>
    <hyperlink xmlns:r="http://schemas.openxmlformats.org/officeDocument/2006/relationships" ref="Q11" r:id="rId19"/>
    <hyperlink xmlns:r="http://schemas.openxmlformats.org/officeDocument/2006/relationships" ref="V11" r:id="rId20"/>
    <hyperlink xmlns:r="http://schemas.openxmlformats.org/officeDocument/2006/relationships" ref="Q12" r:id="rId21"/>
    <hyperlink xmlns:r="http://schemas.openxmlformats.org/officeDocument/2006/relationships" ref="Q13" r:id="rId22"/>
    <hyperlink xmlns:r="http://schemas.openxmlformats.org/officeDocument/2006/relationships" ref="Q14" r:id="rId23"/>
    <hyperlink xmlns:r="http://schemas.openxmlformats.org/officeDocument/2006/relationships" ref="Q15" r:id="rId24"/>
    <hyperlink xmlns:r="http://schemas.openxmlformats.org/officeDocument/2006/relationships" ref="Q16" r:id="rId25"/>
    <hyperlink xmlns:r="http://schemas.openxmlformats.org/officeDocument/2006/relationships" ref="Q17" r:id="rId26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8" t="inlineStr">
        <is>
          <t>Totals</t>
        </is>
      </c>
    </row>
    <row r="3">
      <c r="A3" s="21" t="inlineStr">
        <is>
          <t>Companies by segment and area</t>
        </is>
      </c>
    </row>
    <row r="4">
      <c r="A4" s="20" t="inlineStr">
        <is>
          <t>Segment</t>
        </is>
      </c>
      <c r="B4" s="20" t="inlineStr">
        <is>
          <t>City of London</t>
        </is>
      </c>
      <c r="C4" s="20" t="inlineStr">
        <is>
          <t>Canary Wharf</t>
        </is>
      </c>
      <c r="D4" s="20" t="inlineStr">
        <is>
          <t>Total</t>
        </is>
      </c>
    </row>
    <row r="5">
      <c r="A5" s="19" t="inlineStr">
        <is>
          <t>Law firm</t>
        </is>
      </c>
      <c r="B5" s="19">
        <f>COUNTIFS(Outreach!$C$3:$C$1000,$A5,Outreach!$D$3:$D$1000,"City of London")</f>
        <v/>
      </c>
      <c r="C5" s="19">
        <f>COUNTIFS(Outreach!$C$3:$C$1000,$A5,Outreach!$D$3:$D$1000,"Canary Wharf")</f>
        <v/>
      </c>
      <c r="D5" s="19">
        <f>COUNTIF(Outreach!$C$3:$C$1000,$A5)</f>
        <v/>
      </c>
    </row>
    <row r="6">
      <c r="A6" s="19" t="inlineStr">
        <is>
          <t>Bank</t>
        </is>
      </c>
      <c r="B6" s="19">
        <f>COUNTIFS(Outreach!$C$3:$C$1000,$A6,Outreach!$D$3:$D$1000,"City of London")</f>
        <v/>
      </c>
      <c r="C6" s="19">
        <f>COUNTIFS(Outreach!$C$3:$C$1000,$A6,Outreach!$D$3:$D$1000,"Canary Wharf")</f>
        <v/>
      </c>
      <c r="D6" s="19">
        <f>COUNTIF(Outreach!$C$3:$C$1000,$A6)</f>
        <v/>
      </c>
    </row>
    <row r="7">
      <c r="A7" s="19" t="inlineStr">
        <is>
          <t>Public / state-owned bank</t>
        </is>
      </c>
      <c r="B7" s="19">
        <f>COUNTIFS(Outreach!$C$3:$C$1000,$A7,Outreach!$D$3:$D$1000,"City of London")</f>
        <v/>
      </c>
      <c r="C7" s="19">
        <f>COUNTIFS(Outreach!$C$3:$C$1000,$A7,Outreach!$D$3:$D$1000,"Canary Wharf")</f>
        <v/>
      </c>
      <c r="D7" s="19">
        <f>COUNTIF(Outreach!$C$3:$C$1000,$A7)</f>
        <v/>
      </c>
    </row>
    <row r="8">
      <c r="A8" s="19" t="inlineStr">
        <is>
          <t>Private bank</t>
        </is>
      </c>
      <c r="B8" s="19">
        <f>COUNTIFS(Outreach!$C$3:$C$1000,$A8,Outreach!$D$3:$D$1000,"City of London")</f>
        <v/>
      </c>
      <c r="C8" s="19">
        <f>COUNTIFS(Outreach!$C$3:$C$1000,$A8,Outreach!$D$3:$D$1000,"Canary Wharf")</f>
        <v/>
      </c>
      <c r="D8" s="19">
        <f>COUNTIF(Outreach!$C$3:$C$1000,$A8)</f>
        <v/>
      </c>
    </row>
    <row r="9">
      <c r="A9" s="19" t="inlineStr">
        <is>
          <t>Fund administrator</t>
        </is>
      </c>
      <c r="B9" s="19">
        <f>COUNTIFS(Outreach!$C$3:$C$1000,$A9,Outreach!$D$3:$D$1000,"City of London")</f>
        <v/>
      </c>
      <c r="C9" s="19">
        <f>COUNTIFS(Outreach!$C$3:$C$1000,$A9,Outreach!$D$3:$D$1000,"Canary Wharf")</f>
        <v/>
      </c>
      <c r="D9" s="19">
        <f>COUNTIF(Outreach!$C$3:$C$1000,$A9)</f>
        <v/>
      </c>
    </row>
    <row r="10">
      <c r="A10" s="19" t="inlineStr">
        <is>
          <t>Fund / asset manager</t>
        </is>
      </c>
      <c r="B10" s="19">
        <f>COUNTIFS(Outreach!$C$3:$C$1000,$A10,Outreach!$D$3:$D$1000,"City of London")</f>
        <v/>
      </c>
      <c r="C10" s="19">
        <f>COUNTIFS(Outreach!$C$3:$C$1000,$A10,Outreach!$D$3:$D$1000,"Canary Wharf")</f>
        <v/>
      </c>
      <c r="D10" s="19">
        <f>COUNTIF(Outreach!$C$3:$C$1000,$A10)</f>
        <v/>
      </c>
    </row>
    <row r="11">
      <c r="A11" s="19" t="inlineStr">
        <is>
          <t>Insurance / broker</t>
        </is>
      </c>
      <c r="B11" s="19">
        <f>COUNTIFS(Outreach!$C$3:$C$1000,$A11,Outreach!$D$3:$D$1000,"City of London")</f>
        <v/>
      </c>
      <c r="C11" s="19">
        <f>COUNTIFS(Outreach!$C$3:$C$1000,$A11,Outreach!$D$3:$D$1000,"Canary Wharf")</f>
        <v/>
      </c>
      <c r="D11" s="19">
        <f>COUNTIF(Outreach!$C$3:$C$1000,$A11)</f>
        <v/>
      </c>
    </row>
    <row r="12">
      <c r="A12" s="19" t="inlineStr">
        <is>
          <t>Advisory / accountancy</t>
        </is>
      </c>
      <c r="B12" s="19">
        <f>COUNTIFS(Outreach!$C$3:$C$1000,$A12,Outreach!$D$3:$D$1000,"City of London")</f>
        <v/>
      </c>
      <c r="C12" s="19">
        <f>COUNTIFS(Outreach!$C$3:$C$1000,$A12,Outreach!$D$3:$D$1000,"Canary Wharf")</f>
        <v/>
      </c>
      <c r="D12" s="19">
        <f>COUNTIF(Outreach!$C$3:$C$1000,$A12)</f>
        <v/>
      </c>
    </row>
    <row r="13">
      <c r="A13" s="21" t="inlineStr">
        <is>
          <t>Total</t>
        </is>
      </c>
      <c r="B13" s="21">
        <f>SUM(B5:B12)</f>
        <v/>
      </c>
      <c r="C13" s="21">
        <f>SUM(C5:C12)</f>
        <v/>
      </c>
      <c r="D13" s="21">
        <f>SUM(D5:D12)</f>
        <v/>
      </c>
    </row>
    <row r="15">
      <c r="A15" s="21" t="inlineStr">
        <is>
          <t>Companies by priority</t>
        </is>
      </c>
    </row>
    <row r="16">
      <c r="A16" s="20" t="inlineStr"/>
      <c r="B16" s="20" t="inlineStr">
        <is>
          <t>Companies</t>
        </is>
      </c>
    </row>
    <row r="17">
      <c r="A17" s="19" t="n">
        <v>1</v>
      </c>
      <c r="B17" s="19">
        <f>COUNTIF(Outreach!$B$3:$B$1000,A17)</f>
        <v/>
      </c>
    </row>
    <row r="18">
      <c r="A18" s="19" t="n">
        <v>2</v>
      </c>
      <c r="B18" s="19">
        <f>COUNTIF(Outreach!$B$3:$B$1000,A18)</f>
        <v/>
      </c>
    </row>
    <row r="19">
      <c r="A19" s="19" t="n">
        <v>3</v>
      </c>
      <c r="B19" s="19">
        <f>COUNTIF(Outreach!$B$3:$B$1000,A19)</f>
        <v/>
      </c>
    </row>
    <row r="20">
      <c r="A20" s="21" t="inlineStr">
        <is>
          <t>Total</t>
        </is>
      </c>
      <c r="B20" s="21">
        <f>SUM(B17:B19)</f>
        <v/>
      </c>
    </row>
    <row r="22">
      <c r="A22" s="21" t="inlineStr">
        <is>
          <t>Email found</t>
        </is>
      </c>
    </row>
    <row r="23">
      <c r="A23" s="20" t="inlineStr"/>
      <c r="B23" s="20" t="inlineStr">
        <is>
          <t>Companies</t>
        </is>
      </c>
    </row>
    <row r="24">
      <c r="A24" s="19" t="inlineStr">
        <is>
          <t>general</t>
        </is>
      </c>
      <c r="B24" s="19">
        <f>COUNTIF(Outreach!$I$3:$I$1000,A24)</f>
        <v/>
      </c>
    </row>
    <row r="25">
      <c r="A25" s="19" t="inlineStr">
        <is>
          <t>role (other)</t>
        </is>
      </c>
      <c r="B25" s="19">
        <f>COUNTIF(Outreach!$I$3:$I$1000,A25)</f>
        <v/>
      </c>
    </row>
    <row r="26">
      <c r="A26" s="19" t="inlineStr">
        <is>
          <t>named person</t>
        </is>
      </c>
      <c r="B26" s="19">
        <f>COUNTIF(Outreach!$I$3:$I$1000,A26)</f>
        <v/>
      </c>
    </row>
    <row r="27">
      <c r="A27" s="19" t="inlineStr">
        <is>
          <t>privacy / compliance</t>
        </is>
      </c>
      <c r="B27" s="19">
        <f>COUNTIF(Outreach!$I$3:$I$1000,A27)</f>
        <v/>
      </c>
    </row>
    <row r="28">
      <c r="A28" s="19" t="inlineStr">
        <is>
          <t>Not found</t>
        </is>
      </c>
      <c r="B28" s="19">
        <f>COUNTIF(Outreach!$I$3:$I$1000,A28)</f>
        <v/>
      </c>
    </row>
    <row r="29">
      <c r="A29" s="21" t="inlineStr">
        <is>
          <t>Total</t>
        </is>
      </c>
      <c r="B29" s="21">
        <f>SUM(B24:B28)</f>
        <v/>
      </c>
    </row>
    <row r="31">
      <c r="A31" s="21" t="inlineStr">
        <is>
          <t>Companies by lead-with pitch</t>
        </is>
      </c>
    </row>
    <row r="32">
      <c r="A32" s="20" t="inlineStr"/>
      <c r="B32" s="20" t="inlineStr">
        <is>
          <t>Companies</t>
        </is>
      </c>
    </row>
    <row r="33">
      <c r="A33" s="19" t="inlineStr">
        <is>
          <t>Bermondsey Riverside</t>
        </is>
      </c>
      <c r="B33" s="19">
        <f>COUNTIF(Outreach!$Z$3:$Z$1000,A33)</f>
        <v/>
      </c>
    </row>
    <row r="34">
      <c r="A34" s="19" t="inlineStr">
        <is>
          <t>Borough Academy</t>
        </is>
      </c>
      <c r="B34" s="19">
        <f>COUNTIF(Outreach!$Z$3:$Z$1000,A34)</f>
        <v/>
      </c>
    </row>
    <row r="35">
      <c r="A35" s="19" t="inlineStr">
        <is>
          <t>Isle of Dogs (Canary Wharf) - George Green's School</t>
        </is>
      </c>
      <c r="B35" s="19">
        <f>COUNTIF(Outreach!$Z$3:$Z$1000,A35)</f>
        <v/>
      </c>
    </row>
    <row r="36">
      <c r="A36" s="19" t="inlineStr">
        <is>
          <t>Liverpool St - Attlee Centre</t>
        </is>
      </c>
      <c r="B36" s="19">
        <f>COUNTIF(Outreach!$Z$3:$Z$1000,A36)</f>
        <v/>
      </c>
    </row>
    <row r="37">
      <c r="A37" s="19" t="inlineStr">
        <is>
          <t>Old St - Moreland Primary School</t>
        </is>
      </c>
      <c r="B37" s="19">
        <f>COUNTIF(Outreach!$Z$3:$Z$1000,A37)</f>
        <v/>
      </c>
    </row>
    <row r="38">
      <c r="A38" s="19" t="inlineStr">
        <is>
          <t>Poplar</t>
        </is>
      </c>
      <c r="B38" s="19">
        <f>COUNTIF(Outreach!$Z$3:$Z$1000,A38)</f>
        <v/>
      </c>
    </row>
    <row r="39">
      <c r="A39" s="19" t="inlineStr">
        <is>
          <t>Shoreditch Powerleague</t>
        </is>
      </c>
      <c r="B39" s="19">
        <f>COUNTIF(Outreach!$Z$3:$Z$1000,A39)</f>
        <v/>
      </c>
    </row>
    <row r="40">
      <c r="A40" s="19" t="inlineStr">
        <is>
          <t>Shoreditch Rooftop</t>
        </is>
      </c>
      <c r="B40" s="19">
        <f>COUNTIF(Outreach!$Z$3:$Z$1000,A40)</f>
        <v/>
      </c>
    </row>
    <row r="41">
      <c r="A41" s="19" t="inlineStr">
        <is>
          <t>St Pancras - Coram's Fields 3G</t>
        </is>
      </c>
      <c r="B41" s="19">
        <f>COUNTIF(Outreach!$Z$3:$Z$1000,A41)</f>
        <v/>
      </c>
    </row>
    <row r="42">
      <c r="A42" s="19" t="inlineStr">
        <is>
          <t>Whitechapel</t>
        </is>
      </c>
      <c r="B42" s="19">
        <f>COUNTIF(Outreach!$Z$3:$Z$1000,A42)</f>
        <v/>
      </c>
    </row>
    <row r="43">
      <c r="A43" s="19" t="inlineStr">
        <is>
          <t>PlayFootball Canary Wharf - Westferry (E14 8HH)</t>
        </is>
      </c>
      <c r="B43" s="19">
        <f>COUNTIF(Outreach!$Z$3:$Z$1000,A43)</f>
        <v/>
      </c>
    </row>
    <row r="44">
      <c r="A44" s="19" t="inlineStr">
        <is>
          <t>Fives Dockland Centre (E14 9GW)</t>
        </is>
      </c>
      <c r="B44" s="19">
        <f>COUNTIF(Outreach!$Z$3:$Z$1000,A44)</f>
        <v/>
      </c>
    </row>
    <row r="45">
      <c r="A45" s="19" t="inlineStr">
        <is>
          <t>City of London School (EC4V 3AL)</t>
        </is>
      </c>
      <c r="B45" s="19">
        <f>COUNTIF(Outreach!$Z$3:$Z$1000,A45)</f>
        <v/>
      </c>
    </row>
    <row r="46">
      <c r="A46" s="19" t="inlineStr">
        <is>
          <t>Marlborough Sports Garden (SE1 1SD)</t>
        </is>
      </c>
      <c r="B46" s="19">
        <f>COUNTIF(Outreach!$Z$3:$Z$1000,A46)</f>
        <v/>
      </c>
    </row>
    <row r="47">
      <c r="A47" s="19" t="inlineStr">
        <is>
          <t>Angel Centre (EC1V 7DD)</t>
        </is>
      </c>
      <c r="B47" s="19">
        <f>COUNTIF(Outreach!$Z$3:$Z$1000,A47)</f>
        <v/>
      </c>
    </row>
    <row r="48">
      <c r="A48" s="19" t="inlineStr">
        <is>
          <t>Finsbury Leisure Centre (EC1V 3PU)</t>
        </is>
      </c>
      <c r="B48" s="19">
        <f>COUNTIF(Outreach!$Z$3:$Z$1000,A48)</f>
        <v/>
      </c>
    </row>
    <row r="49">
      <c r="A49" s="21" t="inlineStr">
        <is>
          <t>Total</t>
        </is>
      </c>
      <c r="B49" s="21">
        <f>SUM(B33:B48)</f>
        <v/>
      </c>
    </row>
    <row r="51">
      <c r="A51" s="21" t="inlineStr">
        <is>
          <t>Funnel (from the Tracking columns on Outreach)</t>
        </is>
      </c>
    </row>
    <row r="52">
      <c r="A52" s="20" t="inlineStr">
        <is>
          <t>Stage</t>
        </is>
      </c>
      <c r="B52" s="20" t="inlineStr">
        <is>
          <t>Companies</t>
        </is>
      </c>
      <c r="C52" s="20" t="inlineStr">
        <is>
          <t>% of contacted</t>
        </is>
      </c>
    </row>
    <row r="53">
      <c r="A53" s="19" t="inlineStr">
        <is>
          <t>Contacted</t>
        </is>
      </c>
      <c r="B53" s="19">
        <f>COUNTIF(Outreach!$AO$3:$AO$1000,"&gt;0")</f>
        <v/>
      </c>
      <c r="C53" s="37">
        <f>IF($B$53=0,"",B53/$B$53)</f>
        <v/>
      </c>
    </row>
    <row r="54">
      <c r="A54" s="19" t="inlineStr">
        <is>
          <t>Follow-up sent</t>
        </is>
      </c>
      <c r="B54" s="19">
        <f>COUNTIF(Outreach!$AP$3:$AP$1000,"&gt;0")</f>
        <v/>
      </c>
      <c r="C54" s="37">
        <f>IF($B$53=0,"",B54/$B$53)</f>
        <v/>
      </c>
    </row>
    <row r="55">
      <c r="A55" s="19" t="inlineStr">
        <is>
          <t>Replied</t>
        </is>
      </c>
      <c r="B55" s="19">
        <f>COUNTIF(Outreach!$AQ$3:$AQ$1000,"Yes")</f>
        <v/>
      </c>
      <c r="C55" s="37">
        <f>IF($B$53=0,"",B55/$B$53)</f>
        <v/>
      </c>
    </row>
    <row r="56">
      <c r="A56" s="19" t="inlineStr">
        <is>
          <t>Call booked</t>
        </is>
      </c>
      <c r="B56" s="19">
        <f>COUNTIF(Outreach!$AR$3:$AR$1000,"Yes")</f>
        <v/>
      </c>
      <c r="C56" s="37">
        <f>IF($B$53=0,"",B56/$B$53)</f>
        <v/>
      </c>
    </row>
    <row r="57">
      <c r="A57" s="19" t="inlineStr">
        <is>
          <t>Group created</t>
        </is>
      </c>
      <c r="B57" s="19">
        <f>COUNTIF(Outreach!$AS$3:$AS$1000,"Yes")</f>
        <v/>
      </c>
      <c r="C57" s="37">
        <f>IF($B$53=0,"",B57/$B$53)</f>
        <v/>
      </c>
    </row>
    <row r="58">
      <c r="A58" s="19" t="inlineStr">
        <is>
          <t>First game booked</t>
        </is>
      </c>
      <c r="B58" s="19">
        <f>COUNTIF(Outreach!$AT$3:$AT$1000,"Yes")</f>
        <v/>
      </c>
      <c r="C58" s="37">
        <f>IF($B$53=0,"",B58/$B$53)</f>
        <v/>
      </c>
    </row>
    <row r="59">
      <c r="A59" s="19" t="inlineStr">
        <is>
          <t>Second game booked</t>
        </is>
      </c>
      <c r="B59" s="19">
        <f>COUNTIF(Outreach!$AU$3:$AU$1000,"Yes")</f>
        <v/>
      </c>
      <c r="C59" s="37">
        <f>IF($B$53=0,"",B59/$B$53)</f>
        <v/>
      </c>
    </row>
    <row r="62">
      <c r="A62" s="21" t="inlineStr">
        <is>
          <t>Funnel by segment</t>
        </is>
      </c>
    </row>
    <row r="63">
      <c r="A63" s="20" t="inlineStr">
        <is>
          <t>Segment</t>
        </is>
      </c>
      <c r="B63" s="20" t="inlineStr">
        <is>
          <t>Contacted</t>
        </is>
      </c>
      <c r="C63" s="20" t="inlineStr">
        <is>
          <t>Follow-up sent</t>
        </is>
      </c>
      <c r="D63" s="20" t="inlineStr">
        <is>
          <t>Replied</t>
        </is>
      </c>
      <c r="E63" s="20" t="inlineStr">
        <is>
          <t>Call booked</t>
        </is>
      </c>
      <c r="F63" s="20" t="inlineStr">
        <is>
          <t>Group created</t>
        </is>
      </c>
      <c r="G63" s="20" t="inlineStr">
        <is>
          <t>First game booked</t>
        </is>
      </c>
      <c r="H63" s="20" t="inlineStr">
        <is>
          <t>Second game booked</t>
        </is>
      </c>
    </row>
    <row r="64">
      <c r="A64" s="19" t="inlineStr">
        <is>
          <t>Law firm</t>
        </is>
      </c>
      <c r="B64" s="19">
        <f>COUNTIFS(Outreach!$C$3:$C$1000,$A64,Outreach!$AO$3:$AO$1000,"&gt;0")</f>
        <v/>
      </c>
      <c r="C64" s="19">
        <f>COUNTIFS(Outreach!$C$3:$C$1000,$A64,Outreach!$AP$3:$AP$1000,"&gt;0")</f>
        <v/>
      </c>
      <c r="D64" s="19">
        <f>COUNTIFS(Outreach!$C$3:$C$1000,$A64,Outreach!$AQ$3:$AQ$1000,"Yes")</f>
        <v/>
      </c>
      <c r="E64" s="19">
        <f>COUNTIFS(Outreach!$C$3:$C$1000,$A64,Outreach!$AR$3:$AR$1000,"Yes")</f>
        <v/>
      </c>
      <c r="F64" s="19">
        <f>COUNTIFS(Outreach!$C$3:$C$1000,$A64,Outreach!$AS$3:$AS$1000,"Yes")</f>
        <v/>
      </c>
      <c r="G64" s="19">
        <f>COUNTIFS(Outreach!$C$3:$C$1000,$A64,Outreach!$AT$3:$AT$1000,"Yes")</f>
        <v/>
      </c>
      <c r="H64" s="19">
        <f>COUNTIFS(Outreach!$C$3:$C$1000,$A64,Outreach!$AU$3:$AU$1000,"Yes")</f>
        <v/>
      </c>
    </row>
    <row r="65">
      <c r="A65" s="19" t="inlineStr">
        <is>
          <t>Bank</t>
        </is>
      </c>
      <c r="B65" s="19">
        <f>COUNTIFS(Outreach!$C$3:$C$1000,$A65,Outreach!$AO$3:$AO$1000,"&gt;0")</f>
        <v/>
      </c>
      <c r="C65" s="19">
        <f>COUNTIFS(Outreach!$C$3:$C$1000,$A65,Outreach!$AP$3:$AP$1000,"&gt;0")</f>
        <v/>
      </c>
      <c r="D65" s="19">
        <f>COUNTIFS(Outreach!$C$3:$C$1000,$A65,Outreach!$AQ$3:$AQ$1000,"Yes")</f>
        <v/>
      </c>
      <c r="E65" s="19">
        <f>COUNTIFS(Outreach!$C$3:$C$1000,$A65,Outreach!$AR$3:$AR$1000,"Yes")</f>
        <v/>
      </c>
      <c r="F65" s="19">
        <f>COUNTIFS(Outreach!$C$3:$C$1000,$A65,Outreach!$AS$3:$AS$1000,"Yes")</f>
        <v/>
      </c>
      <c r="G65" s="19">
        <f>COUNTIFS(Outreach!$C$3:$C$1000,$A65,Outreach!$AT$3:$AT$1000,"Yes")</f>
        <v/>
      </c>
      <c r="H65" s="19">
        <f>COUNTIFS(Outreach!$C$3:$C$1000,$A65,Outreach!$AU$3:$AU$1000,"Yes")</f>
        <v/>
      </c>
    </row>
    <row r="66">
      <c r="A66" s="19" t="inlineStr">
        <is>
          <t>Public / state-owned bank</t>
        </is>
      </c>
      <c r="B66" s="19">
        <f>COUNTIFS(Outreach!$C$3:$C$1000,$A66,Outreach!$AO$3:$AO$1000,"&gt;0")</f>
        <v/>
      </c>
      <c r="C66" s="19">
        <f>COUNTIFS(Outreach!$C$3:$C$1000,$A66,Outreach!$AP$3:$AP$1000,"&gt;0")</f>
        <v/>
      </c>
      <c r="D66" s="19">
        <f>COUNTIFS(Outreach!$C$3:$C$1000,$A66,Outreach!$AQ$3:$AQ$1000,"Yes")</f>
        <v/>
      </c>
      <c r="E66" s="19">
        <f>COUNTIFS(Outreach!$C$3:$C$1000,$A66,Outreach!$AR$3:$AR$1000,"Yes")</f>
        <v/>
      </c>
      <c r="F66" s="19">
        <f>COUNTIFS(Outreach!$C$3:$C$1000,$A66,Outreach!$AS$3:$AS$1000,"Yes")</f>
        <v/>
      </c>
      <c r="G66" s="19">
        <f>COUNTIFS(Outreach!$C$3:$C$1000,$A66,Outreach!$AT$3:$AT$1000,"Yes")</f>
        <v/>
      </c>
      <c r="H66" s="19">
        <f>COUNTIFS(Outreach!$C$3:$C$1000,$A66,Outreach!$AU$3:$AU$1000,"Yes")</f>
        <v/>
      </c>
    </row>
    <row r="67">
      <c r="A67" s="19" t="inlineStr">
        <is>
          <t>Private bank</t>
        </is>
      </c>
      <c r="B67" s="19">
        <f>COUNTIFS(Outreach!$C$3:$C$1000,$A67,Outreach!$AO$3:$AO$1000,"&gt;0")</f>
        <v/>
      </c>
      <c r="C67" s="19">
        <f>COUNTIFS(Outreach!$C$3:$C$1000,$A67,Outreach!$AP$3:$AP$1000,"&gt;0")</f>
        <v/>
      </c>
      <c r="D67" s="19">
        <f>COUNTIFS(Outreach!$C$3:$C$1000,$A67,Outreach!$AQ$3:$AQ$1000,"Yes")</f>
        <v/>
      </c>
      <c r="E67" s="19">
        <f>COUNTIFS(Outreach!$C$3:$C$1000,$A67,Outreach!$AR$3:$AR$1000,"Yes")</f>
        <v/>
      </c>
      <c r="F67" s="19">
        <f>COUNTIFS(Outreach!$C$3:$C$1000,$A67,Outreach!$AS$3:$AS$1000,"Yes")</f>
        <v/>
      </c>
      <c r="G67" s="19">
        <f>COUNTIFS(Outreach!$C$3:$C$1000,$A67,Outreach!$AT$3:$AT$1000,"Yes")</f>
        <v/>
      </c>
      <c r="H67" s="19">
        <f>COUNTIFS(Outreach!$C$3:$C$1000,$A67,Outreach!$AU$3:$AU$1000,"Yes")</f>
        <v/>
      </c>
    </row>
    <row r="68">
      <c r="A68" s="19" t="inlineStr">
        <is>
          <t>Fund administrator</t>
        </is>
      </c>
      <c r="B68" s="19">
        <f>COUNTIFS(Outreach!$C$3:$C$1000,$A68,Outreach!$AO$3:$AO$1000,"&gt;0")</f>
        <v/>
      </c>
      <c r="C68" s="19">
        <f>COUNTIFS(Outreach!$C$3:$C$1000,$A68,Outreach!$AP$3:$AP$1000,"&gt;0")</f>
        <v/>
      </c>
      <c r="D68" s="19">
        <f>COUNTIFS(Outreach!$C$3:$C$1000,$A68,Outreach!$AQ$3:$AQ$1000,"Yes")</f>
        <v/>
      </c>
      <c r="E68" s="19">
        <f>COUNTIFS(Outreach!$C$3:$C$1000,$A68,Outreach!$AR$3:$AR$1000,"Yes")</f>
        <v/>
      </c>
      <c r="F68" s="19">
        <f>COUNTIFS(Outreach!$C$3:$C$1000,$A68,Outreach!$AS$3:$AS$1000,"Yes")</f>
        <v/>
      </c>
      <c r="G68" s="19">
        <f>COUNTIFS(Outreach!$C$3:$C$1000,$A68,Outreach!$AT$3:$AT$1000,"Yes")</f>
        <v/>
      </c>
      <c r="H68" s="19">
        <f>COUNTIFS(Outreach!$C$3:$C$1000,$A68,Outreach!$AU$3:$AU$1000,"Yes")</f>
        <v/>
      </c>
    </row>
    <row r="69">
      <c r="A69" s="19" t="inlineStr">
        <is>
          <t>Fund / asset manager</t>
        </is>
      </c>
      <c r="B69" s="19">
        <f>COUNTIFS(Outreach!$C$3:$C$1000,$A69,Outreach!$AO$3:$AO$1000,"&gt;0")</f>
        <v/>
      </c>
      <c r="C69" s="19">
        <f>COUNTIFS(Outreach!$C$3:$C$1000,$A69,Outreach!$AP$3:$AP$1000,"&gt;0")</f>
        <v/>
      </c>
      <c r="D69" s="19">
        <f>COUNTIFS(Outreach!$C$3:$C$1000,$A69,Outreach!$AQ$3:$AQ$1000,"Yes")</f>
        <v/>
      </c>
      <c r="E69" s="19">
        <f>COUNTIFS(Outreach!$C$3:$C$1000,$A69,Outreach!$AR$3:$AR$1000,"Yes")</f>
        <v/>
      </c>
      <c r="F69" s="19">
        <f>COUNTIFS(Outreach!$C$3:$C$1000,$A69,Outreach!$AS$3:$AS$1000,"Yes")</f>
        <v/>
      </c>
      <c r="G69" s="19">
        <f>COUNTIFS(Outreach!$C$3:$C$1000,$A69,Outreach!$AT$3:$AT$1000,"Yes")</f>
        <v/>
      </c>
      <c r="H69" s="19">
        <f>COUNTIFS(Outreach!$C$3:$C$1000,$A69,Outreach!$AU$3:$AU$1000,"Yes")</f>
        <v/>
      </c>
    </row>
    <row r="70">
      <c r="A70" s="19" t="inlineStr">
        <is>
          <t>Insurance / broker</t>
        </is>
      </c>
      <c r="B70" s="19">
        <f>COUNTIFS(Outreach!$C$3:$C$1000,$A70,Outreach!$AO$3:$AO$1000,"&gt;0")</f>
        <v/>
      </c>
      <c r="C70" s="19">
        <f>COUNTIFS(Outreach!$C$3:$C$1000,$A70,Outreach!$AP$3:$AP$1000,"&gt;0")</f>
        <v/>
      </c>
      <c r="D70" s="19">
        <f>COUNTIFS(Outreach!$C$3:$C$1000,$A70,Outreach!$AQ$3:$AQ$1000,"Yes")</f>
        <v/>
      </c>
      <c r="E70" s="19">
        <f>COUNTIFS(Outreach!$C$3:$C$1000,$A70,Outreach!$AR$3:$AR$1000,"Yes")</f>
        <v/>
      </c>
      <c r="F70" s="19">
        <f>COUNTIFS(Outreach!$C$3:$C$1000,$A70,Outreach!$AS$3:$AS$1000,"Yes")</f>
        <v/>
      </c>
      <c r="G70" s="19">
        <f>COUNTIFS(Outreach!$C$3:$C$1000,$A70,Outreach!$AT$3:$AT$1000,"Yes")</f>
        <v/>
      </c>
      <c r="H70" s="19">
        <f>COUNTIFS(Outreach!$C$3:$C$1000,$A70,Outreach!$AU$3:$AU$1000,"Yes")</f>
        <v/>
      </c>
    </row>
    <row r="71">
      <c r="A71" s="19" t="inlineStr">
        <is>
          <t>Advisory / accountancy</t>
        </is>
      </c>
      <c r="B71" s="19">
        <f>COUNTIFS(Outreach!$C$3:$C$1000,$A71,Outreach!$AO$3:$AO$1000,"&gt;0")</f>
        <v/>
      </c>
      <c r="C71" s="19">
        <f>COUNTIFS(Outreach!$C$3:$C$1000,$A71,Outreach!$AP$3:$AP$1000,"&gt;0")</f>
        <v/>
      </c>
      <c r="D71" s="19">
        <f>COUNTIFS(Outreach!$C$3:$C$1000,$A71,Outreach!$AQ$3:$AQ$1000,"Yes")</f>
        <v/>
      </c>
      <c r="E71" s="19">
        <f>COUNTIFS(Outreach!$C$3:$C$1000,$A71,Outreach!$AR$3:$AR$1000,"Yes")</f>
        <v/>
      </c>
      <c r="F71" s="19">
        <f>COUNTIFS(Outreach!$C$3:$C$1000,$A71,Outreach!$AS$3:$AS$1000,"Yes")</f>
        <v/>
      </c>
      <c r="G71" s="19">
        <f>COUNTIFS(Outreach!$C$3:$C$1000,$A71,Outreach!$AT$3:$AT$1000,"Yes")</f>
        <v/>
      </c>
      <c r="H71" s="19">
        <f>COUNTIFS(Outreach!$C$3:$C$1000,$A71,Outreach!$AU$3:$AU$1000,"Yes")</f>
        <v/>
      </c>
    </row>
    <row r="74">
      <c r="A74" s="21" t="inlineStr">
        <is>
          <t>Open after-work slots by venue and weekday</t>
        </is>
      </c>
    </row>
    <row r="75">
      <c r="A75" s="20" t="inlineStr">
        <is>
          <t>Venue</t>
        </is>
      </c>
      <c r="B75" s="20" t="inlineStr">
        <is>
          <t>Mon</t>
        </is>
      </c>
      <c r="C75" s="20" t="inlineStr">
        <is>
          <t>Tue</t>
        </is>
      </c>
      <c r="D75" s="20" t="inlineStr">
        <is>
          <t>Wed</t>
        </is>
      </c>
      <c r="E75" s="20" t="inlineStr">
        <is>
          <t>Thu</t>
        </is>
      </c>
      <c r="F75" s="20" t="inlineStr">
        <is>
          <t>Fri</t>
        </is>
      </c>
      <c r="G75" s="20" t="inlineStr">
        <is>
          <t>Total</t>
        </is>
      </c>
    </row>
    <row r="76">
      <c r="A76" s="19" t="inlineStr">
        <is>
          <t>Bermondsey Riverside</t>
        </is>
      </c>
      <c r="B76" s="19">
        <f>COUNTIFS(Slots!$A$2:$A$46,$A76,Slots!$C$2:$C$46,"Mon",Slots!$I$2:$I$46,"Available")</f>
        <v/>
      </c>
      <c r="C76" s="19">
        <f>COUNTIFS(Slots!$A$2:$A$46,$A76,Slots!$C$2:$C$46,"Tue",Slots!$I$2:$I$46,"Available")</f>
        <v/>
      </c>
      <c r="D76" s="19">
        <f>COUNTIFS(Slots!$A$2:$A$46,$A76,Slots!$C$2:$C$46,"Wed",Slots!$I$2:$I$46,"Available")</f>
        <v/>
      </c>
      <c r="E76" s="19">
        <f>COUNTIFS(Slots!$A$2:$A$46,$A76,Slots!$C$2:$C$46,"Thu",Slots!$I$2:$I$46,"Available")</f>
        <v/>
      </c>
      <c r="F76" s="19">
        <f>COUNTIFS(Slots!$A$2:$A$46,$A76,Slots!$C$2:$C$46,"Fri",Slots!$I$2:$I$46,"Available")</f>
        <v/>
      </c>
      <c r="G76" s="21">
        <f>SUM(B76:F76)</f>
        <v/>
      </c>
    </row>
    <row r="77">
      <c r="A77" s="19" t="inlineStr">
        <is>
          <t>Borough Academy</t>
        </is>
      </c>
      <c r="B77" s="19">
        <f>COUNTIFS(Slots!$A$2:$A$46,$A77,Slots!$C$2:$C$46,"Mon",Slots!$I$2:$I$46,"Available")</f>
        <v/>
      </c>
      <c r="C77" s="19">
        <f>COUNTIFS(Slots!$A$2:$A$46,$A77,Slots!$C$2:$C$46,"Tue",Slots!$I$2:$I$46,"Available")</f>
        <v/>
      </c>
      <c r="D77" s="19">
        <f>COUNTIFS(Slots!$A$2:$A$46,$A77,Slots!$C$2:$C$46,"Wed",Slots!$I$2:$I$46,"Available")</f>
        <v/>
      </c>
      <c r="E77" s="19">
        <f>COUNTIFS(Slots!$A$2:$A$46,$A77,Slots!$C$2:$C$46,"Thu",Slots!$I$2:$I$46,"Available")</f>
        <v/>
      </c>
      <c r="F77" s="19">
        <f>COUNTIFS(Slots!$A$2:$A$46,$A77,Slots!$C$2:$C$46,"Fri",Slots!$I$2:$I$46,"Available")</f>
        <v/>
      </c>
      <c r="G77" s="21">
        <f>SUM(B77:F77)</f>
        <v/>
      </c>
    </row>
    <row r="78">
      <c r="A78" s="19" t="inlineStr">
        <is>
          <t>Isle of Dogs (Canary Wharf) - George Green's School</t>
        </is>
      </c>
      <c r="B78" s="19">
        <f>COUNTIFS(Slots!$A$2:$A$46,$A78,Slots!$C$2:$C$46,"Mon",Slots!$I$2:$I$46,"Available")</f>
        <v/>
      </c>
      <c r="C78" s="19">
        <f>COUNTIFS(Slots!$A$2:$A$46,$A78,Slots!$C$2:$C$46,"Tue",Slots!$I$2:$I$46,"Available")</f>
        <v/>
      </c>
      <c r="D78" s="19">
        <f>COUNTIFS(Slots!$A$2:$A$46,$A78,Slots!$C$2:$C$46,"Wed",Slots!$I$2:$I$46,"Available")</f>
        <v/>
      </c>
      <c r="E78" s="19">
        <f>COUNTIFS(Slots!$A$2:$A$46,$A78,Slots!$C$2:$C$46,"Thu",Slots!$I$2:$I$46,"Available")</f>
        <v/>
      </c>
      <c r="F78" s="19">
        <f>COUNTIFS(Slots!$A$2:$A$46,$A78,Slots!$C$2:$C$46,"Fri",Slots!$I$2:$I$46,"Available")</f>
        <v/>
      </c>
      <c r="G78" s="21">
        <f>SUM(B78:F78)</f>
        <v/>
      </c>
    </row>
    <row r="79">
      <c r="A79" s="19" t="inlineStr">
        <is>
          <t>Liverpool St - Attlee Centre</t>
        </is>
      </c>
      <c r="B79" s="19">
        <f>COUNTIFS(Slots!$A$2:$A$46,$A79,Slots!$C$2:$C$46,"Mon",Slots!$I$2:$I$46,"Available")</f>
        <v/>
      </c>
      <c r="C79" s="19">
        <f>COUNTIFS(Slots!$A$2:$A$46,$A79,Slots!$C$2:$C$46,"Tue",Slots!$I$2:$I$46,"Available")</f>
        <v/>
      </c>
      <c r="D79" s="19">
        <f>COUNTIFS(Slots!$A$2:$A$46,$A79,Slots!$C$2:$C$46,"Wed",Slots!$I$2:$I$46,"Available")</f>
        <v/>
      </c>
      <c r="E79" s="19">
        <f>COUNTIFS(Slots!$A$2:$A$46,$A79,Slots!$C$2:$C$46,"Thu",Slots!$I$2:$I$46,"Available")</f>
        <v/>
      </c>
      <c r="F79" s="19">
        <f>COUNTIFS(Slots!$A$2:$A$46,$A79,Slots!$C$2:$C$46,"Fri",Slots!$I$2:$I$46,"Available")</f>
        <v/>
      </c>
      <c r="G79" s="21">
        <f>SUM(B79:F79)</f>
        <v/>
      </c>
    </row>
    <row r="80">
      <c r="A80" s="19" t="inlineStr">
        <is>
          <t>Old St - Moreland Primary School</t>
        </is>
      </c>
      <c r="B80" s="19">
        <f>COUNTIFS(Slots!$A$2:$A$46,$A80,Slots!$C$2:$C$46,"Mon",Slots!$I$2:$I$46,"Available")</f>
        <v/>
      </c>
      <c r="C80" s="19">
        <f>COUNTIFS(Slots!$A$2:$A$46,$A80,Slots!$C$2:$C$46,"Tue",Slots!$I$2:$I$46,"Available")</f>
        <v/>
      </c>
      <c r="D80" s="19">
        <f>COUNTIFS(Slots!$A$2:$A$46,$A80,Slots!$C$2:$C$46,"Wed",Slots!$I$2:$I$46,"Available")</f>
        <v/>
      </c>
      <c r="E80" s="19">
        <f>COUNTIFS(Slots!$A$2:$A$46,$A80,Slots!$C$2:$C$46,"Thu",Slots!$I$2:$I$46,"Available")</f>
        <v/>
      </c>
      <c r="F80" s="19">
        <f>COUNTIFS(Slots!$A$2:$A$46,$A80,Slots!$C$2:$C$46,"Fri",Slots!$I$2:$I$46,"Available")</f>
        <v/>
      </c>
      <c r="G80" s="21">
        <f>SUM(B80:F80)</f>
        <v/>
      </c>
    </row>
    <row r="81">
      <c r="A81" s="19" t="inlineStr">
        <is>
          <t>Poplar</t>
        </is>
      </c>
      <c r="B81" s="19">
        <f>COUNTIFS(Slots!$A$2:$A$46,$A81,Slots!$C$2:$C$46,"Mon",Slots!$I$2:$I$46,"Available")</f>
        <v/>
      </c>
      <c r="C81" s="19">
        <f>COUNTIFS(Slots!$A$2:$A$46,$A81,Slots!$C$2:$C$46,"Tue",Slots!$I$2:$I$46,"Available")</f>
        <v/>
      </c>
      <c r="D81" s="19">
        <f>COUNTIFS(Slots!$A$2:$A$46,$A81,Slots!$C$2:$C$46,"Wed",Slots!$I$2:$I$46,"Available")</f>
        <v/>
      </c>
      <c r="E81" s="19">
        <f>COUNTIFS(Slots!$A$2:$A$46,$A81,Slots!$C$2:$C$46,"Thu",Slots!$I$2:$I$46,"Available")</f>
        <v/>
      </c>
      <c r="F81" s="19">
        <f>COUNTIFS(Slots!$A$2:$A$46,$A81,Slots!$C$2:$C$46,"Fri",Slots!$I$2:$I$46,"Available")</f>
        <v/>
      </c>
      <c r="G81" s="21">
        <f>SUM(B81:F81)</f>
        <v/>
      </c>
    </row>
    <row r="82">
      <c r="A82" s="19" t="inlineStr">
        <is>
          <t>Shoreditch Powerleague</t>
        </is>
      </c>
      <c r="B82" s="19">
        <f>COUNTIFS(Slots!$A$2:$A$46,$A82,Slots!$C$2:$C$46,"Mon",Slots!$I$2:$I$46,"Available")</f>
        <v/>
      </c>
      <c r="C82" s="19">
        <f>COUNTIFS(Slots!$A$2:$A$46,$A82,Slots!$C$2:$C$46,"Tue",Slots!$I$2:$I$46,"Available")</f>
        <v/>
      </c>
      <c r="D82" s="19">
        <f>COUNTIFS(Slots!$A$2:$A$46,$A82,Slots!$C$2:$C$46,"Wed",Slots!$I$2:$I$46,"Available")</f>
        <v/>
      </c>
      <c r="E82" s="19">
        <f>COUNTIFS(Slots!$A$2:$A$46,$A82,Slots!$C$2:$C$46,"Thu",Slots!$I$2:$I$46,"Available")</f>
        <v/>
      </c>
      <c r="F82" s="19">
        <f>COUNTIFS(Slots!$A$2:$A$46,$A82,Slots!$C$2:$C$46,"Fri",Slots!$I$2:$I$46,"Available")</f>
        <v/>
      </c>
      <c r="G82" s="21">
        <f>SUM(B82:F82)</f>
        <v/>
      </c>
    </row>
    <row r="83">
      <c r="A83" s="19" t="inlineStr">
        <is>
          <t>Shoreditch Rooftop</t>
        </is>
      </c>
      <c r="B83" s="19">
        <f>COUNTIFS(Slots!$A$2:$A$46,$A83,Slots!$C$2:$C$46,"Mon",Slots!$I$2:$I$46,"Available")</f>
        <v/>
      </c>
      <c r="C83" s="19">
        <f>COUNTIFS(Slots!$A$2:$A$46,$A83,Slots!$C$2:$C$46,"Tue",Slots!$I$2:$I$46,"Available")</f>
        <v/>
      </c>
      <c r="D83" s="19">
        <f>COUNTIFS(Slots!$A$2:$A$46,$A83,Slots!$C$2:$C$46,"Wed",Slots!$I$2:$I$46,"Available")</f>
        <v/>
      </c>
      <c r="E83" s="19">
        <f>COUNTIFS(Slots!$A$2:$A$46,$A83,Slots!$C$2:$C$46,"Thu",Slots!$I$2:$I$46,"Available")</f>
        <v/>
      </c>
      <c r="F83" s="19">
        <f>COUNTIFS(Slots!$A$2:$A$46,$A83,Slots!$C$2:$C$46,"Fri",Slots!$I$2:$I$46,"Available")</f>
        <v/>
      </c>
      <c r="G83" s="21">
        <f>SUM(B83:F83)</f>
        <v/>
      </c>
    </row>
    <row r="84">
      <c r="A84" s="19" t="inlineStr">
        <is>
          <t>St Pancras - Coram's Fields 3G</t>
        </is>
      </c>
      <c r="B84" s="19">
        <f>COUNTIFS(Slots!$A$2:$A$46,$A84,Slots!$C$2:$C$46,"Mon",Slots!$I$2:$I$46,"Available")</f>
        <v/>
      </c>
      <c r="C84" s="19">
        <f>COUNTIFS(Slots!$A$2:$A$46,$A84,Slots!$C$2:$C$46,"Tue",Slots!$I$2:$I$46,"Available")</f>
        <v/>
      </c>
      <c r="D84" s="19">
        <f>COUNTIFS(Slots!$A$2:$A$46,$A84,Slots!$C$2:$C$46,"Wed",Slots!$I$2:$I$46,"Available")</f>
        <v/>
      </c>
      <c r="E84" s="19">
        <f>COUNTIFS(Slots!$A$2:$A$46,$A84,Slots!$C$2:$C$46,"Thu",Slots!$I$2:$I$46,"Available")</f>
        <v/>
      </c>
      <c r="F84" s="19">
        <f>COUNTIFS(Slots!$A$2:$A$46,$A84,Slots!$C$2:$C$46,"Fri",Slots!$I$2:$I$46,"Available")</f>
        <v/>
      </c>
      <c r="G84" s="21">
        <f>SUM(B84:F84)</f>
        <v/>
      </c>
    </row>
    <row r="85">
      <c r="A85" s="19" t="inlineStr">
        <is>
          <t>Whitechapel</t>
        </is>
      </c>
      <c r="B85" s="19">
        <f>COUNTIFS(Slots!$A$2:$A$46,$A85,Slots!$C$2:$C$46,"Mon",Slots!$I$2:$I$46,"Available")</f>
        <v/>
      </c>
      <c r="C85" s="19">
        <f>COUNTIFS(Slots!$A$2:$A$46,$A85,Slots!$C$2:$C$46,"Tue",Slots!$I$2:$I$46,"Available")</f>
        <v/>
      </c>
      <c r="D85" s="19">
        <f>COUNTIFS(Slots!$A$2:$A$46,$A85,Slots!$C$2:$C$46,"Wed",Slots!$I$2:$I$46,"Available")</f>
        <v/>
      </c>
      <c r="E85" s="19">
        <f>COUNTIFS(Slots!$A$2:$A$46,$A85,Slots!$C$2:$C$46,"Thu",Slots!$I$2:$I$46,"Available")</f>
        <v/>
      </c>
      <c r="F85" s="19">
        <f>COUNTIFS(Slots!$A$2:$A$46,$A85,Slots!$C$2:$C$46,"Fri",Slots!$I$2:$I$46,"Available")</f>
        <v/>
      </c>
      <c r="G85" s="21">
        <f>SUM(B85:F85)</f>
        <v/>
      </c>
    </row>
    <row r="86">
      <c r="A86" s="19" t="inlineStr">
        <is>
          <t>PlayFootball Canary Wharf - Westferry (E14 8HH)</t>
        </is>
      </c>
      <c r="B86" s="19">
        <f>COUNTIFS(Slots!$A$2:$A$46,$A86,Slots!$C$2:$C$46,"Mon",Slots!$I$2:$I$46,"Available")</f>
        <v/>
      </c>
      <c r="C86" s="19">
        <f>COUNTIFS(Slots!$A$2:$A$46,$A86,Slots!$C$2:$C$46,"Tue",Slots!$I$2:$I$46,"Available")</f>
        <v/>
      </c>
      <c r="D86" s="19">
        <f>COUNTIFS(Slots!$A$2:$A$46,$A86,Slots!$C$2:$C$46,"Wed",Slots!$I$2:$I$46,"Available")</f>
        <v/>
      </c>
      <c r="E86" s="19">
        <f>COUNTIFS(Slots!$A$2:$A$46,$A86,Slots!$C$2:$C$46,"Thu",Slots!$I$2:$I$46,"Available")</f>
        <v/>
      </c>
      <c r="F86" s="19">
        <f>COUNTIFS(Slots!$A$2:$A$46,$A86,Slots!$C$2:$C$46,"Fri",Slots!$I$2:$I$46,"Available")</f>
        <v/>
      </c>
      <c r="G86" s="21">
        <f>SUM(B86:F86)</f>
        <v/>
      </c>
    </row>
    <row r="87">
      <c r="A87" s="19" t="inlineStr">
        <is>
          <t>Fives Dockland Centre (E14 9GW)</t>
        </is>
      </c>
      <c r="B87" s="19">
        <f>COUNTIFS(Slots!$A$2:$A$46,$A87,Slots!$C$2:$C$46,"Mon",Slots!$I$2:$I$46,"Available")</f>
        <v/>
      </c>
      <c r="C87" s="19">
        <f>COUNTIFS(Slots!$A$2:$A$46,$A87,Slots!$C$2:$C$46,"Tue",Slots!$I$2:$I$46,"Available")</f>
        <v/>
      </c>
      <c r="D87" s="19">
        <f>COUNTIFS(Slots!$A$2:$A$46,$A87,Slots!$C$2:$C$46,"Wed",Slots!$I$2:$I$46,"Available")</f>
        <v/>
      </c>
      <c r="E87" s="19">
        <f>COUNTIFS(Slots!$A$2:$A$46,$A87,Slots!$C$2:$C$46,"Thu",Slots!$I$2:$I$46,"Available")</f>
        <v/>
      </c>
      <c r="F87" s="19">
        <f>COUNTIFS(Slots!$A$2:$A$46,$A87,Slots!$C$2:$C$46,"Fri",Slots!$I$2:$I$46,"Available")</f>
        <v/>
      </c>
      <c r="G87" s="21">
        <f>SUM(B87:F87)</f>
        <v/>
      </c>
    </row>
    <row r="88">
      <c r="A88" s="19" t="inlineStr">
        <is>
          <t>City of London School (EC4V 3AL)</t>
        </is>
      </c>
      <c r="B88" s="19">
        <f>COUNTIFS(Slots!$A$2:$A$46,$A88,Slots!$C$2:$C$46,"Mon",Slots!$I$2:$I$46,"Available")</f>
        <v/>
      </c>
      <c r="C88" s="19">
        <f>COUNTIFS(Slots!$A$2:$A$46,$A88,Slots!$C$2:$C$46,"Tue",Slots!$I$2:$I$46,"Available")</f>
        <v/>
      </c>
      <c r="D88" s="19">
        <f>COUNTIFS(Slots!$A$2:$A$46,$A88,Slots!$C$2:$C$46,"Wed",Slots!$I$2:$I$46,"Available")</f>
        <v/>
      </c>
      <c r="E88" s="19">
        <f>COUNTIFS(Slots!$A$2:$A$46,$A88,Slots!$C$2:$C$46,"Thu",Slots!$I$2:$I$46,"Available")</f>
        <v/>
      </c>
      <c r="F88" s="19">
        <f>COUNTIFS(Slots!$A$2:$A$46,$A88,Slots!$C$2:$C$46,"Fri",Slots!$I$2:$I$46,"Available")</f>
        <v/>
      </c>
      <c r="G88" s="21">
        <f>SUM(B88:F88)</f>
        <v/>
      </c>
    </row>
    <row r="89">
      <c r="A89" s="19" t="inlineStr">
        <is>
          <t>Marlborough Sports Garden (SE1 1SD)</t>
        </is>
      </c>
      <c r="B89" s="19">
        <f>COUNTIFS(Slots!$A$2:$A$46,$A89,Slots!$C$2:$C$46,"Mon",Slots!$I$2:$I$46,"Available")</f>
        <v/>
      </c>
      <c r="C89" s="19">
        <f>COUNTIFS(Slots!$A$2:$A$46,$A89,Slots!$C$2:$C$46,"Tue",Slots!$I$2:$I$46,"Available")</f>
        <v/>
      </c>
      <c r="D89" s="19">
        <f>COUNTIFS(Slots!$A$2:$A$46,$A89,Slots!$C$2:$C$46,"Wed",Slots!$I$2:$I$46,"Available")</f>
        <v/>
      </c>
      <c r="E89" s="19">
        <f>COUNTIFS(Slots!$A$2:$A$46,$A89,Slots!$C$2:$C$46,"Thu",Slots!$I$2:$I$46,"Available")</f>
        <v/>
      </c>
      <c r="F89" s="19">
        <f>COUNTIFS(Slots!$A$2:$A$46,$A89,Slots!$C$2:$C$46,"Fri",Slots!$I$2:$I$46,"Available")</f>
        <v/>
      </c>
      <c r="G89" s="21">
        <f>SUM(B89:F89)</f>
        <v/>
      </c>
    </row>
    <row r="90">
      <c r="A90" s="19" t="inlineStr">
        <is>
          <t>Angel Centre (EC1V 7DD)</t>
        </is>
      </c>
      <c r="B90" s="19">
        <f>COUNTIFS(Slots!$A$2:$A$46,$A90,Slots!$C$2:$C$46,"Mon",Slots!$I$2:$I$46,"Available")</f>
        <v/>
      </c>
      <c r="C90" s="19">
        <f>COUNTIFS(Slots!$A$2:$A$46,$A90,Slots!$C$2:$C$46,"Tue",Slots!$I$2:$I$46,"Available")</f>
        <v/>
      </c>
      <c r="D90" s="19">
        <f>COUNTIFS(Slots!$A$2:$A$46,$A90,Slots!$C$2:$C$46,"Wed",Slots!$I$2:$I$46,"Available")</f>
        <v/>
      </c>
      <c r="E90" s="19">
        <f>COUNTIFS(Slots!$A$2:$A$46,$A90,Slots!$C$2:$C$46,"Thu",Slots!$I$2:$I$46,"Available")</f>
        <v/>
      </c>
      <c r="F90" s="19">
        <f>COUNTIFS(Slots!$A$2:$A$46,$A90,Slots!$C$2:$C$46,"Fri",Slots!$I$2:$I$46,"Available")</f>
        <v/>
      </c>
      <c r="G90" s="21">
        <f>SUM(B90:F90)</f>
        <v/>
      </c>
    </row>
    <row r="91">
      <c r="A91" s="19" t="inlineStr">
        <is>
          <t>Finsbury Leisure Centre (EC1V 3PU)</t>
        </is>
      </c>
      <c r="B91" s="19">
        <f>COUNTIFS(Slots!$A$2:$A$46,$A91,Slots!$C$2:$C$46,"Mon",Slots!$I$2:$I$46,"Available")</f>
        <v/>
      </c>
      <c r="C91" s="19">
        <f>COUNTIFS(Slots!$A$2:$A$46,$A91,Slots!$C$2:$C$46,"Tue",Slots!$I$2:$I$46,"Available")</f>
        <v/>
      </c>
      <c r="D91" s="19">
        <f>COUNTIFS(Slots!$A$2:$A$46,$A91,Slots!$C$2:$C$46,"Wed",Slots!$I$2:$I$46,"Available")</f>
        <v/>
      </c>
      <c r="E91" s="19">
        <f>COUNTIFS(Slots!$A$2:$A$46,$A91,Slots!$C$2:$C$46,"Thu",Slots!$I$2:$I$46,"Available")</f>
        <v/>
      </c>
      <c r="F91" s="19">
        <f>COUNTIFS(Slots!$A$2:$A$46,$A91,Slots!$C$2:$C$46,"Fri",Slots!$I$2:$I$46,"Available")</f>
        <v/>
      </c>
      <c r="G91" s="21">
        <f>SUM(B91:F91)</f>
        <v/>
      </c>
    </row>
    <row r="92">
      <c r="A92" s="21" t="inlineStr">
        <is>
          <t>Total</t>
        </is>
      </c>
      <c r="B92" s="21">
        <f>SUM(B76:B91)</f>
        <v/>
      </c>
      <c r="C92" s="21">
        <f>SUM(C76:C91)</f>
        <v/>
      </c>
      <c r="D92" s="21">
        <f>SUM(D76:D91)</f>
        <v/>
      </c>
      <c r="E92" s="21">
        <f>SUM(E76:E91)</f>
        <v/>
      </c>
      <c r="F92" s="21">
        <f>SUM(F76:F91)</f>
        <v/>
      </c>
      <c r="G92" s="21">
        <f>SUM(G76:G91)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8" t="inlineStr">
        <is>
          <t>FC Urban · City of London &amp; Canary Wharf corporates</t>
        </is>
      </c>
    </row>
    <row r="2">
      <c r="A2" s="19" t="inlineStr">
        <is>
          <t>400 companies (law firms, banks, public/state-owned banks, private banks, fund administrators, then fund managers and insurers) within a 19-minute walk of a pitch. Each row leads with a specific pitch, slot and price per player.</t>
        </is>
      </c>
    </row>
    <row r="3">
      <c r="A3" s="19" t="inlineStr"/>
    </row>
    <row r="4">
      <c r="A4" s="21" t="inlineStr">
        <is>
          <t>Tabs</t>
        </is>
      </c>
    </row>
    <row r="5">
      <c r="A5" s="19" t="inlineStr">
        <is>
          <t>Outreach — one row per company with its website and a published contact email (Email source links to the page it came from). Send to = Direct email if you add one, else Email. Send the Email draft, then the Follow-up email after 4 days; log the Tracking columns.</t>
        </is>
      </c>
    </row>
    <row r="6">
      <c r="A6" s="19" t="inlineStr">
        <is>
          <t>Offer — price per player, default sender, joining link and commit deadline. These feed every draft.</t>
        </is>
      </c>
    </row>
    <row r="7">
      <c r="A7" s="19" t="inlineStr">
        <is>
          <t>Venues — 16 pitches (10 FC Urban venues + others found nearby): open slots, earliest slot, cost per player, who to call. Put a confirmed slot in Chosen slot (override) and every draft for that pitch uses it.</t>
        </is>
      </c>
    </row>
    <row r="8">
      <c r="A8" s="19" t="inlineStr">
        <is>
          <t>Slots — every open after-work slot found (weekdays, 17:30–20:30 kick-off, 28 Sep – 23 Oct 2026).</t>
        </is>
      </c>
    </row>
    <row r="9">
      <c r="A9" s="19" t="inlineStr">
        <is>
          <t>Totals — companies by segment, area, priority and pitch; the outreach funnel; slots by weekday.</t>
        </is>
      </c>
    </row>
    <row r="10">
      <c r="A10" s="19" t="inlineStr"/>
    </row>
    <row r="11">
      <c r="A11" s="21" t="inlineStr">
        <is>
          <t>Colours</t>
        </is>
      </c>
    </row>
    <row r="12">
      <c r="A12" s="19" t="inlineStr">
        <is>
          <t>Yellow = fill in. Blue text = values typed from a source. Green text = formulas; leave those alone.</t>
        </is>
      </c>
    </row>
    <row r="13">
      <c r="A13" s="19" t="inlineStr"/>
    </row>
    <row r="14">
      <c r="A14" s="21" t="inlineStr">
        <is>
          <t>How the list was built</t>
        </is>
      </c>
    </row>
    <row r="15">
      <c r="A15" s="19" t="inlineStr">
        <is>
          <t>1. Companies House bulk data (September 2026), active companies registered in EC1–EC4, E1, E1W, E14, SE1, WC1 and WC2.</t>
        </is>
      </c>
    </row>
    <row r="16">
      <c r="A16" s="19" t="inlineStr">
        <is>
          <t>2. Kept sectors by SIC code: legal (69101/69102/69109), banks (64110/64191/64192), fund management and admin (66300, 64301–64306, 66190), insurance (65110–65300, 66220), plus LLPs identified by name.</t>
        </is>
      </c>
    </row>
    <row r="17">
      <c r="A17" s="19" t="inlineStr">
        <is>
          <t>3. Kept only companies that file full, group or medium-sized accounts (no micro or small-company filers), so they can afford a team game.</t>
        </is>
      </c>
    </row>
    <row r="18">
      <c r="A18" s="19" t="inlineStr">
        <is>
          <t>4. Removed shells and vehicles (holdco/bidco/topco, nominees, trustees, funding/issuer SPVs, numbered funds, investment trusts, VCTs, Lloyd's corporate members) and formation-agent addresses (more than 12 unrelated brands at one address).</t>
        </is>
      </c>
    </row>
    <row r="19">
      <c r="A19" s="19" t="inlineStr">
        <is>
          <t>5. One row per company group: foreign-practice LLPs and subsidiaries collapse into the main entity (Group entities collapsed in the CSV).</t>
        </is>
      </c>
    </row>
    <row r="20">
      <c r="A20" s="19" t="inlineStr">
        <is>
          <t>6. No duplicates: removed anything already in the FC Urban London sheet, the City finance top 100 (Joep), the 117-company LinkedIn list or the Haggerston Park leads (matched on name and brand). Companies that are only in the earlier 933-company research list (never messaged) are kept and marked "In 933 research list? = Yes".</t>
        </is>
      </c>
    </row>
    <row r="21">
      <c r="A21" s="19" t="inlineStr">
        <is>
          <t>7. Geocoded each registered-office postcode (postcodes.io). Kept companies within 1.8 km of Bank or Canary Wharf and within a 19-minute walk of a pitch (straight line × 1.3, 4.8 km/h).</t>
        </is>
      </c>
    </row>
    <row r="22">
      <c r="A22" s="19" t="inlineStr">
        <is>
          <t>8. Picked all target-sector companies (law, banks, public banks, private banks, fund admin), then filled to 400 with fund managers, insurers and advisory firms, balanced between them, largest accounts and shortest walk first.</t>
        </is>
      </c>
    </row>
    <row r="23">
      <c r="A23" s="19" t="inlineStr"/>
    </row>
    <row r="24">
      <c r="A24" s="19" t="inlineStr">
        <is>
          <t>9. Only companies with a pitch that has a confirmed open after-work slot within 19 minutes. No Canary Wharf pitch had one (all enquiry-only), so this list is City-only; Canary Wharf firms can be added once Poplar / George Green's / Westferry confirm a slot.</t>
        </is>
      </c>
    </row>
    <row r="25">
      <c r="A25" s="19" t="inlineStr">
        <is>
          <t>10. Emails: scraped from each firm's own website (contact / office pages), then a web search for the rest; every address was checked against the firm's own domain. Where two sources existed, a general inbox beat a named person.</t>
        </is>
      </c>
    </row>
    <row r="26">
      <c r="A26" s="19" t="inlineStr"/>
    </row>
    <row r="27">
      <c r="A27" s="21" t="inlineStr">
        <is>
          <t>Caveats</t>
        </is>
      </c>
    </row>
    <row r="28">
      <c r="A28" s="19" t="inlineStr">
        <is>
          <t>Registered office ≠ always the working office (some firms register at their accountant or lawyer). Check the walk time before you send.</t>
        </is>
      </c>
    </row>
    <row r="29">
      <c r="A29" s="19" t="inlineStr">
        <is>
          <t>Emails were taken only from each firm's own website or an official register (never guessed). Most are general inboxes (info@, enquiries@); "named person" means a published address of a specific person; "privacy / compliance" is a last resort — swap in a better one if you find it.</t>
        </is>
      </c>
    </row>
    <row r="30">
      <c r="A30" s="19" t="inlineStr">
        <is>
          <t>Better (GLL) venues release slots about 6 days ahead, and school pitches are often enquiry-only: those show as Contact required. Call, then put the agreed slot in Venues › Chosen slot (override).</t>
        </is>
      </c>
    </row>
    <row r="31">
      <c r="A31" s="19" t="inlineStr">
        <is>
          <t>Bank of England is a statutory body, not on Companies House; it was added by hand. Public / state-owned banks are those owned by a government (e.g. Indian, Korean, Chinese and Ghanaian state banks).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2026-09-24T18:56:52Z</dcterms:created>
  <dcterms:modified xsi:type="dcterms:W3CDTF">2026-09-24T18:56:52Z</dcterms:modified>
</cp:coreProperties>
</file>