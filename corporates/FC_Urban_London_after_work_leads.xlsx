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Offer" sheetId="2" state="visible" r:id="rId2"/>
    <sheet name="Slots" sheetId="3" state="visible" r:id="rId3"/>
    <sheet name="Read me" sheetId="4" state="visible" r:id="rId4"/>
  </sheets>
  <definedNames>
    <definedName name="_xlnm._FilterDatabase" localSheetId="0" hidden="1">'Outreach'!$A$2:$AY$84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.00;-£#,##0.00;-"/>
    <numFmt numFmtId="165" formatCode="#,##0 &quot;kr&quot;"/>
    <numFmt numFmtId="166" formatCode="d mmm yyyy"/>
    <numFmt numFmtId="167" formatCode="yyyy-mm-dd"/>
    <numFmt numFmtId="168" formatCode="ddd d mmm yyyy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1155CC"/>
      <sz val="10"/>
      <u val="single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7030A0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404040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  <xf numFmtId="0" fontId="3" fillId="9" borderId="0" pivotButton="0" quotePrefix="0" xfId="0"/>
    <xf numFmtId="0" fontId="0" fillId="9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166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5" fillId="3" borderId="0" pivotButton="0" quotePrefix="0" xfId="0"/>
    <xf numFmtId="166" fontId="5" fillId="3" borderId="0" pivotButton="0" quotePrefix="0" xfId="0"/>
    <xf numFmtId="165" fontId="5" fillId="3" borderId="0" pivotButton="0" quotePrefix="0" xfId="0"/>
    <xf numFmtId="0" fontId="3" fillId="2" borderId="0" applyAlignment="1" pivotButton="0" quotePrefix="0" xfId="0">
      <alignment vertical="top" wrapText="1"/>
    </xf>
    <xf numFmtId="168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FC Urban</author>
  </authors>
  <commentList>
    <comment ref="Z2" authorId="0" shapeId="0">
      <text>
        <t>Website = address from the firm's own site. "Registered office (no address on website)" = the site shows no address, so the Companies House address was used.</t>
      </text>
    </comment>
    <comment ref="AO2" authorId="0" shapeId="0">
      <text>
        <t>The domain has a mail (MX) record. Mailbox-level SMTP checks could not run from the research environment (port 25 blocked) — run a verifier before sending.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ellcomww.com:443" TargetMode="External" Id="rId1" /><Relationship Type="http://schemas.openxmlformats.org/officeDocument/2006/relationships/hyperlink" Target="https://find-and-update.company-information.service.gov.uk/company/00979521" TargetMode="External" Id="rId2" /><Relationship Type="http://schemas.openxmlformats.org/officeDocument/2006/relationships/hyperlink" Target="https://www.wellcomww.com:443/offices/new-york" TargetMode="External" Id="rId3" /><Relationship Type="http://schemas.openxmlformats.org/officeDocument/2006/relationships/hyperlink" Target="https://www.moonpay.com" TargetMode="External" Id="rId4" /><Relationship Type="http://schemas.openxmlformats.org/officeDocument/2006/relationships/hyperlink" Target="https://find-and-update.company-information.service.gov.uk/company/12055543" TargetMode="External" Id="rId5" /><Relationship Type="http://schemas.openxmlformats.org/officeDocument/2006/relationships/hyperlink" Target="https://www.moonpay.com/newsroom/changelog" TargetMode="External" Id="rId6" /><Relationship Type="http://schemas.openxmlformats.org/officeDocument/2006/relationships/hyperlink" Target="https://www.mention-me.com" TargetMode="External" Id="rId7" /><Relationship Type="http://schemas.openxmlformats.org/officeDocument/2006/relationships/hyperlink" Target="https://find-and-update.company-information.service.gov.uk/company/08382730" TargetMode="External" Id="rId8" /><Relationship Type="http://schemas.openxmlformats.org/officeDocument/2006/relationships/hyperlink" Target="https://www.mention-me.com/careers" TargetMode="External" Id="rId9" /><Relationship Type="http://schemas.openxmlformats.org/officeDocument/2006/relationships/hyperlink" Target="https://www.side.com" TargetMode="External" Id="rId10" /><Relationship Type="http://schemas.openxmlformats.org/officeDocument/2006/relationships/hyperlink" Target="https://find-and-update.company-information.service.gov.uk/company/03134517" TargetMode="External" Id="rId11" /><Relationship Type="http://schemas.openxmlformats.org/officeDocument/2006/relationships/hyperlink" Target="https://www.side.com/locations/" TargetMode="External" Id="rId12" /><Relationship Type="http://schemas.openxmlformats.org/officeDocument/2006/relationships/hyperlink" Target="https://www.oakleafpartnership.com" TargetMode="External" Id="rId13" /><Relationship Type="http://schemas.openxmlformats.org/officeDocument/2006/relationships/hyperlink" Target="https://find-and-update.company-information.service.gov.uk/company/05396257" TargetMode="External" Id="rId14" /><Relationship Type="http://schemas.openxmlformats.org/officeDocument/2006/relationships/hyperlink" Target="https://www.oakleafpartnership.com/us/team" TargetMode="External" Id="rId15" /><Relationship Type="http://schemas.openxmlformats.org/officeDocument/2006/relationships/hyperlink" Target="https://leadscale.com" TargetMode="External" Id="rId16" /><Relationship Type="http://schemas.openxmlformats.org/officeDocument/2006/relationships/hyperlink" Target="https://find-and-update.company-information.service.gov.uk/company/08650664" TargetMode="External" Id="rId17" /><Relationship Type="http://schemas.openxmlformats.org/officeDocument/2006/relationships/hyperlink" Target="https://leadscale.com/careers/" TargetMode="External" Id="rId18" /><Relationship Type="http://schemas.openxmlformats.org/officeDocument/2006/relationships/hyperlink" Target="https://leadscale.com/careers/" TargetMode="External" Id="rId19" /><Relationship Type="http://schemas.openxmlformats.org/officeDocument/2006/relationships/hyperlink" Target="https://www.exigere.co.uk" TargetMode="External" Id="rId20" /><Relationship Type="http://schemas.openxmlformats.org/officeDocument/2006/relationships/hyperlink" Target="https://find-and-update.company-information.service.gov.uk/company/09049470" TargetMode="External" Id="rId21" /><Relationship Type="http://schemas.openxmlformats.org/officeDocument/2006/relationships/hyperlink" Target="https://exigere.co.uk/people" TargetMode="External" Id="rId22" /><Relationship Type="http://schemas.openxmlformats.org/officeDocument/2006/relationships/hyperlink" Target="https://www.hoptroff.com" TargetMode="External" Id="rId23" /><Relationship Type="http://schemas.openxmlformats.org/officeDocument/2006/relationships/hyperlink" Target="https://find-and-update.company-information.service.gov.uk/company/09566434" TargetMode="External" Id="rId24" /><Relationship Type="http://schemas.openxmlformats.org/officeDocument/2006/relationships/hyperlink" Target="https://www.hoptroff.com/" TargetMode="External" Id="rId25" /><Relationship Type="http://schemas.openxmlformats.org/officeDocument/2006/relationships/hyperlink" Target="https://veretec.co.uk" TargetMode="External" Id="rId26" /><Relationship Type="http://schemas.openxmlformats.org/officeDocument/2006/relationships/hyperlink" Target="https://find-and-update.company-information.service.gov.uk/company/01959521" TargetMode="External" Id="rId27" /><Relationship Type="http://schemas.openxmlformats.org/officeDocument/2006/relationships/hyperlink" Target="https://veretec.co.uk/contact/" TargetMode="External" Id="rId28" /><Relationship Type="http://schemas.openxmlformats.org/officeDocument/2006/relationships/hyperlink" Target="https://veretec.co.uk/contact/" TargetMode="External" Id="rId29" /><Relationship Type="http://schemas.openxmlformats.org/officeDocument/2006/relationships/hyperlink" Target="https://www.stantonhouse.com" TargetMode="External" Id="rId30" /><Relationship Type="http://schemas.openxmlformats.org/officeDocument/2006/relationships/hyperlink" Target="https://find-and-update.company-information.service.gov.uk/company/07394702" TargetMode="External" Id="rId31" /><Relationship Type="http://schemas.openxmlformats.org/officeDocument/2006/relationships/hyperlink" Target="https://www.stantonhouse.com/jobs/32939-Chief-Financial-Officer" TargetMode="External" Id="rId32" /><Relationship Type="http://schemas.openxmlformats.org/officeDocument/2006/relationships/hyperlink" Target="https://www.stantonhouse.com/contact-us" TargetMode="External" Id="rId33" /><Relationship Type="http://schemas.openxmlformats.org/officeDocument/2006/relationships/hyperlink" Target="https://www.codurance.com" TargetMode="External" Id="rId34" /><Relationship Type="http://schemas.openxmlformats.org/officeDocument/2006/relationships/hyperlink" Target="https://find-and-update.company-information.service.gov.uk/company/08712584" TargetMode="External" Id="rId35" /><Relationship Type="http://schemas.openxmlformats.org/officeDocument/2006/relationships/hyperlink" Target="https://www.codurance.com/contact-us" TargetMode="External" Id="rId36" /><Relationship Type="http://schemas.openxmlformats.org/officeDocument/2006/relationships/hyperlink" Target="https://www.codurance.com/contact-us" TargetMode="External" Id="rId37" /><Relationship Type="http://schemas.openxmlformats.org/officeDocument/2006/relationships/hyperlink" Target="https://www.preciseconsultants.com" TargetMode="External" Id="rId38" /><Relationship Type="http://schemas.openxmlformats.org/officeDocument/2006/relationships/hyperlink" Target="https://find-and-update.company-information.service.gov.uk/company/08517073" TargetMode="External" Id="rId39" /><Relationship Type="http://schemas.openxmlformats.org/officeDocument/2006/relationships/hyperlink" Target="https://www.preciseconsultants.com/meet-the-team/" TargetMode="External" Id="rId40" /><Relationship Type="http://schemas.openxmlformats.org/officeDocument/2006/relationships/hyperlink" Target="https://yulife.com" TargetMode="External" Id="rId41" /><Relationship Type="http://schemas.openxmlformats.org/officeDocument/2006/relationships/hyperlink" Target="https://find-and-update.company-information.service.gov.uk/company/10308260" TargetMode="External" Id="rId42" /><Relationship Type="http://schemas.openxmlformats.org/officeDocument/2006/relationships/hyperlink" Target="https://yulife.com/team/" TargetMode="External" Id="rId43" /><Relationship Type="http://schemas.openxmlformats.org/officeDocument/2006/relationships/hyperlink" Target="https://guybutler.co.uk" TargetMode="External" Id="rId44" /><Relationship Type="http://schemas.openxmlformats.org/officeDocument/2006/relationships/hyperlink" Target="https://find-and-update.company-information.service.gov.uk/company/03869802" TargetMode="External" Id="rId45" /><Relationship Type="http://schemas.openxmlformats.org/officeDocument/2006/relationships/hyperlink" Target="https://guybutler.co.uk/" TargetMode="External" Id="rId46" /><Relationship Type="http://schemas.openxmlformats.org/officeDocument/2006/relationships/hyperlink" Target="https://www.goodmanmasson.com" TargetMode="External" Id="rId47" /><Relationship Type="http://schemas.openxmlformats.org/officeDocument/2006/relationships/hyperlink" Target="https://find-and-update.company-information.service.gov.uk/company/02769447" TargetMode="External" Id="rId48" /><Relationship Type="http://schemas.openxmlformats.org/officeDocument/2006/relationships/hyperlink" Target="https://www.goodmanmasson.com/aca-careers-hub" TargetMode="External" Id="rId49" /><Relationship Type="http://schemas.openxmlformats.org/officeDocument/2006/relationships/hyperlink" Target="https://www.goodmanmasson.com/aca-careers-hub" TargetMode="External" Id="rId50" /><Relationship Type="http://schemas.openxmlformats.org/officeDocument/2006/relationships/hyperlink" Target="https://corporate.travelfusion.com" TargetMode="External" Id="rId51" /><Relationship Type="http://schemas.openxmlformats.org/officeDocument/2006/relationships/hyperlink" Target="https://find-and-update.company-information.service.gov.uk/company/03880175" TargetMode="External" Id="rId52" /><Relationship Type="http://schemas.openxmlformats.org/officeDocument/2006/relationships/hyperlink" Target="https://corporate.travelfusion.com/company/contact-us" TargetMode="External" Id="rId53" /><Relationship Type="http://schemas.openxmlformats.org/officeDocument/2006/relationships/hyperlink" Target="https://mother.com" TargetMode="External" Id="rId54" /><Relationship Type="http://schemas.openxmlformats.org/officeDocument/2006/relationships/hyperlink" Target="https://find-and-update.company-information.service.gov.uk/company/04983564" TargetMode="External" Id="rId55" /><Relationship Type="http://schemas.openxmlformats.org/officeDocument/2006/relationships/hyperlink" Target="https://mother.com/contact/" TargetMode="External" Id="rId56" /><Relationship Type="http://schemas.openxmlformats.org/officeDocument/2006/relationships/hyperlink" Target="https://www.quant.ai" TargetMode="External" Id="rId57" /><Relationship Type="http://schemas.openxmlformats.org/officeDocument/2006/relationships/hyperlink" Target="https://find-and-update.company-information.service.gov.uk/company/09798383" TargetMode="External" Id="rId58" /><Relationship Type="http://schemas.openxmlformats.org/officeDocument/2006/relationships/hyperlink" Target="https://www.quant.ai/en/contact" TargetMode="External" Id="rId59" /><Relationship Type="http://schemas.openxmlformats.org/officeDocument/2006/relationships/hyperlink" Target="https://www.paloma.com" TargetMode="External" Id="rId60" /><Relationship Type="http://schemas.openxmlformats.org/officeDocument/2006/relationships/hyperlink" Target="https://find-and-update.company-information.service.gov.uk/company/OC423581" TargetMode="External" Id="rId61" /><Relationship Type="http://schemas.openxmlformats.org/officeDocument/2006/relationships/hyperlink" Target="https://www.paloma.com/contact" TargetMode="External" Id="rId62" /><Relationship Type="http://schemas.openxmlformats.org/officeDocument/2006/relationships/hyperlink" Target="https://turbinestudios.co.uk" TargetMode="External" Id="rId63" /><Relationship Type="http://schemas.openxmlformats.org/officeDocument/2006/relationships/hyperlink" Target="https://find-and-update.company-information.service.gov.uk/company/10994901" TargetMode="External" Id="rId64" /><Relationship Type="http://schemas.openxmlformats.org/officeDocument/2006/relationships/hyperlink" Target="https://turbinestudios.co.uk/" TargetMode="External" Id="rId65" /><Relationship Type="http://schemas.openxmlformats.org/officeDocument/2006/relationships/hyperlink" Target="https://oribiotech.com" TargetMode="External" Id="rId66" /><Relationship Type="http://schemas.openxmlformats.org/officeDocument/2006/relationships/hyperlink" Target="https://find-and-update.company-information.service.gov.uk/company/09757696" TargetMode="External" Id="rId67" /><Relationship Type="http://schemas.openxmlformats.org/officeDocument/2006/relationships/hyperlink" Target="https://oribiotech.com/about/careers" TargetMode="External" Id="rId68" /><Relationship Type="http://schemas.openxmlformats.org/officeDocument/2006/relationships/hyperlink" Target="https://simplyeducation.co.uk" TargetMode="External" Id="rId69" /><Relationship Type="http://schemas.openxmlformats.org/officeDocument/2006/relationships/hyperlink" Target="https://find-and-update.company-information.service.gov.uk/company/05532608" TargetMode="External" Id="rId70" /><Relationship Type="http://schemas.openxmlformats.org/officeDocument/2006/relationships/hyperlink" Target="https://simplyeducation.co.uk/" TargetMode="External" Id="rId71" /><Relationship Type="http://schemas.openxmlformats.org/officeDocument/2006/relationships/hyperlink" Target="https://ecodriver.co.uk" TargetMode="External" Id="rId72" /><Relationship Type="http://schemas.openxmlformats.org/officeDocument/2006/relationships/hyperlink" Target="https://find-and-update.company-information.service.gov.uk/company/05258662" TargetMode="External" Id="rId73" /><Relationship Type="http://schemas.openxmlformats.org/officeDocument/2006/relationships/hyperlink" Target="https://ecodriver.co.uk/" TargetMode="External" Id="rId74" /><Relationship Type="http://schemas.openxmlformats.org/officeDocument/2006/relationships/hyperlink" Target="https://www.humanmademachine.com" TargetMode="External" Id="rId75" /><Relationship Type="http://schemas.openxmlformats.org/officeDocument/2006/relationships/hyperlink" Target="https://find-and-update.company-information.service.gov.uk/company/09338935" TargetMode="External" Id="rId76" /><Relationship Type="http://schemas.openxmlformats.org/officeDocument/2006/relationships/hyperlink" Target="https://www.humanmademachine.com/contact" TargetMode="External" Id="rId77" /><Relationship Type="http://schemas.openxmlformats.org/officeDocument/2006/relationships/hyperlink" Target="https://artiq.co" TargetMode="External" Id="rId78" /><Relationship Type="http://schemas.openxmlformats.org/officeDocument/2006/relationships/hyperlink" Target="https://find-and-update.company-information.service.gov.uk/company/07080437" TargetMode="External" Id="rId79" /><Relationship Type="http://schemas.openxmlformats.org/officeDocument/2006/relationships/hyperlink" Target="https://artiq.co/" TargetMode="External" Id="rId80" /><Relationship Type="http://schemas.openxmlformats.org/officeDocument/2006/relationships/hyperlink" Target="https://creditexbrokeragellp.com" TargetMode="External" Id="rId81" /><Relationship Type="http://schemas.openxmlformats.org/officeDocument/2006/relationships/hyperlink" Target="https://find-and-update.company-information.service.gov.uk/company/OC315800" TargetMode="External" Id="rId82" /><Relationship Type="http://schemas.openxmlformats.org/officeDocument/2006/relationships/hyperlink" Target="https://creditexbrokeragellp.com/" TargetMode="External" Id="rId83" /><Relationship Type="http://schemas.openxmlformats.org/officeDocument/2006/relationships/hyperlink" Target="https://creditexbrokeragellp.com/about/" TargetMode="External" Id="rId84" /><Relationship Type="http://schemas.openxmlformats.org/officeDocument/2006/relationships/hyperlink" Target="https://osf.digital" TargetMode="External" Id="rId85" /><Relationship Type="http://schemas.openxmlformats.org/officeDocument/2006/relationships/hyperlink" Target="https://find-and-update.company-information.service.gov.uk/company/03844574" TargetMode="External" Id="rId86" /><Relationship Type="http://schemas.openxmlformats.org/officeDocument/2006/relationships/hyperlink" Target="https://osf.digital/" TargetMode="External" Id="rId87" /><Relationship Type="http://schemas.openxmlformats.org/officeDocument/2006/relationships/hyperlink" Target="https://windfallfilms.com" TargetMode="External" Id="rId88" /><Relationship Type="http://schemas.openxmlformats.org/officeDocument/2006/relationships/hyperlink" Target="https://find-and-update.company-information.service.gov.uk/company/02205891" TargetMode="External" Id="rId89" /><Relationship Type="http://schemas.openxmlformats.org/officeDocument/2006/relationships/hyperlink" Target="https://windfallfilms.com/contact" TargetMode="External" Id="rId90" /><Relationship Type="http://schemas.openxmlformats.org/officeDocument/2006/relationships/hyperlink" Target="https://72films.com" TargetMode="External" Id="rId91" /><Relationship Type="http://schemas.openxmlformats.org/officeDocument/2006/relationships/hyperlink" Target="https://find-and-update.company-information.service.gov.uk/company/10075517" TargetMode="External" Id="rId92" /><Relationship Type="http://schemas.openxmlformats.org/officeDocument/2006/relationships/hyperlink" Target="https://72films.com/contact/" TargetMode="External" Id="rId93" /><Relationship Type="http://schemas.openxmlformats.org/officeDocument/2006/relationships/hyperlink" Target="https://www.testingxperts.com" TargetMode="External" Id="rId94" /><Relationship Type="http://schemas.openxmlformats.org/officeDocument/2006/relationships/hyperlink" Target="https://find-and-update.company-information.service.gov.uk/company/10491678" TargetMode="External" Id="rId95" /><Relationship Type="http://schemas.openxmlformats.org/officeDocument/2006/relationships/hyperlink" Target="https://www.testingxperts.com/" TargetMode="External" Id="rId96" /><Relationship Type="http://schemas.openxmlformats.org/officeDocument/2006/relationships/hyperlink" Target="https://www.testingxperts.com/contact-us/" TargetMode="External" Id="rId97" /><Relationship Type="http://schemas.openxmlformats.org/officeDocument/2006/relationships/hyperlink" Target="https://octoberfilms.co.uk" TargetMode="External" Id="rId98" /><Relationship Type="http://schemas.openxmlformats.org/officeDocument/2006/relationships/hyperlink" Target="https://find-and-update.company-information.service.gov.uk/company/02328023" TargetMode="External" Id="rId99" /><Relationship Type="http://schemas.openxmlformats.org/officeDocument/2006/relationships/hyperlink" Target="https://octoberfilms.co.uk/contact/" TargetMode="External" Id="rId100" /><Relationship Type="http://schemas.openxmlformats.org/officeDocument/2006/relationships/hyperlink" Target="https://octoberfilms.co.uk/about/" TargetMode="External" Id="rId101" /><Relationship Type="http://schemas.openxmlformats.org/officeDocument/2006/relationships/hyperlink" Target="https://www.fenergo.com" TargetMode="External" Id="rId102" /><Relationship Type="http://schemas.openxmlformats.org/officeDocument/2006/relationships/hyperlink" Target="https://find-and-update.company-information.service.gov.uk/company/10267569" TargetMode="External" Id="rId103" /><Relationship Type="http://schemas.openxmlformats.org/officeDocument/2006/relationships/hyperlink" Target="https://www.fenergo.com/" TargetMode="External" Id="rId104" /><Relationship Type="http://schemas.openxmlformats.org/officeDocument/2006/relationships/hyperlink" Target="https://www.yendallhunter.com" TargetMode="External" Id="rId105" /><Relationship Type="http://schemas.openxmlformats.org/officeDocument/2006/relationships/hyperlink" Target="https://find-and-update.company-information.service.gov.uk/company/09410777" TargetMode="External" Id="rId106" /><Relationship Type="http://schemas.openxmlformats.org/officeDocument/2006/relationships/hyperlink" Target="https://www.yendallhunter.com/" TargetMode="External" Id="rId107" /><Relationship Type="http://schemas.openxmlformats.org/officeDocument/2006/relationships/hyperlink" Target="https://fluenceenergy.com" TargetMode="External" Id="rId108" /><Relationship Type="http://schemas.openxmlformats.org/officeDocument/2006/relationships/hyperlink" Target="https://find-and-update.company-information.service.gov.uk/company/14401806" TargetMode="External" Id="rId109" /><Relationship Type="http://schemas.openxmlformats.org/officeDocument/2006/relationships/hyperlink" Target="https://fluenceenergy.com/about/media-room/" TargetMode="External" Id="rId110" /><Relationship Type="http://schemas.openxmlformats.org/officeDocument/2006/relationships/hyperlink" Target="https://jenoa.com:443" TargetMode="External" Id="rId111" /><Relationship Type="http://schemas.openxmlformats.org/officeDocument/2006/relationships/hyperlink" Target="https://find-and-update.company-information.service.gov.uk/company/12292684" TargetMode="External" Id="rId112" /><Relationship Type="http://schemas.openxmlformats.org/officeDocument/2006/relationships/hyperlink" Target="https://jenoa.com/en/locations/" TargetMode="External" Id="rId113" /><Relationship Type="http://schemas.openxmlformats.org/officeDocument/2006/relationships/hyperlink" Target="https://www.vendavo.com" TargetMode="External" Id="rId114" /><Relationship Type="http://schemas.openxmlformats.org/officeDocument/2006/relationships/hyperlink" Target="https://find-and-update.company-information.service.gov.uk/company/05724979" TargetMode="External" Id="rId115" /><Relationship Type="http://schemas.openxmlformats.org/officeDocument/2006/relationships/hyperlink" Target="https://www.vendavo.com/company/contact/" TargetMode="External" Id="rId116" /><Relationship Type="http://schemas.openxmlformats.org/officeDocument/2006/relationships/hyperlink" Target="https://www.whitepaperco.com" TargetMode="External" Id="rId117" /><Relationship Type="http://schemas.openxmlformats.org/officeDocument/2006/relationships/hyperlink" Target="https://find-and-update.company-information.service.gov.uk/company/09980890" TargetMode="External" Id="rId118" /><Relationship Type="http://schemas.openxmlformats.org/officeDocument/2006/relationships/hyperlink" Target="https://www.whitepaperco.com/" TargetMode="External" Id="rId119" /><Relationship Type="http://schemas.openxmlformats.org/officeDocument/2006/relationships/hyperlink" Target="https://made.studio" TargetMode="External" Id="rId120" /><Relationship Type="http://schemas.openxmlformats.org/officeDocument/2006/relationships/hyperlink" Target="https://find-and-update.company-information.service.gov.uk/company/06591591" TargetMode="External" Id="rId121" /><Relationship Type="http://schemas.openxmlformats.org/officeDocument/2006/relationships/hyperlink" Target="https://made.studio/" TargetMode="External" Id="rId122" /><Relationship Type="http://schemas.openxmlformats.org/officeDocument/2006/relationships/hyperlink" Target="https://www.gje.com" TargetMode="External" Id="rId123" /><Relationship Type="http://schemas.openxmlformats.org/officeDocument/2006/relationships/hyperlink" Target="https://find-and-update.company-information.service.gov.uk/company/OC313165" TargetMode="External" Id="rId124" /><Relationship Type="http://schemas.openxmlformats.org/officeDocument/2006/relationships/hyperlink" Target="https://www.gje.com/" TargetMode="External" Id="rId125" /><Relationship Type="http://schemas.openxmlformats.org/officeDocument/2006/relationships/hyperlink" Target="https://squadron.com" TargetMode="External" Id="rId126" /><Relationship Type="http://schemas.openxmlformats.org/officeDocument/2006/relationships/hyperlink" Target="https://find-and-update.company-information.service.gov.uk/company/OC449650" TargetMode="External" Id="rId127" /><Relationship Type="http://schemas.openxmlformats.org/officeDocument/2006/relationships/hyperlink" Target="https://squadron.com/" TargetMode="External" Id="rId128" /><Relationship Type="http://schemas.openxmlformats.org/officeDocument/2006/relationships/hyperlink" Target="https://www.rbbecon.com" TargetMode="External" Id="rId129" /><Relationship Type="http://schemas.openxmlformats.org/officeDocument/2006/relationships/hyperlink" Target="https://find-and-update.company-information.service.gov.uk/company/OC315356" TargetMode="External" Id="rId130" /><Relationship Type="http://schemas.openxmlformats.org/officeDocument/2006/relationships/hyperlink" Target="https://www.rbbecon.com/contact/" TargetMode="External" Id="rId131" /><Relationship Type="http://schemas.openxmlformats.org/officeDocument/2006/relationships/hyperlink" Target="https://www.rbbecon.com/team/" TargetMode="External" Id="rId132" /><Relationship Type="http://schemas.openxmlformats.org/officeDocument/2006/relationships/hyperlink" Target="https://www.quantexa.com" TargetMode="External" Id="rId133" /><Relationship Type="http://schemas.openxmlformats.org/officeDocument/2006/relationships/hyperlink" Target="https://find-and-update.company-information.service.gov.uk/company/10045407" TargetMode="External" Id="rId134" /><Relationship Type="http://schemas.openxmlformats.org/officeDocument/2006/relationships/hyperlink" Target="https://www.quantexa.com/" TargetMode="External" Id="rId135" /><Relationship Type="http://schemas.openxmlformats.org/officeDocument/2006/relationships/hyperlink" Target="https://hadean.com" TargetMode="External" Id="rId136" /><Relationship Type="http://schemas.openxmlformats.org/officeDocument/2006/relationships/hyperlink" Target="https://find-and-update.company-information.service.gov.uk/company/09808169" TargetMode="External" Id="rId137" /><Relationship Type="http://schemas.openxmlformats.org/officeDocument/2006/relationships/hyperlink" Target="https://hadean.com/careers/" TargetMode="External" Id="rId138" /><Relationship Type="http://schemas.openxmlformats.org/officeDocument/2006/relationships/hyperlink" Target="https://www.maccreanorlavington.com" TargetMode="External" Id="rId139" /><Relationship Type="http://schemas.openxmlformats.org/officeDocument/2006/relationships/hyperlink" Target="https://find-and-update.company-information.service.gov.uk/company/04944069" TargetMode="External" Id="rId140" /><Relationship Type="http://schemas.openxmlformats.org/officeDocument/2006/relationships/hyperlink" Target="https://www.maccreanorlavington.com/" TargetMode="External" Id="rId141" /><Relationship Type="http://schemas.openxmlformats.org/officeDocument/2006/relationships/hyperlink" Target="https://www.maccreanorlavington.com/practice/about-us/" TargetMode="External" Id="rId142" /><Relationship Type="http://schemas.openxmlformats.org/officeDocument/2006/relationships/hyperlink" Target="https://tvf.co.uk" TargetMode="External" Id="rId143" /><Relationship Type="http://schemas.openxmlformats.org/officeDocument/2006/relationships/hyperlink" Target="https://find-and-update.company-information.service.gov.uk/company/02830019" TargetMode="External" Id="rId144" /><Relationship Type="http://schemas.openxmlformats.org/officeDocument/2006/relationships/hyperlink" Target="https://tvf.co.uk/contact" TargetMode="External" Id="rId145" /><Relationship Type="http://schemas.openxmlformats.org/officeDocument/2006/relationships/hyperlink" Target="https://tvf.co.uk/" TargetMode="External" Id="rId146" /><Relationship Type="http://schemas.openxmlformats.org/officeDocument/2006/relationships/hyperlink" Target="https://montash.com" TargetMode="External" Id="rId147" /><Relationship Type="http://schemas.openxmlformats.org/officeDocument/2006/relationships/hyperlink" Target="https://find-and-update.company-information.service.gov.uk/company/05195273" TargetMode="External" Id="rId148" /><Relationship Type="http://schemas.openxmlformats.org/officeDocument/2006/relationships/hyperlink" Target="https://montash.com/" TargetMode="External" Id="rId149" /><Relationship Type="http://schemas.openxmlformats.org/officeDocument/2006/relationships/hyperlink" Target="https://www.valeofoods.co.uk" TargetMode="External" Id="rId150" /><Relationship Type="http://schemas.openxmlformats.org/officeDocument/2006/relationships/hyperlink" Target="https://find-and-update.company-information.service.gov.uk/company/OC391111" TargetMode="External" Id="rId151" /><Relationship Type="http://schemas.openxmlformats.org/officeDocument/2006/relationships/hyperlink" Target="https://www.valeofoods.co.uk/contact" TargetMode="External" Id="rId152" /><Relationship Type="http://schemas.openxmlformats.org/officeDocument/2006/relationships/hyperlink" Target="https://www.atelierten.com" TargetMode="External" Id="rId153" /><Relationship Type="http://schemas.openxmlformats.org/officeDocument/2006/relationships/hyperlink" Target="https://find-and-update.company-information.service.gov.uk/company/02552224" TargetMode="External" Id="rId154" /><Relationship Type="http://schemas.openxmlformats.org/officeDocument/2006/relationships/hyperlink" Target="https://www.atelierten.com/offices/london/" TargetMode="External" Id="rId155" /><Relationship Type="http://schemas.openxmlformats.org/officeDocument/2006/relationships/hyperlink" Target="https://www.aptem.co.uk" TargetMode="External" Id="rId156" /><Relationship Type="http://schemas.openxmlformats.org/officeDocument/2006/relationships/hyperlink" Target="https://find-and-update.company-information.service.gov.uk/company/06824227" TargetMode="External" Id="rId157" /><Relationship Type="http://schemas.openxmlformats.org/officeDocument/2006/relationships/hyperlink" Target="https://www.aptem.co.uk/contact-us/" TargetMode="External" Id="rId158" /><Relationship Type="http://schemas.openxmlformats.org/officeDocument/2006/relationships/hyperlink" Target="https://vivacitylabs.com" TargetMode="External" Id="rId159" /><Relationship Type="http://schemas.openxmlformats.org/officeDocument/2006/relationships/hyperlink" Target="https://find-and-update.company-information.service.gov.uk/company/09924516" TargetMode="External" Id="rId160" /><Relationship Type="http://schemas.openxmlformats.org/officeDocument/2006/relationships/hyperlink" Target="https://vivacitylabs.com/north-america/about-us/contact/" TargetMode="External" Id="rId161" /><Relationship Type="http://schemas.openxmlformats.org/officeDocument/2006/relationships/hyperlink" Target="https://vivacitylabs.com/north-america/about-us/contact/" TargetMode="External" Id="rId162" /><Relationship Type="http://schemas.openxmlformats.org/officeDocument/2006/relationships/hyperlink" Target="https://www.ahmm.co.uk" TargetMode="External" Id="rId163" /><Relationship Type="http://schemas.openxmlformats.org/officeDocument/2006/relationships/hyperlink" Target="https://find-and-update.company-information.service.gov.uk/company/07155322" TargetMode="External" Id="rId164" /><Relationship Type="http://schemas.openxmlformats.org/officeDocument/2006/relationships/hyperlink" Target="https://www.ahmm.co.uk/contact/" TargetMode="External" Id="rId165" /><Relationship Type="http://schemas.openxmlformats.org/officeDocument/2006/relationships/hyperlink" Target="https://censuswide.com" TargetMode="External" Id="rId166" /><Relationship Type="http://schemas.openxmlformats.org/officeDocument/2006/relationships/hyperlink" Target="https://find-and-update.company-information.service.gov.uk/company/07924059" TargetMode="External" Id="rId167" /><Relationship Type="http://schemas.openxmlformats.org/officeDocument/2006/relationships/hyperlink" Target="https://censuswide.com/" TargetMode="External" Id="rId168" /><Relationship Type="http://schemas.openxmlformats.org/officeDocument/2006/relationships/hyperlink" Target="https://www.elsewhen.com" TargetMode="External" Id="rId169" /><Relationship Type="http://schemas.openxmlformats.org/officeDocument/2006/relationships/hyperlink" Target="https://find-and-update.company-information.service.gov.uk/company/07608360" TargetMode="External" Id="rId170" /><Relationship Type="http://schemas.openxmlformats.org/officeDocument/2006/relationships/hyperlink" Target="https://www.elsewhen.com/" TargetMode="External" Id="rId171" /><Relationship Type="http://schemas.openxmlformats.org/officeDocument/2006/relationships/hyperlink" Target="https://www.elsewhen.com/about/" TargetMode="External" Id="rId172" /><Relationship Type="http://schemas.openxmlformats.org/officeDocument/2006/relationships/hyperlink" Target="https://www.clovertechnology.co.uk" TargetMode="External" Id="rId173" /><Relationship Type="http://schemas.openxmlformats.org/officeDocument/2006/relationships/hyperlink" Target="https://find-and-update.company-information.service.gov.uk/company/13206820" TargetMode="External" Id="rId174" /><Relationship Type="http://schemas.openxmlformats.org/officeDocument/2006/relationships/hyperlink" Target="https://www.clovertechnology.co.uk/" TargetMode="External" Id="rId175" /><Relationship Type="http://schemas.openxmlformats.org/officeDocument/2006/relationships/hyperlink" Target="https://www.louderproductions.com" TargetMode="External" Id="rId176" /><Relationship Type="http://schemas.openxmlformats.org/officeDocument/2006/relationships/hyperlink" Target="https://find-and-update.company-information.service.gov.uk/company/06459817" TargetMode="External" Id="rId177" /><Relationship Type="http://schemas.openxmlformats.org/officeDocument/2006/relationships/hyperlink" Target="https://louderproductions.com/contact-us/" TargetMode="External" Id="rId178" /><Relationship Type="http://schemas.openxmlformats.org/officeDocument/2006/relationships/hyperlink" Target="https://www.arcontech.com" TargetMode="External" Id="rId179" /><Relationship Type="http://schemas.openxmlformats.org/officeDocument/2006/relationships/hyperlink" Target="https://find-and-update.company-information.service.gov.uk/company/04062416" TargetMode="External" Id="rId180" /><Relationship Type="http://schemas.openxmlformats.org/officeDocument/2006/relationships/hyperlink" Target="https://www.arcontech.com/" TargetMode="External" Id="rId181" /><Relationship Type="http://schemas.openxmlformats.org/officeDocument/2006/relationships/hyperlink" Target="https://www.veed.io" TargetMode="External" Id="rId182" /><Relationship Type="http://schemas.openxmlformats.org/officeDocument/2006/relationships/hyperlink" Target="https://find-and-update.company-information.service.gov.uk/company/11264311" TargetMode="External" Id="rId183" /><Relationship Type="http://schemas.openxmlformats.org/officeDocument/2006/relationships/hyperlink" Target="https://www.veed.io/" TargetMode="External" Id="rId184" /><Relationship Type="http://schemas.openxmlformats.org/officeDocument/2006/relationships/hyperlink" Target="https://www.atech.co.uk" TargetMode="External" Id="rId185" /><Relationship Type="http://schemas.openxmlformats.org/officeDocument/2006/relationships/hyperlink" Target="https://find-and-update.company-information.service.gov.uk/company/06021756" TargetMode="External" Id="rId186" /><Relationship Type="http://schemas.openxmlformats.org/officeDocument/2006/relationships/hyperlink" Target="https://www.atech.co.uk/" TargetMode="External" Id="rId187" /><Relationship Type="http://schemas.openxmlformats.org/officeDocument/2006/relationships/hyperlink" Target="https://dasacis.co.uk" TargetMode="External" Id="rId188" /><Relationship Type="http://schemas.openxmlformats.org/officeDocument/2006/relationships/hyperlink" Target="https://find-and-update.company-information.service.gov.uk/company/08576888" TargetMode="External" Id="rId189" /><Relationship Type="http://schemas.openxmlformats.org/officeDocument/2006/relationships/hyperlink" Target="https://dasacis.co.uk/" TargetMode="External" Id="rId190" /><Relationship Type="http://schemas.openxmlformats.org/officeDocument/2006/relationships/hyperlink" Target="https://tryzens.com" TargetMode="External" Id="rId191" /><Relationship Type="http://schemas.openxmlformats.org/officeDocument/2006/relationships/hyperlink" Target="https://find-and-update.company-information.service.gov.uk/company/08624932" TargetMode="External" Id="rId192" /><Relationship Type="http://schemas.openxmlformats.org/officeDocument/2006/relationships/hyperlink" Target="https://tryzens.com/contact-us/" TargetMode="External" Id="rId193" /><Relationship Type="http://schemas.openxmlformats.org/officeDocument/2006/relationships/hyperlink" Target="https://www.karakusevic-carson.com" TargetMode="External" Id="rId194" /><Relationship Type="http://schemas.openxmlformats.org/officeDocument/2006/relationships/hyperlink" Target="https://find-and-update.company-information.service.gov.uk/company/08720267" TargetMode="External" Id="rId195" /><Relationship Type="http://schemas.openxmlformats.org/officeDocument/2006/relationships/hyperlink" Target="https://www.karakusevic-carson.com/" TargetMode="External" Id="rId196" /><Relationship Type="http://schemas.openxmlformats.org/officeDocument/2006/relationships/hyperlink" Target="https://www.yourworld.com" TargetMode="External" Id="rId197" /><Relationship Type="http://schemas.openxmlformats.org/officeDocument/2006/relationships/hyperlink" Target="https://find-and-update.company-information.service.gov.uk/company/05460751" TargetMode="External" Id="rId198" /><Relationship Type="http://schemas.openxmlformats.org/officeDocument/2006/relationships/hyperlink" Target="https://www.yourworld.com/uk/contact" TargetMode="External" Id="rId199" /><Relationship Type="http://schemas.openxmlformats.org/officeDocument/2006/relationships/hyperlink" Target="https://www.datasite.com" TargetMode="External" Id="rId200" /><Relationship Type="http://schemas.openxmlformats.org/officeDocument/2006/relationships/hyperlink" Target="https://find-and-update.company-information.service.gov.uk/company/03829230" TargetMode="External" Id="rId201" /><Relationship Type="http://schemas.openxmlformats.org/officeDocument/2006/relationships/hyperlink" Target="https://www.datasite.com/en/company/careers" TargetMode="External" Id="rId202" /><Relationship Type="http://schemas.openxmlformats.org/officeDocument/2006/relationships/hyperlink" Target="https://www.datasite.com/en/company/about" TargetMode="External" Id="rId203" /><Relationship Type="http://schemas.openxmlformats.org/officeDocument/2006/relationships/hyperlink" Target="https://www.beeline.com" TargetMode="External" Id="rId204" /><Relationship Type="http://schemas.openxmlformats.org/officeDocument/2006/relationships/hyperlink" Target="https://find-and-update.company-information.service.gov.uk/company/04993515" TargetMode="External" Id="rId205" /><Relationship Type="http://schemas.openxmlformats.org/officeDocument/2006/relationships/hyperlink" Target="https://www.beeline.com/contact/support" TargetMode="External" Id="rId206" /><Relationship Type="http://schemas.openxmlformats.org/officeDocument/2006/relationships/hyperlink" Target="https://permutive.com" TargetMode="External" Id="rId207" /><Relationship Type="http://schemas.openxmlformats.org/officeDocument/2006/relationships/hyperlink" Target="https://find-and-update.company-information.service.gov.uk/company/08738815" TargetMode="External" Id="rId208" /><Relationship Type="http://schemas.openxmlformats.org/officeDocument/2006/relationships/hyperlink" Target="https://permutive.com/" TargetMode="External" Id="rId209" /><Relationship Type="http://schemas.openxmlformats.org/officeDocument/2006/relationships/hyperlink" Target="https://www.optimove.com" TargetMode="External" Id="rId210" /><Relationship Type="http://schemas.openxmlformats.org/officeDocument/2006/relationships/hyperlink" Target="https://find-and-update.company-information.service.gov.uk/company/10443820" TargetMode="External" Id="rId211" /><Relationship Type="http://schemas.openxmlformats.org/officeDocument/2006/relationships/hyperlink" Target="https://www.optimove.com/contact" TargetMode="External" Id="rId212" /><Relationship Type="http://schemas.openxmlformats.org/officeDocument/2006/relationships/hyperlink" Target="https://northdoor.co" TargetMode="External" Id="rId213" /><Relationship Type="http://schemas.openxmlformats.org/officeDocument/2006/relationships/hyperlink" Target="https://find-and-update.company-information.service.gov.uk/company/02192480" TargetMode="External" Id="rId214" /><Relationship Type="http://schemas.openxmlformats.org/officeDocument/2006/relationships/hyperlink" Target="https://northdoor.co/" TargetMode="External" Id="rId215" /><Relationship Type="http://schemas.openxmlformats.org/officeDocument/2006/relationships/hyperlink" Target="https://ericparryarchitects.co.uk" TargetMode="External" Id="rId216" /><Relationship Type="http://schemas.openxmlformats.org/officeDocument/2006/relationships/hyperlink" Target="https://find-and-update.company-information.service.gov.uk/company/02522093" TargetMode="External" Id="rId217" /><Relationship Type="http://schemas.openxmlformats.org/officeDocument/2006/relationships/hyperlink" Target="https://ericparryarchitects.co.uk/" TargetMode="External" Id="rId218" /><Relationship Type="http://schemas.openxmlformats.org/officeDocument/2006/relationships/hyperlink" Target="https://mcbains.co.uk" TargetMode="External" Id="rId219" /><Relationship Type="http://schemas.openxmlformats.org/officeDocument/2006/relationships/hyperlink" Target="https://find-and-update.company-information.service.gov.uk/company/03094139" TargetMode="External" Id="rId220" /><Relationship Type="http://schemas.openxmlformats.org/officeDocument/2006/relationships/hyperlink" Target="https://mcbains.co.uk/" TargetMode="External" Id="rId221" /><Relationship Type="http://schemas.openxmlformats.org/officeDocument/2006/relationships/hyperlink" Target="https://lightboxmedia.co" TargetMode="External" Id="rId222" /><Relationship Type="http://schemas.openxmlformats.org/officeDocument/2006/relationships/hyperlink" Target="https://find-and-update.company-information.service.gov.uk/company/08768677" TargetMode="External" Id="rId223" /><Relationship Type="http://schemas.openxmlformats.org/officeDocument/2006/relationships/hyperlink" Target="https://lightboxmedia.co/" TargetMode="External" Id="rId224" /><Relationship Type="http://schemas.openxmlformats.org/officeDocument/2006/relationships/hyperlink" Target="https://bluesquare.io" TargetMode="External" Id="rId225" /><Relationship Type="http://schemas.openxmlformats.org/officeDocument/2006/relationships/hyperlink" Target="https://find-and-update.company-information.service.gov.uk/company/06797461" TargetMode="External" Id="rId226" /><Relationship Type="http://schemas.openxmlformats.org/officeDocument/2006/relationships/hyperlink" Target="https://bluesquare.io/" TargetMode="External" Id="rId227" /><Relationship Type="http://schemas.openxmlformats.org/officeDocument/2006/relationships/hyperlink" Target="https://www.pushgaming.com" TargetMode="External" Id="rId228" /><Relationship Type="http://schemas.openxmlformats.org/officeDocument/2006/relationships/hyperlink" Target="https://find-and-update.company-information.service.gov.uk/company/07395813" TargetMode="External" Id="rId229" /><Relationship Type="http://schemas.openxmlformats.org/officeDocument/2006/relationships/hyperlink" Target="https://www.pushgaming.com/" TargetMode="External" Id="rId230" /><Relationship Type="http://schemas.openxmlformats.org/officeDocument/2006/relationships/hyperlink" Target="https://www.creativemonster.com" TargetMode="External" Id="rId231" /><Relationship Type="http://schemas.openxmlformats.org/officeDocument/2006/relationships/hyperlink" Target="https://find-and-update.company-information.service.gov.uk/company/10806730" TargetMode="External" Id="rId232" /><Relationship Type="http://schemas.openxmlformats.org/officeDocument/2006/relationships/hyperlink" Target="https://www.creativemonster.com/" TargetMode="External" Id="rId233" /><Relationship Type="http://schemas.openxmlformats.org/officeDocument/2006/relationships/hyperlink" Target="https://www.ipc.com" TargetMode="External" Id="rId234" /><Relationship Type="http://schemas.openxmlformats.org/officeDocument/2006/relationships/hyperlink" Target="https://find-and-update.company-information.service.gov.uk/company/01823833" TargetMode="External" Id="rId235" /><Relationship Type="http://schemas.openxmlformats.org/officeDocument/2006/relationships/hyperlink" Target="https://www.ipc.com/contact-us/" TargetMode="External" Id="rId236" /><Relationship Type="http://schemas.openxmlformats.org/officeDocument/2006/relationships/hyperlink" Target="https://www.oliverbernard.com" TargetMode="External" Id="rId237" /><Relationship Type="http://schemas.openxmlformats.org/officeDocument/2006/relationships/hyperlink" Target="https://find-and-update.company-information.service.gov.uk/company/07128139" TargetMode="External" Id="rId238" /><Relationship Type="http://schemas.openxmlformats.org/officeDocument/2006/relationships/hyperlink" Target="https://www.oliverbernard.com/contact" TargetMode="External" Id="rId239" /><Relationship Type="http://schemas.openxmlformats.org/officeDocument/2006/relationships/hyperlink" Target="https://www.container-solutions.com" TargetMode="External" Id="rId240" /><Relationship Type="http://schemas.openxmlformats.org/officeDocument/2006/relationships/hyperlink" Target="https://find-and-update.company-information.service.gov.uk/company/14061734" TargetMode="External" Id="rId241" /><Relationship Type="http://schemas.openxmlformats.org/officeDocument/2006/relationships/hyperlink" Target="https://www.container-solutions.com/" TargetMode="External" Id="rId242" /><Relationship Type="http://schemas.openxmlformats.org/officeDocument/2006/relationships/hyperlink" Target="https://fincore.ai" TargetMode="External" Id="rId243" /><Relationship Type="http://schemas.openxmlformats.org/officeDocument/2006/relationships/hyperlink" Target="https://find-and-update.company-information.service.gov.uk/company/05998321" TargetMode="External" Id="rId244" /><Relationship Type="http://schemas.openxmlformats.org/officeDocument/2006/relationships/hyperlink" Target="https://fincore.ai/" TargetMode="External" Id="rId245" /><Relationship Type="http://schemas.openxmlformats.org/officeDocument/2006/relationships/hyperlink" Target="https://fincore.ai/about/" TargetMode="External" Id="rId246" /><Relationship Type="http://schemas.openxmlformats.org/officeDocument/2006/relationships/hyperlink" Target="https://www.brightstarlottery.com" TargetMode="External" Id="rId247" /><Relationship Type="http://schemas.openxmlformats.org/officeDocument/2006/relationships/hyperlink" Target="https://find-and-update.company-information.service.gov.uk/company/02796326" TargetMode="External" Id="rId248" /><Relationship Type="http://schemas.openxmlformats.org/officeDocument/2006/relationships/hyperlink" Target="https://www.brightstarlottery.com/contact-us" TargetMode="External" Id="rId249" /><Relationship Type="http://schemas.openxmlformats.org/officeDocument/2006/relationships/hyperlink" Target="https://www.euromonitor.com" TargetMode="External" Id="rId250" /><Relationship Type="http://schemas.openxmlformats.org/officeDocument/2006/relationships/hyperlink" Target="https://find-and-update.company-information.service.gov.uk/company/01040587" TargetMode="External" Id="rId251" /><Relationship Type="http://schemas.openxmlformats.org/officeDocument/2006/relationships/hyperlink" Target="https://www.euromonitor.com/who-we-are/office-locations" TargetMode="External" Id="rId252" /><Relationship Type="http://schemas.openxmlformats.org/officeDocument/2006/relationships/hyperlink" Target="https://www.gtn.com" TargetMode="External" Id="rId253" /><Relationship Type="http://schemas.openxmlformats.org/officeDocument/2006/relationships/hyperlink" Target="https://find-and-update.company-information.service.gov.uk/company/14150611" TargetMode="External" Id="rId254" /><Relationship Type="http://schemas.openxmlformats.org/officeDocument/2006/relationships/hyperlink" Target="https://www.gtn.com/" TargetMode="External" Id="rId255" /><Relationship Type="http://schemas.openxmlformats.org/officeDocument/2006/relationships/hyperlink" Target="https://www.parseq.com" TargetMode="External" Id="rId256" /><Relationship Type="http://schemas.openxmlformats.org/officeDocument/2006/relationships/hyperlink" Target="https://find-and-update.company-information.service.gov.uk/company/05815806" TargetMode="External" Id="rId257" /><Relationship Type="http://schemas.openxmlformats.org/officeDocument/2006/relationships/hyperlink" Target="https://www.parseq.com/" TargetMode="External" Id="rId258" /><Relationship Type="http://schemas.openxmlformats.org/officeDocument/2006/relationships/hyperlink" Target="https://sigmatic.io" TargetMode="External" Id="rId259" /><Relationship Type="http://schemas.openxmlformats.org/officeDocument/2006/relationships/hyperlink" Target="https://find-and-update.company-information.service.gov.uk/company/03034965" TargetMode="External" Id="rId260" /><Relationship Type="http://schemas.openxmlformats.org/officeDocument/2006/relationships/hyperlink" Target="https://sigmatic.io/" TargetMode="External" Id="rId26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84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8" customWidth="1" min="3" max="3"/>
    <col width="12" customWidth="1" min="4" max="4"/>
    <col width="32" customWidth="1" min="5" max="5"/>
    <col width="22" customWidth="1" min="6" max="6"/>
    <col width="2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30" customWidth="1" min="13" max="13"/>
    <col width="9" customWidth="1" min="14" max="14"/>
    <col width="9" customWidth="1" min="15" max="15"/>
    <col width="11" customWidth="1" min="16" max="16"/>
    <col width="18" customWidth="1" min="17" max="17"/>
    <col width="20" customWidth="1" min="18" max="18"/>
    <col width="28" customWidth="1" min="19" max="19"/>
    <col width="20" customWidth="1" min="20" max="20"/>
    <col width="22" customWidth="1" min="21" max="21"/>
    <col width="18" customWidth="1" min="22" max="22"/>
    <col width="12" customWidth="1" min="23" max="23"/>
    <col width="26" customWidth="1" min="24" max="24"/>
    <col width="10" customWidth="1" min="25" max="25"/>
    <col width="22" customWidth="1" min="26" max="26"/>
    <col width="26" customWidth="1" min="27" max="27"/>
    <col width="7" customWidth="1" min="28" max="28"/>
    <col width="26" customWidth="1" min="29" max="29"/>
    <col width="30" customWidth="1" min="30" max="30"/>
    <col width="10" customWidth="1" min="31" max="31"/>
    <col width="9" customWidth="1" min="32" max="32"/>
    <col width="9" customWidth="1" min="33" max="33"/>
    <col width="36" customWidth="1" min="34" max="34"/>
    <col width="20" customWidth="1" min="35" max="35"/>
    <col width="26" customWidth="1" min="36" max="36"/>
    <col width="40" customWidth="1" min="37" max="37"/>
    <col width="60" customWidth="1" min="38" max="38"/>
    <col width="45" customWidth="1" min="39" max="39"/>
    <col width="10" customWidth="1" min="40" max="40"/>
    <col width="9" customWidth="1" min="41" max="41"/>
    <col width="30" customWidth="1" min="42" max="42"/>
    <col width="8" customWidth="1" min="43" max="43"/>
    <col width="11" customWidth="1" min="44" max="44"/>
    <col width="11" customWidth="1" min="45" max="45"/>
    <col width="8" customWidth="1" min="46" max="46"/>
    <col width="14" customWidth="1" min="47" max="47"/>
    <col width="8" customWidth="1" min="48" max="48"/>
    <col width="8" customWidth="1" min="49" max="49"/>
    <col width="8" customWidth="1" min="50" max="50"/>
    <col width="28" customWidth="1" min="51" max="51"/>
  </cols>
  <sheetData>
    <row r="1">
      <c r="A1" s="1" t="inlineStr">
        <is>
          <t>Company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inlineStr">
        <is>
          <t>Contact</t>
        </is>
      </c>
      <c r="Q1" s="4" t="n"/>
      <c r="R1" s="4" t="n"/>
      <c r="S1" s="4" t="n"/>
      <c r="T1" s="4" t="n"/>
      <c r="U1" s="4" t="n"/>
      <c r="V1" s="4" t="n"/>
      <c r="W1" s="4" t="n"/>
      <c r="X1" s="5" t="inlineStr">
        <is>
          <t>Office &amp; pitch</t>
        </is>
      </c>
      <c r="Y1" s="6" t="n"/>
      <c r="Z1" s="6" t="n"/>
      <c r="AA1" s="6" t="n"/>
      <c r="AB1" s="6" t="n"/>
      <c r="AC1" s="7" t="inlineStr">
        <is>
          <t>Lead with (message)</t>
        </is>
      </c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9" t="inlineStr">
        <is>
          <t>Checks</t>
        </is>
      </c>
      <c r="AO1" s="10" t="n"/>
      <c r="AP1" s="10" t="n"/>
      <c r="AQ1" s="11" t="inlineStr">
        <is>
          <t>Tracking — fill in</t>
        </is>
      </c>
      <c r="AR1" s="12" t="n"/>
      <c r="AS1" s="12" t="n"/>
      <c r="AT1" s="12" t="n"/>
      <c r="AU1" s="12" t="n"/>
      <c r="AV1" s="12" t="n"/>
      <c r="AW1" s="12" t="n"/>
      <c r="AX1" s="12" t="n"/>
      <c r="AY1" s="12" t="n"/>
    </row>
    <row r="2" ht="42" customHeight="1">
      <c r="A2" s="13" t="inlineStr">
        <is>
          <t>#</t>
        </is>
      </c>
      <c r="B2" s="13" t="inlineStr">
        <is>
          <t>Priority</t>
        </is>
      </c>
      <c r="C2" s="13" t="inlineStr">
        <is>
          <t>Segment</t>
        </is>
      </c>
      <c r="D2" s="13" t="inlineStr">
        <is>
          <t>Area</t>
        </is>
      </c>
      <c r="E2" s="13" t="inlineStr">
        <is>
          <t>Company</t>
        </is>
      </c>
      <c r="F2" s="13" t="inlineStr">
        <is>
          <t>Name for messages</t>
        </is>
      </c>
      <c r="G2" s="13" t="inlineStr">
        <is>
          <t>Website</t>
        </is>
      </c>
      <c r="H2" s="13" t="inlineStr">
        <is>
          <t>Headcount</t>
        </is>
      </c>
      <c r="I2" s="13" t="inlineStr">
        <is>
          <t>Companies House no.</t>
        </is>
      </c>
      <c r="J2" s="13" t="inlineStr">
        <is>
          <t>Companies House</t>
        </is>
      </c>
      <c r="K2" s="13" t="inlineStr">
        <is>
          <t>Accounts</t>
        </is>
      </c>
      <c r="L2" s="13" t="inlineStr">
        <is>
          <t>Incorporated</t>
        </is>
      </c>
      <c r="M2" s="13" t="inlineStr">
        <is>
          <t>Registered address</t>
        </is>
      </c>
      <c r="N2" s="13" t="inlineStr">
        <is>
          <t>Postcode</t>
        </is>
      </c>
      <c r="O2" s="13" t="inlineStr">
        <is>
          <t>In 933 research list?</t>
        </is>
      </c>
      <c r="P2" s="13" t="inlineStr">
        <is>
          <t>Contact first name</t>
        </is>
      </c>
      <c r="Q2" s="13" t="inlineStr">
        <is>
          <t>Contact full name</t>
        </is>
      </c>
      <c r="R2" s="13" t="inlineStr">
        <is>
          <t>Contact title</t>
        </is>
      </c>
      <c r="S2" s="13" t="inlineStr">
        <is>
          <t>Email</t>
        </is>
      </c>
      <c r="T2" s="13" t="inlineStr">
        <is>
          <t>Email type</t>
        </is>
      </c>
      <c r="U2" s="13" t="inlineStr">
        <is>
          <t>Contact source URL</t>
        </is>
      </c>
      <c r="V2" s="13" t="inlineStr">
        <is>
          <t>Direct email</t>
        </is>
      </c>
      <c r="W2" s="13" t="inlineStr">
        <is>
          <t>Phone</t>
        </is>
      </c>
      <c r="X2" s="13" t="inlineStr">
        <is>
          <t>Office street</t>
        </is>
      </c>
      <c r="Y2" s="13" t="inlineStr">
        <is>
          <t>Office postcode</t>
        </is>
      </c>
      <c r="Z2" s="13" t="inlineStr">
        <is>
          <t>Office basis</t>
        </is>
      </c>
      <c r="AA2" s="13" t="inlineStr">
        <is>
          <t>Nearest pitch</t>
        </is>
      </c>
      <c r="AB2" s="13" t="inlineStr">
        <is>
          <t>Walk (min)</t>
        </is>
      </c>
      <c r="AC2" s="13" t="inlineStr">
        <is>
          <t>Lead with: pitch</t>
        </is>
      </c>
      <c r="AD2" s="13" t="inlineStr">
        <is>
          <t>Lead with: slot</t>
        </is>
      </c>
      <c r="AE2" s="13" t="inlineStr">
        <is>
          <t>Slot type</t>
        </is>
      </c>
      <c r="AF2" s="13" t="inlineStr">
        <is>
          <t>Lead with: format</t>
        </is>
      </c>
      <c r="AG2" s="13" t="inlineStr">
        <is>
          <t>Price per player (£)</t>
        </is>
      </c>
      <c r="AH2" s="13" t="inlineStr">
        <is>
          <t>Personal line</t>
        </is>
      </c>
      <c r="AI2" s="13" t="inlineStr">
        <is>
          <t>Personal line source</t>
        </is>
      </c>
      <c r="AJ2" s="13" t="inlineStr">
        <is>
          <t>Send to</t>
        </is>
      </c>
      <c r="AK2" s="13" t="inlineStr">
        <is>
          <t>Subject</t>
        </is>
      </c>
      <c r="AL2" s="13" t="inlineStr">
        <is>
          <t>Email draft</t>
        </is>
      </c>
      <c r="AM2" s="13" t="inlineStr">
        <is>
          <t>Follow-up email (day 4)</t>
        </is>
      </c>
      <c r="AN2" s="13" t="inlineStr">
        <is>
          <t>Suppression check</t>
        </is>
      </c>
      <c r="AO2" s="13" t="inlineStr">
        <is>
          <t>MX check</t>
        </is>
      </c>
      <c r="AP2" s="13" t="inlineStr">
        <is>
          <t>Draftable</t>
        </is>
      </c>
      <c r="AQ2" s="14" t="inlineStr">
        <is>
          <t>Owner</t>
        </is>
      </c>
      <c r="AR2" s="14" t="inlineStr">
        <is>
          <t>Contacted on</t>
        </is>
      </c>
      <c r="AS2" s="14" t="inlineStr">
        <is>
          <t>Follow-up sent on</t>
        </is>
      </c>
      <c r="AT2" s="14" t="inlineStr">
        <is>
          <t>Replied</t>
        </is>
      </c>
      <c r="AU2" s="14" t="inlineStr">
        <is>
          <t>Reply category</t>
        </is>
      </c>
      <c r="AV2" s="14" t="inlineStr">
        <is>
          <t>Call booked</t>
        </is>
      </c>
      <c r="AW2" s="14" t="inlineStr">
        <is>
          <t>Group created</t>
        </is>
      </c>
      <c r="AX2" s="14" t="inlineStr">
        <is>
          <t>First game booked</t>
        </is>
      </c>
      <c r="AY2" s="14" t="inlineStr">
        <is>
          <t>Notes</t>
        </is>
      </c>
    </row>
    <row r="3">
      <c r="A3" s="15" t="n">
        <v>1</v>
      </c>
      <c r="B3" s="15" t="n">
        <v>1</v>
      </c>
      <c r="C3" s="15" t="inlineStr">
        <is>
          <t>Marketing / agency</t>
        </is>
      </c>
      <c r="D3" s="15" t="inlineStr">
        <is>
          <t>EC1V</t>
        </is>
      </c>
      <c r="E3" s="15" t="inlineStr">
        <is>
          <t>Wellcom London Limited</t>
        </is>
      </c>
      <c r="F3" s="15" t="inlineStr">
        <is>
          <t>Wellcom London</t>
        </is>
      </c>
      <c r="G3" s="16" t="inlineStr">
        <is>
          <t>https://www.wellcomww.com:443</t>
        </is>
      </c>
      <c r="H3" s="15" t="inlineStr">
        <is>
          <t>Not stated</t>
        </is>
      </c>
      <c r="I3" s="15" t="inlineStr">
        <is>
          <t>00979521</t>
        </is>
      </c>
      <c r="J3" s="16" t="inlineStr">
        <is>
          <t>Open</t>
        </is>
      </c>
      <c r="K3" s="15" t="inlineStr">
        <is>
          <t>Full</t>
        </is>
      </c>
      <c r="L3" s="15" t="inlineStr">
        <is>
          <t>13/05/1970</t>
        </is>
      </c>
      <c r="M3" s="15" t="inlineStr">
        <is>
          <t>1 Berry Place, London</t>
        </is>
      </c>
      <c r="N3" s="15" t="inlineStr">
        <is>
          <t>EC1V 0JD</t>
        </is>
      </c>
      <c r="O3" s="15" t="inlineStr">
        <is>
          <t>No</t>
        </is>
      </c>
      <c r="P3" s="15" t="n"/>
      <c r="Q3" s="15" t="n"/>
      <c r="R3" s="15" t="n"/>
      <c r="S3" s="15" t="inlineStr">
        <is>
          <t>hello@wellcomww.com</t>
        </is>
      </c>
      <c r="T3" s="15" t="inlineStr">
        <is>
          <t>a/b named person</t>
        </is>
      </c>
      <c r="U3" s="16" t="inlineStr">
        <is>
          <t>https://www.wellcomww.com:443/offices/new-york</t>
        </is>
      </c>
      <c r="X3" s="15" t="inlineStr">
        <is>
          <t>1 BERRY PLACE</t>
        </is>
      </c>
      <c r="Y3" s="15" t="inlineStr">
        <is>
          <t>EC1V 0JD</t>
        </is>
      </c>
      <c r="Z3" s="15" t="inlineStr">
        <is>
          <t>Website (1 BERRY PLACE)</t>
        </is>
      </c>
      <c r="AA3" s="15" t="inlineStr">
        <is>
          <t>Old St - Moreland Primary School</t>
        </is>
      </c>
      <c r="AB3" s="15" t="n">
        <v>5</v>
      </c>
      <c r="AC3" s="15" t="inlineStr">
        <is>
          <t>Old St - Moreland Primary School</t>
        </is>
      </c>
      <c r="AD3" s="15" t="inlineStr">
        <is>
          <t>Monday 12 October at 18:00</t>
        </is>
      </c>
      <c r="AE3" s="15" t="inlineStr">
        <is>
          <t>One-off</t>
        </is>
      </c>
      <c r="AF3" s="15" t="inlineStr">
        <is>
          <t>6-a-side</t>
        </is>
      </c>
      <c r="AG3" s="17">
        <f>IF(Offer!$D$5="","",Offer!$D$5)</f>
        <v/>
      </c>
      <c r="AH3" s="15" t="n"/>
      <c r="AI3" s="15" t="n"/>
      <c r="AJ3" s="18">
        <f>IF(V3&lt;&gt;"",V3,S3)</f>
        <v/>
      </c>
      <c r="AK3" s="18">
        <f>IF(AG3="","",AF3&amp;" football "&amp;AD3&amp;" · "&amp;AB3&amp;" min from your office")</f>
        <v/>
      </c>
      <c r="AL3" s="18">
        <f>IF(AG3="","","Hi "&amp;IF(P3&lt;&gt;"",P3,F3&amp;" team")&amp;","&amp;CHAR(10)&amp;CHAR(10)&amp;IF(AH3&lt;&gt;"","Saw that "&amp;F3&amp;" "&amp;AH3&amp;"."&amp;CHAR(10)&amp;CHAR(10),"")&amp;"I'm "&amp;IF(AQ3&lt;&gt;"",AQ3,Offer!$D$8)&amp;" from FC Urban. We run weekly after-work football for London teams. We have a "&amp;AF3&amp;" pitch at "&amp;AC3&amp;", a "&amp;AB3&amp;"-minute walk from your office on "&amp;IF(X3&lt;&gt;"",X3,Y3)&amp;", free "&amp;AD3&amp;". It's "&amp;"£"&amp;IF(AG3=INT(AG3),TEXT(AG3,"0"),TEXT(AG3,"0.00"))&amp;" a player: we book the pitch and handle sign-ups and payments, so someone just shares one link with the team."&amp;CHAR(10)&amp;CHAR(10)&amp;"Would your team be up for a weekly game? Happy to hold the slot for "&amp;F3&amp;" this week."&amp;CHAR(10)&amp;CHAR(10)&amp;"Best,"&amp;CHAR(10)&amp;IF(AQ3&lt;&gt;"",AQ3,Offer!$D$8)&amp;CHAR(10)&amp;"FC Urban")</f>
        <v/>
      </c>
      <c r="AM3" s="18">
        <f>IF(AG3="","","Hi "&amp;IF(P3&lt;&gt;"",P3,F3&amp;" team")&amp;","&amp;CHAR(10)&amp;CHAR(10)&amp;"Quick follow-up: the "&amp;AF3&amp;" pitch at "&amp;AC3&amp;" is still free "&amp;AD3&amp;", "&amp;"£"&amp;IF(AG3=INT(AG3),TEXT(AG3,"0"),TEXT(AG3,"0.00"))&amp;" a player, "&amp;AB3&amp;" minutes from your office. Shall I hold it for "&amp;F3&amp;"?"&amp;CHAR(10)&amp;CHAR(10)&amp;"Best,"&amp;CHAR(10)&amp;IF(AQ3&lt;&gt;"",AQ3,Offer!$D$8)&amp;CHAR(10)&amp;"FC Urban")</f>
        <v/>
      </c>
      <c r="AN3" s="15" t="inlineStr">
        <is>
          <t>pass</t>
        </is>
      </c>
      <c r="AO3" s="15" t="inlineStr">
        <is>
          <t>MX ok · mailbox not verified</t>
        </is>
      </c>
      <c r="AP3" s="18">
        <f>IF(AG3="","No – no confirmed London price per player",IF(AJ3="","No – no email",IF(AN3&lt;&gt;"pass","No – suppressed","Yes")))</f>
        <v/>
      </c>
      <c r="AR3" s="19" t="n"/>
      <c r="AS3" s="19" t="n"/>
    </row>
    <row r="4">
      <c r="A4" s="15" t="n">
        <v>2</v>
      </c>
      <c r="B4" s="15" t="n">
        <v>1</v>
      </c>
      <c r="C4" s="15" t="inlineStr">
        <is>
          <t>Tech / software</t>
        </is>
      </c>
      <c r="D4" s="15" t="inlineStr">
        <is>
          <t>N1</t>
        </is>
      </c>
      <c r="E4" s="15" t="inlineStr">
        <is>
          <t>Moonpay (UK) Limited</t>
        </is>
      </c>
      <c r="F4" s="15" t="inlineStr">
        <is>
          <t>Moonpay</t>
        </is>
      </c>
      <c r="G4" s="16" t="inlineStr">
        <is>
          <t>https://www.moonpay.com</t>
        </is>
      </c>
      <c r="H4" s="15" t="inlineStr">
        <is>
          <t>Not stated</t>
        </is>
      </c>
      <c r="I4" s="15" t="inlineStr">
        <is>
          <t>12055543</t>
        </is>
      </c>
      <c r="J4" s="16" t="inlineStr">
        <is>
          <t>Open</t>
        </is>
      </c>
      <c r="K4" s="15" t="inlineStr">
        <is>
          <t>Full</t>
        </is>
      </c>
      <c r="L4" s="15" t="inlineStr">
        <is>
          <t>17/06/2019</t>
        </is>
      </c>
      <c r="M4" s="15" t="inlineStr">
        <is>
          <t>20-22 Wenlock Road, London</t>
        </is>
      </c>
      <c r="N4" s="15" t="inlineStr">
        <is>
          <t>N1 7GU</t>
        </is>
      </c>
      <c r="O4" s="15" t="inlineStr">
        <is>
          <t>No</t>
        </is>
      </c>
      <c r="P4" s="15" t="inlineStr">
        <is>
          <t>Ivan</t>
        </is>
      </c>
      <c r="Q4" s="15" t="inlineStr">
        <is>
          <t>Ivan Soto-Wright</t>
        </is>
      </c>
      <c r="R4" s="15" t="inlineStr">
        <is>
          <t>Co-Founder &amp; Chief Executive Officer</t>
        </is>
      </c>
      <c r="S4" s="15" t="inlineStr">
        <is>
          <t>anders@moonpay.com</t>
        </is>
      </c>
      <c r="T4" s="15" t="inlineStr">
        <is>
          <t>a/b named person</t>
        </is>
      </c>
      <c r="U4" s="16" t="inlineStr">
        <is>
          <t>https://www.moonpay.com/newsroom/changelog</t>
        </is>
      </c>
      <c r="X4" s="15" t="inlineStr">
        <is>
          <t>20-22 WENLOCK ROAD</t>
        </is>
      </c>
      <c r="Y4" s="15" t="inlineStr">
        <is>
          <t>N1 7GU</t>
        </is>
      </c>
      <c r="Z4" s="15" t="inlineStr">
        <is>
          <t>Website (20-22 WENLOCK ROAD)</t>
        </is>
      </c>
      <c r="AA4" s="15" t="inlineStr">
        <is>
          <t>Old St - Moreland Primary School</t>
        </is>
      </c>
      <c r="AB4" s="15" t="n">
        <v>6</v>
      </c>
      <c r="AC4" s="15" t="inlineStr">
        <is>
          <t>Old St - Moreland Primary School</t>
        </is>
      </c>
      <c r="AD4" s="15" t="inlineStr">
        <is>
          <t>Monday 12 October at 18:00</t>
        </is>
      </c>
      <c r="AE4" s="15" t="inlineStr">
        <is>
          <t>One-off</t>
        </is>
      </c>
      <c r="AF4" s="15" t="inlineStr">
        <is>
          <t>6-a-side</t>
        </is>
      </c>
      <c r="AG4" s="17">
        <f>IF(Offer!$D$5="","",Offer!$D$5)</f>
        <v/>
      </c>
      <c r="AH4" s="15" t="n"/>
      <c r="AI4" s="15" t="n"/>
      <c r="AJ4" s="18">
        <f>IF(V4&lt;&gt;"",V4,S4)</f>
        <v/>
      </c>
      <c r="AK4" s="18">
        <f>IF(AG4="","",AF4&amp;" football "&amp;AD4&amp;" · "&amp;AB4&amp;" min from your office")</f>
        <v/>
      </c>
      <c r="AL4" s="18">
        <f>IF(AG4="","","Hi "&amp;IF(P4&lt;&gt;"",P4,F4&amp;" team")&amp;","&amp;CHAR(10)&amp;CHAR(10)&amp;IF(AH4&lt;&gt;"","Saw that "&amp;F4&amp;" "&amp;AH4&amp;"."&amp;CHAR(10)&amp;CHAR(10),"")&amp;"I'm "&amp;IF(AQ4&lt;&gt;"",AQ4,Offer!$D$8)&amp;" from FC Urban. We run weekly after-work football for London teams. We have a "&amp;AF4&amp;" pitch at "&amp;AC4&amp;", a "&amp;AB4&amp;"-minute walk from your office on "&amp;IF(X4&lt;&gt;"",X4,Y4)&amp;", free "&amp;AD4&amp;". It's "&amp;"£"&amp;IF(AG4=INT(AG4),TEXT(AG4,"0"),TEXT(AG4,"0.00"))&amp;" a player: we book the pitch and handle sign-ups and payments, so someone just shares one link with the team."&amp;CHAR(10)&amp;CHAR(10)&amp;"Would your team be up for a weekly game? Happy to hold the slot for "&amp;F4&amp;" this week."&amp;CHAR(10)&amp;CHAR(10)&amp;"Best,"&amp;CHAR(10)&amp;IF(AQ4&lt;&gt;"",AQ4,Offer!$D$8)&amp;CHAR(10)&amp;"FC Urban")</f>
        <v/>
      </c>
      <c r="AM4" s="18">
        <f>IF(AG4="","","Hi "&amp;IF(P4&lt;&gt;"",P4,F4&amp;" team")&amp;","&amp;CHAR(10)&amp;CHAR(10)&amp;"Quick follow-up: the "&amp;AF4&amp;" pitch at "&amp;AC4&amp;" is still free "&amp;AD4&amp;", "&amp;"£"&amp;IF(AG4=INT(AG4),TEXT(AG4,"0"),TEXT(AG4,"0.00"))&amp;" a player, "&amp;AB4&amp;" minutes from your office. Shall I hold it for "&amp;F4&amp;"?"&amp;CHAR(10)&amp;CHAR(10)&amp;"Best,"&amp;CHAR(10)&amp;IF(AQ4&lt;&gt;"",AQ4,Offer!$D$8)&amp;CHAR(10)&amp;"FC Urban")</f>
        <v/>
      </c>
      <c r="AN4" s="15" t="inlineStr">
        <is>
          <t>pass</t>
        </is>
      </c>
      <c r="AO4" s="15" t="inlineStr">
        <is>
          <t>MX ok · mailbox not verified</t>
        </is>
      </c>
      <c r="AP4" s="18">
        <f>IF(AG4="","No – no confirmed London price per player",IF(AJ4="","No – no email",IF(AN4&lt;&gt;"pass","No – suppressed","Yes")))</f>
        <v/>
      </c>
      <c r="AR4" s="19" t="n"/>
      <c r="AS4" s="19" t="n"/>
    </row>
    <row r="5">
      <c r="A5" s="15" t="n">
        <v>3</v>
      </c>
      <c r="B5" s="15" t="n">
        <v>1</v>
      </c>
      <c r="C5" s="15" t="inlineStr">
        <is>
          <t>Tech / software</t>
        </is>
      </c>
      <c r="D5" s="15" t="inlineStr">
        <is>
          <t>N1</t>
        </is>
      </c>
      <c r="E5" s="15" t="inlineStr">
        <is>
          <t>Mention Me Limited</t>
        </is>
      </c>
      <c r="F5" s="15" t="inlineStr">
        <is>
          <t>Mention Me</t>
        </is>
      </c>
      <c r="G5" s="16" t="inlineStr">
        <is>
          <t>https://www.mention-me.com</t>
        </is>
      </c>
      <c r="H5" s="15" t="inlineStr">
        <is>
          <t>Not stated</t>
        </is>
      </c>
      <c r="I5" s="15" t="inlineStr">
        <is>
          <t>08382730</t>
        </is>
      </c>
      <c r="J5" s="16" t="inlineStr">
        <is>
          <t>Open</t>
        </is>
      </c>
      <c r="K5" s="15" t="inlineStr">
        <is>
          <t>Group</t>
        </is>
      </c>
      <c r="L5" s="15" t="inlineStr">
        <is>
          <t>31/01/2013</t>
        </is>
      </c>
      <c r="M5" s="15" t="inlineStr">
        <is>
          <t>20-22 Wenlock Road, London</t>
        </is>
      </c>
      <c r="N5" s="15" t="inlineStr">
        <is>
          <t>N1 7GU</t>
        </is>
      </c>
      <c r="O5" s="15" t="inlineStr">
        <is>
          <t>No</t>
        </is>
      </c>
      <c r="P5" s="15" t="n"/>
      <c r="Q5" s="15" t="n"/>
      <c r="R5" s="15" t="n"/>
      <c r="S5" s="15" t="inlineStr">
        <is>
          <t>people@mention-me.com</t>
        </is>
      </c>
      <c r="T5" s="15" t="inlineStr">
        <is>
          <t>a/b named person</t>
        </is>
      </c>
      <c r="U5" s="16" t="inlineStr">
        <is>
          <t>https://www.mention-me.com/careers</t>
        </is>
      </c>
      <c r="X5" s="15" t="n"/>
      <c r="Y5" s="15" t="inlineStr">
        <is>
          <t>N1 7GU</t>
        </is>
      </c>
      <c r="Z5" s="15" t="inlineStr">
        <is>
          <t>Website</t>
        </is>
      </c>
      <c r="AA5" s="15" t="inlineStr">
        <is>
          <t>Old St - Moreland Primary School</t>
        </is>
      </c>
      <c r="AB5" s="15" t="n">
        <v>6</v>
      </c>
      <c r="AC5" s="15" t="inlineStr">
        <is>
          <t>Old St - Moreland Primary School</t>
        </is>
      </c>
      <c r="AD5" s="15" t="inlineStr">
        <is>
          <t>Monday 12 October at 18:00</t>
        </is>
      </c>
      <c r="AE5" s="15" t="inlineStr">
        <is>
          <t>One-off</t>
        </is>
      </c>
      <c r="AF5" s="15" t="inlineStr">
        <is>
          <t>6-a-side</t>
        </is>
      </c>
      <c r="AG5" s="17">
        <f>IF(Offer!$D$5="","",Offer!$D$5)</f>
        <v/>
      </c>
      <c r="AH5" s="15" t="n"/>
      <c r="AI5" s="15" t="n"/>
      <c r="AJ5" s="18">
        <f>IF(V5&lt;&gt;"",V5,S5)</f>
        <v/>
      </c>
      <c r="AK5" s="18">
        <f>IF(AG5="","",AF5&amp;" football "&amp;AD5&amp;" · "&amp;AB5&amp;" min from your office")</f>
        <v/>
      </c>
      <c r="AL5" s="18">
        <f>IF(AG5="","","Hi "&amp;IF(P5&lt;&gt;"",P5,F5&amp;" team")&amp;","&amp;CHAR(10)&amp;CHAR(10)&amp;IF(AH5&lt;&gt;"","Saw that "&amp;F5&amp;" "&amp;AH5&amp;"."&amp;CHAR(10)&amp;CHAR(10),"")&amp;"I'm "&amp;IF(AQ5&lt;&gt;"",AQ5,Offer!$D$8)&amp;" from FC Urban. We run weekly after-work football for London teams. We have a "&amp;AF5&amp;" pitch at "&amp;AC5&amp;", a "&amp;AB5&amp;"-minute walk from your office on "&amp;IF(X5&lt;&gt;"",X5,Y5)&amp;", free "&amp;AD5&amp;". It's "&amp;"£"&amp;IF(AG5=INT(AG5),TEXT(AG5,"0"),TEXT(AG5,"0.00"))&amp;" a player: we book the pitch and handle sign-ups and payments, so someone just shares one link with the team."&amp;CHAR(10)&amp;CHAR(10)&amp;"Would your team be up for a weekly game? Happy to hold the slot for "&amp;F5&amp;" this week."&amp;CHAR(10)&amp;CHAR(10)&amp;"Best,"&amp;CHAR(10)&amp;IF(AQ5&lt;&gt;"",AQ5,Offer!$D$8)&amp;CHAR(10)&amp;"FC Urban")</f>
        <v/>
      </c>
      <c r="AM5" s="18">
        <f>IF(AG5="","","Hi "&amp;IF(P5&lt;&gt;"",P5,F5&amp;" team")&amp;","&amp;CHAR(10)&amp;CHAR(10)&amp;"Quick follow-up: the "&amp;AF5&amp;" pitch at "&amp;AC5&amp;" is still free "&amp;AD5&amp;", "&amp;"£"&amp;IF(AG5=INT(AG5),TEXT(AG5,"0"),TEXT(AG5,"0.00"))&amp;" a player, "&amp;AB5&amp;" minutes from your office. Shall I hold it for "&amp;F5&amp;"?"&amp;CHAR(10)&amp;CHAR(10)&amp;"Best,"&amp;CHAR(10)&amp;IF(AQ5&lt;&gt;"",AQ5,Offer!$D$8)&amp;CHAR(10)&amp;"FC Urban")</f>
        <v/>
      </c>
      <c r="AN5" s="15" t="inlineStr">
        <is>
          <t>pass</t>
        </is>
      </c>
      <c r="AO5" s="15" t="inlineStr">
        <is>
          <t>MX ok · mailbox not verified</t>
        </is>
      </c>
      <c r="AP5" s="18">
        <f>IF(AG5="","No – no confirmed London price per player",IF(AJ5="","No – no email",IF(AN5&lt;&gt;"pass","No – suppressed","Yes")))</f>
        <v/>
      </c>
      <c r="AR5" s="19" t="n"/>
      <c r="AS5" s="19" t="n"/>
    </row>
    <row r="6">
      <c r="A6" s="15" t="n">
        <v>4</v>
      </c>
      <c r="B6" s="15" t="n">
        <v>1</v>
      </c>
      <c r="C6" s="15" t="inlineStr">
        <is>
          <t>Marketing / agency</t>
        </is>
      </c>
      <c r="D6" s="15" t="inlineStr">
        <is>
          <t>N7</t>
        </is>
      </c>
      <c r="E6" s="15" t="inlineStr">
        <is>
          <t>Side UK Limited</t>
        </is>
      </c>
      <c r="F6" s="15" t="inlineStr">
        <is>
          <t>Side</t>
        </is>
      </c>
      <c r="G6" s="16" t="inlineStr">
        <is>
          <t>https://www.side.com</t>
        </is>
      </c>
      <c r="H6" s="15" t="inlineStr">
        <is>
          <t>Not stated</t>
        </is>
      </c>
      <c r="I6" s="15" t="inlineStr">
        <is>
          <t>03134517</t>
        </is>
      </c>
      <c r="J6" s="16" t="inlineStr">
        <is>
          <t>Open</t>
        </is>
      </c>
      <c r="K6" s="15" t="inlineStr">
        <is>
          <t>Full</t>
        </is>
      </c>
      <c r="L6" s="15" t="inlineStr">
        <is>
          <t>05/12/1995</t>
        </is>
      </c>
      <c r="M6" s="15" t="inlineStr">
        <is>
          <t>Unit A12 Tileyard London 105, Blundell Street, Kings Cross, London</t>
        </is>
      </c>
      <c r="N6" s="15" t="inlineStr">
        <is>
          <t>N7 9BN</t>
        </is>
      </c>
      <c r="O6" s="15" t="inlineStr">
        <is>
          <t>No</t>
        </is>
      </c>
      <c r="P6" s="15" t="n"/>
      <c r="Q6" s="15" t="n"/>
      <c r="R6" s="15" t="n"/>
      <c r="S6" s="15" t="inlineStr">
        <is>
          <t>jw@side.com</t>
        </is>
      </c>
      <c r="T6" s="15" t="inlineStr">
        <is>
          <t>a/b named person</t>
        </is>
      </c>
      <c r="U6" s="16" t="inlineStr">
        <is>
          <t>https://www.side.com/locations/</t>
        </is>
      </c>
      <c r="X6" s="15" t="inlineStr">
        <is>
          <t>BLUNDELL STREET</t>
        </is>
      </c>
      <c r="Y6" s="15" t="inlineStr">
        <is>
          <t>N7 9BN</t>
        </is>
      </c>
      <c r="Z6" s="15" t="inlineStr">
        <is>
          <t>Website (BLUNDELL STREET)</t>
        </is>
      </c>
      <c r="AA6" s="15" t="inlineStr">
        <is>
          <t>Market Road</t>
        </is>
      </c>
      <c r="AB6" s="15" t="n">
        <v>6</v>
      </c>
      <c r="AC6" s="15" t="inlineStr">
        <is>
          <t>Market Road</t>
        </is>
      </c>
      <c r="AD6" s="15" t="inlineStr">
        <is>
          <t>Monday 28 September at 18:00</t>
        </is>
      </c>
      <c r="AE6" s="15" t="inlineStr">
        <is>
          <t>One-off</t>
        </is>
      </c>
      <c r="AF6" s="15" t="inlineStr">
        <is>
          <t>5-a-side</t>
        </is>
      </c>
      <c r="AG6" s="17">
        <f>IF(Offer!$D$5="","",Offer!$D$5)</f>
        <v/>
      </c>
      <c r="AH6" s="15" t="n"/>
      <c r="AI6" s="15" t="n"/>
      <c r="AJ6" s="18">
        <f>IF(V6&lt;&gt;"",V6,S6)</f>
        <v/>
      </c>
      <c r="AK6" s="18">
        <f>IF(AG6="","",AF6&amp;" football "&amp;AD6&amp;" · "&amp;AB6&amp;" min from your office")</f>
        <v/>
      </c>
      <c r="AL6" s="18">
        <f>IF(AG6="","","Hi "&amp;IF(P6&lt;&gt;"",P6,F6&amp;" team")&amp;","&amp;CHAR(10)&amp;CHAR(10)&amp;IF(AH6&lt;&gt;"","Saw that "&amp;F6&amp;" "&amp;AH6&amp;"."&amp;CHAR(10)&amp;CHAR(10),"")&amp;"I'm "&amp;IF(AQ6&lt;&gt;"",AQ6,Offer!$D$8)&amp;" from FC Urban. We run weekly after-work football for London teams. We have a "&amp;AF6&amp;" pitch at "&amp;AC6&amp;", a "&amp;AB6&amp;"-minute walk from your office on "&amp;IF(X6&lt;&gt;"",X6,Y6)&amp;", free "&amp;AD6&amp;". It's "&amp;"£"&amp;IF(AG6=INT(AG6),TEXT(AG6,"0"),TEXT(AG6,"0.00"))&amp;" a player: we book the pitch and handle sign-ups and payments, so someone just shares one link with the team."&amp;CHAR(10)&amp;CHAR(10)&amp;"Would your team be up for a weekly game? Happy to hold the slot for "&amp;F6&amp;" this week."&amp;CHAR(10)&amp;CHAR(10)&amp;"Best,"&amp;CHAR(10)&amp;IF(AQ6&lt;&gt;"",AQ6,Offer!$D$8)&amp;CHAR(10)&amp;"FC Urban")</f>
        <v/>
      </c>
      <c r="AM6" s="18">
        <f>IF(AG6="","","Hi "&amp;IF(P6&lt;&gt;"",P6,F6&amp;" team")&amp;","&amp;CHAR(10)&amp;CHAR(10)&amp;"Quick follow-up: the "&amp;AF6&amp;" pitch at "&amp;AC6&amp;" is still free "&amp;AD6&amp;", "&amp;"£"&amp;IF(AG6=INT(AG6),TEXT(AG6,"0"),TEXT(AG6,"0.00"))&amp;" a player, "&amp;AB6&amp;" minutes from your office. Shall I hold it for "&amp;F6&amp;"?"&amp;CHAR(10)&amp;CHAR(10)&amp;"Best,"&amp;CHAR(10)&amp;IF(AQ6&lt;&gt;"",AQ6,Offer!$D$8)&amp;CHAR(10)&amp;"FC Urban")</f>
        <v/>
      </c>
      <c r="AN6" s="15" t="inlineStr">
        <is>
          <t>pass</t>
        </is>
      </c>
      <c r="AO6" s="15" t="inlineStr">
        <is>
          <t>MX ok · mailbox not verified</t>
        </is>
      </c>
      <c r="AP6" s="18">
        <f>IF(AG6="","No – no confirmed London price per player",IF(AJ6="","No – no email",IF(AN6&lt;&gt;"pass","No – suppressed","Yes")))</f>
        <v/>
      </c>
      <c r="AR6" s="19" t="n"/>
      <c r="AS6" s="19" t="n"/>
    </row>
    <row r="7">
      <c r="A7" s="15" t="n">
        <v>5</v>
      </c>
      <c r="B7" s="15" t="n">
        <v>1</v>
      </c>
      <c r="C7" s="15" t="inlineStr">
        <is>
          <t>Consultancy</t>
        </is>
      </c>
      <c r="D7" s="15" t="inlineStr">
        <is>
          <t>EC2A</t>
        </is>
      </c>
      <c r="E7" s="15" t="inlineStr">
        <is>
          <t>Oakleaf Partnership Limited</t>
        </is>
      </c>
      <c r="F7" s="15" t="inlineStr">
        <is>
          <t>Oakleaf Partnership</t>
        </is>
      </c>
      <c r="G7" s="16" t="inlineStr">
        <is>
          <t>https://www.oakleafpartnership.com</t>
        </is>
      </c>
      <c r="H7" s="15" t="inlineStr">
        <is>
          <t>Not stated</t>
        </is>
      </c>
      <c r="I7" s="15" t="inlineStr">
        <is>
          <t>05396257</t>
        </is>
      </c>
      <c r="J7" s="16" t="inlineStr">
        <is>
          <t>Open</t>
        </is>
      </c>
      <c r="K7" s="15" t="inlineStr">
        <is>
          <t>Group</t>
        </is>
      </c>
      <c r="L7" s="15" t="inlineStr">
        <is>
          <t>17/03/2005</t>
        </is>
      </c>
      <c r="M7" s="15" t="inlineStr">
        <is>
          <t>10 Devonshire Square, London</t>
        </is>
      </c>
      <c r="N7" s="15" t="inlineStr">
        <is>
          <t>EC2M 4YP</t>
        </is>
      </c>
      <c r="O7" s="15" t="inlineStr">
        <is>
          <t>No</t>
        </is>
      </c>
      <c r="P7" s="15" t="inlineStr">
        <is>
          <t>Simon</t>
        </is>
      </c>
      <c r="Q7" s="15" t="inlineStr">
        <is>
          <t>Simon Hunt</t>
        </is>
      </c>
      <c r="R7" s="15" t="inlineStr">
        <is>
          <t>Director</t>
        </is>
      </c>
      <c r="S7" s="15" t="inlineStr">
        <is>
          <t>simonhunt@oakleafpartnership.com</t>
        </is>
      </c>
      <c r="T7" s="15" t="inlineStr">
        <is>
          <t>a/b named person</t>
        </is>
      </c>
      <c r="U7" s="16" t="inlineStr">
        <is>
          <t>https://www.oakleafpartnership.com/us/team</t>
        </is>
      </c>
      <c r="X7" s="15" t="inlineStr">
        <is>
          <t>Huckletree Liverpool Street, 1 Primrose Street</t>
        </is>
      </c>
      <c r="Y7" s="15" t="inlineStr">
        <is>
          <t>EC2A 2EX</t>
        </is>
      </c>
      <c r="Z7" s="15" t="inlineStr">
        <is>
          <t>Website (Huckletree Liverpool Street, 1 Primrose Street)</t>
        </is>
      </c>
      <c r="AA7" s="15" t="inlineStr">
        <is>
          <t>Shoreditch Powerleague</t>
        </is>
      </c>
      <c r="AB7" s="15" t="n">
        <v>7</v>
      </c>
      <c r="AC7" s="15" t="inlineStr">
        <is>
          <t>Shoreditch Powerleague</t>
        </is>
      </c>
      <c r="AD7" s="15" t="inlineStr">
        <is>
          <t>Monday 28 September at 17:40</t>
        </is>
      </c>
      <c r="AE7" s="15" t="inlineStr">
        <is>
          <t>One-off</t>
        </is>
      </c>
      <c r="AF7" s="15" t="inlineStr">
        <is>
          <t>5-a-side</t>
        </is>
      </c>
      <c r="AG7" s="17">
        <f>IF(Offer!$D$5="","",Offer!$D$5)</f>
        <v/>
      </c>
      <c r="AH7" s="15" t="n"/>
      <c r="AI7" s="15" t="n"/>
      <c r="AJ7" s="18">
        <f>IF(V7&lt;&gt;"",V7,S7)</f>
        <v/>
      </c>
      <c r="AK7" s="18">
        <f>IF(AG7="","",AF7&amp;" football "&amp;AD7&amp;" · "&amp;AB7&amp;" min from your office")</f>
        <v/>
      </c>
      <c r="AL7" s="18">
        <f>IF(AG7="","","Hi "&amp;IF(P7&lt;&gt;"",P7,F7&amp;" team")&amp;","&amp;CHAR(10)&amp;CHAR(10)&amp;IF(AH7&lt;&gt;"","Saw that "&amp;F7&amp;" "&amp;AH7&amp;"."&amp;CHAR(10)&amp;CHAR(10),"")&amp;"I'm "&amp;IF(AQ7&lt;&gt;"",AQ7,Offer!$D$8)&amp;" from FC Urban. We run weekly after-work football for London teams. We have a "&amp;AF7&amp;" pitch at "&amp;AC7&amp;", a "&amp;AB7&amp;"-minute walk from your office on "&amp;IF(X7&lt;&gt;"",X7,Y7)&amp;", free "&amp;AD7&amp;". It's "&amp;"£"&amp;IF(AG7=INT(AG7),TEXT(AG7,"0"),TEXT(AG7,"0.00"))&amp;" a player: we book the pitch and handle sign-ups and payments, so someone just shares one link with the team."&amp;CHAR(10)&amp;CHAR(10)&amp;"Would your team be up for a weekly game? Happy to hold the slot for "&amp;F7&amp;" this week."&amp;CHAR(10)&amp;CHAR(10)&amp;"Best,"&amp;CHAR(10)&amp;IF(AQ7&lt;&gt;"",AQ7,Offer!$D$8)&amp;CHAR(10)&amp;"FC Urban")</f>
        <v/>
      </c>
      <c r="AM7" s="18">
        <f>IF(AG7="","","Hi "&amp;IF(P7&lt;&gt;"",P7,F7&amp;" team")&amp;","&amp;CHAR(10)&amp;CHAR(10)&amp;"Quick follow-up: the "&amp;AF7&amp;" pitch at "&amp;AC7&amp;" is still free "&amp;AD7&amp;", "&amp;"£"&amp;IF(AG7=INT(AG7),TEXT(AG7,"0"),TEXT(AG7,"0.00"))&amp;" a player, "&amp;AB7&amp;" minutes from your office. Shall I hold it for "&amp;F7&amp;"?"&amp;CHAR(10)&amp;CHAR(10)&amp;"Best,"&amp;CHAR(10)&amp;IF(AQ7&lt;&gt;"",AQ7,Offer!$D$8)&amp;CHAR(10)&amp;"FC Urban")</f>
        <v/>
      </c>
      <c r="AN7" s="15" t="inlineStr">
        <is>
          <t>pass</t>
        </is>
      </c>
      <c r="AO7" s="15" t="inlineStr">
        <is>
          <t>MX ok · mailbox not verified</t>
        </is>
      </c>
      <c r="AP7" s="18">
        <f>IF(AG7="","No – no confirmed London price per player",IF(AJ7="","No – no email",IF(AN7&lt;&gt;"pass","No – suppressed","Yes")))</f>
        <v/>
      </c>
      <c r="AR7" s="19" t="n"/>
      <c r="AS7" s="19" t="n"/>
    </row>
    <row r="8">
      <c r="A8" s="15" t="n">
        <v>6</v>
      </c>
      <c r="B8" s="15" t="n">
        <v>1</v>
      </c>
      <c r="C8" s="15" t="inlineStr">
        <is>
          <t>Marketing / agency</t>
        </is>
      </c>
      <c r="D8" s="15" t="inlineStr">
        <is>
          <t>EC1V</t>
        </is>
      </c>
      <c r="E8" s="15" t="inlineStr">
        <is>
          <t>Leadscale Limited</t>
        </is>
      </c>
      <c r="F8" s="15" t="inlineStr">
        <is>
          <t>Leadscale</t>
        </is>
      </c>
      <c r="G8" s="16" t="inlineStr">
        <is>
          <t>https://leadscale.com</t>
        </is>
      </c>
      <c r="H8" s="15" t="inlineStr">
        <is>
          <t>Not stated</t>
        </is>
      </c>
      <c r="I8" s="15" t="inlineStr">
        <is>
          <t>08650664</t>
        </is>
      </c>
      <c r="J8" s="16" t="inlineStr">
        <is>
          <t>Open</t>
        </is>
      </c>
      <c r="K8" s="15" t="inlineStr">
        <is>
          <t>Group</t>
        </is>
      </c>
      <c r="L8" s="15" t="inlineStr">
        <is>
          <t>14/08/2013</t>
        </is>
      </c>
      <c r="M8" s="15" t="inlineStr">
        <is>
          <t>Unit 1, 6 Owen Street, London</t>
        </is>
      </c>
      <c r="N8" s="15" t="inlineStr">
        <is>
          <t>EC1V 7JX</t>
        </is>
      </c>
      <c r="O8" s="15" t="inlineStr">
        <is>
          <t>No</t>
        </is>
      </c>
      <c r="P8" s="15" t="n"/>
      <c r="Q8" s="15" t="n"/>
      <c r="R8" s="15" t="n"/>
      <c r="S8" s="15" t="inlineStr">
        <is>
          <t>hr@leadscale.com</t>
        </is>
      </c>
      <c r="T8" s="15" t="inlineStr">
        <is>
          <t>a/b named person</t>
        </is>
      </c>
      <c r="U8" s="16" t="inlineStr">
        <is>
          <t>https://leadscale.com/careers/</t>
        </is>
      </c>
      <c r="X8" s="15" t="inlineStr">
        <is>
          <t>Unit 1, 6 Owen Street</t>
        </is>
      </c>
      <c r="Y8" s="15" t="inlineStr">
        <is>
          <t>EC1V 7JX</t>
        </is>
      </c>
      <c r="Z8" s="15" t="inlineStr">
        <is>
          <t>Website (Unit 1, 6 Owen Street)</t>
        </is>
      </c>
      <c r="AA8" s="15" t="inlineStr">
        <is>
          <t>Old St - Moreland Primary School</t>
        </is>
      </c>
      <c r="AB8" s="15" t="n">
        <v>9</v>
      </c>
      <c r="AC8" s="15" t="inlineStr">
        <is>
          <t>Old St - Moreland Primary School</t>
        </is>
      </c>
      <c r="AD8" s="15" t="inlineStr">
        <is>
          <t>Monday 12 October at 18:00</t>
        </is>
      </c>
      <c r="AE8" s="15" t="inlineStr">
        <is>
          <t>One-off</t>
        </is>
      </c>
      <c r="AF8" s="15" t="inlineStr">
        <is>
          <t>6-a-side</t>
        </is>
      </c>
      <c r="AG8" s="17">
        <f>IF(Offer!$D$5="","",Offer!$D$5)</f>
        <v/>
      </c>
      <c r="AH8" s="15" t="inlineStr">
        <is>
          <t>close-knit team at Unit 1, 6 Owen Street, London</t>
        </is>
      </c>
      <c r="AI8" s="16" t="inlineStr">
        <is>
          <t>https://leadscale.com/careers/</t>
        </is>
      </c>
      <c r="AJ8" s="18">
        <f>IF(V8&lt;&gt;"",V8,S8)</f>
        <v/>
      </c>
      <c r="AK8" s="18">
        <f>IF(AG8="","",AF8&amp;" football "&amp;AD8&amp;" · "&amp;AB8&amp;" min from your office")</f>
        <v/>
      </c>
      <c r="AL8" s="18">
        <f>IF(AG8="","","Hi "&amp;IF(P8&lt;&gt;"",P8,F8&amp;" team")&amp;","&amp;CHAR(10)&amp;CHAR(10)&amp;IF(AH8&lt;&gt;"","Saw that "&amp;F8&amp;" "&amp;AH8&amp;"."&amp;CHAR(10)&amp;CHAR(10),"")&amp;"I'm "&amp;IF(AQ8&lt;&gt;"",AQ8,Offer!$D$8)&amp;" from FC Urban. We run weekly after-work football for London teams. We have a "&amp;AF8&amp;" pitch at "&amp;AC8&amp;", a "&amp;AB8&amp;"-minute walk from your office on "&amp;IF(X8&lt;&gt;"",X8,Y8)&amp;", free "&amp;AD8&amp;". It's "&amp;"£"&amp;IF(AG8=INT(AG8),TEXT(AG8,"0"),TEXT(AG8,"0.00"))&amp;" a player: we book the pitch and handle sign-ups and payments, so someone just shares one link with the team."&amp;CHAR(10)&amp;CHAR(10)&amp;"Would your team be up for a weekly game? Happy to hold the slot for "&amp;F8&amp;" this week."&amp;CHAR(10)&amp;CHAR(10)&amp;"Best,"&amp;CHAR(10)&amp;IF(AQ8&lt;&gt;"",AQ8,Offer!$D$8)&amp;CHAR(10)&amp;"FC Urban")</f>
        <v/>
      </c>
      <c r="AM8" s="18">
        <f>IF(AG8="","","Hi "&amp;IF(P8&lt;&gt;"",P8,F8&amp;" team")&amp;","&amp;CHAR(10)&amp;CHAR(10)&amp;"Quick follow-up: the "&amp;AF8&amp;" pitch at "&amp;AC8&amp;" is still free "&amp;AD8&amp;", "&amp;"£"&amp;IF(AG8=INT(AG8),TEXT(AG8,"0"),TEXT(AG8,"0.00"))&amp;" a player, "&amp;AB8&amp;" minutes from your office. Shall I hold it for "&amp;F8&amp;"?"&amp;CHAR(10)&amp;CHAR(10)&amp;"Best,"&amp;CHAR(10)&amp;IF(AQ8&lt;&gt;"",AQ8,Offer!$D$8)&amp;CHAR(10)&amp;"FC Urban")</f>
        <v/>
      </c>
      <c r="AN8" s="15" t="inlineStr">
        <is>
          <t>pass</t>
        </is>
      </c>
      <c r="AO8" s="15" t="inlineStr">
        <is>
          <t>MX ok · mailbox not verified</t>
        </is>
      </c>
      <c r="AP8" s="18">
        <f>IF(AG8="","No – no confirmed London price per player",IF(AJ8="","No – no email",IF(AN8&lt;&gt;"pass","No – suppressed","Yes")))</f>
        <v/>
      </c>
      <c r="AR8" s="19" t="n"/>
      <c r="AS8" s="19" t="n"/>
    </row>
    <row r="9">
      <c r="A9" s="15" t="n">
        <v>7</v>
      </c>
      <c r="B9" s="15" t="n">
        <v>1</v>
      </c>
      <c r="C9" s="15" t="inlineStr">
        <is>
          <t>Tech / software</t>
        </is>
      </c>
      <c r="D9" s="15" t="inlineStr">
        <is>
          <t>EC1V</t>
        </is>
      </c>
      <c r="E9" s="15" t="inlineStr">
        <is>
          <t>Exigere Project Services Limited</t>
        </is>
      </c>
      <c r="F9" s="15" t="inlineStr">
        <is>
          <t>Exigere Project</t>
        </is>
      </c>
      <c r="G9" s="16" t="inlineStr">
        <is>
          <t>https://www.exigere.co.uk</t>
        </is>
      </c>
      <c r="H9" s="15" t="n">
        <v>60</v>
      </c>
      <c r="I9" s="15" t="inlineStr">
        <is>
          <t>09049470</t>
        </is>
      </c>
      <c r="J9" s="16" t="inlineStr">
        <is>
          <t>Open</t>
        </is>
      </c>
      <c r="K9" s="15" t="inlineStr">
        <is>
          <t>Full</t>
        </is>
      </c>
      <c r="L9" s="15" t="inlineStr">
        <is>
          <t>21/05/2014</t>
        </is>
      </c>
      <c r="M9" s="15" t="inlineStr">
        <is>
          <t>Morelands, 5-23 Old Street, London</t>
        </is>
      </c>
      <c r="N9" s="15" t="inlineStr">
        <is>
          <t>EC1V 9HL</t>
        </is>
      </c>
      <c r="O9" s="15" t="inlineStr">
        <is>
          <t>No</t>
        </is>
      </c>
      <c r="P9" s="15" t="inlineStr">
        <is>
          <t>Martin</t>
        </is>
      </c>
      <c r="Q9" s="15" t="inlineStr">
        <is>
          <t>Martin Broughton</t>
        </is>
      </c>
      <c r="R9" s="15" t="inlineStr">
        <is>
          <t>Partner</t>
        </is>
      </c>
      <c r="S9" s="15" t="inlineStr">
        <is>
          <t>martin.broughton@exigere.co.uk</t>
        </is>
      </c>
      <c r="T9" s="15" t="inlineStr">
        <is>
          <t>a/b named person</t>
        </is>
      </c>
      <c r="U9" s="16" t="inlineStr">
        <is>
          <t>https://exigere.co.uk/people</t>
        </is>
      </c>
      <c r="X9" s="15" t="inlineStr">
        <is>
          <t>Morelands, 5-23 Old Street</t>
        </is>
      </c>
      <c r="Y9" s="15" t="inlineStr">
        <is>
          <t>EC1V 9HL</t>
        </is>
      </c>
      <c r="Z9" s="15" t="inlineStr">
        <is>
          <t>Website (Morelands, 5-23 Old Street)</t>
        </is>
      </c>
      <c r="AA9" s="15" t="inlineStr">
        <is>
          <t>Old St - Moreland Primary School</t>
        </is>
      </c>
      <c r="AB9" s="15" t="n">
        <v>10</v>
      </c>
      <c r="AC9" s="15" t="inlineStr">
        <is>
          <t>Old St - Moreland Primary School</t>
        </is>
      </c>
      <c r="AD9" s="15" t="inlineStr">
        <is>
          <t>Monday 12 October at 18:00</t>
        </is>
      </c>
      <c r="AE9" s="15" t="inlineStr">
        <is>
          <t>One-off</t>
        </is>
      </c>
      <c r="AF9" s="15" t="inlineStr">
        <is>
          <t>6-a-side</t>
        </is>
      </c>
      <c r="AG9" s="17">
        <f>IF(Offer!$D$5="","",Offer!$D$5)</f>
        <v/>
      </c>
      <c r="AH9" s="15" t="n"/>
      <c r="AI9" s="15" t="n"/>
      <c r="AJ9" s="18">
        <f>IF(V9&lt;&gt;"",V9,S9)</f>
        <v/>
      </c>
      <c r="AK9" s="18">
        <f>IF(AG9="","",AF9&amp;" football "&amp;AD9&amp;" · "&amp;AB9&amp;" min from your office")</f>
        <v/>
      </c>
      <c r="AL9" s="18">
        <f>IF(AG9="","","Hi "&amp;IF(P9&lt;&gt;"",P9,F9&amp;" team")&amp;","&amp;CHAR(10)&amp;CHAR(10)&amp;IF(AH9&lt;&gt;"","Saw that "&amp;F9&amp;" "&amp;AH9&amp;"."&amp;CHAR(10)&amp;CHAR(10),"")&amp;"I'm "&amp;IF(AQ9&lt;&gt;"",AQ9,Offer!$D$8)&amp;" from FC Urban. We run weekly after-work football for London teams. We have a "&amp;AF9&amp;" pitch at "&amp;AC9&amp;", a "&amp;AB9&amp;"-minute walk from your office on "&amp;IF(X9&lt;&gt;"",X9,Y9)&amp;", free "&amp;AD9&amp;". It's "&amp;"£"&amp;IF(AG9=INT(AG9),TEXT(AG9,"0"),TEXT(AG9,"0.00"))&amp;" a player: we book the pitch and handle sign-ups and payments, so someone just shares one link with the team."&amp;CHAR(10)&amp;CHAR(10)&amp;"Would your team be up for a weekly game? Happy to hold the slot for "&amp;F9&amp;" this week."&amp;CHAR(10)&amp;CHAR(10)&amp;"Best,"&amp;CHAR(10)&amp;IF(AQ9&lt;&gt;"",AQ9,Offer!$D$8)&amp;CHAR(10)&amp;"FC Urban")</f>
        <v/>
      </c>
      <c r="AM9" s="18">
        <f>IF(AG9="","","Hi "&amp;IF(P9&lt;&gt;"",P9,F9&amp;" team")&amp;","&amp;CHAR(10)&amp;CHAR(10)&amp;"Quick follow-up: the "&amp;AF9&amp;" pitch at "&amp;AC9&amp;" is still free "&amp;AD9&amp;", "&amp;"£"&amp;IF(AG9=INT(AG9),TEXT(AG9,"0"),TEXT(AG9,"0.00"))&amp;" a player, "&amp;AB9&amp;" minutes from your office. Shall I hold it for "&amp;F9&amp;"?"&amp;CHAR(10)&amp;CHAR(10)&amp;"Best,"&amp;CHAR(10)&amp;IF(AQ9&lt;&gt;"",AQ9,Offer!$D$8)&amp;CHAR(10)&amp;"FC Urban")</f>
        <v/>
      </c>
      <c r="AN9" s="15" t="inlineStr">
        <is>
          <t>pass</t>
        </is>
      </c>
      <c r="AO9" s="15" t="inlineStr">
        <is>
          <t>MX ok · mailbox not verified</t>
        </is>
      </c>
      <c r="AP9" s="18">
        <f>IF(AG9="","No – no confirmed London price per player",IF(AJ9="","No – no email",IF(AN9&lt;&gt;"pass","No – suppressed","Yes")))</f>
        <v/>
      </c>
      <c r="AR9" s="19" t="n"/>
      <c r="AS9" s="19" t="n"/>
    </row>
    <row r="10">
      <c r="A10" s="15" t="n">
        <v>8</v>
      </c>
      <c r="B10" s="15" t="n">
        <v>1</v>
      </c>
      <c r="C10" s="15" t="inlineStr">
        <is>
          <t>Tech / software</t>
        </is>
      </c>
      <c r="D10" s="15" t="inlineStr">
        <is>
          <t>EC2A</t>
        </is>
      </c>
      <c r="E10" s="15" t="inlineStr">
        <is>
          <t>Hoptroff London Limited</t>
        </is>
      </c>
      <c r="F10" s="15" t="inlineStr">
        <is>
          <t>Hoptroff London</t>
        </is>
      </c>
      <c r="G10" s="16" t="inlineStr">
        <is>
          <t>https://www.hoptroff.com</t>
        </is>
      </c>
      <c r="H10" s="15" t="inlineStr">
        <is>
          <t>Not stated</t>
        </is>
      </c>
      <c r="I10" s="15" t="inlineStr">
        <is>
          <t>09566434</t>
        </is>
      </c>
      <c r="J10" s="16" t="inlineStr">
        <is>
          <t>Open</t>
        </is>
      </c>
      <c r="K10" s="15" t="inlineStr">
        <is>
          <t>Group</t>
        </is>
      </c>
      <c r="L10" s="15" t="inlineStr">
        <is>
          <t>29/04/2015</t>
        </is>
      </c>
      <c r="M10" s="15" t="inlineStr">
        <is>
          <t>3Rd Floor, 86 - 90 Paul Street, London</t>
        </is>
      </c>
      <c r="N10" s="15" t="inlineStr">
        <is>
          <t>EC2A 4NE</t>
        </is>
      </c>
      <c r="O10" s="15" t="inlineStr">
        <is>
          <t>No</t>
        </is>
      </c>
      <c r="P10" s="15" t="inlineStr">
        <is>
          <t>Tyler</t>
        </is>
      </c>
      <c r="Q10" s="15" t="inlineStr">
        <is>
          <t>Tyler Haws</t>
        </is>
      </c>
      <c r="R10" s="15" t="n"/>
      <c r="S10" s="15" t="inlineStr">
        <is>
          <t>tylerhaws@hoptroff.com</t>
        </is>
      </c>
      <c r="T10" s="15" t="inlineStr">
        <is>
          <t>a/b named person</t>
        </is>
      </c>
      <c r="U10" s="16" t="inlineStr">
        <is>
          <t>https://www.hoptroff.com/</t>
        </is>
      </c>
      <c r="X10" s="15" t="inlineStr">
        <is>
          <t>3RD FLOOR, 86</t>
        </is>
      </c>
      <c r="Y10" s="15" t="inlineStr">
        <is>
          <t>EC2A 4NE</t>
        </is>
      </c>
      <c r="Z10" s="15" t="inlineStr">
        <is>
          <t>Website (3RD FLOOR, 86)</t>
        </is>
      </c>
      <c r="AA10" s="15" t="inlineStr">
        <is>
          <t>Shoreditch Powerleague</t>
        </is>
      </c>
      <c r="AB10" s="15" t="n">
        <v>10</v>
      </c>
      <c r="AC10" s="15" t="inlineStr">
        <is>
          <t>Shoreditch Powerleague</t>
        </is>
      </c>
      <c r="AD10" s="15" t="inlineStr">
        <is>
          <t>Monday 28 September at 17:40</t>
        </is>
      </c>
      <c r="AE10" s="15" t="inlineStr">
        <is>
          <t>One-off</t>
        </is>
      </c>
      <c r="AF10" s="15" t="inlineStr">
        <is>
          <t>5-a-side</t>
        </is>
      </c>
      <c r="AG10" s="17">
        <f>IF(Offer!$D$5="","",Offer!$D$5)</f>
        <v/>
      </c>
      <c r="AH10" s="15" t="n"/>
      <c r="AI10" s="15" t="n"/>
      <c r="AJ10" s="18">
        <f>IF(V10&lt;&gt;"",V10,S10)</f>
        <v/>
      </c>
      <c r="AK10" s="18">
        <f>IF(AG10="","",AF10&amp;" football "&amp;AD10&amp;" · "&amp;AB10&amp;" min from your office")</f>
        <v/>
      </c>
      <c r="AL10" s="18">
        <f>IF(AG10="","","Hi "&amp;IF(P10&lt;&gt;"",P10,F10&amp;" team")&amp;","&amp;CHAR(10)&amp;CHAR(10)&amp;IF(AH10&lt;&gt;"","Saw that "&amp;F10&amp;" "&amp;AH10&amp;"."&amp;CHAR(10)&amp;CHAR(10),"")&amp;"I'm "&amp;IF(AQ10&lt;&gt;"",AQ10,Offer!$D$8)&amp;" from FC Urban. We run weekly after-work football for London teams. We have a "&amp;AF10&amp;" pitch at "&amp;AC10&amp;", a "&amp;AB10&amp;"-minute walk from your office on "&amp;IF(X10&lt;&gt;"",X10,Y10)&amp;", free "&amp;AD10&amp;". It's "&amp;"£"&amp;IF(AG10=INT(AG10),TEXT(AG10,"0"),TEXT(AG10,"0.00"))&amp;" a player: we book the pitch and handle sign-ups and payments, so someone just shares one link with the team."&amp;CHAR(10)&amp;CHAR(10)&amp;"Would your team be up for a weekly game? Happy to hold the slot for "&amp;F10&amp;" this week."&amp;CHAR(10)&amp;CHAR(10)&amp;"Best,"&amp;CHAR(10)&amp;IF(AQ10&lt;&gt;"",AQ10,Offer!$D$8)&amp;CHAR(10)&amp;"FC Urban")</f>
        <v/>
      </c>
      <c r="AM10" s="18">
        <f>IF(AG10="","","Hi "&amp;IF(P10&lt;&gt;"",P10,F10&amp;" team")&amp;","&amp;CHAR(10)&amp;CHAR(10)&amp;"Quick follow-up: the "&amp;AF10&amp;" pitch at "&amp;AC10&amp;" is still free "&amp;AD10&amp;", "&amp;"£"&amp;IF(AG10=INT(AG10),TEXT(AG10,"0"),TEXT(AG10,"0.00"))&amp;" a player, "&amp;AB10&amp;" minutes from your office. Shall I hold it for "&amp;F10&amp;"?"&amp;CHAR(10)&amp;CHAR(10)&amp;"Best,"&amp;CHAR(10)&amp;IF(AQ10&lt;&gt;"",AQ10,Offer!$D$8)&amp;CHAR(10)&amp;"FC Urban")</f>
        <v/>
      </c>
      <c r="AN10" s="15" t="inlineStr">
        <is>
          <t>pass</t>
        </is>
      </c>
      <c r="AO10" s="15" t="inlineStr">
        <is>
          <t>MX ok · mailbox not verified</t>
        </is>
      </c>
      <c r="AP10" s="18">
        <f>IF(AG10="","No – no confirmed London price per player",IF(AJ10="","No – no email",IF(AN10&lt;&gt;"pass","No – suppressed","Yes")))</f>
        <v/>
      </c>
      <c r="AR10" s="19" t="n"/>
      <c r="AS10" s="19" t="n"/>
    </row>
    <row r="11">
      <c r="A11" s="15" t="n">
        <v>9</v>
      </c>
      <c r="B11" s="15" t="n">
        <v>1</v>
      </c>
      <c r="C11" s="15" t="inlineStr">
        <is>
          <t>Architecture</t>
        </is>
      </c>
      <c r="D11" s="15" t="inlineStr">
        <is>
          <t>EC2A</t>
        </is>
      </c>
      <c r="E11" s="15" t="inlineStr">
        <is>
          <t>Veretec Limited</t>
        </is>
      </c>
      <c r="F11" s="15" t="inlineStr">
        <is>
          <t>Veretec</t>
        </is>
      </c>
      <c r="G11" s="16" t="inlineStr">
        <is>
          <t>https://veretec.co.uk</t>
        </is>
      </c>
      <c r="H11" s="15" t="inlineStr">
        <is>
          <t>Not stated</t>
        </is>
      </c>
      <c r="I11" s="15" t="inlineStr">
        <is>
          <t>01959521</t>
        </is>
      </c>
      <c r="J11" s="16" t="inlineStr">
        <is>
          <t>Open</t>
        </is>
      </c>
      <c r="K11" s="15" t="inlineStr">
        <is>
          <t>Full</t>
        </is>
      </c>
      <c r="L11" s="15" t="inlineStr">
        <is>
          <t>15/11/1985</t>
        </is>
      </c>
      <c r="M11" s="15" t="inlineStr">
        <is>
          <t>10 Bonhill Street, London</t>
        </is>
      </c>
      <c r="N11" s="15" t="inlineStr">
        <is>
          <t>EC2A 4PE</t>
        </is>
      </c>
      <c r="O11" s="15" t="inlineStr">
        <is>
          <t>No</t>
        </is>
      </c>
      <c r="P11" s="15" t="inlineStr">
        <is>
          <t>Sandra</t>
        </is>
      </c>
      <c r="Q11" s="15" t="inlineStr">
        <is>
          <t>Sandra Taylor</t>
        </is>
      </c>
      <c r="R11" s="15" t="n"/>
      <c r="S11" s="15" t="inlineStr">
        <is>
          <t>sandra.taylor@veretec.co.uk</t>
        </is>
      </c>
      <c r="T11" s="15" t="inlineStr">
        <is>
          <t>a/b named person</t>
        </is>
      </c>
      <c r="U11" s="16" t="inlineStr">
        <is>
          <t>https://veretec.co.uk/contact/</t>
        </is>
      </c>
      <c r="X11" s="15" t="inlineStr">
        <is>
          <t>10 Bonhill Street</t>
        </is>
      </c>
      <c r="Y11" s="15" t="inlineStr">
        <is>
          <t>EC2A 4PE</t>
        </is>
      </c>
      <c r="Z11" s="15" t="inlineStr">
        <is>
          <t>Website (10 Bonhill Street)</t>
        </is>
      </c>
      <c r="AA11" s="15" t="inlineStr">
        <is>
          <t>Shoreditch Powerleague</t>
        </is>
      </c>
      <c r="AB11" s="15" t="n">
        <v>10</v>
      </c>
      <c r="AC11" s="15" t="inlineStr">
        <is>
          <t>Shoreditch Powerleague</t>
        </is>
      </c>
      <c r="AD11" s="15" t="inlineStr">
        <is>
          <t>Monday 28 September at 17:40</t>
        </is>
      </c>
      <c r="AE11" s="15" t="inlineStr">
        <is>
          <t>One-off</t>
        </is>
      </c>
      <c r="AF11" s="15" t="inlineStr">
        <is>
          <t>5-a-side</t>
        </is>
      </c>
      <c r="AG11" s="17">
        <f>IF(Offer!$D$5="","",Offer!$D$5)</f>
        <v/>
      </c>
      <c r="AH11" s="15" t="inlineStr">
        <is>
          <t>office on 10 Bonhill Street</t>
        </is>
      </c>
      <c r="AI11" s="16" t="inlineStr">
        <is>
          <t>https://veretec.co.uk/contact/</t>
        </is>
      </c>
      <c r="AJ11" s="18">
        <f>IF(V11&lt;&gt;"",V11,S11)</f>
        <v/>
      </c>
      <c r="AK11" s="18">
        <f>IF(AG11="","",AF11&amp;" football "&amp;AD11&amp;" · "&amp;AB11&amp;" min from your office")</f>
        <v/>
      </c>
      <c r="AL11" s="18">
        <f>IF(AG11="","","Hi "&amp;IF(P11&lt;&gt;"",P11,F11&amp;" team")&amp;","&amp;CHAR(10)&amp;CHAR(10)&amp;IF(AH11&lt;&gt;"","Saw that "&amp;F11&amp;" "&amp;AH11&amp;"."&amp;CHAR(10)&amp;CHAR(10),"")&amp;"I'm "&amp;IF(AQ11&lt;&gt;"",AQ11,Offer!$D$8)&amp;" from FC Urban. We run weekly after-work football for London teams. We have a "&amp;AF11&amp;" pitch at "&amp;AC11&amp;", a "&amp;AB11&amp;"-minute walk from your office on "&amp;IF(X11&lt;&gt;"",X11,Y11)&amp;", free "&amp;AD11&amp;". It's "&amp;"£"&amp;IF(AG11=INT(AG11),TEXT(AG11,"0"),TEXT(AG11,"0.00"))&amp;" a player: we book the pitch and handle sign-ups and payments, so someone just shares one link with the team."&amp;CHAR(10)&amp;CHAR(10)&amp;"Would your team be up for a weekly game? Happy to hold the slot for "&amp;F11&amp;" this week."&amp;CHAR(10)&amp;CHAR(10)&amp;"Best,"&amp;CHAR(10)&amp;IF(AQ11&lt;&gt;"",AQ11,Offer!$D$8)&amp;CHAR(10)&amp;"FC Urban")</f>
        <v/>
      </c>
      <c r="AM11" s="18">
        <f>IF(AG11="","","Hi "&amp;IF(P11&lt;&gt;"",P11,F11&amp;" team")&amp;","&amp;CHAR(10)&amp;CHAR(10)&amp;"Quick follow-up: the "&amp;AF11&amp;" pitch at "&amp;AC11&amp;" is still free "&amp;AD11&amp;", "&amp;"£"&amp;IF(AG11=INT(AG11),TEXT(AG11,"0"),TEXT(AG11,"0.00"))&amp;" a player, "&amp;AB11&amp;" minutes from your office. Shall I hold it for "&amp;F11&amp;"?"&amp;CHAR(10)&amp;CHAR(10)&amp;"Best,"&amp;CHAR(10)&amp;IF(AQ11&lt;&gt;"",AQ11,Offer!$D$8)&amp;CHAR(10)&amp;"FC Urban")</f>
        <v/>
      </c>
      <c r="AN11" s="15" t="inlineStr">
        <is>
          <t>pass</t>
        </is>
      </c>
      <c r="AO11" s="15" t="inlineStr">
        <is>
          <t>MX ok · mailbox not verified</t>
        </is>
      </c>
      <c r="AP11" s="18">
        <f>IF(AG11="","No – no confirmed London price per player",IF(AJ11="","No – no email",IF(AN11&lt;&gt;"pass","No – suppressed","Yes")))</f>
        <v/>
      </c>
      <c r="AR11" s="19" t="n"/>
      <c r="AS11" s="19" t="n"/>
    </row>
    <row r="12">
      <c r="A12" s="15" t="n">
        <v>10</v>
      </c>
      <c r="B12" s="15" t="n">
        <v>1</v>
      </c>
      <c r="C12" s="15" t="inlineStr">
        <is>
          <t>Recruitment</t>
        </is>
      </c>
      <c r="D12" s="15" t="inlineStr">
        <is>
          <t>EC2A</t>
        </is>
      </c>
      <c r="E12" s="15" t="inlineStr">
        <is>
          <t>Stanton House Limited</t>
        </is>
      </c>
      <c r="F12" s="15" t="inlineStr">
        <is>
          <t>Stanton House</t>
        </is>
      </c>
      <c r="G12" s="16" t="inlineStr">
        <is>
          <t>https://www.stantonhouse.com</t>
        </is>
      </c>
      <c r="H12" s="15" t="n">
        <v>50</v>
      </c>
      <c r="I12" s="15" t="inlineStr">
        <is>
          <t>07394702</t>
        </is>
      </c>
      <c r="J12" s="16" t="inlineStr">
        <is>
          <t>Open</t>
        </is>
      </c>
      <c r="K12" s="15" t="inlineStr">
        <is>
          <t>Group</t>
        </is>
      </c>
      <c r="L12" s="15" t="inlineStr">
        <is>
          <t>01/10/2010</t>
        </is>
      </c>
      <c r="M12" s="15" t="inlineStr">
        <is>
          <t>2Nd Floor,, 25 Christopher Street, London</t>
        </is>
      </c>
      <c r="N12" s="15" t="inlineStr">
        <is>
          <t>EC2A 2BS</t>
        </is>
      </c>
      <c r="O12" s="15" t="inlineStr">
        <is>
          <t>No</t>
        </is>
      </c>
      <c r="P12" s="15" t="inlineStr">
        <is>
          <t>Melanie</t>
        </is>
      </c>
      <c r="Q12" s="15" t="inlineStr">
        <is>
          <t>Melanie Reid</t>
        </is>
      </c>
      <c r="R12" s="15" t="n"/>
      <c r="S12" s="15" t="inlineStr">
        <is>
          <t>melanie.reid@stantonhouse.com</t>
        </is>
      </c>
      <c r="T12" s="15" t="inlineStr">
        <is>
          <t>a/b named person</t>
        </is>
      </c>
      <c r="U12" s="16" t="inlineStr">
        <is>
          <t>https://www.stantonhouse.com/jobs/32939-Chief-Financial-Officer</t>
        </is>
      </c>
      <c r="X12" s="15" t="inlineStr">
        <is>
          <t>2ND FLOOR</t>
        </is>
      </c>
      <c r="Y12" s="15" t="inlineStr">
        <is>
          <t>EC2A 2BS</t>
        </is>
      </c>
      <c r="Z12" s="15" t="inlineStr">
        <is>
          <t>Website (2ND FLOOR)</t>
        </is>
      </c>
      <c r="AA12" s="15" t="inlineStr">
        <is>
          <t>Shoreditch Powerleague</t>
        </is>
      </c>
      <c r="AB12" s="15" t="n">
        <v>10</v>
      </c>
      <c r="AC12" s="15" t="inlineStr">
        <is>
          <t>Shoreditch Powerleague</t>
        </is>
      </c>
      <c r="AD12" s="15" t="inlineStr">
        <is>
          <t>Monday 28 September at 17:40</t>
        </is>
      </c>
      <c r="AE12" s="15" t="inlineStr">
        <is>
          <t>One-off</t>
        </is>
      </c>
      <c r="AF12" s="15" t="inlineStr">
        <is>
          <t>5-a-side</t>
        </is>
      </c>
      <c r="AG12" s="17">
        <f>IF(Offer!$D$5="","",Offer!$D$5)</f>
        <v/>
      </c>
      <c r="AH12" s="15" t="inlineStr">
        <is>
          <t>team of 50 people</t>
        </is>
      </c>
      <c r="AI12" s="16" t="inlineStr">
        <is>
          <t>https://www.stantonhouse.com/contact-us</t>
        </is>
      </c>
      <c r="AJ12" s="18">
        <f>IF(V12&lt;&gt;"",V12,S12)</f>
        <v/>
      </c>
      <c r="AK12" s="18">
        <f>IF(AG12="","",AF12&amp;" football "&amp;AD12&amp;" · "&amp;AB12&amp;" min from your office")</f>
        <v/>
      </c>
      <c r="AL12" s="18">
        <f>IF(AG12="","","Hi "&amp;IF(P12&lt;&gt;"",P12,F12&amp;" team")&amp;","&amp;CHAR(10)&amp;CHAR(10)&amp;IF(AH12&lt;&gt;"","Saw that "&amp;F12&amp;" "&amp;AH12&amp;"."&amp;CHAR(10)&amp;CHAR(10),"")&amp;"I'm "&amp;IF(AQ12&lt;&gt;"",AQ12,Offer!$D$8)&amp;" from FC Urban. We run weekly after-work football for London teams. We have a "&amp;AF12&amp;" pitch at "&amp;AC12&amp;", a "&amp;AB12&amp;"-minute walk from your office on "&amp;IF(X12&lt;&gt;"",X12,Y12)&amp;", free "&amp;AD12&amp;". It's "&amp;"£"&amp;IF(AG12=INT(AG12),TEXT(AG12,"0"),TEXT(AG12,"0.00"))&amp;" a player: we book the pitch and handle sign-ups and payments, so someone just shares one link with the team."&amp;CHAR(10)&amp;CHAR(10)&amp;"Would your team be up for a weekly game? Happy to hold the slot for "&amp;F12&amp;" this week."&amp;CHAR(10)&amp;CHAR(10)&amp;"Best,"&amp;CHAR(10)&amp;IF(AQ12&lt;&gt;"",AQ12,Offer!$D$8)&amp;CHAR(10)&amp;"FC Urban")</f>
        <v/>
      </c>
      <c r="AM12" s="18">
        <f>IF(AG12="","","Hi "&amp;IF(P12&lt;&gt;"",P12,F12&amp;" team")&amp;","&amp;CHAR(10)&amp;CHAR(10)&amp;"Quick follow-up: the "&amp;AF12&amp;" pitch at "&amp;AC12&amp;" is still free "&amp;AD12&amp;", "&amp;"£"&amp;IF(AG12=INT(AG12),TEXT(AG12,"0"),TEXT(AG12,"0.00"))&amp;" a player, "&amp;AB12&amp;" minutes from your office. Shall I hold it for "&amp;F12&amp;"?"&amp;CHAR(10)&amp;CHAR(10)&amp;"Best,"&amp;CHAR(10)&amp;IF(AQ12&lt;&gt;"",AQ12,Offer!$D$8)&amp;CHAR(10)&amp;"FC Urban")</f>
        <v/>
      </c>
      <c r="AN12" s="15" t="inlineStr">
        <is>
          <t>pass</t>
        </is>
      </c>
      <c r="AO12" s="15" t="inlineStr">
        <is>
          <t>MX ok · mailbox not verified</t>
        </is>
      </c>
      <c r="AP12" s="18">
        <f>IF(AG12="","No – no confirmed London price per player",IF(AJ12="","No – no email",IF(AN12&lt;&gt;"pass","No – suppressed","Yes")))</f>
        <v/>
      </c>
      <c r="AR12" s="19" t="n"/>
      <c r="AS12" s="19" t="n"/>
    </row>
    <row r="13">
      <c r="A13" s="15" t="n">
        <v>11</v>
      </c>
      <c r="B13" s="15" t="n">
        <v>1</v>
      </c>
      <c r="C13" s="15" t="inlineStr">
        <is>
          <t>Tech / software</t>
        </is>
      </c>
      <c r="D13" s="15" t="inlineStr">
        <is>
          <t>EC1M</t>
        </is>
      </c>
      <c r="E13" s="15" t="inlineStr">
        <is>
          <t>Codurance Ltd</t>
        </is>
      </c>
      <c r="F13" s="15" t="inlineStr">
        <is>
          <t>Codurance</t>
        </is>
      </c>
      <c r="G13" s="16" t="inlineStr">
        <is>
          <t>https://www.codurance.com</t>
        </is>
      </c>
      <c r="H13" s="15" t="inlineStr">
        <is>
          <t>Not stated</t>
        </is>
      </c>
      <c r="I13" s="15" t="inlineStr">
        <is>
          <t>08712584</t>
        </is>
      </c>
      <c r="J13" s="16" t="inlineStr">
        <is>
          <t>Open</t>
        </is>
      </c>
      <c r="K13" s="15" t="inlineStr">
        <is>
          <t>Full</t>
        </is>
      </c>
      <c r="L13" s="15" t="inlineStr">
        <is>
          <t>01/10/2013</t>
        </is>
      </c>
      <c r="M13" s="15" t="inlineStr">
        <is>
          <t>3 Sutton Lane, London</t>
        </is>
      </c>
      <c r="N13" s="15" t="inlineStr">
        <is>
          <t>EC1M 5PU</t>
        </is>
      </c>
      <c r="O13" s="15" t="inlineStr">
        <is>
          <t>No</t>
        </is>
      </c>
      <c r="P13" s="15" t="inlineStr">
        <is>
          <t>Robert</t>
        </is>
      </c>
      <c r="Q13" s="15" t="inlineStr">
        <is>
          <t>Robert Gray</t>
        </is>
      </c>
      <c r="R13" s="15" t="inlineStr">
        <is>
          <t>Sales contact</t>
        </is>
      </c>
      <c r="S13" s="15" t="inlineStr">
        <is>
          <t>robert.gray@codurance.com</t>
        </is>
      </c>
      <c r="T13" s="15" t="inlineStr">
        <is>
          <t>a/b named person</t>
        </is>
      </c>
      <c r="U13" s="16" t="inlineStr">
        <is>
          <t>https://www.codurance.com/contact-us</t>
        </is>
      </c>
      <c r="X13" s="15" t="inlineStr">
        <is>
          <t>3 Sutton Lane, 3rd floor</t>
        </is>
      </c>
      <c r="Y13" s="15" t="inlineStr">
        <is>
          <t>EC1M 5PU</t>
        </is>
      </c>
      <c r="Z13" s="15" t="inlineStr">
        <is>
          <t>Website (3 Sutton Lane, 3rd floor)</t>
        </is>
      </c>
      <c r="AA13" s="15" t="inlineStr">
        <is>
          <t>Old St - Moreland Primary School</t>
        </is>
      </c>
      <c r="AB13" s="15" t="n">
        <v>11</v>
      </c>
      <c r="AC13" s="15" t="inlineStr">
        <is>
          <t>Old St - Moreland Primary School</t>
        </is>
      </c>
      <c r="AD13" s="15" t="inlineStr">
        <is>
          <t>Monday 12 October at 18:00</t>
        </is>
      </c>
      <c r="AE13" s="15" t="inlineStr">
        <is>
          <t>One-off</t>
        </is>
      </c>
      <c r="AF13" s="15" t="inlineStr">
        <is>
          <t>6-a-side</t>
        </is>
      </c>
      <c r="AG13" s="17">
        <f>IF(Offer!$D$5="","",Offer!$D$5)</f>
        <v/>
      </c>
      <c r="AH13" s="15" t="inlineStr">
        <is>
          <t>office at 3 Sutton Lane, 3rd floor in London</t>
        </is>
      </c>
      <c r="AI13" s="16" t="inlineStr">
        <is>
          <t>https://www.codurance.com/contact-us</t>
        </is>
      </c>
      <c r="AJ13" s="18">
        <f>IF(V13&lt;&gt;"",V13,S13)</f>
        <v/>
      </c>
      <c r="AK13" s="18">
        <f>IF(AG13="","",AF13&amp;" football "&amp;AD13&amp;" · "&amp;AB13&amp;" min from your office")</f>
        <v/>
      </c>
      <c r="AL13" s="18">
        <f>IF(AG13="","","Hi "&amp;IF(P13&lt;&gt;"",P13,F13&amp;" team")&amp;","&amp;CHAR(10)&amp;CHAR(10)&amp;IF(AH13&lt;&gt;"","Saw that "&amp;F13&amp;" "&amp;AH13&amp;"."&amp;CHAR(10)&amp;CHAR(10),"")&amp;"I'm "&amp;IF(AQ13&lt;&gt;"",AQ13,Offer!$D$8)&amp;" from FC Urban. We run weekly after-work football for London teams. We have a "&amp;AF13&amp;" pitch at "&amp;AC13&amp;", a "&amp;AB13&amp;"-minute walk from your office on "&amp;IF(X13&lt;&gt;"",X13,Y13)&amp;", free "&amp;AD13&amp;". It's "&amp;"£"&amp;IF(AG13=INT(AG13),TEXT(AG13,"0"),TEXT(AG13,"0.00"))&amp;" a player: we book the pitch and handle sign-ups and payments, so someone just shares one link with the team."&amp;CHAR(10)&amp;CHAR(10)&amp;"Would your team be up for a weekly game? Happy to hold the slot for "&amp;F13&amp;" this week."&amp;CHAR(10)&amp;CHAR(10)&amp;"Best,"&amp;CHAR(10)&amp;IF(AQ13&lt;&gt;"",AQ13,Offer!$D$8)&amp;CHAR(10)&amp;"FC Urban")</f>
        <v/>
      </c>
      <c r="AM13" s="18">
        <f>IF(AG13="","","Hi "&amp;IF(P13&lt;&gt;"",P13,F13&amp;" team")&amp;","&amp;CHAR(10)&amp;CHAR(10)&amp;"Quick follow-up: the "&amp;AF13&amp;" pitch at "&amp;AC13&amp;" is still free "&amp;AD13&amp;", "&amp;"£"&amp;IF(AG13=INT(AG13),TEXT(AG13,"0"),TEXT(AG13,"0.00"))&amp;" a player, "&amp;AB13&amp;" minutes from your office. Shall I hold it for "&amp;F13&amp;"?"&amp;CHAR(10)&amp;CHAR(10)&amp;"Best,"&amp;CHAR(10)&amp;IF(AQ13&lt;&gt;"",AQ13,Offer!$D$8)&amp;CHAR(10)&amp;"FC Urban")</f>
        <v/>
      </c>
      <c r="AN13" s="15" t="inlineStr">
        <is>
          <t>pass</t>
        </is>
      </c>
      <c r="AO13" s="15" t="inlineStr">
        <is>
          <t>MX ok · mailbox not verified</t>
        </is>
      </c>
      <c r="AP13" s="18">
        <f>IF(AG13="","No – no confirmed London price per player",IF(AJ13="","No – no email",IF(AN13&lt;&gt;"pass","No – suppressed","Yes")))</f>
        <v/>
      </c>
      <c r="AR13" s="19" t="n"/>
      <c r="AS13" s="19" t="n"/>
    </row>
    <row r="14">
      <c r="A14" s="15" t="n">
        <v>12</v>
      </c>
      <c r="B14" s="15" t="n">
        <v>1</v>
      </c>
      <c r="C14" s="15" t="inlineStr">
        <is>
          <t>Recruitment</t>
        </is>
      </c>
      <c r="D14" s="15" t="inlineStr">
        <is>
          <t>EC2M</t>
        </is>
      </c>
      <c r="E14" s="15" t="inlineStr">
        <is>
          <t>Precise Consultants Limited</t>
        </is>
      </c>
      <c r="F14" s="15" t="inlineStr">
        <is>
          <t>Precise Consultants</t>
        </is>
      </c>
      <c r="G14" s="16" t="inlineStr">
        <is>
          <t>https://www.preciseconsultants.com</t>
        </is>
      </c>
      <c r="H14" s="15" t="inlineStr">
        <is>
          <t>Not stated</t>
        </is>
      </c>
      <c r="I14" s="15" t="inlineStr">
        <is>
          <t>08517073</t>
        </is>
      </c>
      <c r="J14" s="16" t="inlineStr">
        <is>
          <t>Open</t>
        </is>
      </c>
      <c r="K14" s="15" t="inlineStr">
        <is>
          <t>Medium</t>
        </is>
      </c>
      <c r="L14" s="15" t="inlineStr">
        <is>
          <t>07/05/2013</t>
        </is>
      </c>
      <c r="M14" s="15" t="inlineStr">
        <is>
          <t>4Th Floor, 14 Devonshire Square, London</t>
        </is>
      </c>
      <c r="N14" s="15" t="inlineStr">
        <is>
          <t>EC2M 4YT</t>
        </is>
      </c>
      <c r="O14" s="15" t="inlineStr">
        <is>
          <t>No</t>
        </is>
      </c>
      <c r="P14" s="15" t="inlineStr">
        <is>
          <t>Sophie</t>
        </is>
      </c>
      <c r="Q14" s="15" t="inlineStr">
        <is>
          <t>Sophie M</t>
        </is>
      </c>
      <c r="R14" s="15" t="n"/>
      <c r="S14" s="15" t="inlineStr">
        <is>
          <t>sophie.m@preciseconsultants.com</t>
        </is>
      </c>
      <c r="T14" s="15" t="inlineStr">
        <is>
          <t>a/b named person</t>
        </is>
      </c>
      <c r="U14" s="16" t="inlineStr">
        <is>
          <t>https://www.preciseconsultants.com/meet-the-team/</t>
        </is>
      </c>
      <c r="X14" s="15" t="inlineStr">
        <is>
          <t>4th Floor, 14 Devonshire Square</t>
        </is>
      </c>
      <c r="Y14" s="15" t="inlineStr">
        <is>
          <t>EC2M 4YT</t>
        </is>
      </c>
      <c r="Z14" s="15" t="inlineStr">
        <is>
          <t>Website (4th Floor, 14 Devonshire Square)</t>
        </is>
      </c>
      <c r="AA14" s="15" t="inlineStr">
        <is>
          <t>Shoreditch Powerleague</t>
        </is>
      </c>
      <c r="AB14" s="15" t="n">
        <v>12</v>
      </c>
      <c r="AC14" s="15" t="inlineStr">
        <is>
          <t>Shoreditch Powerleague</t>
        </is>
      </c>
      <c r="AD14" s="15" t="inlineStr">
        <is>
          <t>Monday 28 September at 17:40</t>
        </is>
      </c>
      <c r="AE14" s="15" t="inlineStr">
        <is>
          <t>One-off</t>
        </is>
      </c>
      <c r="AF14" s="15" t="inlineStr">
        <is>
          <t>5-a-side</t>
        </is>
      </c>
      <c r="AG14" s="17">
        <f>IF(Offer!$D$5="","",Offer!$D$5)</f>
        <v/>
      </c>
      <c r="AH14" s="15" t="n"/>
      <c r="AI14" s="15" t="n"/>
      <c r="AJ14" s="18">
        <f>IF(V14&lt;&gt;"",V14,S14)</f>
        <v/>
      </c>
      <c r="AK14" s="18">
        <f>IF(AG14="","",AF14&amp;" football "&amp;AD14&amp;" · "&amp;AB14&amp;" min from your office")</f>
        <v/>
      </c>
      <c r="AL14" s="18">
        <f>IF(AG14="","","Hi "&amp;IF(P14&lt;&gt;"",P14,F14&amp;" team")&amp;","&amp;CHAR(10)&amp;CHAR(10)&amp;IF(AH14&lt;&gt;"","Saw that "&amp;F14&amp;" "&amp;AH14&amp;"."&amp;CHAR(10)&amp;CHAR(10),"")&amp;"I'm "&amp;IF(AQ14&lt;&gt;"",AQ14,Offer!$D$8)&amp;" from FC Urban. We run weekly after-work football for London teams. We have a "&amp;AF14&amp;" pitch at "&amp;AC14&amp;", a "&amp;AB14&amp;"-minute walk from your office on "&amp;IF(X14&lt;&gt;"",X14,Y14)&amp;", free "&amp;AD14&amp;". It's "&amp;"£"&amp;IF(AG14=INT(AG14),TEXT(AG14,"0"),TEXT(AG14,"0.00"))&amp;" a player: we book the pitch and handle sign-ups and payments, so someone just shares one link with the team."&amp;CHAR(10)&amp;CHAR(10)&amp;"Would your team be up for a weekly game? Happy to hold the slot for "&amp;F14&amp;" this week."&amp;CHAR(10)&amp;CHAR(10)&amp;"Best,"&amp;CHAR(10)&amp;IF(AQ14&lt;&gt;"",AQ14,Offer!$D$8)&amp;CHAR(10)&amp;"FC Urban")</f>
        <v/>
      </c>
      <c r="AM14" s="18">
        <f>IF(AG14="","","Hi "&amp;IF(P14&lt;&gt;"",P14,F14&amp;" team")&amp;","&amp;CHAR(10)&amp;CHAR(10)&amp;"Quick follow-up: the "&amp;AF14&amp;" pitch at "&amp;AC14&amp;" is still free "&amp;AD14&amp;", "&amp;"£"&amp;IF(AG14=INT(AG14),TEXT(AG14,"0"),TEXT(AG14,"0.00"))&amp;" a player, "&amp;AB14&amp;" minutes from your office. Shall I hold it for "&amp;F14&amp;"?"&amp;CHAR(10)&amp;CHAR(10)&amp;"Best,"&amp;CHAR(10)&amp;IF(AQ14&lt;&gt;"",AQ14,Offer!$D$8)&amp;CHAR(10)&amp;"FC Urban")</f>
        <v/>
      </c>
      <c r="AN14" s="15" t="inlineStr">
        <is>
          <t>pass</t>
        </is>
      </c>
      <c r="AO14" s="15" t="inlineStr">
        <is>
          <t>MX ok · mailbox not verified</t>
        </is>
      </c>
      <c r="AP14" s="18">
        <f>IF(AG14="","No – no confirmed London price per player",IF(AJ14="","No – no email",IF(AN14&lt;&gt;"pass","No – suppressed","Yes")))</f>
        <v/>
      </c>
      <c r="AR14" s="19" t="n"/>
      <c r="AS14" s="19" t="n"/>
    </row>
    <row r="15">
      <c r="A15" s="15" t="n">
        <v>13</v>
      </c>
      <c r="B15" s="15" t="n">
        <v>1</v>
      </c>
      <c r="C15" s="15" t="inlineStr">
        <is>
          <t>Tech / software</t>
        </is>
      </c>
      <c r="D15" s="15" t="inlineStr">
        <is>
          <t>EC1Y</t>
        </is>
      </c>
      <c r="E15" s="15" t="inlineStr">
        <is>
          <t>Yu Life Ltd</t>
        </is>
      </c>
      <c r="F15" s="15" t="inlineStr">
        <is>
          <t>Yu Life</t>
        </is>
      </c>
      <c r="G15" s="16" t="inlineStr">
        <is>
          <t>https://yulife.com</t>
        </is>
      </c>
      <c r="H15" s="15" t="inlineStr">
        <is>
          <t>Not stated</t>
        </is>
      </c>
      <c r="I15" s="15" t="inlineStr">
        <is>
          <t>10308260</t>
        </is>
      </c>
      <c r="J15" s="16" t="inlineStr">
        <is>
          <t>Open</t>
        </is>
      </c>
      <c r="K15" s="15" t="inlineStr">
        <is>
          <t>Full</t>
        </is>
      </c>
      <c r="L15" s="15" t="inlineStr">
        <is>
          <t>02/08/2016</t>
        </is>
      </c>
      <c r="M15" s="15" t="inlineStr">
        <is>
          <t>12 Mallow Street, London</t>
        </is>
      </c>
      <c r="N15" s="15" t="inlineStr">
        <is>
          <t>EC1Y 8RQ</t>
        </is>
      </c>
      <c r="O15" s="15" t="inlineStr">
        <is>
          <t>No</t>
        </is>
      </c>
      <c r="P15" s="15" t="inlineStr">
        <is>
          <t>Esme</t>
        </is>
      </c>
      <c r="Q15" s="15" t="inlineStr">
        <is>
          <t>Esme Muduroglu</t>
        </is>
      </c>
      <c r="R15" s="15" t="n"/>
      <c r="S15" s="15" t="inlineStr">
        <is>
          <t>esme.muduroglu@yulife.com</t>
        </is>
      </c>
      <c r="T15" s="15" t="inlineStr">
        <is>
          <t>a/b named person</t>
        </is>
      </c>
      <c r="U15" s="16" t="inlineStr">
        <is>
          <t>https://yulife.com/team/</t>
        </is>
      </c>
      <c r="X15" s="15" t="inlineStr">
        <is>
          <t>12 Mallow Street</t>
        </is>
      </c>
      <c r="Y15" s="15" t="inlineStr">
        <is>
          <t>EC1Y 8RQ</t>
        </is>
      </c>
      <c r="Z15" s="15" t="inlineStr">
        <is>
          <t>Website (12 Mallow Street)</t>
        </is>
      </c>
      <c r="AA15" s="15" t="inlineStr">
        <is>
          <t>Old St - Moreland Primary School</t>
        </is>
      </c>
      <c r="AB15" s="15" t="n">
        <v>13</v>
      </c>
      <c r="AC15" s="15" t="inlineStr">
        <is>
          <t>Old St - Moreland Primary School</t>
        </is>
      </c>
      <c r="AD15" s="15" t="inlineStr">
        <is>
          <t>Monday 12 October at 18:00</t>
        </is>
      </c>
      <c r="AE15" s="15" t="inlineStr">
        <is>
          <t>One-off</t>
        </is>
      </c>
      <c r="AF15" s="15" t="inlineStr">
        <is>
          <t>6-a-side</t>
        </is>
      </c>
      <c r="AG15" s="17">
        <f>IF(Offer!$D$5="","",Offer!$D$5)</f>
        <v/>
      </c>
      <c r="AH15" s="15" t="n"/>
      <c r="AI15" s="15" t="n"/>
      <c r="AJ15" s="18">
        <f>IF(V15&lt;&gt;"",V15,S15)</f>
        <v/>
      </c>
      <c r="AK15" s="18">
        <f>IF(AG15="","",AF15&amp;" football "&amp;AD15&amp;" · "&amp;AB15&amp;" min from your office")</f>
        <v/>
      </c>
      <c r="AL15" s="18">
        <f>IF(AG15="","","Hi "&amp;IF(P15&lt;&gt;"",P15,F15&amp;" team")&amp;","&amp;CHAR(10)&amp;CHAR(10)&amp;IF(AH15&lt;&gt;"","Saw that "&amp;F15&amp;" "&amp;AH15&amp;"."&amp;CHAR(10)&amp;CHAR(10),"")&amp;"I'm "&amp;IF(AQ15&lt;&gt;"",AQ15,Offer!$D$8)&amp;" from FC Urban. We run weekly after-work football for London teams. We have a "&amp;AF15&amp;" pitch at "&amp;AC15&amp;", a "&amp;AB15&amp;"-minute walk from your office on "&amp;IF(X15&lt;&gt;"",X15,Y15)&amp;", free "&amp;AD15&amp;". It's "&amp;"£"&amp;IF(AG15=INT(AG15),TEXT(AG15,"0"),TEXT(AG15,"0.00"))&amp;" a player: we book the pitch and handle sign-ups and payments, so someone just shares one link with the team."&amp;CHAR(10)&amp;CHAR(10)&amp;"Would your team be up for a weekly game? Happy to hold the slot for "&amp;F15&amp;" this week."&amp;CHAR(10)&amp;CHAR(10)&amp;"Best,"&amp;CHAR(10)&amp;IF(AQ15&lt;&gt;"",AQ15,Offer!$D$8)&amp;CHAR(10)&amp;"FC Urban")</f>
        <v/>
      </c>
      <c r="AM15" s="18">
        <f>IF(AG15="","","Hi "&amp;IF(P15&lt;&gt;"",P15,F15&amp;" team")&amp;","&amp;CHAR(10)&amp;CHAR(10)&amp;"Quick follow-up: the "&amp;AF15&amp;" pitch at "&amp;AC15&amp;" is still free "&amp;AD15&amp;", "&amp;"£"&amp;IF(AG15=INT(AG15),TEXT(AG15,"0"),TEXT(AG15,"0.00"))&amp;" a player, "&amp;AB15&amp;" minutes from your office. Shall I hold it for "&amp;F15&amp;"?"&amp;CHAR(10)&amp;CHAR(10)&amp;"Best,"&amp;CHAR(10)&amp;IF(AQ15&lt;&gt;"",AQ15,Offer!$D$8)&amp;CHAR(10)&amp;"FC Urban")</f>
        <v/>
      </c>
      <c r="AN15" s="15" t="inlineStr">
        <is>
          <t>pass</t>
        </is>
      </c>
      <c r="AO15" s="15" t="inlineStr">
        <is>
          <t>MX ok · mailbox not verified</t>
        </is>
      </c>
      <c r="AP15" s="18">
        <f>IF(AG15="","No – no confirmed London price per player",IF(AJ15="","No – no email",IF(AN15&lt;&gt;"pass","No – suppressed","Yes")))</f>
        <v/>
      </c>
      <c r="AR15" s="19" t="n"/>
      <c r="AS15" s="19" t="n"/>
    </row>
    <row r="16">
      <c r="A16" s="15" t="n">
        <v>14</v>
      </c>
      <c r="B16" s="15" t="n">
        <v>1</v>
      </c>
      <c r="C16" s="15" t="inlineStr">
        <is>
          <t>Finance / accounting</t>
        </is>
      </c>
      <c r="D16" s="15" t="inlineStr">
        <is>
          <t>EC2M</t>
        </is>
      </c>
      <c r="E16" s="15" t="inlineStr">
        <is>
          <t>Guy Butler Limited</t>
        </is>
      </c>
      <c r="F16" s="15" t="inlineStr">
        <is>
          <t>Guy Butler</t>
        </is>
      </c>
      <c r="G16" s="16" t="inlineStr">
        <is>
          <t>https://guybutler.co.uk</t>
        </is>
      </c>
      <c r="H16" s="15" t="inlineStr">
        <is>
          <t>Not stated</t>
        </is>
      </c>
      <c r="I16" s="15" t="inlineStr">
        <is>
          <t>03869802</t>
        </is>
      </c>
      <c r="J16" s="16" t="inlineStr">
        <is>
          <t>Open</t>
        </is>
      </c>
      <c r="K16" s="15" t="inlineStr">
        <is>
          <t>Full</t>
        </is>
      </c>
      <c r="L16" s="15" t="inlineStr">
        <is>
          <t>02/11/1999</t>
        </is>
      </c>
      <c r="M16" s="15" t="inlineStr">
        <is>
          <t>4Th Floor, 95 Gresham Street, London</t>
        </is>
      </c>
      <c r="N16" s="15" t="inlineStr">
        <is>
          <t>EC2V 7AB</t>
        </is>
      </c>
      <c r="O16" s="15" t="inlineStr">
        <is>
          <t>No</t>
        </is>
      </c>
      <c r="P16" s="15" t="inlineStr">
        <is>
          <t>Jamie</t>
        </is>
      </c>
      <c r="Q16" s="15" t="inlineStr">
        <is>
          <t>Jamie Macfarlane</t>
        </is>
      </c>
      <c r="R16" s="15" t="inlineStr">
        <is>
          <t>Sales</t>
        </is>
      </c>
      <c r="S16" s="15" t="inlineStr">
        <is>
          <t>jamie.macfarlane@guybutler.co.uk</t>
        </is>
      </c>
      <c r="T16" s="15" t="inlineStr">
        <is>
          <t>a/b named person</t>
        </is>
      </c>
      <c r="U16" s="16" t="inlineStr">
        <is>
          <t>https://guybutler.co.uk/</t>
        </is>
      </c>
      <c r="X16" s="15" t="inlineStr">
        <is>
          <t>14th Floor, Dashwood House, 69 Old Broad Street</t>
        </is>
      </c>
      <c r="Y16" s="15" t="inlineStr">
        <is>
          <t>EC2M 1QS</t>
        </is>
      </c>
      <c r="Z16" s="15" t="inlineStr">
        <is>
          <t>Website (14th Floor, Dashwood House, 69 Old Broad Street)</t>
        </is>
      </c>
      <c r="AA16" s="15" t="inlineStr">
        <is>
          <t>Shoreditch Powerleague</t>
        </is>
      </c>
      <c r="AB16" s="15" t="n">
        <v>14</v>
      </c>
      <c r="AC16" s="15" t="inlineStr">
        <is>
          <t>Shoreditch Powerleague</t>
        </is>
      </c>
      <c r="AD16" s="15" t="inlineStr">
        <is>
          <t>Monday 28 September at 17:40</t>
        </is>
      </c>
      <c r="AE16" s="15" t="inlineStr">
        <is>
          <t>One-off</t>
        </is>
      </c>
      <c r="AF16" s="15" t="inlineStr">
        <is>
          <t>5-a-side</t>
        </is>
      </c>
      <c r="AG16" s="17">
        <f>IF(Offer!$D$5="","",Offer!$D$5)</f>
        <v/>
      </c>
      <c r="AH16" s="15" t="n"/>
      <c r="AI16" s="15" t="n"/>
      <c r="AJ16" s="18">
        <f>IF(V16&lt;&gt;"",V16,S16)</f>
        <v/>
      </c>
      <c r="AK16" s="18">
        <f>IF(AG16="","",AF16&amp;" football "&amp;AD16&amp;" · "&amp;AB16&amp;" min from your office")</f>
        <v/>
      </c>
      <c r="AL16" s="18">
        <f>IF(AG16="","","Hi "&amp;IF(P16&lt;&gt;"",P16,F16&amp;" team")&amp;","&amp;CHAR(10)&amp;CHAR(10)&amp;IF(AH16&lt;&gt;"","Saw that "&amp;F16&amp;" "&amp;AH16&amp;"."&amp;CHAR(10)&amp;CHAR(10),"")&amp;"I'm "&amp;IF(AQ16&lt;&gt;"",AQ16,Offer!$D$8)&amp;" from FC Urban. We run weekly after-work football for London teams. We have a "&amp;AF16&amp;" pitch at "&amp;AC16&amp;", a "&amp;AB16&amp;"-minute walk from your office on "&amp;IF(X16&lt;&gt;"",X16,Y16)&amp;", free "&amp;AD16&amp;". It's "&amp;"£"&amp;IF(AG16=INT(AG16),TEXT(AG16,"0"),TEXT(AG16,"0.00"))&amp;" a player: we book the pitch and handle sign-ups and payments, so someone just shares one link with the team."&amp;CHAR(10)&amp;CHAR(10)&amp;"Would your team be up for a weekly game? Happy to hold the slot for "&amp;F16&amp;" this week."&amp;CHAR(10)&amp;CHAR(10)&amp;"Best,"&amp;CHAR(10)&amp;IF(AQ16&lt;&gt;"",AQ16,Offer!$D$8)&amp;CHAR(10)&amp;"FC Urban")</f>
        <v/>
      </c>
      <c r="AM16" s="18">
        <f>IF(AG16="","","Hi "&amp;IF(P16&lt;&gt;"",P16,F16&amp;" team")&amp;","&amp;CHAR(10)&amp;CHAR(10)&amp;"Quick follow-up: the "&amp;AF16&amp;" pitch at "&amp;AC16&amp;" is still free "&amp;AD16&amp;", "&amp;"£"&amp;IF(AG16=INT(AG16),TEXT(AG16,"0"),TEXT(AG16,"0.00"))&amp;" a player, "&amp;AB16&amp;" minutes from your office. Shall I hold it for "&amp;F16&amp;"?"&amp;CHAR(10)&amp;CHAR(10)&amp;"Best,"&amp;CHAR(10)&amp;IF(AQ16&lt;&gt;"",AQ16,Offer!$D$8)&amp;CHAR(10)&amp;"FC Urban")</f>
        <v/>
      </c>
      <c r="AN16" s="15" t="inlineStr">
        <is>
          <t>pass</t>
        </is>
      </c>
      <c r="AO16" s="15" t="inlineStr">
        <is>
          <t>MX ok · mailbox not verified</t>
        </is>
      </c>
      <c r="AP16" s="18">
        <f>IF(AG16="","No – no confirmed London price per player",IF(AJ16="","No – no email",IF(AN16&lt;&gt;"pass","No – suppressed","Yes")))</f>
        <v/>
      </c>
      <c r="AR16" s="19" t="n"/>
      <c r="AS16" s="19" t="n"/>
    </row>
    <row r="17">
      <c r="A17" s="15" t="n">
        <v>15</v>
      </c>
      <c r="B17" s="15" t="n">
        <v>1</v>
      </c>
      <c r="C17" s="15" t="inlineStr">
        <is>
          <t>Recruitment</t>
        </is>
      </c>
      <c r="D17" s="15" t="inlineStr">
        <is>
          <t>EC1A</t>
        </is>
      </c>
      <c r="E17" s="15" t="inlineStr">
        <is>
          <t>Goodman Masson Limited</t>
        </is>
      </c>
      <c r="F17" s="15" t="inlineStr">
        <is>
          <t>Goodman Masson</t>
        </is>
      </c>
      <c r="G17" s="16" t="inlineStr">
        <is>
          <t>https://www.goodmanmasson.com</t>
        </is>
      </c>
      <c r="H17" s="15" t="n">
        <v>100</v>
      </c>
      <c r="I17" s="15" t="inlineStr">
        <is>
          <t>02769447</t>
        </is>
      </c>
      <c r="J17" s="16" t="inlineStr">
        <is>
          <t>Open</t>
        </is>
      </c>
      <c r="K17" s="15" t="inlineStr">
        <is>
          <t>Group</t>
        </is>
      </c>
      <c r="L17" s="15" t="inlineStr">
        <is>
          <t>01/12/1992</t>
        </is>
      </c>
      <c r="M17" s="15" t="inlineStr">
        <is>
          <t>Fourth Floor, 120 Aldersgate Street, London</t>
        </is>
      </c>
      <c r="N17" s="15" t="inlineStr">
        <is>
          <t>EC1A 4JQ</t>
        </is>
      </c>
      <c r="O17" s="15" t="inlineStr">
        <is>
          <t>No</t>
        </is>
      </c>
      <c r="P17" s="15" t="inlineStr">
        <is>
          <t>Iain</t>
        </is>
      </c>
      <c r="Q17" s="15" t="inlineStr">
        <is>
          <t>Iain Mcgill</t>
        </is>
      </c>
      <c r="R17" s="15" t="n"/>
      <c r="S17" s="15" t="inlineStr">
        <is>
          <t>iain.mcgill@goodmanmasson.com</t>
        </is>
      </c>
      <c r="T17" s="15" t="inlineStr">
        <is>
          <t>a/b named person</t>
        </is>
      </c>
      <c r="U17" s="16" t="inlineStr">
        <is>
          <t>https://www.goodmanmasson.com/aca-careers-hub</t>
        </is>
      </c>
      <c r="X17" s="15" t="inlineStr">
        <is>
          <t>120 Aldersgate Street</t>
        </is>
      </c>
      <c r="Y17" s="15" t="inlineStr">
        <is>
          <t>EC1A 4JQ</t>
        </is>
      </c>
      <c r="Z17" s="15" t="inlineStr">
        <is>
          <t>Website (120 Aldersgate Street)</t>
        </is>
      </c>
      <c r="AA17" s="15" t="inlineStr">
        <is>
          <t>Old St - Moreland Primary School</t>
        </is>
      </c>
      <c r="AB17" s="15" t="n">
        <v>14</v>
      </c>
      <c r="AC17" s="15" t="inlineStr">
        <is>
          <t>Old St - Moreland Primary School</t>
        </is>
      </c>
      <c r="AD17" s="15" t="inlineStr">
        <is>
          <t>Monday 12 October at 18:00</t>
        </is>
      </c>
      <c r="AE17" s="15" t="inlineStr">
        <is>
          <t>One-off</t>
        </is>
      </c>
      <c r="AF17" s="15" t="inlineStr">
        <is>
          <t>6-a-side</t>
        </is>
      </c>
      <c r="AG17" s="17">
        <f>IF(Offer!$D$5="","",Offer!$D$5)</f>
        <v/>
      </c>
      <c r="AH17" s="15" t="inlineStr">
        <is>
          <t>team of 23</t>
        </is>
      </c>
      <c r="AI17" s="16" t="inlineStr">
        <is>
          <t>https://www.goodmanmasson.com/aca-careers-hub</t>
        </is>
      </c>
      <c r="AJ17" s="18">
        <f>IF(V17&lt;&gt;"",V17,S17)</f>
        <v/>
      </c>
      <c r="AK17" s="18">
        <f>IF(AG17="","",AF17&amp;" football "&amp;AD17&amp;" · "&amp;AB17&amp;" min from your office")</f>
        <v/>
      </c>
      <c r="AL17" s="18">
        <f>IF(AG17="","","Hi "&amp;IF(P17&lt;&gt;"",P17,F17&amp;" team")&amp;","&amp;CHAR(10)&amp;CHAR(10)&amp;IF(AH17&lt;&gt;"","Saw that "&amp;F17&amp;" "&amp;AH17&amp;"."&amp;CHAR(10)&amp;CHAR(10),"")&amp;"I'm "&amp;IF(AQ17&lt;&gt;"",AQ17,Offer!$D$8)&amp;" from FC Urban. We run weekly after-work football for London teams. We have a "&amp;AF17&amp;" pitch at "&amp;AC17&amp;", a "&amp;AB17&amp;"-minute walk from your office on "&amp;IF(X17&lt;&gt;"",X17,Y17)&amp;", free "&amp;AD17&amp;". It's "&amp;"£"&amp;IF(AG17=INT(AG17),TEXT(AG17,"0"),TEXT(AG17,"0.00"))&amp;" a player: we book the pitch and handle sign-ups and payments, so someone just shares one link with the team."&amp;CHAR(10)&amp;CHAR(10)&amp;"Would your team be up for a weekly game? Happy to hold the slot for "&amp;F17&amp;" this week."&amp;CHAR(10)&amp;CHAR(10)&amp;"Best,"&amp;CHAR(10)&amp;IF(AQ17&lt;&gt;"",AQ17,Offer!$D$8)&amp;CHAR(10)&amp;"FC Urban")</f>
        <v/>
      </c>
      <c r="AM17" s="18">
        <f>IF(AG17="","","Hi "&amp;IF(P17&lt;&gt;"",P17,F17&amp;" team")&amp;","&amp;CHAR(10)&amp;CHAR(10)&amp;"Quick follow-up: the "&amp;AF17&amp;" pitch at "&amp;AC17&amp;" is still free "&amp;AD17&amp;", "&amp;"£"&amp;IF(AG17=INT(AG17),TEXT(AG17,"0"),TEXT(AG17,"0.00"))&amp;" a player, "&amp;AB17&amp;" minutes from your office. Shall I hold it for "&amp;F17&amp;"?"&amp;CHAR(10)&amp;CHAR(10)&amp;"Best,"&amp;CHAR(10)&amp;IF(AQ17&lt;&gt;"",AQ17,Offer!$D$8)&amp;CHAR(10)&amp;"FC Urban")</f>
        <v/>
      </c>
      <c r="AN17" s="15" t="inlineStr">
        <is>
          <t>pass</t>
        </is>
      </c>
      <c r="AO17" s="15" t="inlineStr">
        <is>
          <t>MX ok · mailbox not verified</t>
        </is>
      </c>
      <c r="AP17" s="18">
        <f>IF(AG17="","No – no confirmed London price per player",IF(AJ17="","No – no email",IF(AN17&lt;&gt;"pass","No – suppressed","Yes")))</f>
        <v/>
      </c>
      <c r="AR17" s="19" t="n"/>
      <c r="AS17" s="19" t="n"/>
    </row>
    <row r="18">
      <c r="A18" s="15" t="n">
        <v>16</v>
      </c>
      <c r="B18" s="15" t="n">
        <v>1</v>
      </c>
      <c r="C18" s="15" t="inlineStr">
        <is>
          <t>Tech / software</t>
        </is>
      </c>
      <c r="D18" s="15" t="inlineStr">
        <is>
          <t>EC3A</t>
        </is>
      </c>
      <c r="E18" s="15" t="inlineStr">
        <is>
          <t>Travelfusion Limited</t>
        </is>
      </c>
      <c r="F18" s="15" t="inlineStr">
        <is>
          <t>Travelfusion</t>
        </is>
      </c>
      <c r="G18" s="16" t="inlineStr">
        <is>
          <t>https://corporate.travelfusion.com</t>
        </is>
      </c>
      <c r="H18" s="15" t="inlineStr">
        <is>
          <t>Not stated</t>
        </is>
      </c>
      <c r="I18" s="15" t="inlineStr">
        <is>
          <t>03880175</t>
        </is>
      </c>
      <c r="J18" s="16" t="inlineStr">
        <is>
          <t>Open</t>
        </is>
      </c>
      <c r="K18" s="15" t="inlineStr">
        <is>
          <t>Full</t>
        </is>
      </c>
      <c r="L18" s="15" t="inlineStr">
        <is>
          <t>16/11/1999</t>
        </is>
      </c>
      <c r="M18" s="15" t="inlineStr">
        <is>
          <t>70 St Mary Axe, London</t>
        </is>
      </c>
      <c r="N18" s="15" t="inlineStr">
        <is>
          <t>EC3A 8BE</t>
        </is>
      </c>
      <c r="O18" s="15" t="inlineStr">
        <is>
          <t>No</t>
        </is>
      </c>
      <c r="P18" s="15" t="n"/>
      <c r="Q18" s="15" t="n"/>
      <c r="R18" s="15" t="n"/>
      <c r="S18" s="15" t="inlineStr">
        <is>
          <t>hr@travelfusion.com</t>
        </is>
      </c>
      <c r="T18" s="15" t="inlineStr">
        <is>
          <t>a/b named person</t>
        </is>
      </c>
      <c r="U18" s="16" t="inlineStr">
        <is>
          <t>https://corporate.travelfusion.com/company/contact-us</t>
        </is>
      </c>
      <c r="X18" s="15" t="inlineStr">
        <is>
          <t>70 St Mary Axe</t>
        </is>
      </c>
      <c r="Y18" s="15" t="inlineStr">
        <is>
          <t>EC3A 8BE</t>
        </is>
      </c>
      <c r="Z18" s="15" t="inlineStr">
        <is>
          <t>Website (70 St Mary Axe)</t>
        </is>
      </c>
      <c r="AA18" s="15" t="inlineStr">
        <is>
          <t>Shoreditch Powerleague</t>
        </is>
      </c>
      <c r="AB18" s="15" t="n">
        <v>15</v>
      </c>
      <c r="AC18" s="15" t="inlineStr">
        <is>
          <t>Shoreditch Powerleague</t>
        </is>
      </c>
      <c r="AD18" s="15" t="inlineStr">
        <is>
          <t>Monday 28 September at 17:40</t>
        </is>
      </c>
      <c r="AE18" s="15" t="inlineStr">
        <is>
          <t>One-off</t>
        </is>
      </c>
      <c r="AF18" s="15" t="inlineStr">
        <is>
          <t>5-a-side</t>
        </is>
      </c>
      <c r="AG18" s="17">
        <f>IF(Offer!$D$5="","",Offer!$D$5)</f>
        <v/>
      </c>
      <c r="AH18" s="15" t="n"/>
      <c r="AI18" s="15" t="n"/>
      <c r="AJ18" s="18">
        <f>IF(V18&lt;&gt;"",V18,S18)</f>
        <v/>
      </c>
      <c r="AK18" s="18">
        <f>IF(AG18="","",AF18&amp;" football "&amp;AD18&amp;" · "&amp;AB18&amp;" min from your office")</f>
        <v/>
      </c>
      <c r="AL18" s="18">
        <f>IF(AG18="","","Hi "&amp;IF(P18&lt;&gt;"",P18,F18&amp;" team")&amp;","&amp;CHAR(10)&amp;CHAR(10)&amp;IF(AH18&lt;&gt;"","Saw that "&amp;F18&amp;" "&amp;AH18&amp;"."&amp;CHAR(10)&amp;CHAR(10),"")&amp;"I'm "&amp;IF(AQ18&lt;&gt;"",AQ18,Offer!$D$8)&amp;" from FC Urban. We run weekly after-work football for London teams. We have a "&amp;AF18&amp;" pitch at "&amp;AC18&amp;", a "&amp;AB18&amp;"-minute walk from your office on "&amp;IF(X18&lt;&gt;"",X18,Y18)&amp;", free "&amp;AD18&amp;". It's "&amp;"£"&amp;IF(AG18=INT(AG18),TEXT(AG18,"0"),TEXT(AG18,"0.00"))&amp;" a player: we book the pitch and handle sign-ups and payments, so someone just shares one link with the team."&amp;CHAR(10)&amp;CHAR(10)&amp;"Would your team be up for a weekly game? Happy to hold the slot for "&amp;F18&amp;" this week."&amp;CHAR(10)&amp;CHAR(10)&amp;"Best,"&amp;CHAR(10)&amp;IF(AQ18&lt;&gt;"",AQ18,Offer!$D$8)&amp;CHAR(10)&amp;"FC Urban")</f>
        <v/>
      </c>
      <c r="AM18" s="18">
        <f>IF(AG18="","","Hi "&amp;IF(P18&lt;&gt;"",P18,F18&amp;" team")&amp;","&amp;CHAR(10)&amp;CHAR(10)&amp;"Quick follow-up: the "&amp;AF18&amp;" pitch at "&amp;AC18&amp;" is still free "&amp;AD18&amp;", "&amp;"£"&amp;IF(AG18=INT(AG18),TEXT(AG18,"0"),TEXT(AG18,"0.00"))&amp;" a player, "&amp;AB18&amp;" minutes from your office. Shall I hold it for "&amp;F18&amp;"?"&amp;CHAR(10)&amp;CHAR(10)&amp;"Best,"&amp;CHAR(10)&amp;IF(AQ18&lt;&gt;"",AQ18,Offer!$D$8)&amp;CHAR(10)&amp;"FC Urban")</f>
        <v/>
      </c>
      <c r="AN18" s="15" t="inlineStr">
        <is>
          <t>pass</t>
        </is>
      </c>
      <c r="AO18" s="15" t="inlineStr">
        <is>
          <t>MX ok · mailbox not verified</t>
        </is>
      </c>
      <c r="AP18" s="18">
        <f>IF(AG18="","No – no confirmed London price per player",IF(AJ18="","No – no email",IF(AN18&lt;&gt;"pass","No – suppressed","Yes")))</f>
        <v/>
      </c>
      <c r="AR18" s="19" t="n"/>
      <c r="AS18" s="19" t="n"/>
    </row>
    <row r="19">
      <c r="A19" s="15" t="n">
        <v>17</v>
      </c>
      <c r="B19" s="15" t="n">
        <v>2</v>
      </c>
      <c r="C19" s="15" t="inlineStr">
        <is>
          <t>Marketing / agency</t>
        </is>
      </c>
      <c r="D19" s="15" t="inlineStr">
        <is>
          <t>E2</t>
        </is>
      </c>
      <c r="E19" s="15" t="inlineStr">
        <is>
          <t>Mother London Limited</t>
        </is>
      </c>
      <c r="F19" s="15" t="inlineStr">
        <is>
          <t>Mother London</t>
        </is>
      </c>
      <c r="G19" s="16" t="inlineStr">
        <is>
          <t>https://mother.com</t>
        </is>
      </c>
      <c r="H19" s="15" t="inlineStr">
        <is>
          <t>Not stated</t>
        </is>
      </c>
      <c r="I19" s="15" t="inlineStr">
        <is>
          <t>04983564</t>
        </is>
      </c>
      <c r="J19" s="16" t="inlineStr">
        <is>
          <t>Open</t>
        </is>
      </c>
      <c r="K19" s="15" t="inlineStr">
        <is>
          <t>Group</t>
        </is>
      </c>
      <c r="L19" s="15" t="inlineStr">
        <is>
          <t>03/12/2003</t>
        </is>
      </c>
      <c r="M19" s="15" t="inlineStr">
        <is>
          <t>Biscuit Building, 10 Redchurch Street, London</t>
        </is>
      </c>
      <c r="N19" s="15" t="inlineStr">
        <is>
          <t>E2 7DD</t>
        </is>
      </c>
      <c r="O19" s="15" t="inlineStr">
        <is>
          <t>No</t>
        </is>
      </c>
      <c r="P19" s="15" t="inlineStr">
        <is>
          <t>Home</t>
        </is>
      </c>
      <c r="Q19" s="15" t="inlineStr">
        <is>
          <t>Home Courses</t>
        </is>
      </c>
      <c r="R19" s="15" t="n"/>
      <c r="S19" s="15" t="inlineStr">
        <is>
          <t>hello@mother.com</t>
        </is>
      </c>
      <c r="T19" s="15" t="inlineStr">
        <is>
          <t>a/b named person via general inbox</t>
        </is>
      </c>
      <c r="U19" s="16" t="inlineStr">
        <is>
          <t>https://mother.com/contact/</t>
        </is>
      </c>
      <c r="X19" s="15" t="inlineStr">
        <is>
          <t>BISCUIT BUILDING, 10 REDCHURCH STREET</t>
        </is>
      </c>
      <c r="Y19" s="15" t="inlineStr">
        <is>
          <t>E2 7DD</t>
        </is>
      </c>
      <c r="Z19" s="15" t="inlineStr">
        <is>
          <t>Website (BISCUIT BUILDING, 10 REDCHURCH STREET)</t>
        </is>
      </c>
      <c r="AA19" s="15" t="inlineStr">
        <is>
          <t>Shoreditch Powerleague</t>
        </is>
      </c>
      <c r="AB19" s="15" t="n">
        <v>2</v>
      </c>
      <c r="AC19" s="15" t="inlineStr">
        <is>
          <t>Shoreditch Powerleague</t>
        </is>
      </c>
      <c r="AD19" s="15" t="inlineStr">
        <is>
          <t>Monday 28 September at 17:40</t>
        </is>
      </c>
      <c r="AE19" s="15" t="inlineStr">
        <is>
          <t>One-off</t>
        </is>
      </c>
      <c r="AF19" s="15" t="inlineStr">
        <is>
          <t>5-a-side</t>
        </is>
      </c>
      <c r="AG19" s="17">
        <f>IF(Offer!$D$5="","",Offer!$D$5)</f>
        <v/>
      </c>
      <c r="AH19" s="15" t="n"/>
      <c r="AI19" s="15" t="n"/>
      <c r="AJ19" s="18">
        <f>IF(V19&lt;&gt;"",V19,S19)</f>
        <v/>
      </c>
      <c r="AK19" s="18">
        <f>IF(AG19="","",AF19&amp;" football "&amp;AD19&amp;" · "&amp;AB19&amp;" min from your office")</f>
        <v/>
      </c>
      <c r="AL19" s="18">
        <f>IF(AG19="","","Hi "&amp;IF(P19&lt;&gt;"",P19,F19&amp;" team")&amp;","&amp;CHAR(10)&amp;CHAR(10)&amp;IF(AH19&lt;&gt;"","Saw that "&amp;F19&amp;" "&amp;AH19&amp;"."&amp;CHAR(10)&amp;CHAR(10),"")&amp;"I'm "&amp;IF(AQ19&lt;&gt;"",AQ19,Offer!$D$8)&amp;" from FC Urban. We run weekly after-work football for London teams. We have a "&amp;AF19&amp;" pitch at "&amp;AC19&amp;", a "&amp;AB19&amp;"-minute walk from your office on "&amp;IF(X19&lt;&gt;"",X19,Y19)&amp;", free "&amp;AD19&amp;". It's "&amp;"£"&amp;IF(AG19=INT(AG19),TEXT(AG19,"0"),TEXT(AG19,"0.00"))&amp;" a player: we book the pitch and handle sign-ups and payments, so someone just shares one link with the team."&amp;CHAR(10)&amp;CHAR(10)&amp;"Would your team be up for a weekly game? Happy to hold the slot for "&amp;F19&amp;" this week."&amp;CHAR(10)&amp;CHAR(10)&amp;"Best,"&amp;CHAR(10)&amp;IF(AQ19&lt;&gt;"",AQ19,Offer!$D$8)&amp;CHAR(10)&amp;"FC Urban")</f>
        <v/>
      </c>
      <c r="AM19" s="18">
        <f>IF(AG19="","","Hi "&amp;IF(P19&lt;&gt;"",P19,F19&amp;" team")&amp;","&amp;CHAR(10)&amp;CHAR(10)&amp;"Quick follow-up: the "&amp;AF19&amp;" pitch at "&amp;AC19&amp;" is still free "&amp;AD19&amp;", "&amp;"£"&amp;IF(AG19=INT(AG19),TEXT(AG19,"0"),TEXT(AG19,"0.00"))&amp;" a player, "&amp;AB19&amp;" minutes from your office. Shall I hold it for "&amp;F19&amp;"?"&amp;CHAR(10)&amp;CHAR(10)&amp;"Best,"&amp;CHAR(10)&amp;IF(AQ19&lt;&gt;"",AQ19,Offer!$D$8)&amp;CHAR(10)&amp;"FC Urban")</f>
        <v/>
      </c>
      <c r="AN19" s="15" t="inlineStr">
        <is>
          <t>pass</t>
        </is>
      </c>
      <c r="AO19" s="15" t="inlineStr">
        <is>
          <t>MX ok · mailbox not verified</t>
        </is>
      </c>
      <c r="AP19" s="18">
        <f>IF(AG19="","No – no confirmed London price per player",IF(AJ19="","No – no email",IF(AN19&lt;&gt;"pass","No – suppressed","Yes")))</f>
        <v/>
      </c>
      <c r="AR19" s="19" t="n"/>
      <c r="AS19" s="19" t="n"/>
    </row>
    <row r="20">
      <c r="A20" s="15" t="n">
        <v>18</v>
      </c>
      <c r="B20" s="15" t="n">
        <v>2</v>
      </c>
      <c r="C20" s="15" t="inlineStr">
        <is>
          <t>Tech / software</t>
        </is>
      </c>
      <c r="D20" s="15" t="inlineStr">
        <is>
          <t>N1</t>
        </is>
      </c>
      <c r="E20" s="15" t="inlineStr">
        <is>
          <t>Quant Network Ltd</t>
        </is>
      </c>
      <c r="F20" s="15" t="inlineStr">
        <is>
          <t>Quant Network</t>
        </is>
      </c>
      <c r="G20" s="16" t="inlineStr">
        <is>
          <t>https://www.quant.ai</t>
        </is>
      </c>
      <c r="H20" s="15" t="inlineStr">
        <is>
          <t>Not stated</t>
        </is>
      </c>
      <c r="I20" s="15" t="inlineStr">
        <is>
          <t>09798383</t>
        </is>
      </c>
      <c r="J20" s="16" t="inlineStr">
        <is>
          <t>Open</t>
        </is>
      </c>
      <c r="K20" s="15" t="inlineStr">
        <is>
          <t>Full</t>
        </is>
      </c>
      <c r="L20" s="15" t="inlineStr">
        <is>
          <t>28/09/2015</t>
        </is>
      </c>
      <c r="M20" s="15" t="inlineStr">
        <is>
          <t>20-22 Wenlock Road, London</t>
        </is>
      </c>
      <c r="N20" s="15" t="inlineStr">
        <is>
          <t>N1 7GU</t>
        </is>
      </c>
      <c r="O20" s="15" t="inlineStr">
        <is>
          <t>No</t>
        </is>
      </c>
      <c r="P20" s="15" t="inlineStr">
        <is>
          <t>Chetan</t>
        </is>
      </c>
      <c r="Q20" s="15" t="inlineStr">
        <is>
          <t>Chetan Dube</t>
        </is>
      </c>
      <c r="R20" s="15" t="inlineStr">
        <is>
          <t>CEO and Chairman</t>
        </is>
      </c>
      <c r="S20" s="15" t="inlineStr">
        <is>
          <t>technology@quant.ai</t>
        </is>
      </c>
      <c r="T20" s="15" t="inlineStr">
        <is>
          <t>a/b named person via general inbox</t>
        </is>
      </c>
      <c r="U20" s="16" t="inlineStr">
        <is>
          <t>https://www.quant.ai/en/contact</t>
        </is>
      </c>
      <c r="X20" s="15" t="n"/>
      <c r="Y20" s="15" t="inlineStr">
        <is>
          <t>N1 7GU</t>
        </is>
      </c>
      <c r="Z20" s="15" t="inlineStr">
        <is>
          <t>Website</t>
        </is>
      </c>
      <c r="AA20" s="15" t="inlineStr">
        <is>
          <t>Old St - Moreland Primary School</t>
        </is>
      </c>
      <c r="AB20" s="15" t="n">
        <v>6</v>
      </c>
      <c r="AC20" s="15" t="inlineStr">
        <is>
          <t>Old St - Moreland Primary School</t>
        </is>
      </c>
      <c r="AD20" s="15" t="inlineStr">
        <is>
          <t>Monday 12 October at 18:00</t>
        </is>
      </c>
      <c r="AE20" s="15" t="inlineStr">
        <is>
          <t>One-off</t>
        </is>
      </c>
      <c r="AF20" s="15" t="inlineStr">
        <is>
          <t>6-a-side</t>
        </is>
      </c>
      <c r="AG20" s="17">
        <f>IF(Offer!$D$5="","",Offer!$D$5)</f>
        <v/>
      </c>
      <c r="AH20" s="15" t="n"/>
      <c r="AI20" s="15" t="n"/>
      <c r="AJ20" s="18">
        <f>IF(V20&lt;&gt;"",V20,S20)</f>
        <v/>
      </c>
      <c r="AK20" s="18">
        <f>IF(AG20="","",AF20&amp;" football "&amp;AD20&amp;" · "&amp;AB20&amp;" min from your office")</f>
        <v/>
      </c>
      <c r="AL20" s="18">
        <f>IF(AG20="","","Hi "&amp;IF(P20&lt;&gt;"",P20,F20&amp;" team")&amp;","&amp;CHAR(10)&amp;CHAR(10)&amp;IF(AH20&lt;&gt;"","Saw that "&amp;F20&amp;" "&amp;AH20&amp;"."&amp;CHAR(10)&amp;CHAR(10),"")&amp;"I'm "&amp;IF(AQ20&lt;&gt;"",AQ20,Offer!$D$8)&amp;" from FC Urban. We run weekly after-work football for London teams. We have a "&amp;AF20&amp;" pitch at "&amp;AC20&amp;", a "&amp;AB20&amp;"-minute walk from your office on "&amp;IF(X20&lt;&gt;"",X20,Y20)&amp;", free "&amp;AD20&amp;". It's "&amp;"£"&amp;IF(AG20=INT(AG20),TEXT(AG20,"0"),TEXT(AG20,"0.00"))&amp;" a player: we book the pitch and handle sign-ups and payments, so someone just shares one link with the team."&amp;CHAR(10)&amp;CHAR(10)&amp;"Would your team be up for a weekly game? Happy to hold the slot for "&amp;F20&amp;" this week."&amp;CHAR(10)&amp;CHAR(10)&amp;"Best,"&amp;CHAR(10)&amp;IF(AQ20&lt;&gt;"",AQ20,Offer!$D$8)&amp;CHAR(10)&amp;"FC Urban")</f>
        <v/>
      </c>
      <c r="AM20" s="18">
        <f>IF(AG20="","","Hi "&amp;IF(P20&lt;&gt;"",P20,F20&amp;" team")&amp;","&amp;CHAR(10)&amp;CHAR(10)&amp;"Quick follow-up: the "&amp;AF20&amp;" pitch at "&amp;AC20&amp;" is still free "&amp;AD20&amp;", "&amp;"£"&amp;IF(AG20=INT(AG20),TEXT(AG20,"0"),TEXT(AG20,"0.00"))&amp;" a player, "&amp;AB20&amp;" minutes from your office. Shall I hold it for "&amp;F20&amp;"?"&amp;CHAR(10)&amp;CHAR(10)&amp;"Best,"&amp;CHAR(10)&amp;IF(AQ20&lt;&gt;"",AQ20,Offer!$D$8)&amp;CHAR(10)&amp;"FC Urban")</f>
        <v/>
      </c>
      <c r="AN20" s="15" t="inlineStr">
        <is>
          <t>pass</t>
        </is>
      </c>
      <c r="AO20" s="15" t="inlineStr">
        <is>
          <t>MX ok · mailbox not verified</t>
        </is>
      </c>
      <c r="AP20" s="18">
        <f>IF(AG20="","No – no confirmed London price per player",IF(AJ20="","No – no email",IF(AN20&lt;&gt;"pass","No – suppressed","Yes")))</f>
        <v/>
      </c>
      <c r="AR20" s="19" t="n"/>
      <c r="AS20" s="19" t="n"/>
    </row>
    <row r="21">
      <c r="A21" s="15" t="n">
        <v>19</v>
      </c>
      <c r="B21" s="15" t="n">
        <v>2</v>
      </c>
      <c r="C21" s="15" t="inlineStr">
        <is>
          <t>Professional services (LLP)</t>
        </is>
      </c>
      <c r="D21" s="15" t="inlineStr">
        <is>
          <t>EC2A</t>
        </is>
      </c>
      <c r="E21" s="15" t="inlineStr">
        <is>
          <t>Paloma II (Industrial) I LLP</t>
        </is>
      </c>
      <c r="F21" s="15" t="inlineStr">
        <is>
          <t>Paloma II I</t>
        </is>
      </c>
      <c r="G21" s="16" t="inlineStr">
        <is>
          <t>https://www.paloma.com</t>
        </is>
      </c>
      <c r="H21" s="15" t="inlineStr">
        <is>
          <t>Not stated</t>
        </is>
      </c>
      <c r="I21" s="15" t="inlineStr">
        <is>
          <t>OC423581</t>
        </is>
      </c>
      <c r="J21" s="16" t="inlineStr">
        <is>
          <t>Open</t>
        </is>
      </c>
      <c r="K21" s="15" t="inlineStr">
        <is>
          <t>Full</t>
        </is>
      </c>
      <c r="L21" s="15" t="inlineStr">
        <is>
          <t>31/07/2018</t>
        </is>
      </c>
      <c r="M21" s="15" t="inlineStr">
        <is>
          <t>Broadwalk House 5 Appold Street, Broadgate, London</t>
        </is>
      </c>
      <c r="N21" s="15" t="inlineStr">
        <is>
          <t>EC2A 2DA</t>
        </is>
      </c>
      <c r="O21" s="15" t="inlineStr">
        <is>
          <t>No</t>
        </is>
      </c>
      <c r="P21" s="15" t="inlineStr">
        <is>
          <t>Donald</t>
        </is>
      </c>
      <c r="Q21" s="15" t="inlineStr">
        <is>
          <t>Donald Sussman</t>
        </is>
      </c>
      <c r="R21" s="15" t="inlineStr">
        <is>
          <t>Founder</t>
        </is>
      </c>
      <c r="S21" s="15" t="inlineStr">
        <is>
          <t>info@paloma.com</t>
        </is>
      </c>
      <c r="T21" s="15" t="inlineStr">
        <is>
          <t>a/b named person via general inbox</t>
        </is>
      </c>
      <c r="U21" s="16" t="inlineStr">
        <is>
          <t>https://www.paloma.com/contact</t>
        </is>
      </c>
      <c r="X21" s="15" t="n"/>
      <c r="Y21" s="15" t="inlineStr">
        <is>
          <t>EC2A 2DA</t>
        </is>
      </c>
      <c r="Z21" s="15" t="inlineStr">
        <is>
          <t>Website</t>
        </is>
      </c>
      <c r="AA21" s="15" t="inlineStr">
        <is>
          <t>Shoreditch Powerleague</t>
        </is>
      </c>
      <c r="AB21" s="15" t="n">
        <v>7</v>
      </c>
      <c r="AC21" s="15" t="inlineStr">
        <is>
          <t>Shoreditch Powerleague</t>
        </is>
      </c>
      <c r="AD21" s="15" t="inlineStr">
        <is>
          <t>Monday 28 September at 17:40</t>
        </is>
      </c>
      <c r="AE21" s="15" t="inlineStr">
        <is>
          <t>One-off</t>
        </is>
      </c>
      <c r="AF21" s="15" t="inlineStr">
        <is>
          <t>5-a-side</t>
        </is>
      </c>
      <c r="AG21" s="17">
        <f>IF(Offer!$D$5="","",Offer!$D$5)</f>
        <v/>
      </c>
      <c r="AH21" s="15" t="n"/>
      <c r="AI21" s="15" t="n"/>
      <c r="AJ21" s="18">
        <f>IF(V21&lt;&gt;"",V21,S21)</f>
        <v/>
      </c>
      <c r="AK21" s="18">
        <f>IF(AG21="","",AF21&amp;" football "&amp;AD21&amp;" · "&amp;AB21&amp;" min from your office")</f>
        <v/>
      </c>
      <c r="AL21" s="18">
        <f>IF(AG21="","","Hi "&amp;IF(P21&lt;&gt;"",P21,F21&amp;" team")&amp;","&amp;CHAR(10)&amp;CHAR(10)&amp;IF(AH21&lt;&gt;"","Saw that "&amp;F21&amp;" "&amp;AH21&amp;"."&amp;CHAR(10)&amp;CHAR(10),"")&amp;"I'm "&amp;IF(AQ21&lt;&gt;"",AQ21,Offer!$D$8)&amp;" from FC Urban. We run weekly after-work football for London teams. We have a "&amp;AF21&amp;" pitch at "&amp;AC21&amp;", a "&amp;AB21&amp;"-minute walk from your office on "&amp;IF(X21&lt;&gt;"",X21,Y21)&amp;", free "&amp;AD21&amp;". It's "&amp;"£"&amp;IF(AG21=INT(AG21),TEXT(AG21,"0"),TEXT(AG21,"0.00"))&amp;" a player: we book the pitch and handle sign-ups and payments, so someone just shares one link with the team."&amp;CHAR(10)&amp;CHAR(10)&amp;"Would your team be up for a weekly game? Happy to hold the slot for "&amp;F21&amp;" this week."&amp;CHAR(10)&amp;CHAR(10)&amp;"Best,"&amp;CHAR(10)&amp;IF(AQ21&lt;&gt;"",AQ21,Offer!$D$8)&amp;CHAR(10)&amp;"FC Urban")</f>
        <v/>
      </c>
      <c r="AM21" s="18">
        <f>IF(AG21="","","Hi "&amp;IF(P21&lt;&gt;"",P21,F21&amp;" team")&amp;","&amp;CHAR(10)&amp;CHAR(10)&amp;"Quick follow-up: the "&amp;AF21&amp;" pitch at "&amp;AC21&amp;" is still free "&amp;AD21&amp;", "&amp;"£"&amp;IF(AG21=INT(AG21),TEXT(AG21,"0"),TEXT(AG21,"0.00"))&amp;" a player, "&amp;AB21&amp;" minutes from your office. Shall I hold it for "&amp;F21&amp;"?"&amp;CHAR(10)&amp;CHAR(10)&amp;"Best,"&amp;CHAR(10)&amp;IF(AQ21&lt;&gt;"",AQ21,Offer!$D$8)&amp;CHAR(10)&amp;"FC Urban")</f>
        <v/>
      </c>
      <c r="AN21" s="15" t="inlineStr">
        <is>
          <t>pass</t>
        </is>
      </c>
      <c r="AO21" s="15" t="inlineStr">
        <is>
          <t>MX ok · mailbox not verified</t>
        </is>
      </c>
      <c r="AP21" s="18">
        <f>IF(AG21="","No – no confirmed London price per player",IF(AJ21="","No – no email",IF(AN21&lt;&gt;"pass","No – suppressed","Yes")))</f>
        <v/>
      </c>
      <c r="AR21" s="19" t="n"/>
      <c r="AS21" s="19" t="n"/>
    </row>
    <row r="22">
      <c r="A22" s="15" t="n">
        <v>20</v>
      </c>
      <c r="B22" s="15" t="n">
        <v>2</v>
      </c>
      <c r="C22" s="15" t="inlineStr">
        <is>
          <t>Marketing / agency</t>
        </is>
      </c>
      <c r="D22" s="15" t="inlineStr">
        <is>
          <t>EC1V</t>
        </is>
      </c>
      <c r="E22" s="15" t="inlineStr">
        <is>
          <t>Turbine Studios Limited</t>
        </is>
      </c>
      <c r="F22" s="15" t="inlineStr">
        <is>
          <t>Turbine Studios</t>
        </is>
      </c>
      <c r="G22" s="16" t="inlineStr">
        <is>
          <t>https://turbinestudios.co.uk</t>
        </is>
      </c>
      <c r="H22" s="15" t="inlineStr">
        <is>
          <t>Not stated</t>
        </is>
      </c>
      <c r="I22" s="15" t="inlineStr">
        <is>
          <t>10994901</t>
        </is>
      </c>
      <c r="J22" s="16" t="inlineStr">
        <is>
          <t>Open</t>
        </is>
      </c>
      <c r="K22" s="15" t="inlineStr">
        <is>
          <t>Group</t>
        </is>
      </c>
      <c r="L22" s="15" t="inlineStr">
        <is>
          <t>04/10/2017</t>
        </is>
      </c>
      <c r="M22" s="15" t="inlineStr">
        <is>
          <t>9A Dallington Street, London</t>
        </is>
      </c>
      <c r="N22" s="15" t="inlineStr">
        <is>
          <t>EC1V 0BQ</t>
        </is>
      </c>
      <c r="O22" s="15" t="inlineStr">
        <is>
          <t>No</t>
        </is>
      </c>
      <c r="P22" s="15" t="inlineStr">
        <is>
          <t>Tracey</t>
        </is>
      </c>
      <c r="Q22" s="15" t="inlineStr">
        <is>
          <t>Tracey Scoffield</t>
        </is>
      </c>
      <c r="R22" s="15" t="inlineStr">
        <is>
          <t>Founder &amp; Exec Producer</t>
        </is>
      </c>
      <c r="S22" s="15" t="inlineStr">
        <is>
          <t>mail@turbinestudios.co.uk</t>
        </is>
      </c>
      <c r="T22" s="15" t="inlineStr">
        <is>
          <t>a/b named person via general inbox</t>
        </is>
      </c>
      <c r="U22" s="16" t="inlineStr">
        <is>
          <t>https://turbinestudios.co.uk/</t>
        </is>
      </c>
      <c r="X22" s="15" t="inlineStr">
        <is>
          <t>9A Dallington Street</t>
        </is>
      </c>
      <c r="Y22" s="15" t="inlineStr">
        <is>
          <t>EC1V 0BQ</t>
        </is>
      </c>
      <c r="Z22" s="15" t="inlineStr">
        <is>
          <t>Website (9A Dallington Street)</t>
        </is>
      </c>
      <c r="AA22" s="15" t="inlineStr">
        <is>
          <t>Old St - Moreland Primary School</t>
        </is>
      </c>
      <c r="AB22" s="15" t="n">
        <v>8</v>
      </c>
      <c r="AC22" s="15" t="inlineStr">
        <is>
          <t>Old St - Moreland Primary School</t>
        </is>
      </c>
      <c r="AD22" s="15" t="inlineStr">
        <is>
          <t>Monday 12 October at 18:00</t>
        </is>
      </c>
      <c r="AE22" s="15" t="inlineStr">
        <is>
          <t>One-off</t>
        </is>
      </c>
      <c r="AF22" s="15" t="inlineStr">
        <is>
          <t>6-a-side</t>
        </is>
      </c>
      <c r="AG22" s="17">
        <f>IF(Offer!$D$5="","",Offer!$D$5)</f>
        <v/>
      </c>
      <c r="AH22" s="15" t="n"/>
      <c r="AI22" s="15" t="n"/>
      <c r="AJ22" s="18">
        <f>IF(V22&lt;&gt;"",V22,S22)</f>
        <v/>
      </c>
      <c r="AK22" s="18">
        <f>IF(AG22="","",AF22&amp;" football "&amp;AD22&amp;" · "&amp;AB22&amp;" min from your office")</f>
        <v/>
      </c>
      <c r="AL22" s="18">
        <f>IF(AG22="","","Hi "&amp;IF(P22&lt;&gt;"",P22,F22&amp;" team")&amp;","&amp;CHAR(10)&amp;CHAR(10)&amp;IF(AH22&lt;&gt;"","Saw that "&amp;F22&amp;" "&amp;AH22&amp;"."&amp;CHAR(10)&amp;CHAR(10),"")&amp;"I'm "&amp;IF(AQ22&lt;&gt;"",AQ22,Offer!$D$8)&amp;" from FC Urban. We run weekly after-work football for London teams. We have a "&amp;AF22&amp;" pitch at "&amp;AC22&amp;", a "&amp;AB22&amp;"-minute walk from your office on "&amp;IF(X22&lt;&gt;"",X22,Y22)&amp;", free "&amp;AD22&amp;". It's "&amp;"£"&amp;IF(AG22=INT(AG22),TEXT(AG22,"0"),TEXT(AG22,"0.00"))&amp;" a player: we book the pitch and handle sign-ups and payments, so someone just shares one link with the team."&amp;CHAR(10)&amp;CHAR(10)&amp;"Would your team be up for a weekly game? Happy to hold the slot for "&amp;F22&amp;" this week."&amp;CHAR(10)&amp;CHAR(10)&amp;"Best,"&amp;CHAR(10)&amp;IF(AQ22&lt;&gt;"",AQ22,Offer!$D$8)&amp;CHAR(10)&amp;"FC Urban")</f>
        <v/>
      </c>
      <c r="AM22" s="18">
        <f>IF(AG22="","","Hi "&amp;IF(P22&lt;&gt;"",P22,F22&amp;" team")&amp;","&amp;CHAR(10)&amp;CHAR(10)&amp;"Quick follow-up: the "&amp;AF22&amp;" pitch at "&amp;AC22&amp;" is still free "&amp;AD22&amp;", "&amp;"£"&amp;IF(AG22=INT(AG22),TEXT(AG22,"0"),TEXT(AG22,"0.00"))&amp;" a player, "&amp;AB22&amp;" minutes from your office. Shall I hold it for "&amp;F22&amp;"?"&amp;CHAR(10)&amp;CHAR(10)&amp;"Best,"&amp;CHAR(10)&amp;IF(AQ22&lt;&gt;"",AQ22,Offer!$D$8)&amp;CHAR(10)&amp;"FC Urban")</f>
        <v/>
      </c>
      <c r="AN22" s="15" t="inlineStr">
        <is>
          <t>pass</t>
        </is>
      </c>
      <c r="AO22" s="15" t="inlineStr">
        <is>
          <t>MX ok · mailbox not verified</t>
        </is>
      </c>
      <c r="AP22" s="18">
        <f>IF(AG22="","No – no confirmed London price per player",IF(AJ22="","No – no email",IF(AN22&lt;&gt;"pass","No – suppressed","Yes")))</f>
        <v/>
      </c>
      <c r="AR22" s="19" t="n"/>
      <c r="AS22" s="19" t="n"/>
    </row>
    <row r="23">
      <c r="A23" s="15" t="n">
        <v>21</v>
      </c>
      <c r="B23" s="15" t="n">
        <v>2</v>
      </c>
      <c r="C23" s="15" t="inlineStr">
        <is>
          <t>Architecture</t>
        </is>
      </c>
      <c r="D23" s="15" t="inlineStr">
        <is>
          <t>N7</t>
        </is>
      </c>
      <c r="E23" s="15" t="inlineStr">
        <is>
          <t>Oribiotech Ltd</t>
        </is>
      </c>
      <c r="F23" s="15" t="inlineStr">
        <is>
          <t>Oribiotech</t>
        </is>
      </c>
      <c r="G23" s="16" t="inlineStr">
        <is>
          <t>https://oribiotech.com</t>
        </is>
      </c>
      <c r="H23" s="15" t="inlineStr">
        <is>
          <t>Not stated</t>
        </is>
      </c>
      <c r="I23" s="15" t="inlineStr">
        <is>
          <t>09757696</t>
        </is>
      </c>
      <c r="J23" s="16" t="inlineStr">
        <is>
          <t>Open</t>
        </is>
      </c>
      <c r="K23" s="15" t="inlineStr">
        <is>
          <t>Group</t>
        </is>
      </c>
      <c r="L23" s="15" t="inlineStr">
        <is>
          <t>02/09/2015</t>
        </is>
      </c>
      <c r="M23" s="15" t="inlineStr">
        <is>
          <t>Mayde, 5-10 Brandon Road, London</t>
        </is>
      </c>
      <c r="N23" s="15" t="inlineStr">
        <is>
          <t>N7 9AA</t>
        </is>
      </c>
      <c r="O23" s="15" t="inlineStr">
        <is>
          <t>No</t>
        </is>
      </c>
      <c r="P23" s="15" t="inlineStr">
        <is>
          <t>Nick</t>
        </is>
      </c>
      <c r="Q23" s="15" t="inlineStr">
        <is>
          <t>Nick Treuil</t>
        </is>
      </c>
      <c r="R23" s="15" t="inlineStr">
        <is>
          <t>Chief of Staff</t>
        </is>
      </c>
      <c r="S23" s="15" t="inlineStr">
        <is>
          <t>info@oribiotech.com</t>
        </is>
      </c>
      <c r="T23" s="15" t="inlineStr">
        <is>
          <t>a/b named person via general inbox</t>
        </is>
      </c>
      <c r="U23" s="16" t="inlineStr">
        <is>
          <t>https://oribiotech.com/about/careers</t>
        </is>
      </c>
      <c r="X23" s="15" t="n"/>
      <c r="Y23" s="15" t="inlineStr">
        <is>
          <t>N7 9AA</t>
        </is>
      </c>
      <c r="Z23" s="15" t="inlineStr">
        <is>
          <t>Website</t>
        </is>
      </c>
      <c r="AA23" s="15" t="inlineStr">
        <is>
          <t>Market Road</t>
        </is>
      </c>
      <c r="AB23" s="15" t="n">
        <v>9</v>
      </c>
      <c r="AC23" s="15" t="inlineStr">
        <is>
          <t>Market Road</t>
        </is>
      </c>
      <c r="AD23" s="15" t="inlineStr">
        <is>
          <t>Monday 28 September at 18:00</t>
        </is>
      </c>
      <c r="AE23" s="15" t="inlineStr">
        <is>
          <t>One-off</t>
        </is>
      </c>
      <c r="AF23" s="15" t="inlineStr">
        <is>
          <t>5-a-side</t>
        </is>
      </c>
      <c r="AG23" s="17">
        <f>IF(Offer!$D$5="","",Offer!$D$5)</f>
        <v/>
      </c>
      <c r="AH23" s="15" t="n"/>
      <c r="AI23" s="15" t="n"/>
      <c r="AJ23" s="18">
        <f>IF(V23&lt;&gt;"",V23,S23)</f>
        <v/>
      </c>
      <c r="AK23" s="18">
        <f>IF(AG23="","",AF23&amp;" football "&amp;AD23&amp;" · "&amp;AB23&amp;" min from your office")</f>
        <v/>
      </c>
      <c r="AL23" s="18">
        <f>IF(AG23="","","Hi "&amp;IF(P23&lt;&gt;"",P23,F23&amp;" team")&amp;","&amp;CHAR(10)&amp;CHAR(10)&amp;IF(AH23&lt;&gt;"","Saw that "&amp;F23&amp;" "&amp;AH23&amp;"."&amp;CHAR(10)&amp;CHAR(10),"")&amp;"I'm "&amp;IF(AQ23&lt;&gt;"",AQ23,Offer!$D$8)&amp;" from FC Urban. We run weekly after-work football for London teams. We have a "&amp;AF23&amp;" pitch at "&amp;AC23&amp;", a "&amp;AB23&amp;"-minute walk from your office on "&amp;IF(X23&lt;&gt;"",X23,Y23)&amp;", free "&amp;AD23&amp;". It's "&amp;"£"&amp;IF(AG23=INT(AG23),TEXT(AG23,"0"),TEXT(AG23,"0.00"))&amp;" a player: we book the pitch and handle sign-ups and payments, so someone just shares one link with the team."&amp;CHAR(10)&amp;CHAR(10)&amp;"Would your team be up for a weekly game? Happy to hold the slot for "&amp;F23&amp;" this week."&amp;CHAR(10)&amp;CHAR(10)&amp;"Best,"&amp;CHAR(10)&amp;IF(AQ23&lt;&gt;"",AQ23,Offer!$D$8)&amp;CHAR(10)&amp;"FC Urban")</f>
        <v/>
      </c>
      <c r="AM23" s="18">
        <f>IF(AG23="","","Hi "&amp;IF(P23&lt;&gt;"",P23,F23&amp;" team")&amp;","&amp;CHAR(10)&amp;CHAR(10)&amp;"Quick follow-up: the "&amp;AF23&amp;" pitch at "&amp;AC23&amp;" is still free "&amp;AD23&amp;", "&amp;"£"&amp;IF(AG23=INT(AG23),TEXT(AG23,"0"),TEXT(AG23,"0.00"))&amp;" a player, "&amp;AB23&amp;" minutes from your office. Shall I hold it for "&amp;F23&amp;"?"&amp;CHAR(10)&amp;CHAR(10)&amp;"Best,"&amp;CHAR(10)&amp;IF(AQ23&lt;&gt;"",AQ23,Offer!$D$8)&amp;CHAR(10)&amp;"FC Urban")</f>
        <v/>
      </c>
      <c r="AN23" s="15" t="inlineStr">
        <is>
          <t>pass</t>
        </is>
      </c>
      <c r="AO23" s="15" t="inlineStr">
        <is>
          <t>MX ok · mailbox not verified</t>
        </is>
      </c>
      <c r="AP23" s="18">
        <f>IF(AG23="","No – no confirmed London price per player",IF(AJ23="","No – no email",IF(AN23&lt;&gt;"pass","No – suppressed","Yes")))</f>
        <v/>
      </c>
      <c r="AR23" s="19" t="n"/>
      <c r="AS23" s="19" t="n"/>
    </row>
    <row r="24">
      <c r="A24" s="15" t="n">
        <v>22</v>
      </c>
      <c r="B24" s="15" t="n">
        <v>2</v>
      </c>
      <c r="C24" s="15" t="inlineStr">
        <is>
          <t>Recruitment</t>
        </is>
      </c>
      <c r="D24" s="15" t="inlineStr">
        <is>
          <t>EC2A</t>
        </is>
      </c>
      <c r="E24" s="15" t="inlineStr">
        <is>
          <t>Simply Education Limited</t>
        </is>
      </c>
      <c r="F24" s="15" t="inlineStr">
        <is>
          <t>Simply Education</t>
        </is>
      </c>
      <c r="G24" s="16" t="inlineStr">
        <is>
          <t>https://simplyeducation.co.uk</t>
        </is>
      </c>
      <c r="H24" s="15" t="inlineStr">
        <is>
          <t>Not stated</t>
        </is>
      </c>
      <c r="I24" s="15" t="inlineStr">
        <is>
          <t>05532608</t>
        </is>
      </c>
      <c r="J24" s="16" t="inlineStr">
        <is>
          <t>Open</t>
        </is>
      </c>
      <c r="K24" s="15" t="inlineStr">
        <is>
          <t>Full</t>
        </is>
      </c>
      <c r="L24" s="15" t="inlineStr">
        <is>
          <t>10/08/2005</t>
        </is>
      </c>
      <c r="M24" s="15" t="inlineStr">
        <is>
          <t>66 Paul Street, London</t>
        </is>
      </c>
      <c r="N24" s="15" t="inlineStr">
        <is>
          <t>EC2A 4NA</t>
        </is>
      </c>
      <c r="O24" s="15" t="inlineStr">
        <is>
          <t>No</t>
        </is>
      </c>
      <c r="P24" s="15" t="inlineStr">
        <is>
          <t>Hollie</t>
        </is>
      </c>
      <c r="Q24" s="15" t="inlineStr">
        <is>
          <t>Hollie Murtagh</t>
        </is>
      </c>
      <c r="R24" s="15" t="inlineStr">
        <is>
          <t>Managing Director</t>
        </is>
      </c>
      <c r="S24" s="15" t="inlineStr">
        <is>
          <t>info@simplyeducation.co.uk</t>
        </is>
      </c>
      <c r="T24" s="15" t="inlineStr">
        <is>
          <t>a/b named person via general inbox</t>
        </is>
      </c>
      <c r="U24" s="16" t="inlineStr">
        <is>
          <t>https://simplyeducation.co.uk/</t>
        </is>
      </c>
      <c r="X24" s="15" t="inlineStr">
        <is>
          <t>66 Paul Street</t>
        </is>
      </c>
      <c r="Y24" s="15" t="inlineStr">
        <is>
          <t>EC2A 4NA</t>
        </is>
      </c>
      <c r="Z24" s="15" t="inlineStr">
        <is>
          <t>Website (66 Paul Street)</t>
        </is>
      </c>
      <c r="AA24" s="15" t="inlineStr">
        <is>
          <t>Shoreditch Powerleague</t>
        </is>
      </c>
      <c r="AB24" s="15" t="n">
        <v>10</v>
      </c>
      <c r="AC24" s="15" t="inlineStr">
        <is>
          <t>Shoreditch Powerleague</t>
        </is>
      </c>
      <c r="AD24" s="15" t="inlineStr">
        <is>
          <t>Monday 28 September at 17:40</t>
        </is>
      </c>
      <c r="AE24" s="15" t="inlineStr">
        <is>
          <t>One-off</t>
        </is>
      </c>
      <c r="AF24" s="15" t="inlineStr">
        <is>
          <t>5-a-side</t>
        </is>
      </c>
      <c r="AG24" s="17">
        <f>IF(Offer!$D$5="","",Offer!$D$5)</f>
        <v/>
      </c>
      <c r="AH24" s="15" t="n"/>
      <c r="AI24" s="15" t="n"/>
      <c r="AJ24" s="18">
        <f>IF(V24&lt;&gt;"",V24,S24)</f>
        <v/>
      </c>
      <c r="AK24" s="18">
        <f>IF(AG24="","",AF24&amp;" football "&amp;AD24&amp;" · "&amp;AB24&amp;" min from your office")</f>
        <v/>
      </c>
      <c r="AL24" s="18">
        <f>IF(AG24="","","Hi "&amp;IF(P24&lt;&gt;"",P24,F24&amp;" team")&amp;","&amp;CHAR(10)&amp;CHAR(10)&amp;IF(AH24&lt;&gt;"","Saw that "&amp;F24&amp;" "&amp;AH24&amp;"."&amp;CHAR(10)&amp;CHAR(10),"")&amp;"I'm "&amp;IF(AQ24&lt;&gt;"",AQ24,Offer!$D$8)&amp;" from FC Urban. We run weekly after-work football for London teams. We have a "&amp;AF24&amp;" pitch at "&amp;AC24&amp;", a "&amp;AB24&amp;"-minute walk from your office on "&amp;IF(X24&lt;&gt;"",X24,Y24)&amp;", free "&amp;AD24&amp;". It's "&amp;"£"&amp;IF(AG24=INT(AG24),TEXT(AG24,"0"),TEXT(AG24,"0.00"))&amp;" a player: we book the pitch and handle sign-ups and payments, so someone just shares one link with the team."&amp;CHAR(10)&amp;CHAR(10)&amp;"Would your team be up for a weekly game? Happy to hold the slot for "&amp;F24&amp;" this week."&amp;CHAR(10)&amp;CHAR(10)&amp;"Best,"&amp;CHAR(10)&amp;IF(AQ24&lt;&gt;"",AQ24,Offer!$D$8)&amp;CHAR(10)&amp;"FC Urban")</f>
        <v/>
      </c>
      <c r="AM24" s="18">
        <f>IF(AG24="","","Hi "&amp;IF(P24&lt;&gt;"",P24,F24&amp;" team")&amp;","&amp;CHAR(10)&amp;CHAR(10)&amp;"Quick follow-up: the "&amp;AF24&amp;" pitch at "&amp;AC24&amp;" is still free "&amp;AD24&amp;", "&amp;"£"&amp;IF(AG24=INT(AG24),TEXT(AG24,"0"),TEXT(AG24,"0.00"))&amp;" a player, "&amp;AB24&amp;" minutes from your office. Shall I hold it for "&amp;F24&amp;"?"&amp;CHAR(10)&amp;CHAR(10)&amp;"Best,"&amp;CHAR(10)&amp;IF(AQ24&lt;&gt;"",AQ24,Offer!$D$8)&amp;CHAR(10)&amp;"FC Urban")</f>
        <v/>
      </c>
      <c r="AN24" s="15" t="inlineStr">
        <is>
          <t>pass</t>
        </is>
      </c>
      <c r="AO24" s="15" t="inlineStr">
        <is>
          <t>MX ok · mailbox not verified</t>
        </is>
      </c>
      <c r="AP24" s="18">
        <f>IF(AG24="","No – no confirmed London price per player",IF(AJ24="","No – no email",IF(AN24&lt;&gt;"pass","No – suppressed","Yes")))</f>
        <v/>
      </c>
      <c r="AR24" s="19" t="n"/>
      <c r="AS24" s="19" t="n"/>
    </row>
    <row r="25">
      <c r="A25" s="15" t="n">
        <v>23</v>
      </c>
      <c r="B25" s="15" t="n">
        <v>2</v>
      </c>
      <c r="C25" s="15" t="inlineStr">
        <is>
          <t>Tech / software</t>
        </is>
      </c>
      <c r="D25" s="15" t="inlineStr">
        <is>
          <t>EC2A</t>
        </is>
      </c>
      <c r="E25" s="15" t="inlineStr">
        <is>
          <t>Ecodriver Ltd</t>
        </is>
      </c>
      <c r="F25" s="15" t="inlineStr">
        <is>
          <t>Ecodriver</t>
        </is>
      </c>
      <c r="G25" s="16" t="inlineStr">
        <is>
          <t>https://ecodriver.co.uk</t>
        </is>
      </c>
      <c r="H25" s="15" t="inlineStr">
        <is>
          <t>Not stated</t>
        </is>
      </c>
      <c r="I25" s="15" t="inlineStr">
        <is>
          <t>05258662</t>
        </is>
      </c>
      <c r="J25" s="16" t="inlineStr">
        <is>
          <t>Open</t>
        </is>
      </c>
      <c r="K25" s="15" t="inlineStr">
        <is>
          <t>Full</t>
        </is>
      </c>
      <c r="L25" s="15" t="inlineStr">
        <is>
          <t>13/10/2004</t>
        </is>
      </c>
      <c r="M25" s="15" t="inlineStr">
        <is>
          <t>10 Bonhill Street, London</t>
        </is>
      </c>
      <c r="N25" s="15" t="inlineStr">
        <is>
          <t>EC2A 4PE</t>
        </is>
      </c>
      <c r="O25" s="15" t="inlineStr">
        <is>
          <t>No</t>
        </is>
      </c>
      <c r="P25" s="15" t="inlineStr">
        <is>
          <t>Jamie</t>
        </is>
      </c>
      <c r="Q25" s="15" t="inlineStr">
        <is>
          <t>Jamie Finnan</t>
        </is>
      </c>
      <c r="R25" s="15" t="inlineStr">
        <is>
          <t>Managing Director</t>
        </is>
      </c>
      <c r="S25" s="15" t="inlineStr">
        <is>
          <t>info@ecodriver.co.uk</t>
        </is>
      </c>
      <c r="T25" s="15" t="inlineStr">
        <is>
          <t>a/b named person via general inbox</t>
        </is>
      </c>
      <c r="U25" s="16" t="inlineStr">
        <is>
          <t>https://ecodriver.co.uk/</t>
        </is>
      </c>
      <c r="X25" s="15" t="inlineStr">
        <is>
          <t>10 Bonhill Street</t>
        </is>
      </c>
      <c r="Y25" s="15" t="inlineStr">
        <is>
          <t>EC2A 4PE</t>
        </is>
      </c>
      <c r="Z25" s="15" t="inlineStr">
        <is>
          <t>Website (10 Bonhill Street)</t>
        </is>
      </c>
      <c r="AA25" s="15" t="inlineStr">
        <is>
          <t>Shoreditch Powerleague</t>
        </is>
      </c>
      <c r="AB25" s="15" t="n">
        <v>10</v>
      </c>
      <c r="AC25" s="15" t="inlineStr">
        <is>
          <t>Shoreditch Powerleague</t>
        </is>
      </c>
      <c r="AD25" s="15" t="inlineStr">
        <is>
          <t>Monday 28 September at 17:40</t>
        </is>
      </c>
      <c r="AE25" s="15" t="inlineStr">
        <is>
          <t>One-off</t>
        </is>
      </c>
      <c r="AF25" s="15" t="inlineStr">
        <is>
          <t>5-a-side</t>
        </is>
      </c>
      <c r="AG25" s="17">
        <f>IF(Offer!$D$5="","",Offer!$D$5)</f>
        <v/>
      </c>
      <c r="AH25" s="15" t="n"/>
      <c r="AI25" s="15" t="n"/>
      <c r="AJ25" s="18">
        <f>IF(V25&lt;&gt;"",V25,S25)</f>
        <v/>
      </c>
      <c r="AK25" s="18">
        <f>IF(AG25="","",AF25&amp;" football "&amp;AD25&amp;" · "&amp;AB25&amp;" min from your office")</f>
        <v/>
      </c>
      <c r="AL25" s="18">
        <f>IF(AG25="","","Hi "&amp;IF(P25&lt;&gt;"",P25,F25&amp;" team")&amp;","&amp;CHAR(10)&amp;CHAR(10)&amp;IF(AH25&lt;&gt;"","Saw that "&amp;F25&amp;" "&amp;AH25&amp;"."&amp;CHAR(10)&amp;CHAR(10),"")&amp;"I'm "&amp;IF(AQ25&lt;&gt;"",AQ25,Offer!$D$8)&amp;" from FC Urban. We run weekly after-work football for London teams. We have a "&amp;AF25&amp;" pitch at "&amp;AC25&amp;", a "&amp;AB25&amp;"-minute walk from your office on "&amp;IF(X25&lt;&gt;"",X25,Y25)&amp;", free "&amp;AD25&amp;". It's "&amp;"£"&amp;IF(AG25=INT(AG25),TEXT(AG25,"0"),TEXT(AG25,"0.00"))&amp;" a player: we book the pitch and handle sign-ups and payments, so someone just shares one link with the team."&amp;CHAR(10)&amp;CHAR(10)&amp;"Would your team be up for a weekly game? Happy to hold the slot for "&amp;F25&amp;" this week."&amp;CHAR(10)&amp;CHAR(10)&amp;"Best,"&amp;CHAR(10)&amp;IF(AQ25&lt;&gt;"",AQ25,Offer!$D$8)&amp;CHAR(10)&amp;"FC Urban")</f>
        <v/>
      </c>
      <c r="AM25" s="18">
        <f>IF(AG25="","","Hi "&amp;IF(P25&lt;&gt;"",P25,F25&amp;" team")&amp;","&amp;CHAR(10)&amp;CHAR(10)&amp;"Quick follow-up: the "&amp;AF25&amp;" pitch at "&amp;AC25&amp;" is still free "&amp;AD25&amp;", "&amp;"£"&amp;IF(AG25=INT(AG25),TEXT(AG25,"0"),TEXT(AG25,"0.00"))&amp;" a player, "&amp;AB25&amp;" minutes from your office. Shall I hold it for "&amp;F25&amp;"?"&amp;CHAR(10)&amp;CHAR(10)&amp;"Best,"&amp;CHAR(10)&amp;IF(AQ25&lt;&gt;"",AQ25,Offer!$D$8)&amp;CHAR(10)&amp;"FC Urban")</f>
        <v/>
      </c>
      <c r="AN25" s="15" t="inlineStr">
        <is>
          <t>pass</t>
        </is>
      </c>
      <c r="AO25" s="15" t="inlineStr">
        <is>
          <t>MX ok · mailbox not verified</t>
        </is>
      </c>
      <c r="AP25" s="18">
        <f>IF(AG25="","No – no confirmed London price per player",IF(AJ25="","No – no email",IF(AN25&lt;&gt;"pass","No – suppressed","Yes")))</f>
        <v/>
      </c>
      <c r="AR25" s="19" t="n"/>
      <c r="AS25" s="19" t="n"/>
    </row>
    <row r="26">
      <c r="A26" s="15" t="n">
        <v>24</v>
      </c>
      <c r="B26" s="15" t="n">
        <v>2</v>
      </c>
      <c r="C26" s="15" t="inlineStr">
        <is>
          <t>Tech / software</t>
        </is>
      </c>
      <c r="D26" s="15" t="inlineStr">
        <is>
          <t>N1</t>
        </is>
      </c>
      <c r="E26" s="15" t="inlineStr">
        <is>
          <t>Human Made Machine Limited</t>
        </is>
      </c>
      <c r="F26" s="15" t="inlineStr">
        <is>
          <t>Human Made Machine</t>
        </is>
      </c>
      <c r="G26" s="16" t="inlineStr">
        <is>
          <t>https://www.humanmademachine.com</t>
        </is>
      </c>
      <c r="H26" s="15" t="inlineStr">
        <is>
          <t>Not stated</t>
        </is>
      </c>
      <c r="I26" s="15" t="inlineStr">
        <is>
          <t>09338935</t>
        </is>
      </c>
      <c r="J26" s="16" t="inlineStr">
        <is>
          <t>Open</t>
        </is>
      </c>
      <c r="K26" s="15" t="inlineStr">
        <is>
          <t>Group</t>
        </is>
      </c>
      <c r="L26" s="15" t="inlineStr">
        <is>
          <t>03/12/2014</t>
        </is>
      </c>
      <c r="M26" s="15" t="inlineStr">
        <is>
          <t>2-4 Hoxton Square, London</t>
        </is>
      </c>
      <c r="N26" s="15" t="inlineStr">
        <is>
          <t>N1 6NU</t>
        </is>
      </c>
      <c r="O26" s="15" t="inlineStr">
        <is>
          <t>No</t>
        </is>
      </c>
      <c r="P26" s="15" t="inlineStr">
        <is>
          <t>Sabrina</t>
        </is>
      </c>
      <c r="Q26" s="15" t="inlineStr">
        <is>
          <t>Sabrina Talma</t>
        </is>
      </c>
      <c r="R26" s="15" t="inlineStr">
        <is>
          <t>Founder / Chief Executive Officer</t>
        </is>
      </c>
      <c r="S26" s="15" t="inlineStr">
        <is>
          <t>talkto@humanmademachine.com</t>
        </is>
      </c>
      <c r="T26" s="15" t="inlineStr">
        <is>
          <t>a/b named person via general inbox</t>
        </is>
      </c>
      <c r="U26" s="16" t="inlineStr">
        <is>
          <t>https://www.humanmademachine.com/contact</t>
        </is>
      </c>
      <c r="X26" s="15" t="inlineStr">
        <is>
          <t>Unit 6, 2-4 Hoxton Square</t>
        </is>
      </c>
      <c r="Y26" s="15" t="inlineStr">
        <is>
          <t>N1 6NU</t>
        </is>
      </c>
      <c r="Z26" s="15" t="inlineStr">
        <is>
          <t>Website (Unit 6, 2-4 Hoxton Square)</t>
        </is>
      </c>
      <c r="AA26" s="15" t="inlineStr">
        <is>
          <t>Shoreditch Powerleague</t>
        </is>
      </c>
      <c r="AB26" s="15" t="n">
        <v>11</v>
      </c>
      <c r="AC26" s="15" t="inlineStr">
        <is>
          <t>Shoreditch Powerleague</t>
        </is>
      </c>
      <c r="AD26" s="15" t="inlineStr">
        <is>
          <t>Monday 28 September at 17:40</t>
        </is>
      </c>
      <c r="AE26" s="15" t="inlineStr">
        <is>
          <t>One-off</t>
        </is>
      </c>
      <c r="AF26" s="15" t="inlineStr">
        <is>
          <t>5-a-side</t>
        </is>
      </c>
      <c r="AG26" s="17">
        <f>IF(Offer!$D$5="","",Offer!$D$5)</f>
        <v/>
      </c>
      <c r="AH26" s="15" t="n"/>
      <c r="AI26" s="15" t="n"/>
      <c r="AJ26" s="18">
        <f>IF(V26&lt;&gt;"",V26,S26)</f>
        <v/>
      </c>
      <c r="AK26" s="18">
        <f>IF(AG26="","",AF26&amp;" football "&amp;AD26&amp;" · "&amp;AB26&amp;" min from your office")</f>
        <v/>
      </c>
      <c r="AL26" s="18">
        <f>IF(AG26="","","Hi "&amp;IF(P26&lt;&gt;"",P26,F26&amp;" team")&amp;","&amp;CHAR(10)&amp;CHAR(10)&amp;IF(AH26&lt;&gt;"","Saw that "&amp;F26&amp;" "&amp;AH26&amp;"."&amp;CHAR(10)&amp;CHAR(10),"")&amp;"I'm "&amp;IF(AQ26&lt;&gt;"",AQ26,Offer!$D$8)&amp;" from FC Urban. We run weekly after-work football for London teams. We have a "&amp;AF26&amp;" pitch at "&amp;AC26&amp;", a "&amp;AB26&amp;"-minute walk from your office on "&amp;IF(X26&lt;&gt;"",X26,Y26)&amp;", free "&amp;AD26&amp;". It's "&amp;"£"&amp;IF(AG26=INT(AG26),TEXT(AG26,"0"),TEXT(AG26,"0.00"))&amp;" a player: we book the pitch and handle sign-ups and payments, so someone just shares one link with the team."&amp;CHAR(10)&amp;CHAR(10)&amp;"Would your team be up for a weekly game? Happy to hold the slot for "&amp;F26&amp;" this week."&amp;CHAR(10)&amp;CHAR(10)&amp;"Best,"&amp;CHAR(10)&amp;IF(AQ26&lt;&gt;"",AQ26,Offer!$D$8)&amp;CHAR(10)&amp;"FC Urban")</f>
        <v/>
      </c>
      <c r="AM26" s="18">
        <f>IF(AG26="","","Hi "&amp;IF(P26&lt;&gt;"",P26,F26&amp;" team")&amp;","&amp;CHAR(10)&amp;CHAR(10)&amp;"Quick follow-up: the "&amp;AF26&amp;" pitch at "&amp;AC26&amp;" is still free "&amp;AD26&amp;", "&amp;"£"&amp;IF(AG26=INT(AG26),TEXT(AG26,"0"),TEXT(AG26,"0.00"))&amp;" a player, "&amp;AB26&amp;" minutes from your office. Shall I hold it for "&amp;F26&amp;"?"&amp;CHAR(10)&amp;CHAR(10)&amp;"Best,"&amp;CHAR(10)&amp;IF(AQ26&lt;&gt;"",AQ26,Offer!$D$8)&amp;CHAR(10)&amp;"FC Urban")</f>
        <v/>
      </c>
      <c r="AN26" s="15" t="inlineStr">
        <is>
          <t>pass</t>
        </is>
      </c>
      <c r="AO26" s="15" t="inlineStr">
        <is>
          <t>MX ok · mailbox not verified</t>
        </is>
      </c>
      <c r="AP26" s="18">
        <f>IF(AG26="","No – no confirmed London price per player",IF(AJ26="","No – no email",IF(AN26&lt;&gt;"pass","No – suppressed","Yes")))</f>
        <v/>
      </c>
      <c r="AR26" s="19" t="n"/>
      <c r="AS26" s="19" t="n"/>
    </row>
    <row r="27">
      <c r="A27" s="15" t="n">
        <v>25</v>
      </c>
      <c r="B27" s="15" t="n">
        <v>2</v>
      </c>
      <c r="C27" s="15" t="inlineStr">
        <is>
          <t>Marketing / agency</t>
        </is>
      </c>
      <c r="D27" s="15" t="inlineStr">
        <is>
          <t>EC1V</t>
        </is>
      </c>
      <c r="E27" s="15" t="inlineStr">
        <is>
          <t>Artiq Limited</t>
        </is>
      </c>
      <c r="F27" s="15" t="inlineStr">
        <is>
          <t>Artiq</t>
        </is>
      </c>
      <c r="G27" s="16" t="inlineStr">
        <is>
          <t>https://artiq.co</t>
        </is>
      </c>
      <c r="H27" s="15" t="n">
        <v>40</v>
      </c>
      <c r="I27" s="15" t="inlineStr">
        <is>
          <t>07080437</t>
        </is>
      </c>
      <c r="J27" s="16" t="inlineStr">
        <is>
          <t>Open</t>
        </is>
      </c>
      <c r="K27" s="15" t="inlineStr">
        <is>
          <t>Group</t>
        </is>
      </c>
      <c r="L27" s="15" t="inlineStr">
        <is>
          <t>18/11/2009</t>
        </is>
      </c>
      <c r="M27" s="15" t="inlineStr">
        <is>
          <t>1St Floor, 23-25 Great Sutton Street, London</t>
        </is>
      </c>
      <c r="N27" s="15" t="inlineStr">
        <is>
          <t>EC1V 0DN</t>
        </is>
      </c>
      <c r="O27" s="15" t="inlineStr">
        <is>
          <t>No</t>
        </is>
      </c>
      <c r="P27" s="15" t="inlineStr">
        <is>
          <t>Patrick</t>
        </is>
      </c>
      <c r="Q27" s="15" t="inlineStr">
        <is>
          <t>Patrick McCrae</t>
        </is>
      </c>
      <c r="R27" s="15" t="inlineStr">
        <is>
          <t>CEO</t>
        </is>
      </c>
      <c r="S27" s="15" t="inlineStr">
        <is>
          <t>hello@artiq.co</t>
        </is>
      </c>
      <c r="T27" s="15" t="inlineStr">
        <is>
          <t>a/b named person via general inbox</t>
        </is>
      </c>
      <c r="U27" s="16" t="inlineStr">
        <is>
          <t>https://artiq.co/</t>
        </is>
      </c>
      <c r="X27" s="15" t="inlineStr">
        <is>
          <t>1st Floor, 23-25 Great Sutton Street</t>
        </is>
      </c>
      <c r="Y27" s="15" t="inlineStr">
        <is>
          <t>EC1V 0DN</t>
        </is>
      </c>
      <c r="Z27" s="15" t="inlineStr">
        <is>
          <t>Website (1st Floor, 23-25 Great Sutton Street)</t>
        </is>
      </c>
      <c r="AA27" s="15" t="inlineStr">
        <is>
          <t>Old St - Moreland Primary School</t>
        </is>
      </c>
      <c r="AB27" s="15" t="n">
        <v>11</v>
      </c>
      <c r="AC27" s="15" t="inlineStr">
        <is>
          <t>Old St - Moreland Primary School</t>
        </is>
      </c>
      <c r="AD27" s="15" t="inlineStr">
        <is>
          <t>Monday 12 October at 18:00</t>
        </is>
      </c>
      <c r="AE27" s="15" t="inlineStr">
        <is>
          <t>One-off</t>
        </is>
      </c>
      <c r="AF27" s="15" t="inlineStr">
        <is>
          <t>6-a-side</t>
        </is>
      </c>
      <c r="AG27" s="17">
        <f>IF(Offer!$D$5="","",Offer!$D$5)</f>
        <v/>
      </c>
      <c r="AH27" s="15" t="n"/>
      <c r="AI27" s="15" t="n"/>
      <c r="AJ27" s="18">
        <f>IF(V27&lt;&gt;"",V27,S27)</f>
        <v/>
      </c>
      <c r="AK27" s="18">
        <f>IF(AG27="","",AF27&amp;" football "&amp;AD27&amp;" · "&amp;AB27&amp;" min from your office")</f>
        <v/>
      </c>
      <c r="AL27" s="18">
        <f>IF(AG27="","","Hi "&amp;IF(P27&lt;&gt;"",P27,F27&amp;" team")&amp;","&amp;CHAR(10)&amp;CHAR(10)&amp;IF(AH27&lt;&gt;"","Saw that "&amp;F27&amp;" "&amp;AH27&amp;"."&amp;CHAR(10)&amp;CHAR(10),"")&amp;"I'm "&amp;IF(AQ27&lt;&gt;"",AQ27,Offer!$D$8)&amp;" from FC Urban. We run weekly after-work football for London teams. We have a "&amp;AF27&amp;" pitch at "&amp;AC27&amp;", a "&amp;AB27&amp;"-minute walk from your office on "&amp;IF(X27&lt;&gt;"",X27,Y27)&amp;", free "&amp;AD27&amp;". It's "&amp;"£"&amp;IF(AG27=INT(AG27),TEXT(AG27,"0"),TEXT(AG27,"0.00"))&amp;" a player: we book the pitch and handle sign-ups and payments, so someone just shares one link with the team."&amp;CHAR(10)&amp;CHAR(10)&amp;"Would your team be up for a weekly game? Happy to hold the slot for "&amp;F27&amp;" this week."&amp;CHAR(10)&amp;CHAR(10)&amp;"Best,"&amp;CHAR(10)&amp;IF(AQ27&lt;&gt;"",AQ27,Offer!$D$8)&amp;CHAR(10)&amp;"FC Urban")</f>
        <v/>
      </c>
      <c r="AM27" s="18">
        <f>IF(AG27="","","Hi "&amp;IF(P27&lt;&gt;"",P27,F27&amp;" team")&amp;","&amp;CHAR(10)&amp;CHAR(10)&amp;"Quick follow-up: the "&amp;AF27&amp;" pitch at "&amp;AC27&amp;" is still free "&amp;AD27&amp;", "&amp;"£"&amp;IF(AG27=INT(AG27),TEXT(AG27,"0"),TEXT(AG27,"0.00"))&amp;" a player, "&amp;AB27&amp;" minutes from your office. Shall I hold it for "&amp;F27&amp;"?"&amp;CHAR(10)&amp;CHAR(10)&amp;"Best,"&amp;CHAR(10)&amp;IF(AQ27&lt;&gt;"",AQ27,Offer!$D$8)&amp;CHAR(10)&amp;"FC Urban")</f>
        <v/>
      </c>
      <c r="AN27" s="15" t="inlineStr">
        <is>
          <t>pass</t>
        </is>
      </c>
      <c r="AO27" s="15" t="inlineStr">
        <is>
          <t>MX ok · mailbox not verified</t>
        </is>
      </c>
      <c r="AP27" s="18">
        <f>IF(AG27="","No – no confirmed London price per player",IF(AJ27="","No – no email",IF(AN27&lt;&gt;"pass","No – suppressed","Yes")))</f>
        <v/>
      </c>
      <c r="AR27" s="19" t="n"/>
      <c r="AS27" s="19" t="n"/>
    </row>
    <row r="28">
      <c r="A28" s="15" t="n">
        <v>26</v>
      </c>
      <c r="B28" s="15" t="n">
        <v>2</v>
      </c>
      <c r="C28" s="15" t="inlineStr">
        <is>
          <t>Professional services (LLP)</t>
        </is>
      </c>
      <c r="D28" s="15" t="inlineStr">
        <is>
          <t>EC1V</t>
        </is>
      </c>
      <c r="E28" s="15" t="inlineStr">
        <is>
          <t>Creditex Brokerage LLP</t>
        </is>
      </c>
      <c r="F28" s="15" t="inlineStr">
        <is>
          <t>Creditex Brokerage</t>
        </is>
      </c>
      <c r="G28" s="16" t="inlineStr">
        <is>
          <t>https://creditexbrokeragellp.com</t>
        </is>
      </c>
      <c r="H28" s="15" t="n">
        <v>25</v>
      </c>
      <c r="I28" s="15" t="inlineStr">
        <is>
          <t>OC315800</t>
        </is>
      </c>
      <c r="J28" s="16" t="inlineStr">
        <is>
          <t>Open</t>
        </is>
      </c>
      <c r="K28" s="15" t="inlineStr">
        <is>
          <t>Full</t>
        </is>
      </c>
      <c r="L28" s="15" t="inlineStr">
        <is>
          <t>25/10/2005</t>
        </is>
      </c>
      <c r="M28" s="15" t="inlineStr">
        <is>
          <t>2Nd Floor, Sancroft Rose Street, Paternoster Square, London</t>
        </is>
      </c>
      <c r="N28" s="15" t="inlineStr">
        <is>
          <t>EC4M 7DQ</t>
        </is>
      </c>
      <c r="O28" s="15" t="inlineStr">
        <is>
          <t>No</t>
        </is>
      </c>
      <c r="P28" s="15" t="inlineStr">
        <is>
          <t>Emma</t>
        </is>
      </c>
      <c r="Q28" s="15" t="inlineStr">
        <is>
          <t>Emma Schneider</t>
        </is>
      </c>
      <c r="R28" s="15" t="inlineStr">
        <is>
          <t>PARTNER | UK &amp; EUROPE</t>
        </is>
      </c>
      <c r="S28" s="15" t="inlineStr">
        <is>
          <t>contact@creditexbrokeragellp.com</t>
        </is>
      </c>
      <c r="T28" s="15" t="inlineStr">
        <is>
          <t>a/b named person via general inbox</t>
        </is>
      </c>
      <c r="U28" s="16" t="inlineStr">
        <is>
          <t>https://creditexbrokeragellp.com/</t>
        </is>
      </c>
      <c r="X28" s="15" t="inlineStr">
        <is>
          <t>Kemp House, 160 City Road</t>
        </is>
      </c>
      <c r="Y28" s="15" t="inlineStr">
        <is>
          <t>EC1V 2NX</t>
        </is>
      </c>
      <c r="Z28" s="15" t="inlineStr">
        <is>
          <t>Website (Kemp House, 160 City Road)</t>
        </is>
      </c>
      <c r="AA28" s="15" t="inlineStr">
        <is>
          <t>Old St - Moreland Primary School</t>
        </is>
      </c>
      <c r="AB28" s="15" t="n">
        <v>11</v>
      </c>
      <c r="AC28" s="15" t="inlineStr">
        <is>
          <t>Old St - Moreland Primary School</t>
        </is>
      </c>
      <c r="AD28" s="15" t="inlineStr">
        <is>
          <t>Monday 12 October at 18:00</t>
        </is>
      </c>
      <c r="AE28" s="15" t="inlineStr">
        <is>
          <t>One-off</t>
        </is>
      </c>
      <c r="AF28" s="15" t="inlineStr">
        <is>
          <t>6-a-side</t>
        </is>
      </c>
      <c r="AG28" s="17">
        <f>IF(Offer!$D$5="","",Offer!$D$5)</f>
        <v/>
      </c>
      <c r="AH28" s="15" t="inlineStr">
        <is>
          <t>office at Kemp House, 160 City Road</t>
        </is>
      </c>
      <c r="AI28" s="16" t="inlineStr">
        <is>
          <t>https://creditexbrokeragellp.com/about/</t>
        </is>
      </c>
      <c r="AJ28" s="18">
        <f>IF(V28&lt;&gt;"",V28,S28)</f>
        <v/>
      </c>
      <c r="AK28" s="18">
        <f>IF(AG28="","",AF28&amp;" football "&amp;AD28&amp;" · "&amp;AB28&amp;" min from your office")</f>
        <v/>
      </c>
      <c r="AL28" s="18">
        <f>IF(AG28="","","Hi "&amp;IF(P28&lt;&gt;"",P28,F28&amp;" team")&amp;","&amp;CHAR(10)&amp;CHAR(10)&amp;IF(AH28&lt;&gt;"","Saw that "&amp;F28&amp;" "&amp;AH28&amp;"."&amp;CHAR(10)&amp;CHAR(10),"")&amp;"I'm "&amp;IF(AQ28&lt;&gt;"",AQ28,Offer!$D$8)&amp;" from FC Urban. We run weekly after-work football for London teams. We have a "&amp;AF28&amp;" pitch at "&amp;AC28&amp;", a "&amp;AB28&amp;"-minute walk from your office on "&amp;IF(X28&lt;&gt;"",X28,Y28)&amp;", free "&amp;AD28&amp;". It's "&amp;"£"&amp;IF(AG28=INT(AG28),TEXT(AG28,"0"),TEXT(AG28,"0.00"))&amp;" a player: we book the pitch and handle sign-ups and payments, so someone just shares one link with the team."&amp;CHAR(10)&amp;CHAR(10)&amp;"Would your team be up for a weekly game? Happy to hold the slot for "&amp;F28&amp;" this week."&amp;CHAR(10)&amp;CHAR(10)&amp;"Best,"&amp;CHAR(10)&amp;IF(AQ28&lt;&gt;"",AQ28,Offer!$D$8)&amp;CHAR(10)&amp;"FC Urban")</f>
        <v/>
      </c>
      <c r="AM28" s="18">
        <f>IF(AG28="","","Hi "&amp;IF(P28&lt;&gt;"",P28,F28&amp;" team")&amp;","&amp;CHAR(10)&amp;CHAR(10)&amp;"Quick follow-up: the "&amp;AF28&amp;" pitch at "&amp;AC28&amp;" is still free "&amp;AD28&amp;", "&amp;"£"&amp;IF(AG28=INT(AG28),TEXT(AG28,"0"),TEXT(AG28,"0.00"))&amp;" a player, "&amp;AB28&amp;" minutes from your office. Shall I hold it for "&amp;F28&amp;"?"&amp;CHAR(10)&amp;CHAR(10)&amp;"Best,"&amp;CHAR(10)&amp;IF(AQ28&lt;&gt;"",AQ28,Offer!$D$8)&amp;CHAR(10)&amp;"FC Urban")</f>
        <v/>
      </c>
      <c r="AN28" s="15" t="inlineStr">
        <is>
          <t>pass</t>
        </is>
      </c>
      <c r="AO28" s="15" t="inlineStr">
        <is>
          <t>MX ok · mailbox not verified</t>
        </is>
      </c>
      <c r="AP28" s="18">
        <f>IF(AG28="","No – no confirmed London price per player",IF(AJ28="","No – no email",IF(AN28&lt;&gt;"pass","No – suppressed","Yes")))</f>
        <v/>
      </c>
      <c r="AR28" s="19" t="n"/>
      <c r="AS28" s="19" t="n"/>
    </row>
    <row r="29">
      <c r="A29" s="15" t="n">
        <v>27</v>
      </c>
      <c r="B29" s="15" t="n">
        <v>2</v>
      </c>
      <c r="C29" s="15" t="inlineStr">
        <is>
          <t>Tech / software</t>
        </is>
      </c>
      <c r="D29" s="15" t="inlineStr">
        <is>
          <t>EC2A</t>
        </is>
      </c>
      <c r="E29" s="15" t="inlineStr">
        <is>
          <t>Osf Digital UK Ltd</t>
        </is>
      </c>
      <c r="F29" s="15" t="inlineStr">
        <is>
          <t>Osf Digital</t>
        </is>
      </c>
      <c r="G29" s="16" t="inlineStr">
        <is>
          <t>https://osf.digital</t>
        </is>
      </c>
      <c r="H29" s="15" t="inlineStr">
        <is>
          <t>Not stated</t>
        </is>
      </c>
      <c r="I29" s="15" t="inlineStr">
        <is>
          <t>03844574</t>
        </is>
      </c>
      <c r="J29" s="16" t="inlineStr">
        <is>
          <t>Open</t>
        </is>
      </c>
      <c r="K29" s="15" t="inlineStr">
        <is>
          <t>Full</t>
        </is>
      </c>
      <c r="L29" s="15" t="inlineStr">
        <is>
          <t>20/09/1999</t>
        </is>
      </c>
      <c r="M29" s="15" t="inlineStr">
        <is>
          <t>First Floor, 28-30 Worship Street, London</t>
        </is>
      </c>
      <c r="N29" s="15" t="inlineStr">
        <is>
          <t>EC2A 2AH</t>
        </is>
      </c>
      <c r="O29" s="15" t="inlineStr">
        <is>
          <t>No</t>
        </is>
      </c>
      <c r="P29" s="15" t="inlineStr">
        <is>
          <t>David</t>
        </is>
      </c>
      <c r="Q29" s="15" t="inlineStr">
        <is>
          <t>David Northington</t>
        </is>
      </c>
      <c r="R29" s="15" t="inlineStr">
        <is>
          <t>CEO</t>
        </is>
      </c>
      <c r="S29" s="15" t="inlineStr">
        <is>
          <t>request@osf.digital</t>
        </is>
      </c>
      <c r="T29" s="15" t="inlineStr">
        <is>
          <t>a/b named person via general inbox</t>
        </is>
      </c>
      <c r="U29" s="16" t="inlineStr">
        <is>
          <t>https://osf.digital/</t>
        </is>
      </c>
      <c r="X29" s="15" t="inlineStr">
        <is>
          <t>Sixth Floor, 28-30 Worship Street</t>
        </is>
      </c>
      <c r="Y29" s="15" t="inlineStr">
        <is>
          <t>EC2A 2AH</t>
        </is>
      </c>
      <c r="Z29" s="15" t="inlineStr">
        <is>
          <t>Website (Sixth Floor, 28-30 Worship Street)</t>
        </is>
      </c>
      <c r="AA29" s="15" t="inlineStr">
        <is>
          <t>Shoreditch Powerleague</t>
        </is>
      </c>
      <c r="AB29" s="15" t="n">
        <v>11</v>
      </c>
      <c r="AC29" s="15" t="inlineStr">
        <is>
          <t>Shoreditch Powerleague</t>
        </is>
      </c>
      <c r="AD29" s="15" t="inlineStr">
        <is>
          <t>Monday 28 September at 17:40</t>
        </is>
      </c>
      <c r="AE29" s="15" t="inlineStr">
        <is>
          <t>One-off</t>
        </is>
      </c>
      <c r="AF29" s="15" t="inlineStr">
        <is>
          <t>5-a-side</t>
        </is>
      </c>
      <c r="AG29" s="17">
        <f>IF(Offer!$D$5="","",Offer!$D$5)</f>
        <v/>
      </c>
      <c r="AH29" s="15" t="n"/>
      <c r="AI29" s="15" t="n"/>
      <c r="AJ29" s="18">
        <f>IF(V29&lt;&gt;"",V29,S29)</f>
        <v/>
      </c>
      <c r="AK29" s="18">
        <f>IF(AG29="","",AF29&amp;" football "&amp;AD29&amp;" · "&amp;AB29&amp;" min from your office")</f>
        <v/>
      </c>
      <c r="AL29" s="18">
        <f>IF(AG29="","","Hi "&amp;IF(P29&lt;&gt;"",P29,F29&amp;" team")&amp;","&amp;CHAR(10)&amp;CHAR(10)&amp;IF(AH29&lt;&gt;"","Saw that "&amp;F29&amp;" "&amp;AH29&amp;"."&amp;CHAR(10)&amp;CHAR(10),"")&amp;"I'm "&amp;IF(AQ29&lt;&gt;"",AQ29,Offer!$D$8)&amp;" from FC Urban. We run weekly after-work football for London teams. We have a "&amp;AF29&amp;" pitch at "&amp;AC29&amp;", a "&amp;AB29&amp;"-minute walk from your office on "&amp;IF(X29&lt;&gt;"",X29,Y29)&amp;", free "&amp;AD29&amp;". It's "&amp;"£"&amp;IF(AG29=INT(AG29),TEXT(AG29,"0"),TEXT(AG29,"0.00"))&amp;" a player: we book the pitch and handle sign-ups and payments, so someone just shares one link with the team."&amp;CHAR(10)&amp;CHAR(10)&amp;"Would your team be up for a weekly game? Happy to hold the slot for "&amp;F29&amp;" this week."&amp;CHAR(10)&amp;CHAR(10)&amp;"Best,"&amp;CHAR(10)&amp;IF(AQ29&lt;&gt;"",AQ29,Offer!$D$8)&amp;CHAR(10)&amp;"FC Urban")</f>
        <v/>
      </c>
      <c r="AM29" s="18">
        <f>IF(AG29="","","Hi "&amp;IF(P29&lt;&gt;"",P29,F29&amp;" team")&amp;","&amp;CHAR(10)&amp;CHAR(10)&amp;"Quick follow-up: the "&amp;AF29&amp;" pitch at "&amp;AC29&amp;" is still free "&amp;AD29&amp;", "&amp;"£"&amp;IF(AG29=INT(AG29),TEXT(AG29,"0"),TEXT(AG29,"0.00"))&amp;" a player, "&amp;AB29&amp;" minutes from your office. Shall I hold it for "&amp;F29&amp;"?"&amp;CHAR(10)&amp;CHAR(10)&amp;"Best,"&amp;CHAR(10)&amp;IF(AQ29&lt;&gt;"",AQ29,Offer!$D$8)&amp;CHAR(10)&amp;"FC Urban")</f>
        <v/>
      </c>
      <c r="AN29" s="15" t="inlineStr">
        <is>
          <t>pass</t>
        </is>
      </c>
      <c r="AO29" s="15" t="inlineStr">
        <is>
          <t>MX ok · mailbox not verified</t>
        </is>
      </c>
      <c r="AP29" s="18">
        <f>IF(AG29="","No – no confirmed London price per player",IF(AJ29="","No – no email",IF(AN29&lt;&gt;"pass","No – suppressed","Yes")))</f>
        <v/>
      </c>
      <c r="AR29" s="19" t="n"/>
      <c r="AS29" s="19" t="n"/>
    </row>
    <row r="30">
      <c r="A30" s="15" t="n">
        <v>28</v>
      </c>
      <c r="B30" s="15" t="n">
        <v>2</v>
      </c>
      <c r="C30" s="15" t="inlineStr">
        <is>
          <t>Marketing / agency</t>
        </is>
      </c>
      <c r="D30" s="15" t="inlineStr">
        <is>
          <t>N1</t>
        </is>
      </c>
      <c r="E30" s="15" t="inlineStr">
        <is>
          <t>Windfall Films Limited</t>
        </is>
      </c>
      <c r="F30" s="15" t="inlineStr">
        <is>
          <t>Windfall Films</t>
        </is>
      </c>
      <c r="G30" s="16" t="inlineStr">
        <is>
          <t>https://windfallfilms.com</t>
        </is>
      </c>
      <c r="H30" s="15" t="n">
        <v>20</v>
      </c>
      <c r="I30" s="15" t="inlineStr">
        <is>
          <t>02205891</t>
        </is>
      </c>
      <c r="J30" s="16" t="inlineStr">
        <is>
          <t>Open</t>
        </is>
      </c>
      <c r="K30" s="15" t="inlineStr">
        <is>
          <t>Full</t>
        </is>
      </c>
      <c r="L30" s="15" t="inlineStr">
        <is>
          <t>16/12/1987</t>
        </is>
      </c>
      <c r="M30" s="15" t="inlineStr">
        <is>
          <t>1-3 St. Peter'S Street, London</t>
        </is>
      </c>
      <c r="N30" s="15" t="inlineStr">
        <is>
          <t>N1 8JD</t>
        </is>
      </c>
      <c r="O30" s="15" t="inlineStr">
        <is>
          <t>No</t>
        </is>
      </c>
      <c r="P30" s="15" t="inlineStr">
        <is>
          <t>Carlo</t>
        </is>
      </c>
      <c r="Q30" s="15" t="inlineStr">
        <is>
          <t>Carlo Massarella</t>
        </is>
      </c>
      <c r="R30" s="15" t="inlineStr">
        <is>
          <t>Chief Executive Officer</t>
        </is>
      </c>
      <c r="S30" s="15" t="inlineStr">
        <is>
          <t>enquiries@windfallfilms.com</t>
        </is>
      </c>
      <c r="T30" s="15" t="inlineStr">
        <is>
          <t>a/b named person via general inbox</t>
        </is>
      </c>
      <c r="U30" s="16" t="inlineStr">
        <is>
          <t>https://windfallfilms.com/contact</t>
        </is>
      </c>
      <c r="X30" s="15" t="inlineStr">
        <is>
          <t>1-3 St. Peter's Street</t>
        </is>
      </c>
      <c r="Y30" s="15" t="inlineStr">
        <is>
          <t>N1 8JD</t>
        </is>
      </c>
      <c r="Z30" s="15" t="inlineStr">
        <is>
          <t>Website (1-3 St. Peter's Street)</t>
        </is>
      </c>
      <c r="AA30" s="15" t="inlineStr">
        <is>
          <t>Old St - Moreland Primary School</t>
        </is>
      </c>
      <c r="AB30" s="15" t="n">
        <v>13</v>
      </c>
      <c r="AC30" s="15" t="inlineStr">
        <is>
          <t>Old St - Moreland Primary School</t>
        </is>
      </c>
      <c r="AD30" s="15" t="inlineStr">
        <is>
          <t>Monday 12 October at 18:00</t>
        </is>
      </c>
      <c r="AE30" s="15" t="inlineStr">
        <is>
          <t>One-off</t>
        </is>
      </c>
      <c r="AF30" s="15" t="inlineStr">
        <is>
          <t>6-a-side</t>
        </is>
      </c>
      <c r="AG30" s="17">
        <f>IF(Offer!$D$5="","",Offer!$D$5)</f>
        <v/>
      </c>
      <c r="AH30" s="15" t="n"/>
      <c r="AI30" s="15" t="n"/>
      <c r="AJ30" s="18">
        <f>IF(V30&lt;&gt;"",V30,S30)</f>
        <v/>
      </c>
      <c r="AK30" s="18">
        <f>IF(AG30="","",AF30&amp;" football "&amp;AD30&amp;" · "&amp;AB30&amp;" min from your office")</f>
        <v/>
      </c>
      <c r="AL30" s="18">
        <f>IF(AG30="","","Hi "&amp;IF(P30&lt;&gt;"",P30,F30&amp;" team")&amp;","&amp;CHAR(10)&amp;CHAR(10)&amp;IF(AH30&lt;&gt;"","Saw that "&amp;F30&amp;" "&amp;AH30&amp;"."&amp;CHAR(10)&amp;CHAR(10),"")&amp;"I'm "&amp;IF(AQ30&lt;&gt;"",AQ30,Offer!$D$8)&amp;" from FC Urban. We run weekly after-work football for London teams. We have a "&amp;AF30&amp;" pitch at "&amp;AC30&amp;", a "&amp;AB30&amp;"-minute walk from your office on "&amp;IF(X30&lt;&gt;"",X30,Y30)&amp;", free "&amp;AD30&amp;". It's "&amp;"£"&amp;IF(AG30=INT(AG30),TEXT(AG30,"0"),TEXT(AG30,"0.00"))&amp;" a player: we book the pitch and handle sign-ups and payments, so someone just shares one link with the team."&amp;CHAR(10)&amp;CHAR(10)&amp;"Would your team be up for a weekly game? Happy to hold the slot for "&amp;F30&amp;" this week."&amp;CHAR(10)&amp;CHAR(10)&amp;"Best,"&amp;CHAR(10)&amp;IF(AQ30&lt;&gt;"",AQ30,Offer!$D$8)&amp;CHAR(10)&amp;"FC Urban")</f>
        <v/>
      </c>
      <c r="AM30" s="18">
        <f>IF(AG30="","","Hi "&amp;IF(P30&lt;&gt;"",P30,F30&amp;" team")&amp;","&amp;CHAR(10)&amp;CHAR(10)&amp;"Quick follow-up: the "&amp;AF30&amp;" pitch at "&amp;AC30&amp;" is still free "&amp;AD30&amp;", "&amp;"£"&amp;IF(AG30=INT(AG30),TEXT(AG30,"0"),TEXT(AG30,"0.00"))&amp;" a player, "&amp;AB30&amp;" minutes from your office. Shall I hold it for "&amp;F30&amp;"?"&amp;CHAR(10)&amp;CHAR(10)&amp;"Best,"&amp;CHAR(10)&amp;IF(AQ30&lt;&gt;"",AQ30,Offer!$D$8)&amp;CHAR(10)&amp;"FC Urban")</f>
        <v/>
      </c>
      <c r="AN30" s="15" t="inlineStr">
        <is>
          <t>pass</t>
        </is>
      </c>
      <c r="AO30" s="15" t="inlineStr">
        <is>
          <t>MX ok · mailbox not verified</t>
        </is>
      </c>
      <c r="AP30" s="18">
        <f>IF(AG30="","No – no confirmed London price per player",IF(AJ30="","No – no email",IF(AN30&lt;&gt;"pass","No – suppressed","Yes")))</f>
        <v/>
      </c>
      <c r="AR30" s="19" t="n"/>
      <c r="AS30" s="19" t="n"/>
    </row>
    <row r="31">
      <c r="A31" s="15" t="n">
        <v>29</v>
      </c>
      <c r="B31" s="15" t="n">
        <v>2</v>
      </c>
      <c r="C31" s="15" t="inlineStr">
        <is>
          <t>Marketing / agency</t>
        </is>
      </c>
      <c r="D31" s="15" t="inlineStr">
        <is>
          <t>EC1R</t>
        </is>
      </c>
      <c r="E31" s="15" t="inlineStr">
        <is>
          <t>72 Films Limited</t>
        </is>
      </c>
      <c r="F31" s="15" t="inlineStr">
        <is>
          <t>72 Films</t>
        </is>
      </c>
      <c r="G31" s="16" t="inlineStr">
        <is>
          <t>https://72films.com</t>
        </is>
      </c>
      <c r="H31" s="15" t="n">
        <v>24</v>
      </c>
      <c r="I31" s="15" t="inlineStr">
        <is>
          <t>10075517</t>
        </is>
      </c>
      <c r="J31" s="16" t="inlineStr">
        <is>
          <t>Open</t>
        </is>
      </c>
      <c r="K31" s="15" t="inlineStr">
        <is>
          <t>Group</t>
        </is>
      </c>
      <c r="L31" s="15" t="inlineStr">
        <is>
          <t>21/03/2016</t>
        </is>
      </c>
      <c r="M31" s="15" t="inlineStr">
        <is>
          <t>1St Floor, No.1, Amwell Street, London</t>
        </is>
      </c>
      <c r="N31" s="15" t="inlineStr">
        <is>
          <t>EC1R 1UL</t>
        </is>
      </c>
      <c r="O31" s="15" t="inlineStr">
        <is>
          <t>No</t>
        </is>
      </c>
      <c r="P31" s="15" t="inlineStr">
        <is>
          <t>David</t>
        </is>
      </c>
      <c r="Q31" s="15" t="inlineStr">
        <is>
          <t>David Glover</t>
        </is>
      </c>
      <c r="R31" s="15" t="inlineStr">
        <is>
          <t>Founder/CEO</t>
        </is>
      </c>
      <c r="S31" s="15" t="inlineStr">
        <is>
          <t>info@72films.com</t>
        </is>
      </c>
      <c r="T31" s="15" t="inlineStr">
        <is>
          <t>a/b named person via general inbox</t>
        </is>
      </c>
      <c r="U31" s="16" t="inlineStr">
        <is>
          <t>https://72films.com/contact/</t>
        </is>
      </c>
      <c r="X31" s="15" t="inlineStr">
        <is>
          <t>1st Floor, 1 Amwell Street</t>
        </is>
      </c>
      <c r="Y31" s="15" t="inlineStr">
        <is>
          <t>EC1R 1UL</t>
        </is>
      </c>
      <c r="Z31" s="15" t="inlineStr">
        <is>
          <t>Website (1st Floor, 1 Amwell Street)</t>
        </is>
      </c>
      <c r="AA31" s="15" t="inlineStr">
        <is>
          <t>Old St - Moreland Primary School</t>
        </is>
      </c>
      <c r="AB31" s="15" t="n">
        <v>13</v>
      </c>
      <c r="AC31" s="15" t="inlineStr">
        <is>
          <t>Old St - Moreland Primary School</t>
        </is>
      </c>
      <c r="AD31" s="15" t="inlineStr">
        <is>
          <t>Monday 12 October at 18:00</t>
        </is>
      </c>
      <c r="AE31" s="15" t="inlineStr">
        <is>
          <t>One-off</t>
        </is>
      </c>
      <c r="AF31" s="15" t="inlineStr">
        <is>
          <t>6-a-side</t>
        </is>
      </c>
      <c r="AG31" s="17">
        <f>IF(Offer!$D$5="","",Offer!$D$5)</f>
        <v/>
      </c>
      <c r="AH31" s="15" t="n"/>
      <c r="AI31" s="15" t="n"/>
      <c r="AJ31" s="18">
        <f>IF(V31&lt;&gt;"",V31,S31)</f>
        <v/>
      </c>
      <c r="AK31" s="18">
        <f>IF(AG31="","",AF31&amp;" football "&amp;AD31&amp;" · "&amp;AB31&amp;" min from your office")</f>
        <v/>
      </c>
      <c r="AL31" s="18">
        <f>IF(AG31="","","Hi "&amp;IF(P31&lt;&gt;"",P31,F31&amp;" team")&amp;","&amp;CHAR(10)&amp;CHAR(10)&amp;IF(AH31&lt;&gt;"","Saw that "&amp;F31&amp;" "&amp;AH31&amp;"."&amp;CHAR(10)&amp;CHAR(10),"")&amp;"I'm "&amp;IF(AQ31&lt;&gt;"",AQ31,Offer!$D$8)&amp;" from FC Urban. We run weekly after-work football for London teams. We have a "&amp;AF31&amp;" pitch at "&amp;AC31&amp;", a "&amp;AB31&amp;"-minute walk from your office on "&amp;IF(X31&lt;&gt;"",X31,Y31)&amp;", free "&amp;AD31&amp;". It's "&amp;"£"&amp;IF(AG31=INT(AG31),TEXT(AG31,"0"),TEXT(AG31,"0.00"))&amp;" a player: we book the pitch and handle sign-ups and payments, so someone just shares one link with the team."&amp;CHAR(10)&amp;CHAR(10)&amp;"Would your team be up for a weekly game? Happy to hold the slot for "&amp;F31&amp;" this week."&amp;CHAR(10)&amp;CHAR(10)&amp;"Best,"&amp;CHAR(10)&amp;IF(AQ31&lt;&gt;"",AQ31,Offer!$D$8)&amp;CHAR(10)&amp;"FC Urban")</f>
        <v/>
      </c>
      <c r="AM31" s="18">
        <f>IF(AG31="","","Hi "&amp;IF(P31&lt;&gt;"",P31,F31&amp;" team")&amp;","&amp;CHAR(10)&amp;CHAR(10)&amp;"Quick follow-up: the "&amp;AF31&amp;" pitch at "&amp;AC31&amp;" is still free "&amp;AD31&amp;", "&amp;"£"&amp;IF(AG31=INT(AG31),TEXT(AG31,"0"),TEXT(AG31,"0.00"))&amp;" a player, "&amp;AB31&amp;" minutes from your office. Shall I hold it for "&amp;F31&amp;"?"&amp;CHAR(10)&amp;CHAR(10)&amp;"Best,"&amp;CHAR(10)&amp;IF(AQ31&lt;&gt;"",AQ31,Offer!$D$8)&amp;CHAR(10)&amp;"FC Urban")</f>
        <v/>
      </c>
      <c r="AN31" s="15" t="inlineStr">
        <is>
          <t>pass</t>
        </is>
      </c>
      <c r="AO31" s="15" t="inlineStr">
        <is>
          <t>MX ok · mailbox not verified</t>
        </is>
      </c>
      <c r="AP31" s="18">
        <f>IF(AG31="","No – no confirmed London price per player",IF(AJ31="","No – no email",IF(AN31&lt;&gt;"pass","No – suppressed","Yes")))</f>
        <v/>
      </c>
      <c r="AR31" s="19" t="n"/>
      <c r="AS31" s="19" t="n"/>
    </row>
    <row r="32">
      <c r="A32" s="15" t="n">
        <v>30</v>
      </c>
      <c r="B32" s="15" t="n">
        <v>2</v>
      </c>
      <c r="C32" s="15" t="inlineStr">
        <is>
          <t>Tech / software</t>
        </is>
      </c>
      <c r="D32" s="15" t="inlineStr">
        <is>
          <t>E2</t>
        </is>
      </c>
      <c r="E32" s="15" t="inlineStr">
        <is>
          <t>Testingxperts Limited</t>
        </is>
      </c>
      <c r="F32" s="15" t="inlineStr">
        <is>
          <t>Testingxperts</t>
        </is>
      </c>
      <c r="G32" s="16" t="inlineStr">
        <is>
          <t>https://www.testingxperts.com</t>
        </is>
      </c>
      <c r="H32" s="15" t="inlineStr">
        <is>
          <t>Not stated</t>
        </is>
      </c>
      <c r="I32" s="15" t="inlineStr">
        <is>
          <t>10491678</t>
        </is>
      </c>
      <c r="J32" s="16" t="inlineStr">
        <is>
          <t>Open</t>
        </is>
      </c>
      <c r="K32" s="15" t="inlineStr">
        <is>
          <t>Group</t>
        </is>
      </c>
      <c r="L32" s="15" t="inlineStr">
        <is>
          <t>22/11/2016</t>
        </is>
      </c>
      <c r="M32" s="15" t="inlineStr">
        <is>
          <t>299A Bethnal Green Road, London</t>
        </is>
      </c>
      <c r="N32" s="15" t="inlineStr">
        <is>
          <t>E2 6AH</t>
        </is>
      </c>
      <c r="O32" s="15" t="inlineStr">
        <is>
          <t>No</t>
        </is>
      </c>
      <c r="P32" s="15" t="inlineStr">
        <is>
          <t>Manish</t>
        </is>
      </c>
      <c r="Q32" s="15" t="inlineStr">
        <is>
          <t>Manish Gupta</t>
        </is>
      </c>
      <c r="R32" s="15" t="inlineStr">
        <is>
          <t>CEO</t>
        </is>
      </c>
      <c r="S32" s="15" t="inlineStr">
        <is>
          <t>info@testingxperts.com</t>
        </is>
      </c>
      <c r="T32" s="15" t="inlineStr">
        <is>
          <t>a/b named person via general inbox</t>
        </is>
      </c>
      <c r="U32" s="16" t="inlineStr">
        <is>
          <t>https://www.testingxperts.com/</t>
        </is>
      </c>
      <c r="X32" s="15" t="n"/>
      <c r="Y32" s="15" t="inlineStr">
        <is>
          <t>E2 6AH</t>
        </is>
      </c>
      <c r="Z32" s="15" t="inlineStr">
        <is>
          <t>Website</t>
        </is>
      </c>
      <c r="AA32" s="15" t="inlineStr">
        <is>
          <t>Shoreditch Powerleague</t>
        </is>
      </c>
      <c r="AB32" s="15" t="n">
        <v>13</v>
      </c>
      <c r="AC32" s="15" t="inlineStr">
        <is>
          <t>Shoreditch Powerleague</t>
        </is>
      </c>
      <c r="AD32" s="15" t="inlineStr">
        <is>
          <t>Monday 28 September at 17:40</t>
        </is>
      </c>
      <c r="AE32" s="15" t="inlineStr">
        <is>
          <t>One-off</t>
        </is>
      </c>
      <c r="AF32" s="15" t="inlineStr">
        <is>
          <t>5-a-side</t>
        </is>
      </c>
      <c r="AG32" s="17">
        <f>IF(Offer!$D$5="","",Offer!$D$5)</f>
        <v/>
      </c>
      <c r="AH32" s="15" t="inlineStr">
        <is>
          <t>award</t>
        </is>
      </c>
      <c r="AI32" s="16" t="inlineStr">
        <is>
          <t>https://www.testingxperts.com/contact-us/</t>
        </is>
      </c>
      <c r="AJ32" s="18">
        <f>IF(V32&lt;&gt;"",V32,S32)</f>
        <v/>
      </c>
      <c r="AK32" s="18">
        <f>IF(AG32="","",AF32&amp;" football "&amp;AD32&amp;" · "&amp;AB32&amp;" min from your office")</f>
        <v/>
      </c>
      <c r="AL32" s="18">
        <f>IF(AG32="","","Hi "&amp;IF(P32&lt;&gt;"",P32,F32&amp;" team")&amp;","&amp;CHAR(10)&amp;CHAR(10)&amp;IF(AH32&lt;&gt;"","Saw that "&amp;F32&amp;" "&amp;AH32&amp;"."&amp;CHAR(10)&amp;CHAR(10),"")&amp;"I'm "&amp;IF(AQ32&lt;&gt;"",AQ32,Offer!$D$8)&amp;" from FC Urban. We run weekly after-work football for London teams. We have a "&amp;AF32&amp;" pitch at "&amp;AC32&amp;", a "&amp;AB32&amp;"-minute walk from your office on "&amp;IF(X32&lt;&gt;"",X32,Y32)&amp;", free "&amp;AD32&amp;". It's "&amp;"£"&amp;IF(AG32=INT(AG32),TEXT(AG32,"0"),TEXT(AG32,"0.00"))&amp;" a player: we book the pitch and handle sign-ups and payments, so someone just shares one link with the team."&amp;CHAR(10)&amp;CHAR(10)&amp;"Would your team be up for a weekly game? Happy to hold the slot for "&amp;F32&amp;" this week."&amp;CHAR(10)&amp;CHAR(10)&amp;"Best,"&amp;CHAR(10)&amp;IF(AQ32&lt;&gt;"",AQ32,Offer!$D$8)&amp;CHAR(10)&amp;"FC Urban")</f>
        <v/>
      </c>
      <c r="AM32" s="18">
        <f>IF(AG32="","","Hi "&amp;IF(P32&lt;&gt;"",P32,F32&amp;" team")&amp;","&amp;CHAR(10)&amp;CHAR(10)&amp;"Quick follow-up: the "&amp;AF32&amp;" pitch at "&amp;AC32&amp;" is still free "&amp;AD32&amp;", "&amp;"£"&amp;IF(AG32=INT(AG32),TEXT(AG32,"0"),TEXT(AG32,"0.00"))&amp;" a player, "&amp;AB32&amp;" minutes from your office. Shall I hold it for "&amp;F32&amp;"?"&amp;CHAR(10)&amp;CHAR(10)&amp;"Best,"&amp;CHAR(10)&amp;IF(AQ32&lt;&gt;"",AQ32,Offer!$D$8)&amp;CHAR(10)&amp;"FC Urban")</f>
        <v/>
      </c>
      <c r="AN32" s="15" t="inlineStr">
        <is>
          <t>pass</t>
        </is>
      </c>
      <c r="AO32" s="15" t="inlineStr">
        <is>
          <t>MX ok · mailbox not verified</t>
        </is>
      </c>
      <c r="AP32" s="18">
        <f>IF(AG32="","No – no confirmed London price per player",IF(AJ32="","No – no email",IF(AN32&lt;&gt;"pass","No – suppressed","Yes")))</f>
        <v/>
      </c>
      <c r="AR32" s="19" t="n"/>
      <c r="AS32" s="19" t="n"/>
    </row>
    <row r="33">
      <c r="A33" s="15" t="n">
        <v>31</v>
      </c>
      <c r="B33" s="15" t="n">
        <v>2</v>
      </c>
      <c r="C33" s="15" t="inlineStr">
        <is>
          <t>Marketing / agency</t>
        </is>
      </c>
      <c r="D33" s="15" t="inlineStr">
        <is>
          <t>N7</t>
        </is>
      </c>
      <c r="E33" s="15" t="inlineStr">
        <is>
          <t>October Films Ltd</t>
        </is>
      </c>
      <c r="F33" s="15" t="inlineStr">
        <is>
          <t>October Films</t>
        </is>
      </c>
      <c r="G33" s="16" t="inlineStr">
        <is>
          <t>https://octoberfilms.co.uk</t>
        </is>
      </c>
      <c r="H33" s="15" t="n">
        <v>25</v>
      </c>
      <c r="I33" s="15" t="inlineStr">
        <is>
          <t>02328023</t>
        </is>
      </c>
      <c r="J33" s="16" t="inlineStr">
        <is>
          <t>Open</t>
        </is>
      </c>
      <c r="K33" s="15" t="inlineStr">
        <is>
          <t>Full</t>
        </is>
      </c>
      <c r="L33" s="15" t="inlineStr">
        <is>
          <t>13/12/1988</t>
        </is>
      </c>
      <c r="M33" s="15" t="inlineStr">
        <is>
          <t>Benwell Studios, 11-13 Benwell Road, London</t>
        </is>
      </c>
      <c r="N33" s="15" t="inlineStr">
        <is>
          <t>N7 7BL</t>
        </is>
      </c>
      <c r="O33" s="15" t="inlineStr">
        <is>
          <t>No</t>
        </is>
      </c>
      <c r="P33" s="15" t="inlineStr">
        <is>
          <t>Jane</t>
        </is>
      </c>
      <c r="Q33" s="15" t="inlineStr">
        <is>
          <t>Jane Manning</t>
        </is>
      </c>
      <c r="R33" s="15" t="inlineStr">
        <is>
          <t>Chief Operating Officer</t>
        </is>
      </c>
      <c r="S33" s="15" t="inlineStr">
        <is>
          <t>info@octoberfilms.co.uk</t>
        </is>
      </c>
      <c r="T33" s="15" t="inlineStr">
        <is>
          <t>a/b named person via general inbox</t>
        </is>
      </c>
      <c r="U33" s="16" t="inlineStr">
        <is>
          <t>https://octoberfilms.co.uk/contact/</t>
        </is>
      </c>
      <c r="X33" s="15" t="inlineStr">
        <is>
          <t>11/13 Benwell Road</t>
        </is>
      </c>
      <c r="Y33" s="15" t="inlineStr">
        <is>
          <t>N7 7BL</t>
        </is>
      </c>
      <c r="Z33" s="15" t="inlineStr">
        <is>
          <t>Website (11/13 Benwell Road)</t>
        </is>
      </c>
      <c r="AA33" s="15" t="inlineStr">
        <is>
          <t>Market Road</t>
        </is>
      </c>
      <c r="AB33" s="15" t="n">
        <v>14</v>
      </c>
      <c r="AC33" s="15" t="inlineStr">
        <is>
          <t>Market Road</t>
        </is>
      </c>
      <c r="AD33" s="15" t="inlineStr">
        <is>
          <t>Monday 28 September at 18:00</t>
        </is>
      </c>
      <c r="AE33" s="15" t="inlineStr">
        <is>
          <t>One-off</t>
        </is>
      </c>
      <c r="AF33" s="15" t="inlineStr">
        <is>
          <t>5-a-side</t>
        </is>
      </c>
      <c r="AG33" s="17">
        <f>IF(Offer!$D$5="","",Offer!$D$5)</f>
        <v/>
      </c>
      <c r="AH33" s="15" t="inlineStr">
        <is>
          <t>won over 100 prestige awards including EMMY, BAFTA</t>
        </is>
      </c>
      <c r="AI33" s="16" t="inlineStr">
        <is>
          <t>https://octoberfilms.co.uk/about/</t>
        </is>
      </c>
      <c r="AJ33" s="18">
        <f>IF(V33&lt;&gt;"",V33,S33)</f>
        <v/>
      </c>
      <c r="AK33" s="18">
        <f>IF(AG33="","",AF33&amp;" football "&amp;AD33&amp;" · "&amp;AB33&amp;" min from your office")</f>
        <v/>
      </c>
      <c r="AL33" s="18">
        <f>IF(AG33="","","Hi "&amp;IF(P33&lt;&gt;"",P33,F33&amp;" team")&amp;","&amp;CHAR(10)&amp;CHAR(10)&amp;IF(AH33&lt;&gt;"","Saw that "&amp;F33&amp;" "&amp;AH33&amp;"."&amp;CHAR(10)&amp;CHAR(10),"")&amp;"I'm "&amp;IF(AQ33&lt;&gt;"",AQ33,Offer!$D$8)&amp;" from FC Urban. We run weekly after-work football for London teams. We have a "&amp;AF33&amp;" pitch at "&amp;AC33&amp;", a "&amp;AB33&amp;"-minute walk from your office on "&amp;IF(X33&lt;&gt;"",X33,Y33)&amp;", free "&amp;AD33&amp;". It's "&amp;"£"&amp;IF(AG33=INT(AG33),TEXT(AG33,"0"),TEXT(AG33,"0.00"))&amp;" a player: we book the pitch and handle sign-ups and payments, so someone just shares one link with the team."&amp;CHAR(10)&amp;CHAR(10)&amp;"Would your team be up for a weekly game? Happy to hold the slot for "&amp;F33&amp;" this week."&amp;CHAR(10)&amp;CHAR(10)&amp;"Best,"&amp;CHAR(10)&amp;IF(AQ33&lt;&gt;"",AQ33,Offer!$D$8)&amp;CHAR(10)&amp;"FC Urban")</f>
        <v/>
      </c>
      <c r="AM33" s="18">
        <f>IF(AG33="","","Hi "&amp;IF(P33&lt;&gt;"",P33,F33&amp;" team")&amp;","&amp;CHAR(10)&amp;CHAR(10)&amp;"Quick follow-up: the "&amp;AF33&amp;" pitch at "&amp;AC33&amp;" is still free "&amp;AD33&amp;", "&amp;"£"&amp;IF(AG33=INT(AG33),TEXT(AG33,"0"),TEXT(AG33,"0.00"))&amp;" a player, "&amp;AB33&amp;" minutes from your office. Shall I hold it for "&amp;F33&amp;"?"&amp;CHAR(10)&amp;CHAR(10)&amp;"Best,"&amp;CHAR(10)&amp;IF(AQ33&lt;&gt;"",AQ33,Offer!$D$8)&amp;CHAR(10)&amp;"FC Urban")</f>
        <v/>
      </c>
      <c r="AN33" s="15" t="inlineStr">
        <is>
          <t>pass</t>
        </is>
      </c>
      <c r="AO33" s="15" t="inlineStr">
        <is>
          <t>MX ok · mailbox not verified</t>
        </is>
      </c>
      <c r="AP33" s="18">
        <f>IF(AG33="","No – no confirmed London price per player",IF(AJ33="","No – no email",IF(AN33&lt;&gt;"pass","No – suppressed","Yes")))</f>
        <v/>
      </c>
      <c r="AR33" s="19" t="n"/>
      <c r="AS33" s="19" t="n"/>
    </row>
    <row r="34">
      <c r="A34" s="15" t="n">
        <v>32</v>
      </c>
      <c r="B34" s="15" t="n">
        <v>2</v>
      </c>
      <c r="C34" s="15" t="inlineStr">
        <is>
          <t>Tech / software</t>
        </is>
      </c>
      <c r="D34" s="15" t="inlineStr">
        <is>
          <t>EC2M</t>
        </is>
      </c>
      <c r="E34" s="15" t="inlineStr">
        <is>
          <t>Fenergo UK Limited</t>
        </is>
      </c>
      <c r="F34" s="15" t="inlineStr">
        <is>
          <t>Fenergo</t>
        </is>
      </c>
      <c r="G34" s="16" t="inlineStr">
        <is>
          <t>https://www.fenergo.com</t>
        </is>
      </c>
      <c r="H34" s="15" t="inlineStr">
        <is>
          <t>Not stated</t>
        </is>
      </c>
      <c r="I34" s="15" t="inlineStr">
        <is>
          <t>10267569</t>
        </is>
      </c>
      <c r="J34" s="16" t="inlineStr">
        <is>
          <t>Open</t>
        </is>
      </c>
      <c r="K34" s="15" t="inlineStr">
        <is>
          <t>Full</t>
        </is>
      </c>
      <c r="L34" s="15" t="inlineStr">
        <is>
          <t>07/07/2016</t>
        </is>
      </c>
      <c r="M34" s="15" t="inlineStr">
        <is>
          <t>Floor One, 24 King William Street, London</t>
        </is>
      </c>
      <c r="N34" s="15" t="inlineStr">
        <is>
          <t>EC4R 9AT</t>
        </is>
      </c>
      <c r="O34" s="15" t="inlineStr">
        <is>
          <t>No</t>
        </is>
      </c>
      <c r="P34" s="15" t="inlineStr">
        <is>
          <t>Marc</t>
        </is>
      </c>
      <c r="Q34" s="15" t="inlineStr">
        <is>
          <t>Marc Murphy</t>
        </is>
      </c>
      <c r="R34" s="15" t="inlineStr">
        <is>
          <t>CEO &amp; Founder</t>
        </is>
      </c>
      <c r="S34" s="15" t="inlineStr">
        <is>
          <t>hello@fenergo.com</t>
        </is>
      </c>
      <c r="T34" s="15" t="inlineStr">
        <is>
          <t>a/b named person via general inbox</t>
        </is>
      </c>
      <c r="U34" s="16" t="inlineStr">
        <is>
          <t>https://www.fenergo.com/</t>
        </is>
      </c>
      <c r="X34" s="15" t="n"/>
      <c r="Y34" s="15" t="inlineStr">
        <is>
          <t>EC2M 7LS</t>
        </is>
      </c>
      <c r="Z34" s="15" t="inlineStr">
        <is>
          <t>Website</t>
        </is>
      </c>
      <c r="AA34" s="15" t="inlineStr">
        <is>
          <t>Shoreditch Powerleague</t>
        </is>
      </c>
      <c r="AB34" s="15" t="n">
        <v>14</v>
      </c>
      <c r="AC34" s="15" t="inlineStr">
        <is>
          <t>Shoreditch Powerleague</t>
        </is>
      </c>
      <c r="AD34" s="15" t="inlineStr">
        <is>
          <t>Monday 28 September at 17:40</t>
        </is>
      </c>
      <c r="AE34" s="15" t="inlineStr">
        <is>
          <t>One-off</t>
        </is>
      </c>
      <c r="AF34" s="15" t="inlineStr">
        <is>
          <t>5-a-side</t>
        </is>
      </c>
      <c r="AG34" s="17">
        <f>IF(Offer!$D$5="","",Offer!$D$5)</f>
        <v/>
      </c>
      <c r="AH34" s="15" t="n"/>
      <c r="AI34" s="15" t="n"/>
      <c r="AJ34" s="18">
        <f>IF(V34&lt;&gt;"",V34,S34)</f>
        <v/>
      </c>
      <c r="AK34" s="18">
        <f>IF(AG34="","",AF34&amp;" football "&amp;AD34&amp;" · "&amp;AB34&amp;" min from your office")</f>
        <v/>
      </c>
      <c r="AL34" s="18">
        <f>IF(AG34="","","Hi "&amp;IF(P34&lt;&gt;"",P34,F34&amp;" team")&amp;","&amp;CHAR(10)&amp;CHAR(10)&amp;IF(AH34&lt;&gt;"","Saw that "&amp;F34&amp;" "&amp;AH34&amp;"."&amp;CHAR(10)&amp;CHAR(10),"")&amp;"I'm "&amp;IF(AQ34&lt;&gt;"",AQ34,Offer!$D$8)&amp;" from FC Urban. We run weekly after-work football for London teams. We have a "&amp;AF34&amp;" pitch at "&amp;AC34&amp;", a "&amp;AB34&amp;"-minute walk from your office on "&amp;IF(X34&lt;&gt;"",X34,Y34)&amp;", free "&amp;AD34&amp;". It's "&amp;"£"&amp;IF(AG34=INT(AG34),TEXT(AG34,"0"),TEXT(AG34,"0.00"))&amp;" a player: we book the pitch and handle sign-ups and payments, so someone just shares one link with the team."&amp;CHAR(10)&amp;CHAR(10)&amp;"Would your team be up for a weekly game? Happy to hold the slot for "&amp;F34&amp;" this week."&amp;CHAR(10)&amp;CHAR(10)&amp;"Best,"&amp;CHAR(10)&amp;IF(AQ34&lt;&gt;"",AQ34,Offer!$D$8)&amp;CHAR(10)&amp;"FC Urban")</f>
        <v/>
      </c>
      <c r="AM34" s="18">
        <f>IF(AG34="","","Hi "&amp;IF(P34&lt;&gt;"",P34,F34&amp;" team")&amp;","&amp;CHAR(10)&amp;CHAR(10)&amp;"Quick follow-up: the "&amp;AF34&amp;" pitch at "&amp;AC34&amp;" is still free "&amp;AD34&amp;", "&amp;"£"&amp;IF(AG34=INT(AG34),TEXT(AG34,"0"),TEXT(AG34,"0.00"))&amp;" a player, "&amp;AB34&amp;" minutes from your office. Shall I hold it for "&amp;F34&amp;"?"&amp;CHAR(10)&amp;CHAR(10)&amp;"Best,"&amp;CHAR(10)&amp;IF(AQ34&lt;&gt;"",AQ34,Offer!$D$8)&amp;CHAR(10)&amp;"FC Urban")</f>
        <v/>
      </c>
      <c r="AN34" s="15" t="inlineStr">
        <is>
          <t>pass</t>
        </is>
      </c>
      <c r="AO34" s="15" t="inlineStr">
        <is>
          <t>MX ok · mailbox not verified</t>
        </is>
      </c>
      <c r="AP34" s="18">
        <f>IF(AG34="","No – no confirmed London price per player",IF(AJ34="","No – no email",IF(AN34&lt;&gt;"pass","No – suppressed","Yes")))</f>
        <v/>
      </c>
      <c r="AR34" s="19" t="n"/>
      <c r="AS34" s="19" t="n"/>
    </row>
    <row r="35">
      <c r="A35" s="15" t="n">
        <v>33</v>
      </c>
      <c r="B35" s="15" t="n">
        <v>2</v>
      </c>
      <c r="C35" s="15" t="inlineStr">
        <is>
          <t>Consultancy</t>
        </is>
      </c>
      <c r="D35" s="15" t="inlineStr">
        <is>
          <t>EC2M</t>
        </is>
      </c>
      <c r="E35" s="15" t="inlineStr">
        <is>
          <t>Yendall Hunter Limited</t>
        </is>
      </c>
      <c r="F35" s="15" t="inlineStr">
        <is>
          <t>Yendall Hunter</t>
        </is>
      </c>
      <c r="G35" s="16" t="inlineStr">
        <is>
          <t>https://www.yendallhunter.com</t>
        </is>
      </c>
      <c r="H35" s="15" t="inlineStr">
        <is>
          <t>Not stated</t>
        </is>
      </c>
      <c r="I35" s="15" t="inlineStr">
        <is>
          <t>09410777</t>
        </is>
      </c>
      <c r="J35" s="16" t="inlineStr">
        <is>
          <t>Open</t>
        </is>
      </c>
      <c r="K35" s="15" t="inlineStr">
        <is>
          <t>Medium</t>
        </is>
      </c>
      <c r="L35" s="15" t="inlineStr">
        <is>
          <t>28/01/2015</t>
        </is>
      </c>
      <c r="M35" s="15" t="inlineStr">
        <is>
          <t>Dashwood House, 69 Old Broad Street, London</t>
        </is>
      </c>
      <c r="N35" s="15" t="inlineStr">
        <is>
          <t>EC2M 1QS</t>
        </is>
      </c>
      <c r="O35" s="15" t="inlineStr">
        <is>
          <t>No</t>
        </is>
      </c>
      <c r="P35" s="15" t="inlineStr">
        <is>
          <t>Martin</t>
        </is>
      </c>
      <c r="Q35" s="15" t="inlineStr">
        <is>
          <t>Martin Hunter</t>
        </is>
      </c>
      <c r="R35" s="15" t="inlineStr">
        <is>
          <t>Managing Director</t>
        </is>
      </c>
      <c r="S35" s="15" t="inlineStr">
        <is>
          <t>info@yendallhunter.com</t>
        </is>
      </c>
      <c r="T35" s="15" t="inlineStr">
        <is>
          <t>a/b named person via general inbox</t>
        </is>
      </c>
      <c r="U35" s="16" t="inlineStr">
        <is>
          <t>https://www.yendallhunter.com/</t>
        </is>
      </c>
      <c r="X35" s="15" t="inlineStr">
        <is>
          <t>69 Old Broad Street</t>
        </is>
      </c>
      <c r="Y35" s="15" t="inlineStr">
        <is>
          <t>EC2M 1QS</t>
        </is>
      </c>
      <c r="Z35" s="15" t="inlineStr">
        <is>
          <t>Website (69 Old Broad Street)</t>
        </is>
      </c>
      <c r="AA35" s="15" t="inlineStr">
        <is>
          <t>Shoreditch Powerleague</t>
        </is>
      </c>
      <c r="AB35" s="15" t="n">
        <v>14</v>
      </c>
      <c r="AC35" s="15" t="inlineStr">
        <is>
          <t>Shoreditch Powerleague</t>
        </is>
      </c>
      <c r="AD35" s="15" t="inlineStr">
        <is>
          <t>Monday 28 September at 17:40</t>
        </is>
      </c>
      <c r="AE35" s="15" t="inlineStr">
        <is>
          <t>One-off</t>
        </is>
      </c>
      <c r="AF35" s="15" t="inlineStr">
        <is>
          <t>5-a-side</t>
        </is>
      </c>
      <c r="AG35" s="17">
        <f>IF(Offer!$D$5="","",Offer!$D$5)</f>
        <v/>
      </c>
      <c r="AH35" s="15" t="n"/>
      <c r="AI35" s="15" t="n"/>
      <c r="AJ35" s="18">
        <f>IF(V35&lt;&gt;"",V35,S35)</f>
        <v/>
      </c>
      <c r="AK35" s="18">
        <f>IF(AG35="","",AF35&amp;" football "&amp;AD35&amp;" · "&amp;AB35&amp;" min from your office")</f>
        <v/>
      </c>
      <c r="AL35" s="18">
        <f>IF(AG35="","","Hi "&amp;IF(P35&lt;&gt;"",P35,F35&amp;" team")&amp;","&amp;CHAR(10)&amp;CHAR(10)&amp;IF(AH35&lt;&gt;"","Saw that "&amp;F35&amp;" "&amp;AH35&amp;"."&amp;CHAR(10)&amp;CHAR(10),"")&amp;"I'm "&amp;IF(AQ35&lt;&gt;"",AQ35,Offer!$D$8)&amp;" from FC Urban. We run weekly after-work football for London teams. We have a "&amp;AF35&amp;" pitch at "&amp;AC35&amp;", a "&amp;AB35&amp;"-minute walk from your office on "&amp;IF(X35&lt;&gt;"",X35,Y35)&amp;", free "&amp;AD35&amp;". It's "&amp;"£"&amp;IF(AG35=INT(AG35),TEXT(AG35,"0"),TEXT(AG35,"0.00"))&amp;" a player: we book the pitch and handle sign-ups and payments, so someone just shares one link with the team."&amp;CHAR(10)&amp;CHAR(10)&amp;"Would your team be up for a weekly game? Happy to hold the slot for "&amp;F35&amp;" this week."&amp;CHAR(10)&amp;CHAR(10)&amp;"Best,"&amp;CHAR(10)&amp;IF(AQ35&lt;&gt;"",AQ35,Offer!$D$8)&amp;CHAR(10)&amp;"FC Urban")</f>
        <v/>
      </c>
      <c r="AM35" s="18">
        <f>IF(AG35="","","Hi "&amp;IF(P35&lt;&gt;"",P35,F35&amp;" team")&amp;","&amp;CHAR(10)&amp;CHAR(10)&amp;"Quick follow-up: the "&amp;AF35&amp;" pitch at "&amp;AC35&amp;" is still free "&amp;AD35&amp;", "&amp;"£"&amp;IF(AG35=INT(AG35),TEXT(AG35,"0"),TEXT(AG35,"0.00"))&amp;" a player, "&amp;AB35&amp;" minutes from your office. Shall I hold it for "&amp;F35&amp;"?"&amp;CHAR(10)&amp;CHAR(10)&amp;"Best,"&amp;CHAR(10)&amp;IF(AQ35&lt;&gt;"",AQ35,Offer!$D$8)&amp;CHAR(10)&amp;"FC Urban")</f>
        <v/>
      </c>
      <c r="AN35" s="15" t="inlineStr">
        <is>
          <t>pass</t>
        </is>
      </c>
      <c r="AO35" s="15" t="inlineStr">
        <is>
          <t>MX ok · mailbox not verified</t>
        </is>
      </c>
      <c r="AP35" s="18">
        <f>IF(AG35="","No – no confirmed London price per player",IF(AJ35="","No – no email",IF(AN35&lt;&gt;"pass","No – suppressed","Yes")))</f>
        <v/>
      </c>
      <c r="AR35" s="19" t="n"/>
      <c r="AS35" s="19" t="n"/>
    </row>
    <row r="36">
      <c r="A36" s="15" t="n">
        <v>34</v>
      </c>
      <c r="B36" s="15" t="n">
        <v>2</v>
      </c>
      <c r="C36" s="15" t="inlineStr">
        <is>
          <t>Architecture</t>
        </is>
      </c>
      <c r="D36" s="15" t="inlineStr">
        <is>
          <t>EC1R</t>
        </is>
      </c>
      <c r="E36" s="15" t="inlineStr">
        <is>
          <t>Fluence Energy UK Limited</t>
        </is>
      </c>
      <c r="F36" s="15" t="inlineStr">
        <is>
          <t>Fluence Energy</t>
        </is>
      </c>
      <c r="G36" s="16" t="inlineStr">
        <is>
          <t>https://fluenceenergy.com</t>
        </is>
      </c>
      <c r="H36" s="15" t="inlineStr">
        <is>
          <t>Not stated</t>
        </is>
      </c>
      <c r="I36" s="15" t="inlineStr">
        <is>
          <t>14401806</t>
        </is>
      </c>
      <c r="J36" s="16" t="inlineStr">
        <is>
          <t>Open</t>
        </is>
      </c>
      <c r="K36" s="15" t="inlineStr">
        <is>
          <t>Full</t>
        </is>
      </c>
      <c r="L36" s="15" t="inlineStr">
        <is>
          <t>06/10/2022</t>
        </is>
      </c>
      <c r="M36" s="15" t="inlineStr">
        <is>
          <t>Unit 180, 3Rd Floor Exmouth House 3/11 Pine Street, Farringdon, London</t>
        </is>
      </c>
      <c r="N36" s="15" t="inlineStr">
        <is>
          <t>EC1R 0JH</t>
        </is>
      </c>
      <c r="O36" s="15" t="inlineStr">
        <is>
          <t>No</t>
        </is>
      </c>
      <c r="P36" s="15" t="inlineStr">
        <is>
          <t>Julian</t>
        </is>
      </c>
      <c r="Q36" s="15" t="inlineStr">
        <is>
          <t>Julian Nebreda</t>
        </is>
      </c>
      <c r="R36" s="15" t="inlineStr">
        <is>
          <t>Chief Executive Officer</t>
        </is>
      </c>
      <c r="S36" s="15" t="inlineStr">
        <is>
          <t>branding@fluenceenergy.com</t>
        </is>
      </c>
      <c r="T36" s="15" t="inlineStr">
        <is>
          <t>a/b named person via general inbox</t>
        </is>
      </c>
      <c r="U36" s="16" t="inlineStr">
        <is>
          <t>https://fluenceenergy.com/about/media-room/</t>
        </is>
      </c>
      <c r="X36" s="15" t="inlineStr">
        <is>
          <t>Unit 180, 3rd Floor Exmouth House 3/11 Pine Street</t>
        </is>
      </c>
      <c r="Y36" s="15" t="inlineStr">
        <is>
          <t>EC1R 0JH</t>
        </is>
      </c>
      <c r="Z36" s="15" t="inlineStr">
        <is>
          <t>Website (Unit 180, 3rd Floor Exmouth House 3/11 Pine Street)</t>
        </is>
      </c>
      <c r="AA36" s="15" t="inlineStr">
        <is>
          <t>Old St - Moreland Primary School</t>
        </is>
      </c>
      <c r="AB36" s="15" t="n">
        <v>14</v>
      </c>
      <c r="AC36" s="15" t="inlineStr">
        <is>
          <t>Old St - Moreland Primary School</t>
        </is>
      </c>
      <c r="AD36" s="15" t="inlineStr">
        <is>
          <t>Monday 12 October at 18:00</t>
        </is>
      </c>
      <c r="AE36" s="15" t="inlineStr">
        <is>
          <t>One-off</t>
        </is>
      </c>
      <c r="AF36" s="15" t="inlineStr">
        <is>
          <t>6-a-side</t>
        </is>
      </c>
      <c r="AG36" s="17">
        <f>IF(Offer!$D$5="","",Offer!$D$5)</f>
        <v/>
      </c>
      <c r="AH36" s="15" t="n"/>
      <c r="AI36" s="15" t="n"/>
      <c r="AJ36" s="18">
        <f>IF(V36&lt;&gt;"",V36,S36)</f>
        <v/>
      </c>
      <c r="AK36" s="18">
        <f>IF(AG36="","",AF36&amp;" football "&amp;AD36&amp;" · "&amp;AB36&amp;" min from your office")</f>
        <v/>
      </c>
      <c r="AL36" s="18">
        <f>IF(AG36="","","Hi "&amp;IF(P36&lt;&gt;"",P36,F36&amp;" team")&amp;","&amp;CHAR(10)&amp;CHAR(10)&amp;IF(AH36&lt;&gt;"","Saw that "&amp;F36&amp;" "&amp;AH36&amp;"."&amp;CHAR(10)&amp;CHAR(10),"")&amp;"I'm "&amp;IF(AQ36&lt;&gt;"",AQ36,Offer!$D$8)&amp;" from FC Urban. We run weekly after-work football for London teams. We have a "&amp;AF36&amp;" pitch at "&amp;AC36&amp;", a "&amp;AB36&amp;"-minute walk from your office on "&amp;IF(X36&lt;&gt;"",X36,Y36)&amp;", free "&amp;AD36&amp;". It's "&amp;"£"&amp;IF(AG36=INT(AG36),TEXT(AG36,"0"),TEXT(AG36,"0.00"))&amp;" a player: we book the pitch and handle sign-ups and payments, so someone just shares one link with the team."&amp;CHAR(10)&amp;CHAR(10)&amp;"Would your team be up for a weekly game? Happy to hold the slot for "&amp;F36&amp;" this week."&amp;CHAR(10)&amp;CHAR(10)&amp;"Best,"&amp;CHAR(10)&amp;IF(AQ36&lt;&gt;"",AQ36,Offer!$D$8)&amp;CHAR(10)&amp;"FC Urban")</f>
        <v/>
      </c>
      <c r="AM36" s="18">
        <f>IF(AG36="","","Hi "&amp;IF(P36&lt;&gt;"",P36,F36&amp;" team")&amp;","&amp;CHAR(10)&amp;CHAR(10)&amp;"Quick follow-up: the "&amp;AF36&amp;" pitch at "&amp;AC36&amp;" is still free "&amp;AD36&amp;", "&amp;"£"&amp;IF(AG36=INT(AG36),TEXT(AG36,"0"),TEXT(AG36,"0.00"))&amp;" a player, "&amp;AB36&amp;" minutes from your office. Shall I hold it for "&amp;F36&amp;"?"&amp;CHAR(10)&amp;CHAR(10)&amp;"Best,"&amp;CHAR(10)&amp;IF(AQ36&lt;&gt;"",AQ36,Offer!$D$8)&amp;CHAR(10)&amp;"FC Urban")</f>
        <v/>
      </c>
      <c r="AN36" s="15" t="inlineStr">
        <is>
          <t>pass</t>
        </is>
      </c>
      <c r="AO36" s="15" t="inlineStr">
        <is>
          <t>MX ok · mailbox not verified</t>
        </is>
      </c>
      <c r="AP36" s="18">
        <f>IF(AG36="","No – no confirmed London price per player",IF(AJ36="","No – no email",IF(AN36&lt;&gt;"pass","No – suppressed","Yes")))</f>
        <v/>
      </c>
      <c r="AR36" s="19" t="n"/>
      <c r="AS36" s="19" t="n"/>
    </row>
    <row r="37">
      <c r="A37" s="15" t="n">
        <v>35</v>
      </c>
      <c r="B37" s="15" t="n">
        <v>2</v>
      </c>
      <c r="C37" s="15" t="inlineStr">
        <is>
          <t>Finance / accounting</t>
        </is>
      </c>
      <c r="D37" s="15" t="inlineStr">
        <is>
          <t>EC3A</t>
        </is>
      </c>
      <c r="E37" s="15" t="inlineStr">
        <is>
          <t>Jenoa Limited</t>
        </is>
      </c>
      <c r="F37" s="15" t="inlineStr">
        <is>
          <t>Jenoa</t>
        </is>
      </c>
      <c r="G37" s="16" t="inlineStr">
        <is>
          <t>https://jenoa.com:443</t>
        </is>
      </c>
      <c r="H37" s="15" t="inlineStr">
        <is>
          <t>Not stated</t>
        </is>
      </c>
      <c r="I37" s="15" t="inlineStr">
        <is>
          <t>12292684</t>
        </is>
      </c>
      <c r="J37" s="16" t="inlineStr">
        <is>
          <t>Open</t>
        </is>
      </c>
      <c r="K37" s="15" t="inlineStr">
        <is>
          <t>Full</t>
        </is>
      </c>
      <c r="L37" s="15" t="inlineStr">
        <is>
          <t>31/10/2019</t>
        </is>
      </c>
      <c r="M37" s="15" t="inlineStr">
        <is>
          <t>C/O Clyde &amp; Co Llp, St Botolph Building, 138 Houndsditch, London</t>
        </is>
      </c>
      <c r="N37" s="15" t="inlineStr">
        <is>
          <t>EC3A 7AR</t>
        </is>
      </c>
      <c r="O37" s="15" t="inlineStr">
        <is>
          <t>No</t>
        </is>
      </c>
      <c r="P37" s="15" t="inlineStr">
        <is>
          <t>Mahboob</t>
        </is>
      </c>
      <c r="Q37" s="15" t="inlineStr">
        <is>
          <t>Mahboob Khan</t>
        </is>
      </c>
      <c r="R37" s="15" t="inlineStr">
        <is>
          <t>Chief Executive Officer</t>
        </is>
      </c>
      <c r="S37" s="15" t="inlineStr">
        <is>
          <t>london@jenoa.com</t>
        </is>
      </c>
      <c r="T37" s="15" t="inlineStr">
        <is>
          <t>a/b named person via general inbox</t>
        </is>
      </c>
      <c r="U37" s="16" t="inlineStr">
        <is>
          <t>https://jenoa.com/en/locations/</t>
        </is>
      </c>
      <c r="X37" s="15" t="n"/>
      <c r="Y37" s="15" t="inlineStr">
        <is>
          <t>EC3A 8BE</t>
        </is>
      </c>
      <c r="Z37" s="15" t="inlineStr">
        <is>
          <t>Website</t>
        </is>
      </c>
      <c r="AA37" s="15" t="inlineStr">
        <is>
          <t>Shoreditch Powerleague</t>
        </is>
      </c>
      <c r="AB37" s="15" t="n">
        <v>15</v>
      </c>
      <c r="AC37" s="15" t="inlineStr">
        <is>
          <t>Shoreditch Powerleague</t>
        </is>
      </c>
      <c r="AD37" s="15" t="inlineStr">
        <is>
          <t>Monday 28 September at 17:40</t>
        </is>
      </c>
      <c r="AE37" s="15" t="inlineStr">
        <is>
          <t>One-off</t>
        </is>
      </c>
      <c r="AF37" s="15" t="inlineStr">
        <is>
          <t>5-a-side</t>
        </is>
      </c>
      <c r="AG37" s="17">
        <f>IF(Offer!$D$5="","",Offer!$D$5)</f>
        <v/>
      </c>
      <c r="AH37" s="15" t="n"/>
      <c r="AI37" s="15" t="n"/>
      <c r="AJ37" s="18">
        <f>IF(V37&lt;&gt;"",V37,S37)</f>
        <v/>
      </c>
      <c r="AK37" s="18">
        <f>IF(AG37="","",AF37&amp;" football "&amp;AD37&amp;" · "&amp;AB37&amp;" min from your office")</f>
        <v/>
      </c>
      <c r="AL37" s="18">
        <f>IF(AG37="","","Hi "&amp;IF(P37&lt;&gt;"",P37,F37&amp;" team")&amp;","&amp;CHAR(10)&amp;CHAR(10)&amp;IF(AH37&lt;&gt;"","Saw that "&amp;F37&amp;" "&amp;AH37&amp;"."&amp;CHAR(10)&amp;CHAR(10),"")&amp;"I'm "&amp;IF(AQ37&lt;&gt;"",AQ37,Offer!$D$8)&amp;" from FC Urban. We run weekly after-work football for London teams. We have a "&amp;AF37&amp;" pitch at "&amp;AC37&amp;", a "&amp;AB37&amp;"-minute walk from your office on "&amp;IF(X37&lt;&gt;"",X37,Y37)&amp;", free "&amp;AD37&amp;". It's "&amp;"£"&amp;IF(AG37=INT(AG37),TEXT(AG37,"0"),TEXT(AG37,"0.00"))&amp;" a player: we book the pitch and handle sign-ups and payments, so someone just shares one link with the team."&amp;CHAR(10)&amp;CHAR(10)&amp;"Would your team be up for a weekly game? Happy to hold the slot for "&amp;F37&amp;" this week."&amp;CHAR(10)&amp;CHAR(10)&amp;"Best,"&amp;CHAR(10)&amp;IF(AQ37&lt;&gt;"",AQ37,Offer!$D$8)&amp;CHAR(10)&amp;"FC Urban")</f>
        <v/>
      </c>
      <c r="AM37" s="18">
        <f>IF(AG37="","","Hi "&amp;IF(P37&lt;&gt;"",P37,F37&amp;" team")&amp;","&amp;CHAR(10)&amp;CHAR(10)&amp;"Quick follow-up: the "&amp;AF37&amp;" pitch at "&amp;AC37&amp;" is still free "&amp;AD37&amp;", "&amp;"£"&amp;IF(AG37=INT(AG37),TEXT(AG37,"0"),TEXT(AG37,"0.00"))&amp;" a player, "&amp;AB37&amp;" minutes from your office. Shall I hold it for "&amp;F37&amp;"?"&amp;CHAR(10)&amp;CHAR(10)&amp;"Best,"&amp;CHAR(10)&amp;IF(AQ37&lt;&gt;"",AQ37,Offer!$D$8)&amp;CHAR(10)&amp;"FC Urban")</f>
        <v/>
      </c>
      <c r="AN37" s="15" t="inlineStr">
        <is>
          <t>pass</t>
        </is>
      </c>
      <c r="AO37" s="15" t="inlineStr">
        <is>
          <t>MX ok · mailbox not verified</t>
        </is>
      </c>
      <c r="AP37" s="18">
        <f>IF(AG37="","No – no confirmed London price per player",IF(AJ37="","No – no email",IF(AN37&lt;&gt;"pass","No – suppressed","Yes")))</f>
        <v/>
      </c>
      <c r="AR37" s="19" t="n"/>
      <c r="AS37" s="19" t="n"/>
    </row>
    <row r="38">
      <c r="A38" s="15" t="n">
        <v>36</v>
      </c>
      <c r="B38" s="15" t="n">
        <v>3</v>
      </c>
      <c r="C38" s="15" t="inlineStr">
        <is>
          <t>Tech / software</t>
        </is>
      </c>
      <c r="D38" s="15" t="inlineStr">
        <is>
          <t>E1</t>
        </is>
      </c>
      <c r="E38" s="15" t="inlineStr">
        <is>
          <t>Vendavo UK Limited</t>
        </is>
      </c>
      <c r="F38" s="15" t="inlineStr">
        <is>
          <t>Vendavo</t>
        </is>
      </c>
      <c r="G38" s="16" t="inlineStr">
        <is>
          <t>https://www.vendavo.com</t>
        </is>
      </c>
      <c r="H38" s="15" t="inlineStr">
        <is>
          <t>Not stated</t>
        </is>
      </c>
      <c r="I38" s="15" t="inlineStr">
        <is>
          <t>05724979</t>
        </is>
      </c>
      <c r="J38" s="16" t="inlineStr">
        <is>
          <t>Open</t>
        </is>
      </c>
      <c r="K38" s="15" t="inlineStr">
        <is>
          <t>Group</t>
        </is>
      </c>
      <c r="L38" s="15" t="inlineStr">
        <is>
          <t>28/02/2006</t>
        </is>
      </c>
      <c r="M38" s="15" t="inlineStr">
        <is>
          <t>2Nd Floor, 168 Shoreditch High Street, London</t>
        </is>
      </c>
      <c r="N38" s="15" t="inlineStr">
        <is>
          <t>E1 6RA</t>
        </is>
      </c>
      <c r="O38" s="15" t="inlineStr">
        <is>
          <t>No</t>
        </is>
      </c>
      <c r="P38" s="15" t="n"/>
      <c r="Q38" s="15" t="n"/>
      <c r="R38" s="15" t="n"/>
      <c r="S38" s="15" t="inlineStr">
        <is>
          <t>info@vendavo.com</t>
        </is>
      </c>
      <c r="T38" s="15" t="inlineStr">
        <is>
          <t>c general inbox</t>
        </is>
      </c>
      <c r="U38" s="16" t="inlineStr">
        <is>
          <t>https://www.vendavo.com/company/contact/</t>
        </is>
      </c>
      <c r="X38" s="15" t="n"/>
      <c r="Y38" s="15" t="inlineStr">
        <is>
          <t>E1 6RA</t>
        </is>
      </c>
      <c r="Z38" s="15" t="inlineStr">
        <is>
          <t>Registered office (no address on website)</t>
        </is>
      </c>
      <c r="AA38" s="15" t="inlineStr">
        <is>
          <t>Shoreditch Powerleague</t>
        </is>
      </c>
      <c r="AB38" s="15" t="n">
        <v>3</v>
      </c>
      <c r="AC38" s="15" t="inlineStr">
        <is>
          <t>Shoreditch Powerleague</t>
        </is>
      </c>
      <c r="AD38" s="15" t="inlineStr">
        <is>
          <t>Monday 28 September at 17:40</t>
        </is>
      </c>
      <c r="AE38" s="15" t="inlineStr">
        <is>
          <t>One-off</t>
        </is>
      </c>
      <c r="AF38" s="15" t="inlineStr">
        <is>
          <t>5-a-side</t>
        </is>
      </c>
      <c r="AG38" s="17">
        <f>IF(Offer!$D$5="","",Offer!$D$5)</f>
        <v/>
      </c>
      <c r="AH38" s="15" t="n"/>
      <c r="AI38" s="15" t="n"/>
      <c r="AJ38" s="18">
        <f>IF(V38&lt;&gt;"",V38,S38)</f>
        <v/>
      </c>
      <c r="AK38" s="18">
        <f>IF(AG38="","",AF38&amp;" football "&amp;AD38&amp;" · "&amp;AB38&amp;" min from your office")</f>
        <v/>
      </c>
      <c r="AL38" s="18">
        <f>IF(AG38="","","Hi "&amp;IF(P38&lt;&gt;"",P38,F38&amp;" team")&amp;","&amp;CHAR(10)&amp;CHAR(10)&amp;IF(AH38&lt;&gt;"","Saw that "&amp;F38&amp;" "&amp;AH38&amp;"."&amp;CHAR(10)&amp;CHAR(10),"")&amp;"I'm "&amp;IF(AQ38&lt;&gt;"",AQ38,Offer!$D$8)&amp;" from FC Urban. We run weekly after-work football for London teams. We have a "&amp;AF38&amp;" pitch at "&amp;AC38&amp;", a "&amp;AB38&amp;"-minute walk from your office on "&amp;IF(X38&lt;&gt;"",X38,Y38)&amp;", free "&amp;AD38&amp;". It's "&amp;"£"&amp;IF(AG38=INT(AG38),TEXT(AG38,"0"),TEXT(AG38,"0.00"))&amp;" a player: we book the pitch and handle sign-ups and payments, so someone just shares one link with the team."&amp;CHAR(10)&amp;CHAR(10)&amp;"Would your team be up for a weekly game? Happy to hold the slot for "&amp;F38&amp;" this week."&amp;CHAR(10)&amp;CHAR(10)&amp;"Best,"&amp;CHAR(10)&amp;IF(AQ38&lt;&gt;"",AQ38,Offer!$D$8)&amp;CHAR(10)&amp;"FC Urban")</f>
        <v/>
      </c>
      <c r="AM38" s="18">
        <f>IF(AG38="","","Hi "&amp;IF(P38&lt;&gt;"",P38,F38&amp;" team")&amp;","&amp;CHAR(10)&amp;CHAR(10)&amp;"Quick follow-up: the "&amp;AF38&amp;" pitch at "&amp;AC38&amp;" is still free "&amp;AD38&amp;", "&amp;"£"&amp;IF(AG38=INT(AG38),TEXT(AG38,"0"),TEXT(AG38,"0.00"))&amp;" a player, "&amp;AB38&amp;" minutes from your office. Shall I hold it for "&amp;F38&amp;"?"&amp;CHAR(10)&amp;CHAR(10)&amp;"Best,"&amp;CHAR(10)&amp;IF(AQ38&lt;&gt;"",AQ38,Offer!$D$8)&amp;CHAR(10)&amp;"FC Urban")</f>
        <v/>
      </c>
      <c r="AN38" s="15" t="inlineStr">
        <is>
          <t>pass</t>
        </is>
      </c>
      <c r="AO38" s="15" t="inlineStr">
        <is>
          <t>MX ok · mailbox not verified</t>
        </is>
      </c>
      <c r="AP38" s="18">
        <f>IF(AG38="","No – no confirmed London price per player",IF(AJ38="","No – no email",IF(AN38&lt;&gt;"pass","No – suppressed","Yes")))</f>
        <v/>
      </c>
      <c r="AR38" s="19" t="n"/>
      <c r="AS38" s="19" t="n"/>
    </row>
    <row r="39">
      <c r="A39" s="15" t="n">
        <v>37</v>
      </c>
      <c r="B39" s="15" t="n">
        <v>3</v>
      </c>
      <c r="C39" s="15" t="inlineStr">
        <is>
          <t>Marketing / agency</t>
        </is>
      </c>
      <c r="D39" s="15" t="inlineStr">
        <is>
          <t>E1</t>
        </is>
      </c>
      <c r="E39" s="15" t="inlineStr">
        <is>
          <t>Whitepaperco Limited</t>
        </is>
      </c>
      <c r="F39" s="15" t="inlineStr">
        <is>
          <t>Whitepaperco</t>
        </is>
      </c>
      <c r="G39" s="16" t="inlineStr">
        <is>
          <t>https://www.whitepaperco.com</t>
        </is>
      </c>
      <c r="H39" s="15" t="inlineStr">
        <is>
          <t>Not stated</t>
        </is>
      </c>
      <c r="I39" s="15" t="inlineStr">
        <is>
          <t>09980890</t>
        </is>
      </c>
      <c r="J39" s="16" t="inlineStr">
        <is>
          <t>Open</t>
        </is>
      </c>
      <c r="K39" s="15" t="inlineStr">
        <is>
          <t>Medium</t>
        </is>
      </c>
      <c r="L39" s="15" t="inlineStr">
        <is>
          <t>01/02/2016</t>
        </is>
      </c>
      <c r="M39" s="15" t="inlineStr">
        <is>
          <t>Elder Studios, 4-6 Elder Street, London</t>
        </is>
      </c>
      <c r="N39" s="15" t="inlineStr">
        <is>
          <t>E1 6BT</t>
        </is>
      </c>
      <c r="O39" s="15" t="inlineStr">
        <is>
          <t>No</t>
        </is>
      </c>
      <c r="P39" s="15" t="n"/>
      <c r="Q39" s="15" t="n"/>
      <c r="R39" s="15" t="n"/>
      <c r="S39" s="15" t="inlineStr">
        <is>
          <t>hello@whitepaperco.com</t>
        </is>
      </c>
      <c r="T39" s="15" t="inlineStr">
        <is>
          <t>c general inbox</t>
        </is>
      </c>
      <c r="U39" s="16" t="inlineStr">
        <is>
          <t>https://www.whitepaperco.com/</t>
        </is>
      </c>
      <c r="X39" s="15" t="inlineStr">
        <is>
          <t>Elder Studios, 4-6 Elder Street</t>
        </is>
      </c>
      <c r="Y39" s="15" t="inlineStr">
        <is>
          <t>E1 6BT</t>
        </is>
      </c>
      <c r="Z39" s="15" t="inlineStr">
        <is>
          <t>Website (Elder Studios, 4-6 Elder Street)</t>
        </is>
      </c>
      <c r="AA39" s="15" t="inlineStr">
        <is>
          <t>Shoreditch Powerleague</t>
        </is>
      </c>
      <c r="AB39" s="15" t="n">
        <v>4</v>
      </c>
      <c r="AC39" s="15" t="inlineStr">
        <is>
          <t>Shoreditch Powerleague</t>
        </is>
      </c>
      <c r="AD39" s="15" t="inlineStr">
        <is>
          <t>Monday 28 September at 17:40</t>
        </is>
      </c>
      <c r="AE39" s="15" t="inlineStr">
        <is>
          <t>One-off</t>
        </is>
      </c>
      <c r="AF39" s="15" t="inlineStr">
        <is>
          <t>5-a-side</t>
        </is>
      </c>
      <c r="AG39" s="17">
        <f>IF(Offer!$D$5="","",Offer!$D$5)</f>
        <v/>
      </c>
      <c r="AH39" s="15" t="n"/>
      <c r="AI39" s="15" t="n"/>
      <c r="AJ39" s="18">
        <f>IF(V39&lt;&gt;"",V39,S39)</f>
        <v/>
      </c>
      <c r="AK39" s="18">
        <f>IF(AG39="","",AF39&amp;" football "&amp;AD39&amp;" · "&amp;AB39&amp;" min from your office")</f>
        <v/>
      </c>
      <c r="AL39" s="18">
        <f>IF(AG39="","","Hi "&amp;IF(P39&lt;&gt;"",P39,F39&amp;" team")&amp;","&amp;CHAR(10)&amp;CHAR(10)&amp;IF(AH39&lt;&gt;"","Saw that "&amp;F39&amp;" "&amp;AH39&amp;"."&amp;CHAR(10)&amp;CHAR(10),"")&amp;"I'm "&amp;IF(AQ39&lt;&gt;"",AQ39,Offer!$D$8)&amp;" from FC Urban. We run weekly after-work football for London teams. We have a "&amp;AF39&amp;" pitch at "&amp;AC39&amp;", a "&amp;AB39&amp;"-minute walk from your office on "&amp;IF(X39&lt;&gt;"",X39,Y39)&amp;", free "&amp;AD39&amp;". It's "&amp;"£"&amp;IF(AG39=INT(AG39),TEXT(AG39,"0"),TEXT(AG39,"0.00"))&amp;" a player: we book the pitch and handle sign-ups and payments, so someone just shares one link with the team."&amp;CHAR(10)&amp;CHAR(10)&amp;"Would your team be up for a weekly game? Happy to hold the slot for "&amp;F39&amp;" this week."&amp;CHAR(10)&amp;CHAR(10)&amp;"Best,"&amp;CHAR(10)&amp;IF(AQ39&lt;&gt;"",AQ39,Offer!$D$8)&amp;CHAR(10)&amp;"FC Urban")</f>
        <v/>
      </c>
      <c r="AM39" s="18">
        <f>IF(AG39="","","Hi "&amp;IF(P39&lt;&gt;"",P39,F39&amp;" team")&amp;","&amp;CHAR(10)&amp;CHAR(10)&amp;"Quick follow-up: the "&amp;AF39&amp;" pitch at "&amp;AC39&amp;" is still free "&amp;AD39&amp;", "&amp;"£"&amp;IF(AG39=INT(AG39),TEXT(AG39,"0"),TEXT(AG39,"0.00"))&amp;" a player, "&amp;AB39&amp;" minutes from your office. Shall I hold it for "&amp;F39&amp;"?"&amp;CHAR(10)&amp;CHAR(10)&amp;"Best,"&amp;CHAR(10)&amp;IF(AQ39&lt;&gt;"",AQ39,Offer!$D$8)&amp;CHAR(10)&amp;"FC Urban")</f>
        <v/>
      </c>
      <c r="AN39" s="15" t="inlineStr">
        <is>
          <t>pass</t>
        </is>
      </c>
      <c r="AO39" s="15" t="inlineStr">
        <is>
          <t>MX ok · mailbox not verified</t>
        </is>
      </c>
      <c r="AP39" s="18">
        <f>IF(AG39="","No – no confirmed London price per player",IF(AJ39="","No – no email",IF(AN39&lt;&gt;"pass","No – suppressed","Yes")))</f>
        <v/>
      </c>
      <c r="AR39" s="19" t="n"/>
      <c r="AS39" s="19" t="n"/>
    </row>
    <row r="40">
      <c r="A40" s="15" t="n">
        <v>38</v>
      </c>
      <c r="B40" s="15" t="n">
        <v>3</v>
      </c>
      <c r="C40" s="15" t="inlineStr">
        <is>
          <t>Tech / software</t>
        </is>
      </c>
      <c r="D40" s="15" t="inlineStr">
        <is>
          <t>E1</t>
        </is>
      </c>
      <c r="E40" s="15" t="inlineStr">
        <is>
          <t>Made Tech Limited</t>
        </is>
      </c>
      <c r="F40" s="15" t="inlineStr">
        <is>
          <t>Made Tech</t>
        </is>
      </c>
      <c r="G40" s="16" t="inlineStr">
        <is>
          <t>https://made.studio</t>
        </is>
      </c>
      <c r="H40" s="15" t="inlineStr">
        <is>
          <t>Not stated</t>
        </is>
      </c>
      <c r="I40" s="15" t="inlineStr">
        <is>
          <t>06591591</t>
        </is>
      </c>
      <c r="J40" s="16" t="inlineStr">
        <is>
          <t>Open</t>
        </is>
      </c>
      <c r="K40" s="15" t="inlineStr">
        <is>
          <t>Full</t>
        </is>
      </c>
      <c r="L40" s="15" t="inlineStr">
        <is>
          <t>13/05/2008</t>
        </is>
      </c>
      <c r="M40" s="15" t="inlineStr">
        <is>
          <t>Fora, 35-41 Folgate Street, London</t>
        </is>
      </c>
      <c r="N40" s="15" t="inlineStr">
        <is>
          <t>E1 6BX</t>
        </is>
      </c>
      <c r="O40" s="15" t="inlineStr">
        <is>
          <t>No</t>
        </is>
      </c>
      <c r="P40" s="15" t="n"/>
      <c r="Q40" s="15" t="n"/>
      <c r="R40" s="15" t="n"/>
      <c r="S40" s="15" t="inlineStr">
        <is>
          <t>hello@made.studio</t>
        </is>
      </c>
      <c r="T40" s="15" t="inlineStr">
        <is>
          <t>c general inbox</t>
        </is>
      </c>
      <c r="U40" s="16" t="inlineStr">
        <is>
          <t>https://made.studio/</t>
        </is>
      </c>
      <c r="X40" s="15" t="inlineStr">
        <is>
          <t>FORA, 35-41 FOLGATE STREET</t>
        </is>
      </c>
      <c r="Y40" s="15" t="inlineStr">
        <is>
          <t>E1 6BX</t>
        </is>
      </c>
      <c r="Z40" s="15" t="inlineStr">
        <is>
          <t>Website (FORA, 35-41 FOLGATE STREET)</t>
        </is>
      </c>
      <c r="AA40" s="15" t="inlineStr">
        <is>
          <t>Shoreditch Powerleague</t>
        </is>
      </c>
      <c r="AB40" s="15" t="n">
        <v>5</v>
      </c>
      <c r="AC40" s="15" t="inlineStr">
        <is>
          <t>Shoreditch Powerleague</t>
        </is>
      </c>
      <c r="AD40" s="15" t="inlineStr">
        <is>
          <t>Monday 28 September at 17:40</t>
        </is>
      </c>
      <c r="AE40" s="15" t="inlineStr">
        <is>
          <t>One-off</t>
        </is>
      </c>
      <c r="AF40" s="15" t="inlineStr">
        <is>
          <t>5-a-side</t>
        </is>
      </c>
      <c r="AG40" s="17">
        <f>IF(Offer!$D$5="","",Offer!$D$5)</f>
        <v/>
      </c>
      <c r="AH40" s="15" t="n"/>
      <c r="AI40" s="15" t="n"/>
      <c r="AJ40" s="18">
        <f>IF(V40&lt;&gt;"",V40,S40)</f>
        <v/>
      </c>
      <c r="AK40" s="18">
        <f>IF(AG40="","",AF40&amp;" football "&amp;AD40&amp;" · "&amp;AB40&amp;" min from your office")</f>
        <v/>
      </c>
      <c r="AL40" s="18">
        <f>IF(AG40="","","Hi "&amp;IF(P40&lt;&gt;"",P40,F40&amp;" team")&amp;","&amp;CHAR(10)&amp;CHAR(10)&amp;IF(AH40&lt;&gt;"","Saw that "&amp;F40&amp;" "&amp;AH40&amp;"."&amp;CHAR(10)&amp;CHAR(10),"")&amp;"I'm "&amp;IF(AQ40&lt;&gt;"",AQ40,Offer!$D$8)&amp;" from FC Urban. We run weekly after-work football for London teams. We have a "&amp;AF40&amp;" pitch at "&amp;AC40&amp;", a "&amp;AB40&amp;"-minute walk from your office on "&amp;IF(X40&lt;&gt;"",X40,Y40)&amp;", free "&amp;AD40&amp;". It's "&amp;"£"&amp;IF(AG40=INT(AG40),TEXT(AG40,"0"),TEXT(AG40,"0.00"))&amp;" a player: we book the pitch and handle sign-ups and payments, so someone just shares one link with the team."&amp;CHAR(10)&amp;CHAR(10)&amp;"Would your team be up for a weekly game? Happy to hold the slot for "&amp;F40&amp;" this week."&amp;CHAR(10)&amp;CHAR(10)&amp;"Best,"&amp;CHAR(10)&amp;IF(AQ40&lt;&gt;"",AQ40,Offer!$D$8)&amp;CHAR(10)&amp;"FC Urban")</f>
        <v/>
      </c>
      <c r="AM40" s="18">
        <f>IF(AG40="","","Hi "&amp;IF(P40&lt;&gt;"",P40,F40&amp;" team")&amp;","&amp;CHAR(10)&amp;CHAR(10)&amp;"Quick follow-up: the "&amp;AF40&amp;" pitch at "&amp;AC40&amp;" is still free "&amp;AD40&amp;", "&amp;"£"&amp;IF(AG40=INT(AG40),TEXT(AG40,"0"),TEXT(AG40,"0.00"))&amp;" a player, "&amp;AB40&amp;" minutes from your office. Shall I hold it for "&amp;F40&amp;"?"&amp;CHAR(10)&amp;CHAR(10)&amp;"Best,"&amp;CHAR(10)&amp;IF(AQ40&lt;&gt;"",AQ40,Offer!$D$8)&amp;CHAR(10)&amp;"FC Urban")</f>
        <v/>
      </c>
      <c r="AN40" s="15" t="inlineStr">
        <is>
          <t>pass</t>
        </is>
      </c>
      <c r="AO40" s="15" t="inlineStr">
        <is>
          <t>MX ok · mailbox not verified</t>
        </is>
      </c>
      <c r="AP40" s="18">
        <f>IF(AG40="","No – no confirmed London price per player",IF(AJ40="","No – no email",IF(AN40&lt;&gt;"pass","No – suppressed","Yes")))</f>
        <v/>
      </c>
      <c r="AR40" s="19" t="n"/>
      <c r="AS40" s="19" t="n"/>
    </row>
    <row r="41">
      <c r="A41" s="15" t="n">
        <v>39</v>
      </c>
      <c r="B41" s="15" t="n">
        <v>3</v>
      </c>
      <c r="C41" s="15" t="inlineStr">
        <is>
          <t>Professional services (LLP)</t>
        </is>
      </c>
      <c r="D41" s="15" t="inlineStr">
        <is>
          <t>EC2A</t>
        </is>
      </c>
      <c r="E41" s="15" t="inlineStr">
        <is>
          <t>Gill Jennings &amp; Every LLP</t>
        </is>
      </c>
      <c r="F41" s="15" t="inlineStr">
        <is>
          <t>Gill Jennings &amp; Every</t>
        </is>
      </c>
      <c r="G41" s="16" t="inlineStr">
        <is>
          <t>https://www.gje.com</t>
        </is>
      </c>
      <c r="H41" s="15" t="inlineStr">
        <is>
          <t>Not stated</t>
        </is>
      </c>
      <c r="I41" s="15" t="inlineStr">
        <is>
          <t>OC313165</t>
        </is>
      </c>
      <c r="J41" s="16" t="inlineStr">
        <is>
          <t>Open</t>
        </is>
      </c>
      <c r="K41" s="15" t="inlineStr">
        <is>
          <t>Full</t>
        </is>
      </c>
      <c r="L41" s="15" t="inlineStr">
        <is>
          <t>09/05/2005</t>
        </is>
      </c>
      <c r="M41" s="15" t="inlineStr">
        <is>
          <t>The Broadgate Tower, 20 Primrose Street, London</t>
        </is>
      </c>
      <c r="N41" s="15" t="inlineStr">
        <is>
          <t>EC2A 2ES</t>
        </is>
      </c>
      <c r="O41" s="15" t="inlineStr">
        <is>
          <t>No</t>
        </is>
      </c>
      <c r="P41" s="15" t="n"/>
      <c r="Q41" s="15" t="n"/>
      <c r="R41" s="15" t="n"/>
      <c r="S41" s="15" t="inlineStr">
        <is>
          <t>gje@gje.com</t>
        </is>
      </c>
      <c r="T41" s="15" t="inlineStr">
        <is>
          <t>c general inbox</t>
        </is>
      </c>
      <c r="U41" s="16" t="inlineStr">
        <is>
          <t>https://www.gje.com/</t>
        </is>
      </c>
      <c r="X41" s="15" t="n"/>
      <c r="Y41" s="15" t="inlineStr">
        <is>
          <t>EC2A 2ES</t>
        </is>
      </c>
      <c r="Z41" s="15" t="inlineStr">
        <is>
          <t>Website</t>
        </is>
      </c>
      <c r="AA41" s="15" t="inlineStr">
        <is>
          <t>Shoreditch Powerleague</t>
        </is>
      </c>
      <c r="AB41" s="15" t="n">
        <v>6</v>
      </c>
      <c r="AC41" s="15" t="inlineStr">
        <is>
          <t>Shoreditch Powerleague</t>
        </is>
      </c>
      <c r="AD41" s="15" t="inlineStr">
        <is>
          <t>Monday 28 September at 17:40</t>
        </is>
      </c>
      <c r="AE41" s="15" t="inlineStr">
        <is>
          <t>One-off</t>
        </is>
      </c>
      <c r="AF41" s="15" t="inlineStr">
        <is>
          <t>5-a-side</t>
        </is>
      </c>
      <c r="AG41" s="17">
        <f>IF(Offer!$D$5="","",Offer!$D$5)</f>
        <v/>
      </c>
      <c r="AH41" s="15" t="n"/>
      <c r="AI41" s="15" t="n"/>
      <c r="AJ41" s="18">
        <f>IF(V41&lt;&gt;"",V41,S41)</f>
        <v/>
      </c>
      <c r="AK41" s="18">
        <f>IF(AG41="","",AF41&amp;" football "&amp;AD41&amp;" · "&amp;AB41&amp;" min from your office")</f>
        <v/>
      </c>
      <c r="AL41" s="18">
        <f>IF(AG41="","","Hi "&amp;IF(P41&lt;&gt;"",P41,F41&amp;" team")&amp;","&amp;CHAR(10)&amp;CHAR(10)&amp;IF(AH41&lt;&gt;"","Saw that "&amp;F41&amp;" "&amp;AH41&amp;"."&amp;CHAR(10)&amp;CHAR(10),"")&amp;"I'm "&amp;IF(AQ41&lt;&gt;"",AQ41,Offer!$D$8)&amp;" from FC Urban. We run weekly after-work football for London teams. We have a "&amp;AF41&amp;" pitch at "&amp;AC41&amp;", a "&amp;AB41&amp;"-minute walk from your office on "&amp;IF(X41&lt;&gt;"",X41,Y41)&amp;", free "&amp;AD41&amp;". It's "&amp;"£"&amp;IF(AG41=INT(AG41),TEXT(AG41,"0"),TEXT(AG41,"0.00"))&amp;" a player: we book the pitch and handle sign-ups and payments, so someone just shares one link with the team."&amp;CHAR(10)&amp;CHAR(10)&amp;"Would your team be up for a weekly game? Happy to hold the slot for "&amp;F41&amp;" this week."&amp;CHAR(10)&amp;CHAR(10)&amp;"Best,"&amp;CHAR(10)&amp;IF(AQ41&lt;&gt;"",AQ41,Offer!$D$8)&amp;CHAR(10)&amp;"FC Urban")</f>
        <v/>
      </c>
      <c r="AM41" s="18">
        <f>IF(AG41="","","Hi "&amp;IF(P41&lt;&gt;"",P41,F41&amp;" team")&amp;","&amp;CHAR(10)&amp;CHAR(10)&amp;"Quick follow-up: the "&amp;AF41&amp;" pitch at "&amp;AC41&amp;" is still free "&amp;AD41&amp;", "&amp;"£"&amp;IF(AG41=INT(AG41),TEXT(AG41,"0"),TEXT(AG41,"0.00"))&amp;" a player, "&amp;AB41&amp;" minutes from your office. Shall I hold it for "&amp;F41&amp;"?"&amp;CHAR(10)&amp;CHAR(10)&amp;"Best,"&amp;CHAR(10)&amp;IF(AQ41&lt;&gt;"",AQ41,Offer!$D$8)&amp;CHAR(10)&amp;"FC Urban")</f>
        <v/>
      </c>
      <c r="AN41" s="15" t="inlineStr">
        <is>
          <t>pass</t>
        </is>
      </c>
      <c r="AO41" s="15" t="inlineStr">
        <is>
          <t>MX ok · mailbox not verified</t>
        </is>
      </c>
      <c r="AP41" s="18">
        <f>IF(AG41="","No – no confirmed London price per player",IF(AJ41="","No – no email",IF(AN41&lt;&gt;"pass","No – suppressed","Yes")))</f>
        <v/>
      </c>
      <c r="AR41" s="19" t="n"/>
      <c r="AS41" s="19" t="n"/>
    </row>
    <row r="42">
      <c r="A42" s="15" t="n">
        <v>40</v>
      </c>
      <c r="B42" s="15" t="n">
        <v>3</v>
      </c>
      <c r="C42" s="15" t="inlineStr">
        <is>
          <t>Professional services (LLP)</t>
        </is>
      </c>
      <c r="D42" s="15" t="inlineStr">
        <is>
          <t>E1</t>
        </is>
      </c>
      <c r="E42" s="15" t="inlineStr">
        <is>
          <t>Squadron LLP</t>
        </is>
      </c>
      <c r="F42" s="15" t="inlineStr">
        <is>
          <t>Squadron</t>
        </is>
      </c>
      <c r="G42" s="16" t="inlineStr">
        <is>
          <t>https://squadron.com</t>
        </is>
      </c>
      <c r="H42" s="15" t="inlineStr">
        <is>
          <t>Not stated</t>
        </is>
      </c>
      <c r="I42" s="15" t="inlineStr">
        <is>
          <t>OC449650</t>
        </is>
      </c>
      <c r="J42" s="16" t="inlineStr">
        <is>
          <t>Open</t>
        </is>
      </c>
      <c r="K42" s="15" t="inlineStr">
        <is>
          <t>Full</t>
        </is>
      </c>
      <c r="L42" s="15" t="inlineStr">
        <is>
          <t>25/10/2023</t>
        </is>
      </c>
      <c r="M42" s="15" t="inlineStr">
        <is>
          <t>One Bishops Square, London</t>
        </is>
      </c>
      <c r="N42" s="15" t="inlineStr">
        <is>
          <t>E1 6AD</t>
        </is>
      </c>
      <c r="O42" s="15" t="inlineStr">
        <is>
          <t>No</t>
        </is>
      </c>
      <c r="P42" s="15" t="n"/>
      <c r="Q42" s="15" t="n"/>
      <c r="R42" s="15" t="n"/>
      <c r="S42" s="15" t="inlineStr">
        <is>
          <t>info@squadron.com</t>
        </is>
      </c>
      <c r="T42" s="15" t="inlineStr">
        <is>
          <t>c general inbox</t>
        </is>
      </c>
      <c r="U42" s="16" t="inlineStr">
        <is>
          <t>https://squadron.com/</t>
        </is>
      </c>
      <c r="X42" s="15" t="n"/>
      <c r="Y42" s="15" t="inlineStr">
        <is>
          <t>E1 6AD</t>
        </is>
      </c>
      <c r="Z42" s="15" t="inlineStr">
        <is>
          <t>Registered office (no address on website)</t>
        </is>
      </c>
      <c r="AA42" s="15" t="inlineStr">
        <is>
          <t>Shoreditch Powerleague</t>
        </is>
      </c>
      <c r="AB42" s="15" t="n">
        <v>6</v>
      </c>
      <c r="AC42" s="15" t="inlineStr">
        <is>
          <t>Shoreditch Powerleague</t>
        </is>
      </c>
      <c r="AD42" s="15" t="inlineStr">
        <is>
          <t>Monday 28 September at 17:40</t>
        </is>
      </c>
      <c r="AE42" s="15" t="inlineStr">
        <is>
          <t>One-off</t>
        </is>
      </c>
      <c r="AF42" s="15" t="inlineStr">
        <is>
          <t>5-a-side</t>
        </is>
      </c>
      <c r="AG42" s="17">
        <f>IF(Offer!$D$5="","",Offer!$D$5)</f>
        <v/>
      </c>
      <c r="AH42" s="15" t="n"/>
      <c r="AI42" s="15" t="n"/>
      <c r="AJ42" s="18">
        <f>IF(V42&lt;&gt;"",V42,S42)</f>
        <v/>
      </c>
      <c r="AK42" s="18">
        <f>IF(AG42="","",AF42&amp;" football "&amp;AD42&amp;" · "&amp;AB42&amp;" min from your office")</f>
        <v/>
      </c>
      <c r="AL42" s="18">
        <f>IF(AG42="","","Hi "&amp;IF(P42&lt;&gt;"",P42,F42&amp;" team")&amp;","&amp;CHAR(10)&amp;CHAR(10)&amp;IF(AH42&lt;&gt;"","Saw that "&amp;F42&amp;" "&amp;AH42&amp;"."&amp;CHAR(10)&amp;CHAR(10),"")&amp;"I'm "&amp;IF(AQ42&lt;&gt;"",AQ42,Offer!$D$8)&amp;" from FC Urban. We run weekly after-work football for London teams. We have a "&amp;AF42&amp;" pitch at "&amp;AC42&amp;", a "&amp;AB42&amp;"-minute walk from your office on "&amp;IF(X42&lt;&gt;"",X42,Y42)&amp;", free "&amp;AD42&amp;". It's "&amp;"£"&amp;IF(AG42=INT(AG42),TEXT(AG42,"0"),TEXT(AG42,"0.00"))&amp;" a player: we book the pitch and handle sign-ups and payments, so someone just shares one link with the team."&amp;CHAR(10)&amp;CHAR(10)&amp;"Would your team be up for a weekly game? Happy to hold the slot for "&amp;F42&amp;" this week."&amp;CHAR(10)&amp;CHAR(10)&amp;"Best,"&amp;CHAR(10)&amp;IF(AQ42&lt;&gt;"",AQ42,Offer!$D$8)&amp;CHAR(10)&amp;"FC Urban")</f>
        <v/>
      </c>
      <c r="AM42" s="18">
        <f>IF(AG42="","","Hi "&amp;IF(P42&lt;&gt;"",P42,F42&amp;" team")&amp;","&amp;CHAR(10)&amp;CHAR(10)&amp;"Quick follow-up: the "&amp;AF42&amp;" pitch at "&amp;AC42&amp;" is still free "&amp;AD42&amp;", "&amp;"£"&amp;IF(AG42=INT(AG42),TEXT(AG42,"0"),TEXT(AG42,"0.00"))&amp;" a player, "&amp;AB42&amp;" minutes from your office. Shall I hold it for "&amp;F42&amp;"?"&amp;CHAR(10)&amp;CHAR(10)&amp;"Best,"&amp;CHAR(10)&amp;IF(AQ42&lt;&gt;"",AQ42,Offer!$D$8)&amp;CHAR(10)&amp;"FC Urban")</f>
        <v/>
      </c>
      <c r="AN42" s="15" t="inlineStr">
        <is>
          <t>pass</t>
        </is>
      </c>
      <c r="AO42" s="15" t="inlineStr">
        <is>
          <t>MX ok · mailbox not verified</t>
        </is>
      </c>
      <c r="AP42" s="18">
        <f>IF(AG42="","No – no confirmed London price per player",IF(AJ42="","No – no email",IF(AN42&lt;&gt;"pass","No – suppressed","Yes")))</f>
        <v/>
      </c>
      <c r="AR42" s="19" t="n"/>
      <c r="AS42" s="19" t="n"/>
    </row>
    <row r="43">
      <c r="A43" s="15" t="n">
        <v>41</v>
      </c>
      <c r="B43" s="15" t="n">
        <v>3</v>
      </c>
      <c r="C43" s="15" t="inlineStr">
        <is>
          <t>Professional services (LLP)</t>
        </is>
      </c>
      <c r="D43" s="15" t="inlineStr">
        <is>
          <t>EC2M</t>
        </is>
      </c>
      <c r="E43" s="15" t="inlineStr">
        <is>
          <t>Rbb Economics LLP</t>
        </is>
      </c>
      <c r="F43" s="15" t="inlineStr">
        <is>
          <t>Rbb Economics</t>
        </is>
      </c>
      <c r="G43" s="16" t="inlineStr">
        <is>
          <t>https://www.rbbecon.com</t>
        </is>
      </c>
      <c r="H43" s="15" t="n">
        <v>190</v>
      </c>
      <c r="I43" s="15" t="inlineStr">
        <is>
          <t>OC315356</t>
        </is>
      </c>
      <c r="J43" s="16" t="inlineStr">
        <is>
          <t>Open</t>
        </is>
      </c>
      <c r="K43" s="15" t="inlineStr">
        <is>
          <t>Group</t>
        </is>
      </c>
      <c r="L43" s="15" t="inlineStr">
        <is>
          <t>26/09/2005</t>
        </is>
      </c>
      <c r="M43" s="15" t="inlineStr">
        <is>
          <t>199 Bishopsgate, London</t>
        </is>
      </c>
      <c r="N43" s="15" t="inlineStr">
        <is>
          <t>EC2M 3TY</t>
        </is>
      </c>
      <c r="O43" s="15" t="inlineStr">
        <is>
          <t>No</t>
        </is>
      </c>
      <c r="P43" s="15" t="n"/>
      <c r="Q43" s="15" t="n"/>
      <c r="R43" s="15" t="n"/>
      <c r="S43" s="15" t="inlineStr">
        <is>
          <t>london@rbbecon.com</t>
        </is>
      </c>
      <c r="T43" s="15" t="inlineStr">
        <is>
          <t>c general inbox</t>
        </is>
      </c>
      <c r="U43" s="16" t="inlineStr">
        <is>
          <t>https://www.rbbecon.com/contact/</t>
        </is>
      </c>
      <c r="X43" s="15" t="n"/>
      <c r="Y43" s="15" t="inlineStr">
        <is>
          <t>EC2M 3TY</t>
        </is>
      </c>
      <c r="Z43" s="15" t="inlineStr">
        <is>
          <t>Website</t>
        </is>
      </c>
      <c r="AA43" s="15" t="inlineStr">
        <is>
          <t>Shoreditch Powerleague</t>
        </is>
      </c>
      <c r="AB43" s="15" t="n">
        <v>7</v>
      </c>
      <c r="AC43" s="15" t="inlineStr">
        <is>
          <t>Shoreditch Powerleague</t>
        </is>
      </c>
      <c r="AD43" s="15" t="inlineStr">
        <is>
          <t>Monday 28 September at 17:40</t>
        </is>
      </c>
      <c r="AE43" s="15" t="inlineStr">
        <is>
          <t>One-off</t>
        </is>
      </c>
      <c r="AF43" s="15" t="inlineStr">
        <is>
          <t>5-a-side</t>
        </is>
      </c>
      <c r="AG43" s="17">
        <f>IF(Offer!$D$5="","",Offer!$D$5)</f>
        <v/>
      </c>
      <c r="AH43" s="15" t="inlineStr">
        <is>
          <t>team of 190 economics consultants</t>
        </is>
      </c>
      <c r="AI43" s="16" t="inlineStr">
        <is>
          <t>https://www.rbbecon.com/team/</t>
        </is>
      </c>
      <c r="AJ43" s="18">
        <f>IF(V43&lt;&gt;"",V43,S43)</f>
        <v/>
      </c>
      <c r="AK43" s="18">
        <f>IF(AG43="","",AF43&amp;" football "&amp;AD43&amp;" · "&amp;AB43&amp;" min from your office")</f>
        <v/>
      </c>
      <c r="AL43" s="18">
        <f>IF(AG43="","","Hi "&amp;IF(P43&lt;&gt;"",P43,F43&amp;" team")&amp;","&amp;CHAR(10)&amp;CHAR(10)&amp;IF(AH43&lt;&gt;"","Saw that "&amp;F43&amp;" "&amp;AH43&amp;"."&amp;CHAR(10)&amp;CHAR(10),"")&amp;"I'm "&amp;IF(AQ43&lt;&gt;"",AQ43,Offer!$D$8)&amp;" from FC Urban. We run weekly after-work football for London teams. We have a "&amp;AF43&amp;" pitch at "&amp;AC43&amp;", a "&amp;AB43&amp;"-minute walk from your office on "&amp;IF(X43&lt;&gt;"",X43,Y43)&amp;", free "&amp;AD43&amp;". It's "&amp;"£"&amp;IF(AG43=INT(AG43),TEXT(AG43,"0"),TEXT(AG43,"0.00"))&amp;" a player: we book the pitch and handle sign-ups and payments, so someone just shares one link with the team."&amp;CHAR(10)&amp;CHAR(10)&amp;"Would your team be up for a weekly game? Happy to hold the slot for "&amp;F43&amp;" this week."&amp;CHAR(10)&amp;CHAR(10)&amp;"Best,"&amp;CHAR(10)&amp;IF(AQ43&lt;&gt;"",AQ43,Offer!$D$8)&amp;CHAR(10)&amp;"FC Urban")</f>
        <v/>
      </c>
      <c r="AM43" s="18">
        <f>IF(AG43="","","Hi "&amp;IF(P43&lt;&gt;"",P43,F43&amp;" team")&amp;","&amp;CHAR(10)&amp;CHAR(10)&amp;"Quick follow-up: the "&amp;AF43&amp;" pitch at "&amp;AC43&amp;" is still free "&amp;AD43&amp;", "&amp;"£"&amp;IF(AG43=INT(AG43),TEXT(AG43,"0"),TEXT(AG43,"0.00"))&amp;" a player, "&amp;AB43&amp;" minutes from your office. Shall I hold it for "&amp;F43&amp;"?"&amp;CHAR(10)&amp;CHAR(10)&amp;"Best,"&amp;CHAR(10)&amp;IF(AQ43&lt;&gt;"",AQ43,Offer!$D$8)&amp;CHAR(10)&amp;"FC Urban")</f>
        <v/>
      </c>
      <c r="AN43" s="15" t="inlineStr">
        <is>
          <t>pass</t>
        </is>
      </c>
      <c r="AO43" s="15" t="inlineStr">
        <is>
          <t>MX ok · mailbox not verified</t>
        </is>
      </c>
      <c r="AP43" s="18">
        <f>IF(AG43="","No – no confirmed London price per player",IF(AJ43="","No – no email",IF(AN43&lt;&gt;"pass","No – suppressed","Yes")))</f>
        <v/>
      </c>
      <c r="AR43" s="19" t="n"/>
      <c r="AS43" s="19" t="n"/>
    </row>
    <row r="44">
      <c r="A44" s="15" t="n">
        <v>42</v>
      </c>
      <c r="B44" s="15" t="n">
        <v>3</v>
      </c>
      <c r="C44" s="15" t="inlineStr">
        <is>
          <t>Tech / software</t>
        </is>
      </c>
      <c r="D44" s="15" t="inlineStr">
        <is>
          <t>EC2M</t>
        </is>
      </c>
      <c r="E44" s="15" t="inlineStr">
        <is>
          <t>Quantexa Limited</t>
        </is>
      </c>
      <c r="F44" s="15" t="inlineStr">
        <is>
          <t>Quantexa</t>
        </is>
      </c>
      <c r="G44" s="16" t="inlineStr">
        <is>
          <t>https://www.quantexa.com</t>
        </is>
      </c>
      <c r="H44" s="15" t="inlineStr">
        <is>
          <t>Not stated</t>
        </is>
      </c>
      <c r="I44" s="15" t="inlineStr">
        <is>
          <t>10045407</t>
        </is>
      </c>
      <c r="J44" s="16" t="inlineStr">
        <is>
          <t>Open</t>
        </is>
      </c>
      <c r="K44" s="15" t="inlineStr">
        <is>
          <t>Group</t>
        </is>
      </c>
      <c r="L44" s="15" t="inlineStr">
        <is>
          <t>07/03/2016</t>
        </is>
      </c>
      <c r="M44" s="15" t="inlineStr">
        <is>
          <t>C/O Company Secretarial Department, 280 Bishopsgate, London</t>
        </is>
      </c>
      <c r="N44" s="15" t="inlineStr">
        <is>
          <t>EC2M 4AG</t>
        </is>
      </c>
      <c r="O44" s="15" t="inlineStr">
        <is>
          <t>No</t>
        </is>
      </c>
      <c r="P44" s="15" t="n"/>
      <c r="Q44" s="15" t="n"/>
      <c r="R44" s="15" t="n"/>
      <c r="S44" s="15" t="inlineStr">
        <is>
          <t>info@quantexa.com</t>
        </is>
      </c>
      <c r="T44" s="15" t="inlineStr">
        <is>
          <t>c general inbox</t>
        </is>
      </c>
      <c r="U44" s="16" t="inlineStr">
        <is>
          <t>https://www.quantexa.com/</t>
        </is>
      </c>
      <c r="X44" s="15" t="n"/>
      <c r="Y44" s="15" t="inlineStr">
        <is>
          <t>EC2M 4AG</t>
        </is>
      </c>
      <c r="Z44" s="15" t="inlineStr">
        <is>
          <t>Website (other page)</t>
        </is>
      </c>
      <c r="AA44" s="15" t="inlineStr">
        <is>
          <t>Shoreditch Powerleague</t>
        </is>
      </c>
      <c r="AB44" s="15" t="n">
        <v>7</v>
      </c>
      <c r="AC44" s="15" t="inlineStr">
        <is>
          <t>Shoreditch Powerleague</t>
        </is>
      </c>
      <c r="AD44" s="15" t="inlineStr">
        <is>
          <t>Monday 28 September at 17:40</t>
        </is>
      </c>
      <c r="AE44" s="15" t="inlineStr">
        <is>
          <t>One-off</t>
        </is>
      </c>
      <c r="AF44" s="15" t="inlineStr">
        <is>
          <t>5-a-side</t>
        </is>
      </c>
      <c r="AG44" s="17">
        <f>IF(Offer!$D$5="","",Offer!$D$5)</f>
        <v/>
      </c>
      <c r="AH44" s="15" t="n"/>
      <c r="AI44" s="15" t="n"/>
      <c r="AJ44" s="18">
        <f>IF(V44&lt;&gt;"",V44,S44)</f>
        <v/>
      </c>
      <c r="AK44" s="18">
        <f>IF(AG44="","",AF44&amp;" football "&amp;AD44&amp;" · "&amp;AB44&amp;" min from your office")</f>
        <v/>
      </c>
      <c r="AL44" s="18">
        <f>IF(AG44="","","Hi "&amp;IF(P44&lt;&gt;"",P44,F44&amp;" team")&amp;","&amp;CHAR(10)&amp;CHAR(10)&amp;IF(AH44&lt;&gt;"","Saw that "&amp;F44&amp;" "&amp;AH44&amp;"."&amp;CHAR(10)&amp;CHAR(10),"")&amp;"I'm "&amp;IF(AQ44&lt;&gt;"",AQ44,Offer!$D$8)&amp;" from FC Urban. We run weekly after-work football for London teams. We have a "&amp;AF44&amp;" pitch at "&amp;AC44&amp;", a "&amp;AB44&amp;"-minute walk from your office on "&amp;IF(X44&lt;&gt;"",X44,Y44)&amp;", free "&amp;AD44&amp;". It's "&amp;"£"&amp;IF(AG44=INT(AG44),TEXT(AG44,"0"),TEXT(AG44,"0.00"))&amp;" a player: we book the pitch and handle sign-ups and payments, so someone just shares one link with the team."&amp;CHAR(10)&amp;CHAR(10)&amp;"Would your team be up for a weekly game? Happy to hold the slot for "&amp;F44&amp;" this week."&amp;CHAR(10)&amp;CHAR(10)&amp;"Best,"&amp;CHAR(10)&amp;IF(AQ44&lt;&gt;"",AQ44,Offer!$D$8)&amp;CHAR(10)&amp;"FC Urban")</f>
        <v/>
      </c>
      <c r="AM44" s="18">
        <f>IF(AG44="","","Hi "&amp;IF(P44&lt;&gt;"",P44,F44&amp;" team")&amp;","&amp;CHAR(10)&amp;CHAR(10)&amp;"Quick follow-up: the "&amp;AF44&amp;" pitch at "&amp;AC44&amp;" is still free "&amp;AD44&amp;", "&amp;"£"&amp;IF(AG44=INT(AG44),TEXT(AG44,"0"),TEXT(AG44,"0.00"))&amp;" a player, "&amp;AB44&amp;" minutes from your office. Shall I hold it for "&amp;F44&amp;"?"&amp;CHAR(10)&amp;CHAR(10)&amp;"Best,"&amp;CHAR(10)&amp;IF(AQ44&lt;&gt;"",AQ44,Offer!$D$8)&amp;CHAR(10)&amp;"FC Urban")</f>
        <v/>
      </c>
      <c r="AN44" s="15" t="inlineStr">
        <is>
          <t>pass</t>
        </is>
      </c>
      <c r="AO44" s="15" t="inlineStr">
        <is>
          <t>MX ok · mailbox not verified</t>
        </is>
      </c>
      <c r="AP44" s="18">
        <f>IF(AG44="","No – no confirmed London price per player",IF(AJ44="","No – no email",IF(AN44&lt;&gt;"pass","No – suppressed","Yes")))</f>
        <v/>
      </c>
      <c r="AR44" s="19" t="n"/>
      <c r="AS44" s="19" t="n"/>
    </row>
    <row r="45">
      <c r="A45" s="15" t="n">
        <v>43</v>
      </c>
      <c r="B45" s="15" t="n">
        <v>3</v>
      </c>
      <c r="C45" s="15" t="inlineStr">
        <is>
          <t>Tech / software</t>
        </is>
      </c>
      <c r="D45" s="15" t="inlineStr">
        <is>
          <t>EC2A</t>
        </is>
      </c>
      <c r="E45" s="15" t="inlineStr">
        <is>
          <t>Hadean Supercomputing Ltd</t>
        </is>
      </c>
      <c r="F45" s="15" t="inlineStr">
        <is>
          <t>Hadean Supercomputing</t>
        </is>
      </c>
      <c r="G45" s="16" t="inlineStr">
        <is>
          <t>https://hadean.com</t>
        </is>
      </c>
      <c r="H45" s="15" t="inlineStr">
        <is>
          <t>Not stated</t>
        </is>
      </c>
      <c r="I45" s="15" t="inlineStr">
        <is>
          <t>09808169</t>
        </is>
      </c>
      <c r="J45" s="16" t="inlineStr">
        <is>
          <t>Open</t>
        </is>
      </c>
      <c r="K45" s="15" t="inlineStr">
        <is>
          <t>Group</t>
        </is>
      </c>
      <c r="L45" s="15" t="inlineStr">
        <is>
          <t>03/10/2015</t>
        </is>
      </c>
      <c r="M45" s="15" t="inlineStr">
        <is>
          <t>9 Appold Street, London</t>
        </is>
      </c>
      <c r="N45" s="15" t="inlineStr">
        <is>
          <t>EC2A 2AP</t>
        </is>
      </c>
      <c r="O45" s="15" t="inlineStr">
        <is>
          <t>No</t>
        </is>
      </c>
      <c r="P45" s="15" t="n"/>
      <c r="Q45" s="15" t="n"/>
      <c r="R45" s="15" t="n"/>
      <c r="S45" s="15" t="inlineStr">
        <is>
          <t>people@hadean.com</t>
        </is>
      </c>
      <c r="T45" s="15" t="inlineStr">
        <is>
          <t>c general inbox</t>
        </is>
      </c>
      <c r="U45" s="16" t="inlineStr">
        <is>
          <t>https://hadean.com/careers/</t>
        </is>
      </c>
      <c r="X45" s="15" t="n"/>
      <c r="Y45" s="15" t="inlineStr">
        <is>
          <t>EC2A 2AP</t>
        </is>
      </c>
      <c r="Z45" s="15" t="inlineStr">
        <is>
          <t>Website</t>
        </is>
      </c>
      <c r="AA45" s="15" t="inlineStr">
        <is>
          <t>Shoreditch Powerleague</t>
        </is>
      </c>
      <c r="AB45" s="15" t="n">
        <v>7</v>
      </c>
      <c r="AC45" s="15" t="inlineStr">
        <is>
          <t>Shoreditch Powerleague</t>
        </is>
      </c>
      <c r="AD45" s="15" t="inlineStr">
        <is>
          <t>Monday 28 September at 17:40</t>
        </is>
      </c>
      <c r="AE45" s="15" t="inlineStr">
        <is>
          <t>One-off</t>
        </is>
      </c>
      <c r="AF45" s="15" t="inlineStr">
        <is>
          <t>5-a-side</t>
        </is>
      </c>
      <c r="AG45" s="17">
        <f>IF(Offer!$D$5="","",Offer!$D$5)</f>
        <v/>
      </c>
      <c r="AH45" s="15" t="n"/>
      <c r="AI45" s="15" t="n"/>
      <c r="AJ45" s="18">
        <f>IF(V45&lt;&gt;"",V45,S45)</f>
        <v/>
      </c>
      <c r="AK45" s="18">
        <f>IF(AG45="","",AF45&amp;" football "&amp;AD45&amp;" · "&amp;AB45&amp;" min from your office")</f>
        <v/>
      </c>
      <c r="AL45" s="18">
        <f>IF(AG45="","","Hi "&amp;IF(P45&lt;&gt;"",P45,F45&amp;" team")&amp;","&amp;CHAR(10)&amp;CHAR(10)&amp;IF(AH45&lt;&gt;"","Saw that "&amp;F45&amp;" "&amp;AH45&amp;"."&amp;CHAR(10)&amp;CHAR(10),"")&amp;"I'm "&amp;IF(AQ45&lt;&gt;"",AQ45,Offer!$D$8)&amp;" from FC Urban. We run weekly after-work football for London teams. We have a "&amp;AF45&amp;" pitch at "&amp;AC45&amp;", a "&amp;AB45&amp;"-minute walk from your office on "&amp;IF(X45&lt;&gt;"",X45,Y45)&amp;", free "&amp;AD45&amp;". It's "&amp;"£"&amp;IF(AG45=INT(AG45),TEXT(AG45,"0"),TEXT(AG45,"0.00"))&amp;" a player: we book the pitch and handle sign-ups and payments, so someone just shares one link with the team."&amp;CHAR(10)&amp;CHAR(10)&amp;"Would your team be up for a weekly game? Happy to hold the slot for "&amp;F45&amp;" this week."&amp;CHAR(10)&amp;CHAR(10)&amp;"Best,"&amp;CHAR(10)&amp;IF(AQ45&lt;&gt;"",AQ45,Offer!$D$8)&amp;CHAR(10)&amp;"FC Urban")</f>
        <v/>
      </c>
      <c r="AM45" s="18">
        <f>IF(AG45="","","Hi "&amp;IF(P45&lt;&gt;"",P45,F45&amp;" team")&amp;","&amp;CHAR(10)&amp;CHAR(10)&amp;"Quick follow-up: the "&amp;AF45&amp;" pitch at "&amp;AC45&amp;" is still free "&amp;AD45&amp;", "&amp;"£"&amp;IF(AG45=INT(AG45),TEXT(AG45,"0"),TEXT(AG45,"0.00"))&amp;" a player, "&amp;AB45&amp;" minutes from your office. Shall I hold it for "&amp;F45&amp;"?"&amp;CHAR(10)&amp;CHAR(10)&amp;"Best,"&amp;CHAR(10)&amp;IF(AQ45&lt;&gt;"",AQ45,Offer!$D$8)&amp;CHAR(10)&amp;"FC Urban")</f>
        <v/>
      </c>
      <c r="AN45" s="15" t="inlineStr">
        <is>
          <t>pass</t>
        </is>
      </c>
      <c r="AO45" s="15" t="inlineStr">
        <is>
          <t>MX ok · mailbox not verified</t>
        </is>
      </c>
      <c r="AP45" s="18">
        <f>IF(AG45="","No – no confirmed London price per player",IF(AJ45="","No – no email",IF(AN45&lt;&gt;"pass","No – suppressed","Yes")))</f>
        <v/>
      </c>
      <c r="AR45" s="19" t="n"/>
      <c r="AS45" s="19" t="n"/>
    </row>
    <row r="46">
      <c r="A46" s="15" t="n">
        <v>44</v>
      </c>
      <c r="B46" s="15" t="n">
        <v>3</v>
      </c>
      <c r="C46" s="15" t="inlineStr">
        <is>
          <t>Architecture</t>
        </is>
      </c>
      <c r="D46" s="15" t="inlineStr">
        <is>
          <t>EC1V</t>
        </is>
      </c>
      <c r="E46" s="15" t="inlineStr">
        <is>
          <t>Maccreanor Lavington Limited</t>
        </is>
      </c>
      <c r="F46" s="15" t="inlineStr">
        <is>
          <t>Maccreanor Lavington</t>
        </is>
      </c>
      <c r="G46" s="16" t="inlineStr">
        <is>
          <t>https://www.maccreanorlavington.com</t>
        </is>
      </c>
      <c r="H46" s="15" t="n">
        <v>80</v>
      </c>
      <c r="I46" s="15" t="inlineStr">
        <is>
          <t>04944069</t>
        </is>
      </c>
      <c r="J46" s="16" t="inlineStr">
        <is>
          <t>Open</t>
        </is>
      </c>
      <c r="K46" s="15" t="inlineStr">
        <is>
          <t>Group</t>
        </is>
      </c>
      <c r="L46" s="15" t="inlineStr">
        <is>
          <t>27/10/2003</t>
        </is>
      </c>
      <c r="M46" s="15" t="inlineStr">
        <is>
          <t>4Th Floor, 63 -71 Gee Street, London</t>
        </is>
      </c>
      <c r="N46" s="15" t="inlineStr">
        <is>
          <t>EC1V 3RS</t>
        </is>
      </c>
      <c r="O46" s="15" t="inlineStr">
        <is>
          <t>No</t>
        </is>
      </c>
      <c r="P46" s="15" t="n"/>
      <c r="Q46" s="15" t="n"/>
      <c r="R46" s="15" t="n"/>
      <c r="S46" s="15" t="inlineStr">
        <is>
          <t>nl@maccreanorlavington.com</t>
        </is>
      </c>
      <c r="T46" s="15" t="inlineStr">
        <is>
          <t>c general inbox</t>
        </is>
      </c>
      <c r="U46" s="16" t="inlineStr">
        <is>
          <t>https://www.maccreanorlavington.com/</t>
        </is>
      </c>
      <c r="X46" s="15" t="inlineStr">
        <is>
          <t>63 Gee Street</t>
        </is>
      </c>
      <c r="Y46" s="15" t="inlineStr">
        <is>
          <t>EC1V 3RS</t>
        </is>
      </c>
      <c r="Z46" s="15" t="inlineStr">
        <is>
          <t>Website (63 Gee Street)</t>
        </is>
      </c>
      <c r="AA46" s="15" t="inlineStr">
        <is>
          <t>Old St - Moreland Primary School</t>
        </is>
      </c>
      <c r="AB46" s="15" t="n">
        <v>7</v>
      </c>
      <c r="AC46" s="15" t="inlineStr">
        <is>
          <t>Old St - Moreland Primary School</t>
        </is>
      </c>
      <c r="AD46" s="15" t="inlineStr">
        <is>
          <t>Monday 12 October at 18:00</t>
        </is>
      </c>
      <c r="AE46" s="15" t="inlineStr">
        <is>
          <t>One-off</t>
        </is>
      </c>
      <c r="AF46" s="15" t="inlineStr">
        <is>
          <t>6-a-side</t>
        </is>
      </c>
      <c r="AG46" s="17">
        <f>IF(Offer!$D$5="","",Offer!$D$5)</f>
        <v/>
      </c>
      <c r="AH46" s="15" t="inlineStr">
        <is>
          <t>recognised with many awards including the RIBA Stirling Prize</t>
        </is>
      </c>
      <c r="AI46" s="16" t="inlineStr">
        <is>
          <t>https://www.maccreanorlavington.com/practice/about-us/</t>
        </is>
      </c>
      <c r="AJ46" s="18">
        <f>IF(V46&lt;&gt;"",V46,S46)</f>
        <v/>
      </c>
      <c r="AK46" s="18">
        <f>IF(AG46="","",AF46&amp;" football "&amp;AD46&amp;" · "&amp;AB46&amp;" min from your office")</f>
        <v/>
      </c>
      <c r="AL46" s="18">
        <f>IF(AG46="","","Hi "&amp;IF(P46&lt;&gt;"",P46,F46&amp;" team")&amp;","&amp;CHAR(10)&amp;CHAR(10)&amp;IF(AH46&lt;&gt;"","Saw that "&amp;F46&amp;" "&amp;AH46&amp;"."&amp;CHAR(10)&amp;CHAR(10),"")&amp;"I'm "&amp;IF(AQ46&lt;&gt;"",AQ46,Offer!$D$8)&amp;" from FC Urban. We run weekly after-work football for London teams. We have a "&amp;AF46&amp;" pitch at "&amp;AC46&amp;", a "&amp;AB46&amp;"-minute walk from your office on "&amp;IF(X46&lt;&gt;"",X46,Y46)&amp;", free "&amp;AD46&amp;". It's "&amp;"£"&amp;IF(AG46=INT(AG46),TEXT(AG46,"0"),TEXT(AG46,"0.00"))&amp;" a player: we book the pitch and handle sign-ups and payments, so someone just shares one link with the team."&amp;CHAR(10)&amp;CHAR(10)&amp;"Would your team be up for a weekly game? Happy to hold the slot for "&amp;F46&amp;" this week."&amp;CHAR(10)&amp;CHAR(10)&amp;"Best,"&amp;CHAR(10)&amp;IF(AQ46&lt;&gt;"",AQ46,Offer!$D$8)&amp;CHAR(10)&amp;"FC Urban")</f>
        <v/>
      </c>
      <c r="AM46" s="18">
        <f>IF(AG46="","","Hi "&amp;IF(P46&lt;&gt;"",P46,F46&amp;" team")&amp;","&amp;CHAR(10)&amp;CHAR(10)&amp;"Quick follow-up: the "&amp;AF46&amp;" pitch at "&amp;AC46&amp;" is still free "&amp;AD46&amp;", "&amp;"£"&amp;IF(AG46=INT(AG46),TEXT(AG46,"0"),TEXT(AG46,"0.00"))&amp;" a player, "&amp;AB46&amp;" minutes from your office. Shall I hold it for "&amp;F46&amp;"?"&amp;CHAR(10)&amp;CHAR(10)&amp;"Best,"&amp;CHAR(10)&amp;IF(AQ46&lt;&gt;"",AQ46,Offer!$D$8)&amp;CHAR(10)&amp;"FC Urban")</f>
        <v/>
      </c>
      <c r="AN46" s="15" t="inlineStr">
        <is>
          <t>pass</t>
        </is>
      </c>
      <c r="AO46" s="15" t="inlineStr">
        <is>
          <t>MX ok · mailbox not verified</t>
        </is>
      </c>
      <c r="AP46" s="18">
        <f>IF(AG46="","No – no confirmed London price per player",IF(AJ46="","No – no email",IF(AN46&lt;&gt;"pass","No – suppressed","Yes")))</f>
        <v/>
      </c>
      <c r="AR46" s="19" t="n"/>
      <c r="AS46" s="19" t="n"/>
    </row>
    <row r="47">
      <c r="A47" s="15" t="n">
        <v>45</v>
      </c>
      <c r="B47" s="15" t="n">
        <v>3</v>
      </c>
      <c r="C47" s="15" t="inlineStr">
        <is>
          <t>Tech / software</t>
        </is>
      </c>
      <c r="D47" s="15" t="inlineStr">
        <is>
          <t>EC1V</t>
        </is>
      </c>
      <c r="E47" s="15" t="inlineStr">
        <is>
          <t>Tvf Limited</t>
        </is>
      </c>
      <c r="F47" s="15" t="inlineStr">
        <is>
          <t>Tvf</t>
        </is>
      </c>
      <c r="G47" s="16" t="inlineStr">
        <is>
          <t>https://tvf.co.uk</t>
        </is>
      </c>
      <c r="H47" s="15" t="inlineStr">
        <is>
          <t>Not stated</t>
        </is>
      </c>
      <c r="I47" s="15" t="inlineStr">
        <is>
          <t>02830019</t>
        </is>
      </c>
      <c r="J47" s="16" t="inlineStr">
        <is>
          <t>Open</t>
        </is>
      </c>
      <c r="K47" s="15" t="inlineStr">
        <is>
          <t>Medium</t>
        </is>
      </c>
      <c r="L47" s="15" t="inlineStr">
        <is>
          <t>24/06/1993</t>
        </is>
      </c>
      <c r="M47" s="15" t="inlineStr">
        <is>
          <t>375 City Road, London</t>
        </is>
      </c>
      <c r="N47" s="15" t="inlineStr">
        <is>
          <t>EC1V 1NB</t>
        </is>
      </c>
      <c r="O47" s="15" t="inlineStr">
        <is>
          <t>No</t>
        </is>
      </c>
      <c r="P47" s="15" t="n"/>
      <c r="Q47" s="15" t="n"/>
      <c r="R47" s="15" t="n"/>
      <c r="S47" s="15" t="inlineStr">
        <is>
          <t>cvs@tvf.co.uk</t>
        </is>
      </c>
      <c r="T47" s="15" t="inlineStr">
        <is>
          <t>c general inbox</t>
        </is>
      </c>
      <c r="U47" s="16" t="inlineStr">
        <is>
          <t>https://tvf.co.uk/contact</t>
        </is>
      </c>
      <c r="X47" s="15" t="inlineStr">
        <is>
          <t>375 City Road</t>
        </is>
      </c>
      <c r="Y47" s="15" t="inlineStr">
        <is>
          <t>EC1V 1NB</t>
        </is>
      </c>
      <c r="Z47" s="15" t="inlineStr">
        <is>
          <t>Website (375 City Road)</t>
        </is>
      </c>
      <c r="AA47" s="15" t="inlineStr">
        <is>
          <t>Old St - Moreland Primary School</t>
        </is>
      </c>
      <c r="AB47" s="15" t="n">
        <v>8</v>
      </c>
      <c r="AC47" s="15" t="inlineStr">
        <is>
          <t>Old St - Moreland Primary School</t>
        </is>
      </c>
      <c r="AD47" s="15" t="inlineStr">
        <is>
          <t>Monday 12 October at 18:00</t>
        </is>
      </c>
      <c r="AE47" s="15" t="inlineStr">
        <is>
          <t>One-off</t>
        </is>
      </c>
      <c r="AF47" s="15" t="inlineStr">
        <is>
          <t>6-a-side</t>
        </is>
      </c>
      <c r="AG47" s="17">
        <f>IF(Offer!$D$5="","",Offer!$D$5)</f>
        <v/>
      </c>
      <c r="AH47" s="15" t="inlineStr">
        <is>
          <t>award-winning media company with TV and software divisions</t>
        </is>
      </c>
      <c r="AI47" s="16" t="inlineStr">
        <is>
          <t>https://tvf.co.uk/</t>
        </is>
      </c>
      <c r="AJ47" s="18">
        <f>IF(V47&lt;&gt;"",V47,S47)</f>
        <v/>
      </c>
      <c r="AK47" s="18">
        <f>IF(AG47="","",AF47&amp;" football "&amp;AD47&amp;" · "&amp;AB47&amp;" min from your office")</f>
        <v/>
      </c>
      <c r="AL47" s="18">
        <f>IF(AG47="","","Hi "&amp;IF(P47&lt;&gt;"",P47,F47&amp;" team")&amp;","&amp;CHAR(10)&amp;CHAR(10)&amp;IF(AH47&lt;&gt;"","Saw that "&amp;F47&amp;" "&amp;AH47&amp;"."&amp;CHAR(10)&amp;CHAR(10),"")&amp;"I'm "&amp;IF(AQ47&lt;&gt;"",AQ47,Offer!$D$8)&amp;" from FC Urban. We run weekly after-work football for London teams. We have a "&amp;AF47&amp;" pitch at "&amp;AC47&amp;", a "&amp;AB47&amp;"-minute walk from your office on "&amp;IF(X47&lt;&gt;"",X47,Y47)&amp;", free "&amp;AD47&amp;". It's "&amp;"£"&amp;IF(AG47=INT(AG47),TEXT(AG47,"0"),TEXT(AG47,"0.00"))&amp;" a player: we book the pitch and handle sign-ups and payments, so someone just shares one link with the team."&amp;CHAR(10)&amp;CHAR(10)&amp;"Would your team be up for a weekly game? Happy to hold the slot for "&amp;F47&amp;" this week."&amp;CHAR(10)&amp;CHAR(10)&amp;"Best,"&amp;CHAR(10)&amp;IF(AQ47&lt;&gt;"",AQ47,Offer!$D$8)&amp;CHAR(10)&amp;"FC Urban")</f>
        <v/>
      </c>
      <c r="AM47" s="18">
        <f>IF(AG47="","","Hi "&amp;IF(P47&lt;&gt;"",P47,F47&amp;" team")&amp;","&amp;CHAR(10)&amp;CHAR(10)&amp;"Quick follow-up: the "&amp;AF47&amp;" pitch at "&amp;AC47&amp;" is still free "&amp;AD47&amp;", "&amp;"£"&amp;IF(AG47=INT(AG47),TEXT(AG47,"0"),TEXT(AG47,"0.00"))&amp;" a player, "&amp;AB47&amp;" minutes from your office. Shall I hold it for "&amp;F47&amp;"?"&amp;CHAR(10)&amp;CHAR(10)&amp;"Best,"&amp;CHAR(10)&amp;IF(AQ47&lt;&gt;"",AQ47,Offer!$D$8)&amp;CHAR(10)&amp;"FC Urban")</f>
        <v/>
      </c>
      <c r="AN47" s="15" t="inlineStr">
        <is>
          <t>pass</t>
        </is>
      </c>
      <c r="AO47" s="15" t="inlineStr">
        <is>
          <t>MX ok · mailbox not verified</t>
        </is>
      </c>
      <c r="AP47" s="18">
        <f>IF(AG47="","No – no confirmed London price per player",IF(AJ47="","No – no email",IF(AN47&lt;&gt;"pass","No – suppressed","Yes")))</f>
        <v/>
      </c>
      <c r="AR47" s="19" t="n"/>
      <c r="AS47" s="19" t="n"/>
    </row>
    <row r="48">
      <c r="A48" s="15" t="n">
        <v>46</v>
      </c>
      <c r="B48" s="15" t="n">
        <v>3</v>
      </c>
      <c r="C48" s="15" t="inlineStr">
        <is>
          <t>Recruitment</t>
        </is>
      </c>
      <c r="D48" s="15" t="inlineStr">
        <is>
          <t>EC2A</t>
        </is>
      </c>
      <c r="E48" s="15" t="inlineStr">
        <is>
          <t>Montash Limited</t>
        </is>
      </c>
      <c r="F48" s="15" t="inlineStr">
        <is>
          <t>Montash</t>
        </is>
      </c>
      <c r="G48" s="16" t="inlineStr">
        <is>
          <t>https://montash.com</t>
        </is>
      </c>
      <c r="H48" s="15" t="inlineStr">
        <is>
          <t>Not stated</t>
        </is>
      </c>
      <c r="I48" s="15" t="inlineStr">
        <is>
          <t>05195273</t>
        </is>
      </c>
      <c r="J48" s="16" t="inlineStr">
        <is>
          <t>Open</t>
        </is>
      </c>
      <c r="K48" s="15" t="inlineStr">
        <is>
          <t>Group</t>
        </is>
      </c>
      <c r="L48" s="15" t="inlineStr">
        <is>
          <t>02/08/2004</t>
        </is>
      </c>
      <c r="M48" s="15" t="inlineStr">
        <is>
          <t>100 Clifton Street, London</t>
        </is>
      </c>
      <c r="N48" s="15" t="inlineStr">
        <is>
          <t>EC2A 4TP</t>
        </is>
      </c>
      <c r="O48" s="15" t="inlineStr">
        <is>
          <t>No</t>
        </is>
      </c>
      <c r="P48" s="15" t="n"/>
      <c r="Q48" s="15" t="n"/>
      <c r="R48" s="15" t="n"/>
      <c r="S48" s="15" t="inlineStr">
        <is>
          <t>info@montash.com</t>
        </is>
      </c>
      <c r="T48" s="15" t="inlineStr">
        <is>
          <t>c general inbox</t>
        </is>
      </c>
      <c r="U48" s="16" t="inlineStr">
        <is>
          <t>https://montash.com/</t>
        </is>
      </c>
      <c r="X48" s="15" t="inlineStr">
        <is>
          <t>100 Clifton Street</t>
        </is>
      </c>
      <c r="Y48" s="15" t="inlineStr">
        <is>
          <t>EC2A 4TP</t>
        </is>
      </c>
      <c r="Z48" s="15" t="inlineStr">
        <is>
          <t>Website (100 Clifton Street)</t>
        </is>
      </c>
      <c r="AA48" s="15" t="inlineStr">
        <is>
          <t>Shoreditch Powerleague</t>
        </is>
      </c>
      <c r="AB48" s="15" t="n">
        <v>8</v>
      </c>
      <c r="AC48" s="15" t="inlineStr">
        <is>
          <t>Shoreditch Powerleague</t>
        </is>
      </c>
      <c r="AD48" s="15" t="inlineStr">
        <is>
          <t>Monday 28 September at 17:40</t>
        </is>
      </c>
      <c r="AE48" s="15" t="inlineStr">
        <is>
          <t>One-off</t>
        </is>
      </c>
      <c r="AF48" s="15" t="inlineStr">
        <is>
          <t>5-a-side</t>
        </is>
      </c>
      <c r="AG48" s="17">
        <f>IF(Offer!$D$5="","",Offer!$D$5)</f>
        <v/>
      </c>
      <c r="AH48" s="15" t="n"/>
      <c r="AI48" s="15" t="n"/>
      <c r="AJ48" s="18">
        <f>IF(V48&lt;&gt;"",V48,S48)</f>
        <v/>
      </c>
      <c r="AK48" s="18">
        <f>IF(AG48="","",AF48&amp;" football "&amp;AD48&amp;" · "&amp;AB48&amp;" min from your office")</f>
        <v/>
      </c>
      <c r="AL48" s="18">
        <f>IF(AG48="","","Hi "&amp;IF(P48&lt;&gt;"",P48,F48&amp;" team")&amp;","&amp;CHAR(10)&amp;CHAR(10)&amp;IF(AH48&lt;&gt;"","Saw that "&amp;F48&amp;" "&amp;AH48&amp;"."&amp;CHAR(10)&amp;CHAR(10),"")&amp;"I'm "&amp;IF(AQ48&lt;&gt;"",AQ48,Offer!$D$8)&amp;" from FC Urban. We run weekly after-work football for London teams. We have a "&amp;AF48&amp;" pitch at "&amp;AC48&amp;", a "&amp;AB48&amp;"-minute walk from your office on "&amp;IF(X48&lt;&gt;"",X48,Y48)&amp;", free "&amp;AD48&amp;". It's "&amp;"£"&amp;IF(AG48=INT(AG48),TEXT(AG48,"0"),TEXT(AG48,"0.00"))&amp;" a player: we book the pitch and handle sign-ups and payments, so someone just shares one link with the team."&amp;CHAR(10)&amp;CHAR(10)&amp;"Would your team be up for a weekly game? Happy to hold the slot for "&amp;F48&amp;" this week."&amp;CHAR(10)&amp;CHAR(10)&amp;"Best,"&amp;CHAR(10)&amp;IF(AQ48&lt;&gt;"",AQ48,Offer!$D$8)&amp;CHAR(10)&amp;"FC Urban")</f>
        <v/>
      </c>
      <c r="AM48" s="18">
        <f>IF(AG48="","","Hi "&amp;IF(P48&lt;&gt;"",P48,F48&amp;" team")&amp;","&amp;CHAR(10)&amp;CHAR(10)&amp;"Quick follow-up: the "&amp;AF48&amp;" pitch at "&amp;AC48&amp;" is still free "&amp;AD48&amp;", "&amp;"£"&amp;IF(AG48=INT(AG48),TEXT(AG48,"0"),TEXT(AG48,"0.00"))&amp;" a player, "&amp;AB48&amp;" minutes from your office. Shall I hold it for "&amp;F48&amp;"?"&amp;CHAR(10)&amp;CHAR(10)&amp;"Best,"&amp;CHAR(10)&amp;IF(AQ48&lt;&gt;"",AQ48,Offer!$D$8)&amp;CHAR(10)&amp;"FC Urban")</f>
        <v/>
      </c>
      <c r="AN48" s="15" t="inlineStr">
        <is>
          <t>pass</t>
        </is>
      </c>
      <c r="AO48" s="15" t="inlineStr">
        <is>
          <t>MX ok · mailbox not verified</t>
        </is>
      </c>
      <c r="AP48" s="18">
        <f>IF(AG48="","No – no confirmed London price per player",IF(AJ48="","No – no email",IF(AN48&lt;&gt;"pass","No – suppressed","Yes")))</f>
        <v/>
      </c>
      <c r="AR48" s="19" t="n"/>
      <c r="AS48" s="19" t="n"/>
    </row>
    <row r="49">
      <c r="A49" s="15" t="n">
        <v>47</v>
      </c>
      <c r="B49" s="15" t="n">
        <v>3</v>
      </c>
      <c r="C49" s="15" t="inlineStr">
        <is>
          <t>Professional services (LLP)</t>
        </is>
      </c>
      <c r="D49" s="15" t="inlineStr">
        <is>
          <t>E2</t>
        </is>
      </c>
      <c r="E49" s="15" t="inlineStr">
        <is>
          <t>Valeo Foods (Group) UK LLP</t>
        </is>
      </c>
      <c r="F49" s="15" t="inlineStr">
        <is>
          <t>Valeo Foods</t>
        </is>
      </c>
      <c r="G49" s="16" t="inlineStr">
        <is>
          <t>https://www.valeofoods.co.uk</t>
        </is>
      </c>
      <c r="H49" s="15" t="inlineStr">
        <is>
          <t>Not stated</t>
        </is>
      </c>
      <c r="I49" s="15" t="inlineStr">
        <is>
          <t>OC391111</t>
        </is>
      </c>
      <c r="J49" s="16" t="inlineStr">
        <is>
          <t>Open</t>
        </is>
      </c>
      <c r="K49" s="15" t="inlineStr">
        <is>
          <t>Full</t>
        </is>
      </c>
      <c r="L49" s="15" t="inlineStr">
        <is>
          <t>13/02/2014</t>
        </is>
      </c>
      <c r="M49" s="15" t="inlineStr">
        <is>
          <t>9 Perseverance Works, Kingsland Road, London</t>
        </is>
      </c>
      <c r="N49" s="15" t="inlineStr">
        <is>
          <t>E2 8DD</t>
        </is>
      </c>
      <c r="O49" s="15" t="inlineStr">
        <is>
          <t>No</t>
        </is>
      </c>
      <c r="P49" s="15" t="n"/>
      <c r="Q49" s="15" t="n"/>
      <c r="R49" s="15" t="n"/>
      <c r="S49" s="15" t="inlineStr">
        <is>
          <t>consumers@valeofoods.co.uk</t>
        </is>
      </c>
      <c r="T49" s="15" t="inlineStr">
        <is>
          <t>c general inbox</t>
        </is>
      </c>
      <c r="U49" s="16" t="inlineStr">
        <is>
          <t>https://www.valeofoods.co.uk/contact</t>
        </is>
      </c>
      <c r="X49" s="15" t="inlineStr">
        <is>
          <t>9 Perseverance Works, Kingsland Road, London</t>
        </is>
      </c>
      <c r="Y49" s="15" t="inlineStr">
        <is>
          <t>E2 8DD</t>
        </is>
      </c>
      <c r="Z49" s="15" t="inlineStr">
        <is>
          <t>Website (9 Perseverance Works, Kingsland Road, London)</t>
        </is>
      </c>
      <c r="AA49" s="15" t="inlineStr">
        <is>
          <t>Shoreditch Powerleague</t>
        </is>
      </c>
      <c r="AB49" s="15" t="n">
        <v>9</v>
      </c>
      <c r="AC49" s="15" t="inlineStr">
        <is>
          <t>Shoreditch Powerleague</t>
        </is>
      </c>
      <c r="AD49" s="15" t="inlineStr">
        <is>
          <t>Monday 28 September at 17:40</t>
        </is>
      </c>
      <c r="AE49" s="15" t="inlineStr">
        <is>
          <t>One-off</t>
        </is>
      </c>
      <c r="AF49" s="15" t="inlineStr">
        <is>
          <t>5-a-side</t>
        </is>
      </c>
      <c r="AG49" s="17">
        <f>IF(Offer!$D$5="","",Offer!$D$5)</f>
        <v/>
      </c>
      <c r="AH49" s="15" t="n"/>
      <c r="AI49" s="15" t="n"/>
      <c r="AJ49" s="18">
        <f>IF(V49&lt;&gt;"",V49,S49)</f>
        <v/>
      </c>
      <c r="AK49" s="18">
        <f>IF(AG49="","",AF49&amp;" football "&amp;AD49&amp;" · "&amp;AB49&amp;" min from your office")</f>
        <v/>
      </c>
      <c r="AL49" s="18">
        <f>IF(AG49="","","Hi "&amp;IF(P49&lt;&gt;"",P49,F49&amp;" team")&amp;","&amp;CHAR(10)&amp;CHAR(10)&amp;IF(AH49&lt;&gt;"","Saw that "&amp;F49&amp;" "&amp;AH49&amp;"."&amp;CHAR(10)&amp;CHAR(10),"")&amp;"I'm "&amp;IF(AQ49&lt;&gt;"",AQ49,Offer!$D$8)&amp;" from FC Urban. We run weekly after-work football for London teams. We have a "&amp;AF49&amp;" pitch at "&amp;AC49&amp;", a "&amp;AB49&amp;"-minute walk from your office on "&amp;IF(X49&lt;&gt;"",X49,Y49)&amp;", free "&amp;AD49&amp;". It's "&amp;"£"&amp;IF(AG49=INT(AG49),TEXT(AG49,"0"),TEXT(AG49,"0.00"))&amp;" a player: we book the pitch and handle sign-ups and payments, so someone just shares one link with the team."&amp;CHAR(10)&amp;CHAR(10)&amp;"Would your team be up for a weekly game? Happy to hold the slot for "&amp;F49&amp;" this week."&amp;CHAR(10)&amp;CHAR(10)&amp;"Best,"&amp;CHAR(10)&amp;IF(AQ49&lt;&gt;"",AQ49,Offer!$D$8)&amp;CHAR(10)&amp;"FC Urban")</f>
        <v/>
      </c>
      <c r="AM49" s="18">
        <f>IF(AG49="","","Hi "&amp;IF(P49&lt;&gt;"",P49,F49&amp;" team")&amp;","&amp;CHAR(10)&amp;CHAR(10)&amp;"Quick follow-up: the "&amp;AF49&amp;" pitch at "&amp;AC49&amp;" is still free "&amp;AD49&amp;", "&amp;"£"&amp;IF(AG49=INT(AG49),TEXT(AG49,"0"),TEXT(AG49,"0.00"))&amp;" a player, "&amp;AB49&amp;" minutes from your office. Shall I hold it for "&amp;F49&amp;"?"&amp;CHAR(10)&amp;CHAR(10)&amp;"Best,"&amp;CHAR(10)&amp;IF(AQ49&lt;&gt;"",AQ49,Offer!$D$8)&amp;CHAR(10)&amp;"FC Urban")</f>
        <v/>
      </c>
      <c r="AN49" s="15" t="inlineStr">
        <is>
          <t>pass</t>
        </is>
      </c>
      <c r="AO49" s="15" t="inlineStr">
        <is>
          <t>MX ok · mailbox not verified</t>
        </is>
      </c>
      <c r="AP49" s="18">
        <f>IF(AG49="","No – no confirmed London price per player",IF(AJ49="","No – no email",IF(AN49&lt;&gt;"pass","No – suppressed","Yes")))</f>
        <v/>
      </c>
      <c r="AR49" s="19" t="n"/>
      <c r="AS49" s="19" t="n"/>
    </row>
    <row r="50">
      <c r="A50" s="15" t="n">
        <v>48</v>
      </c>
      <c r="B50" s="15" t="n">
        <v>3</v>
      </c>
      <c r="C50" s="15" t="inlineStr">
        <is>
          <t>Architecture</t>
        </is>
      </c>
      <c r="D50" s="15" t="inlineStr">
        <is>
          <t>E2</t>
        </is>
      </c>
      <c r="E50" s="15" t="inlineStr">
        <is>
          <t>Atelier Ten Ltd</t>
        </is>
      </c>
      <c r="F50" s="15" t="inlineStr">
        <is>
          <t>Atelier Ten</t>
        </is>
      </c>
      <c r="G50" s="16" t="inlineStr">
        <is>
          <t>https://www.atelierten.com</t>
        </is>
      </c>
      <c r="H50" s="15" t="inlineStr">
        <is>
          <t>Not stated</t>
        </is>
      </c>
      <c r="I50" s="15" t="inlineStr">
        <is>
          <t>02552224</t>
        </is>
      </c>
      <c r="J50" s="16" t="inlineStr">
        <is>
          <t>Open</t>
        </is>
      </c>
      <c r="K50" s="15" t="inlineStr">
        <is>
          <t>Group</t>
        </is>
      </c>
      <c r="L50" s="15" t="inlineStr">
        <is>
          <t>25/10/1990</t>
        </is>
      </c>
      <c r="M50" s="15" t="inlineStr">
        <is>
          <t>19 Perseverance Works, 38 Kingsland Road, London</t>
        </is>
      </c>
      <c r="N50" s="15" t="inlineStr">
        <is>
          <t>E2 8DD</t>
        </is>
      </c>
      <c r="O50" s="15" t="inlineStr">
        <is>
          <t>No</t>
        </is>
      </c>
      <c r="P50" s="15" t="n"/>
      <c r="Q50" s="15" t="n"/>
      <c r="R50" s="15" t="n"/>
      <c r="S50" s="15" t="inlineStr">
        <is>
          <t>london@atelierten.com</t>
        </is>
      </c>
      <c r="T50" s="15" t="inlineStr">
        <is>
          <t>c general inbox</t>
        </is>
      </c>
      <c r="U50" s="16" t="inlineStr">
        <is>
          <t>https://www.atelierten.com/offices/london/</t>
        </is>
      </c>
      <c r="X50" s="15" t="inlineStr">
        <is>
          <t>London</t>
        </is>
      </c>
      <c r="Y50" s="15" t="inlineStr">
        <is>
          <t>E2 8DD</t>
        </is>
      </c>
      <c r="Z50" s="15" t="inlineStr">
        <is>
          <t>Website (London)</t>
        </is>
      </c>
      <c r="AA50" s="15" t="inlineStr">
        <is>
          <t>Shoreditch Powerleague</t>
        </is>
      </c>
      <c r="AB50" s="15" t="n">
        <v>9</v>
      </c>
      <c r="AC50" s="15" t="inlineStr">
        <is>
          <t>Shoreditch Powerleague</t>
        </is>
      </c>
      <c r="AD50" s="15" t="inlineStr">
        <is>
          <t>Monday 28 September at 17:40</t>
        </is>
      </c>
      <c r="AE50" s="15" t="inlineStr">
        <is>
          <t>One-off</t>
        </is>
      </c>
      <c r="AF50" s="15" t="inlineStr">
        <is>
          <t>5-a-side</t>
        </is>
      </c>
      <c r="AG50" s="17">
        <f>IF(Offer!$D$5="","",Offer!$D$5)</f>
        <v/>
      </c>
      <c r="AH50" s="15" t="n"/>
      <c r="AI50" s="15" t="n"/>
      <c r="AJ50" s="18">
        <f>IF(V50&lt;&gt;"",V50,S50)</f>
        <v/>
      </c>
      <c r="AK50" s="18">
        <f>IF(AG50="","",AF50&amp;" football "&amp;AD50&amp;" · "&amp;AB50&amp;" min from your office")</f>
        <v/>
      </c>
      <c r="AL50" s="18">
        <f>IF(AG50="","","Hi "&amp;IF(P50&lt;&gt;"",P50,F50&amp;" team")&amp;","&amp;CHAR(10)&amp;CHAR(10)&amp;IF(AH50&lt;&gt;"","Saw that "&amp;F50&amp;" "&amp;AH50&amp;"."&amp;CHAR(10)&amp;CHAR(10),"")&amp;"I'm "&amp;IF(AQ50&lt;&gt;"",AQ50,Offer!$D$8)&amp;" from FC Urban. We run weekly after-work football for London teams. We have a "&amp;AF50&amp;" pitch at "&amp;AC50&amp;", a "&amp;AB50&amp;"-minute walk from your office on "&amp;IF(X50&lt;&gt;"",X50,Y50)&amp;", free "&amp;AD50&amp;". It's "&amp;"£"&amp;IF(AG50=INT(AG50),TEXT(AG50,"0"),TEXT(AG50,"0.00"))&amp;" a player: we book the pitch and handle sign-ups and payments, so someone just shares one link with the team."&amp;CHAR(10)&amp;CHAR(10)&amp;"Would your team be up for a weekly game? Happy to hold the slot for "&amp;F50&amp;" this week."&amp;CHAR(10)&amp;CHAR(10)&amp;"Best,"&amp;CHAR(10)&amp;IF(AQ50&lt;&gt;"",AQ50,Offer!$D$8)&amp;CHAR(10)&amp;"FC Urban")</f>
        <v/>
      </c>
      <c r="AM50" s="18">
        <f>IF(AG50="","","Hi "&amp;IF(P50&lt;&gt;"",P50,F50&amp;" team")&amp;","&amp;CHAR(10)&amp;CHAR(10)&amp;"Quick follow-up: the "&amp;AF50&amp;" pitch at "&amp;AC50&amp;" is still free "&amp;AD50&amp;", "&amp;"£"&amp;IF(AG50=INT(AG50),TEXT(AG50,"0"),TEXT(AG50,"0.00"))&amp;" a player, "&amp;AB50&amp;" minutes from your office. Shall I hold it for "&amp;F50&amp;"?"&amp;CHAR(10)&amp;CHAR(10)&amp;"Best,"&amp;CHAR(10)&amp;IF(AQ50&lt;&gt;"",AQ50,Offer!$D$8)&amp;CHAR(10)&amp;"FC Urban")</f>
        <v/>
      </c>
      <c r="AN50" s="15" t="inlineStr">
        <is>
          <t>pass</t>
        </is>
      </c>
      <c r="AO50" s="15" t="inlineStr">
        <is>
          <t>MX ok · mailbox not verified</t>
        </is>
      </c>
      <c r="AP50" s="18">
        <f>IF(AG50="","No – no confirmed London price per player",IF(AJ50="","No – no email",IF(AN50&lt;&gt;"pass","No – suppressed","Yes")))</f>
        <v/>
      </c>
      <c r="AR50" s="19" t="n"/>
      <c r="AS50" s="19" t="n"/>
    </row>
    <row r="51">
      <c r="A51" s="15" t="n">
        <v>49</v>
      </c>
      <c r="B51" s="15" t="n">
        <v>3</v>
      </c>
      <c r="C51" s="15" t="inlineStr">
        <is>
          <t>Tech / software</t>
        </is>
      </c>
      <c r="D51" s="15" t="inlineStr">
        <is>
          <t>EC1V</t>
        </is>
      </c>
      <c r="E51" s="15" t="inlineStr">
        <is>
          <t>Aptem Ltd</t>
        </is>
      </c>
      <c r="F51" s="15" t="inlineStr">
        <is>
          <t>Aptem</t>
        </is>
      </c>
      <c r="G51" s="16" t="inlineStr">
        <is>
          <t>https://www.aptem.co.uk</t>
        </is>
      </c>
      <c r="H51" s="15" t="n">
        <v>100</v>
      </c>
      <c r="I51" s="15" t="inlineStr">
        <is>
          <t>06824227</t>
        </is>
      </c>
      <c r="J51" s="16" t="inlineStr">
        <is>
          <t>Open</t>
        </is>
      </c>
      <c r="K51" s="15" t="inlineStr">
        <is>
          <t>Full</t>
        </is>
      </c>
      <c r="L51" s="15" t="inlineStr">
        <is>
          <t>19/02/2009</t>
        </is>
      </c>
      <c r="M51" s="15" t="inlineStr">
        <is>
          <t>Eagle House, 167 City Road, London</t>
        </is>
      </c>
      <c r="N51" s="15" t="inlineStr">
        <is>
          <t>EC1V 1NR</t>
        </is>
      </c>
      <c r="O51" s="15" t="inlineStr">
        <is>
          <t>No</t>
        </is>
      </c>
      <c r="P51" s="15" t="n"/>
      <c r="Q51" s="15" t="n"/>
      <c r="R51" s="15" t="n"/>
      <c r="S51" s="15" t="inlineStr">
        <is>
          <t>info@aptem.co.uk</t>
        </is>
      </c>
      <c r="T51" s="15" t="inlineStr">
        <is>
          <t>c general inbox</t>
        </is>
      </c>
      <c r="U51" s="16" t="inlineStr">
        <is>
          <t>https://www.aptem.co.uk/contact-us/</t>
        </is>
      </c>
      <c r="X51" s="15" t="inlineStr">
        <is>
          <t>Eagle House, 167 City Road, London</t>
        </is>
      </c>
      <c r="Y51" s="15" t="inlineStr">
        <is>
          <t>EC1V 1NR</t>
        </is>
      </c>
      <c r="Z51" s="15" t="inlineStr">
        <is>
          <t>Website (Eagle House, 167 City Road, London)</t>
        </is>
      </c>
      <c r="AA51" s="15" t="inlineStr">
        <is>
          <t>Old St - Moreland Primary School</t>
        </is>
      </c>
      <c r="AB51" s="15" t="n">
        <v>9</v>
      </c>
      <c r="AC51" s="15" t="inlineStr">
        <is>
          <t>Old St - Moreland Primary School</t>
        </is>
      </c>
      <c r="AD51" s="15" t="inlineStr">
        <is>
          <t>Monday 12 October at 18:00</t>
        </is>
      </c>
      <c r="AE51" s="15" t="inlineStr">
        <is>
          <t>One-off</t>
        </is>
      </c>
      <c r="AF51" s="15" t="inlineStr">
        <is>
          <t>6-a-side</t>
        </is>
      </c>
      <c r="AG51" s="17">
        <f>IF(Offer!$D$5="","",Offer!$D$5)</f>
        <v/>
      </c>
      <c r="AH51" s="15" t="n"/>
      <c r="AI51" s="15" t="n"/>
      <c r="AJ51" s="18">
        <f>IF(V51&lt;&gt;"",V51,S51)</f>
        <v/>
      </c>
      <c r="AK51" s="18">
        <f>IF(AG51="","",AF51&amp;" football "&amp;AD51&amp;" · "&amp;AB51&amp;" min from your office")</f>
        <v/>
      </c>
      <c r="AL51" s="18">
        <f>IF(AG51="","","Hi "&amp;IF(P51&lt;&gt;"",P51,F51&amp;" team")&amp;","&amp;CHAR(10)&amp;CHAR(10)&amp;IF(AH51&lt;&gt;"","Saw that "&amp;F51&amp;" "&amp;AH51&amp;"."&amp;CHAR(10)&amp;CHAR(10),"")&amp;"I'm "&amp;IF(AQ51&lt;&gt;"",AQ51,Offer!$D$8)&amp;" from FC Urban. We run weekly after-work football for London teams. We have a "&amp;AF51&amp;" pitch at "&amp;AC51&amp;", a "&amp;AB51&amp;"-minute walk from your office on "&amp;IF(X51&lt;&gt;"",X51,Y51)&amp;", free "&amp;AD51&amp;". It's "&amp;"£"&amp;IF(AG51=INT(AG51),TEXT(AG51,"0"),TEXT(AG51,"0.00"))&amp;" a player: we book the pitch and handle sign-ups and payments, so someone just shares one link with the team."&amp;CHAR(10)&amp;CHAR(10)&amp;"Would your team be up for a weekly game? Happy to hold the slot for "&amp;F51&amp;" this week."&amp;CHAR(10)&amp;CHAR(10)&amp;"Best,"&amp;CHAR(10)&amp;IF(AQ51&lt;&gt;"",AQ51,Offer!$D$8)&amp;CHAR(10)&amp;"FC Urban")</f>
        <v/>
      </c>
      <c r="AM51" s="18">
        <f>IF(AG51="","","Hi "&amp;IF(P51&lt;&gt;"",P51,F51&amp;" team")&amp;","&amp;CHAR(10)&amp;CHAR(10)&amp;"Quick follow-up: the "&amp;AF51&amp;" pitch at "&amp;AC51&amp;" is still free "&amp;AD51&amp;", "&amp;"£"&amp;IF(AG51=INT(AG51),TEXT(AG51,"0"),TEXT(AG51,"0.00"))&amp;" a player, "&amp;AB51&amp;" minutes from your office. Shall I hold it for "&amp;F51&amp;"?"&amp;CHAR(10)&amp;CHAR(10)&amp;"Best,"&amp;CHAR(10)&amp;IF(AQ51&lt;&gt;"",AQ51,Offer!$D$8)&amp;CHAR(10)&amp;"FC Urban")</f>
        <v/>
      </c>
      <c r="AN51" s="15" t="inlineStr">
        <is>
          <t>pass</t>
        </is>
      </c>
      <c r="AO51" s="15" t="inlineStr">
        <is>
          <t>MX ok · mailbox not verified</t>
        </is>
      </c>
      <c r="AP51" s="18">
        <f>IF(AG51="","No – no confirmed London price per player",IF(AJ51="","No – no email",IF(AN51&lt;&gt;"pass","No – suppressed","Yes")))</f>
        <v/>
      </c>
      <c r="AR51" s="19" t="n"/>
      <c r="AS51" s="19" t="n"/>
    </row>
    <row r="52">
      <c r="A52" s="15" t="n">
        <v>50</v>
      </c>
      <c r="B52" s="15" t="n">
        <v>3</v>
      </c>
      <c r="C52" s="15" t="inlineStr">
        <is>
          <t>Tech / software</t>
        </is>
      </c>
      <c r="D52" s="15" t="inlineStr">
        <is>
          <t>N1</t>
        </is>
      </c>
      <c r="E52" s="15" t="inlineStr">
        <is>
          <t>Vivacity Labs Limited</t>
        </is>
      </c>
      <c r="F52" s="15" t="inlineStr">
        <is>
          <t>Vivacity Labs</t>
        </is>
      </c>
      <c r="G52" s="16" t="inlineStr">
        <is>
          <t>https://vivacitylabs.com</t>
        </is>
      </c>
      <c r="H52" s="15" t="inlineStr">
        <is>
          <t>Not stated</t>
        </is>
      </c>
      <c r="I52" s="15" t="inlineStr">
        <is>
          <t>09924516</t>
        </is>
      </c>
      <c r="J52" s="16" t="inlineStr">
        <is>
          <t>Open</t>
        </is>
      </c>
      <c r="K52" s="15" t="inlineStr">
        <is>
          <t>Group</t>
        </is>
      </c>
      <c r="L52" s="15" t="inlineStr">
        <is>
          <t>21/12/2015</t>
        </is>
      </c>
      <c r="M52" s="15" t="inlineStr">
        <is>
          <t>3 Haberdasher Street, London</t>
        </is>
      </c>
      <c r="N52" s="15" t="inlineStr">
        <is>
          <t>N1 6ED</t>
        </is>
      </c>
      <c r="O52" s="15" t="inlineStr">
        <is>
          <t>No</t>
        </is>
      </c>
      <c r="P52" s="15" t="n"/>
      <c r="Q52" s="15" t="n"/>
      <c r="R52" s="15" t="n"/>
      <c r="S52" s="15" t="inlineStr">
        <is>
          <t>contact@vivacitylabs.com</t>
        </is>
      </c>
      <c r="T52" s="15" t="inlineStr">
        <is>
          <t>c general inbox</t>
        </is>
      </c>
      <c r="U52" s="16" t="inlineStr">
        <is>
          <t>https://vivacitylabs.com/north-america/about-us/contact/</t>
        </is>
      </c>
      <c r="X52" s="15" t="inlineStr">
        <is>
          <t>3 HABERDASHER STREET, LONDON</t>
        </is>
      </c>
      <c r="Y52" s="15" t="inlineStr">
        <is>
          <t>N1 6ED</t>
        </is>
      </c>
      <c r="Z52" s="15" t="inlineStr">
        <is>
          <t>Website (3 HABERDASHER STREET, LONDON)</t>
        </is>
      </c>
      <c r="AA52" s="15" t="inlineStr">
        <is>
          <t>Shoreditch Rooftop</t>
        </is>
      </c>
      <c r="AB52" s="15" t="n">
        <v>9</v>
      </c>
      <c r="AC52" s="15" t="inlineStr">
        <is>
          <t>Shoreditch Rooftop</t>
        </is>
      </c>
      <c r="AD52" s="15" t="inlineStr">
        <is>
          <t>Monday 28 September at 18:00</t>
        </is>
      </c>
      <c r="AE52" s="15" t="inlineStr">
        <is>
          <t>One-off</t>
        </is>
      </c>
      <c r="AF52" s="15" t="inlineStr">
        <is>
          <t>5-a-side</t>
        </is>
      </c>
      <c r="AG52" s="17">
        <f>IF(Offer!$D$5="","",Offer!$D$5)</f>
        <v/>
      </c>
      <c r="AH52" s="15" t="inlineStr">
        <is>
          <t>expanding globally with current growth trajectory</t>
        </is>
      </c>
      <c r="AI52" s="16" t="inlineStr">
        <is>
          <t>https://vivacitylabs.com/north-america/about-us/contact/</t>
        </is>
      </c>
      <c r="AJ52" s="18">
        <f>IF(V52&lt;&gt;"",V52,S52)</f>
        <v/>
      </c>
      <c r="AK52" s="18">
        <f>IF(AG52="","",AF52&amp;" football "&amp;AD52&amp;" · "&amp;AB52&amp;" min from your office")</f>
        <v/>
      </c>
      <c r="AL52" s="18">
        <f>IF(AG52="","","Hi "&amp;IF(P52&lt;&gt;"",P52,F52&amp;" team")&amp;","&amp;CHAR(10)&amp;CHAR(10)&amp;IF(AH52&lt;&gt;"","Saw that "&amp;F52&amp;" "&amp;AH52&amp;"."&amp;CHAR(10)&amp;CHAR(10),"")&amp;"I'm "&amp;IF(AQ52&lt;&gt;"",AQ52,Offer!$D$8)&amp;" from FC Urban. We run weekly after-work football for London teams. We have a "&amp;AF52&amp;" pitch at "&amp;AC52&amp;", a "&amp;AB52&amp;"-minute walk from your office on "&amp;IF(X52&lt;&gt;"",X52,Y52)&amp;", free "&amp;AD52&amp;". It's "&amp;"£"&amp;IF(AG52=INT(AG52),TEXT(AG52,"0"),TEXT(AG52,"0.00"))&amp;" a player: we book the pitch and handle sign-ups and payments, so someone just shares one link with the team."&amp;CHAR(10)&amp;CHAR(10)&amp;"Would your team be up for a weekly game? Happy to hold the slot for "&amp;F52&amp;" this week."&amp;CHAR(10)&amp;CHAR(10)&amp;"Best,"&amp;CHAR(10)&amp;IF(AQ52&lt;&gt;"",AQ52,Offer!$D$8)&amp;CHAR(10)&amp;"FC Urban")</f>
        <v/>
      </c>
      <c r="AM52" s="18">
        <f>IF(AG52="","","Hi "&amp;IF(P52&lt;&gt;"",P52,F52&amp;" team")&amp;","&amp;CHAR(10)&amp;CHAR(10)&amp;"Quick follow-up: the "&amp;AF52&amp;" pitch at "&amp;AC52&amp;" is still free "&amp;AD52&amp;", "&amp;"£"&amp;IF(AG52=INT(AG52),TEXT(AG52,"0"),TEXT(AG52,"0.00"))&amp;" a player, "&amp;AB52&amp;" minutes from your office. Shall I hold it for "&amp;F52&amp;"?"&amp;CHAR(10)&amp;CHAR(10)&amp;"Best,"&amp;CHAR(10)&amp;IF(AQ52&lt;&gt;"",AQ52,Offer!$D$8)&amp;CHAR(10)&amp;"FC Urban")</f>
        <v/>
      </c>
      <c r="AN52" s="15" t="inlineStr">
        <is>
          <t>pass</t>
        </is>
      </c>
      <c r="AO52" s="15" t="inlineStr">
        <is>
          <t>MX ok · mailbox not verified</t>
        </is>
      </c>
      <c r="AP52" s="18">
        <f>IF(AG52="","No – no confirmed London price per player",IF(AJ52="","No – no email",IF(AN52&lt;&gt;"pass","No – suppressed","Yes")))</f>
        <v/>
      </c>
      <c r="AR52" s="19" t="n"/>
      <c r="AS52" s="19" t="n"/>
    </row>
    <row r="53">
      <c r="A53" s="15" t="n">
        <v>51</v>
      </c>
      <c r="B53" s="15" t="n">
        <v>3</v>
      </c>
      <c r="C53" s="15" t="inlineStr">
        <is>
          <t>Architecture</t>
        </is>
      </c>
      <c r="D53" s="15" t="inlineStr">
        <is>
          <t>EC1V</t>
        </is>
      </c>
      <c r="E53" s="15" t="inlineStr">
        <is>
          <t>Allford Hall Monaghan Morris Limited</t>
        </is>
      </c>
      <c r="F53" s="15" t="inlineStr">
        <is>
          <t>Allford Hall Monaghan Morris</t>
        </is>
      </c>
      <c r="G53" s="16" t="inlineStr">
        <is>
          <t>https://www.ahmm.co.uk</t>
        </is>
      </c>
      <c r="H53" s="15" t="inlineStr">
        <is>
          <t>Not stated</t>
        </is>
      </c>
      <c r="I53" s="15" t="inlineStr">
        <is>
          <t>07155322</t>
        </is>
      </c>
      <c r="J53" s="16" t="inlineStr">
        <is>
          <t>Open</t>
        </is>
      </c>
      <c r="K53" s="15" t="inlineStr">
        <is>
          <t>Group</t>
        </is>
      </c>
      <c r="L53" s="15" t="inlineStr">
        <is>
          <t>11/02/2010</t>
        </is>
      </c>
      <c r="M53" s="15" t="inlineStr">
        <is>
          <t>Morelands, 5 - 23 Old Street, London</t>
        </is>
      </c>
      <c r="N53" s="15" t="inlineStr">
        <is>
          <t>EC1V 9HL</t>
        </is>
      </c>
      <c r="O53" s="15" t="inlineStr">
        <is>
          <t>No</t>
        </is>
      </c>
      <c r="P53" s="15" t="n"/>
      <c r="Q53" s="15" t="n"/>
      <c r="R53" s="15" t="n"/>
      <c r="S53" s="15" t="inlineStr">
        <is>
          <t>info@ahmm.co.uk</t>
        </is>
      </c>
      <c r="T53" s="15" t="inlineStr">
        <is>
          <t>c general inbox</t>
        </is>
      </c>
      <c r="U53" s="16" t="inlineStr">
        <is>
          <t>https://www.ahmm.co.uk/contact/</t>
        </is>
      </c>
      <c r="X53" s="15" t="inlineStr">
        <is>
          <t>5-23 Old Street</t>
        </is>
      </c>
      <c r="Y53" s="15" t="inlineStr">
        <is>
          <t>EC1V 9HL</t>
        </is>
      </c>
      <c r="Z53" s="15" t="inlineStr">
        <is>
          <t>Website (5-23 Old Street)</t>
        </is>
      </c>
      <c r="AA53" s="15" t="inlineStr">
        <is>
          <t>Old St - Moreland Primary School</t>
        </is>
      </c>
      <c r="AB53" s="15" t="n">
        <v>10</v>
      </c>
      <c r="AC53" s="15" t="inlineStr">
        <is>
          <t>Old St - Moreland Primary School</t>
        </is>
      </c>
      <c r="AD53" s="15" t="inlineStr">
        <is>
          <t>Monday 12 October at 18:00</t>
        </is>
      </c>
      <c r="AE53" s="15" t="inlineStr">
        <is>
          <t>One-off</t>
        </is>
      </c>
      <c r="AF53" s="15" t="inlineStr">
        <is>
          <t>6-a-side</t>
        </is>
      </c>
      <c r="AG53" s="17">
        <f>IF(Offer!$D$5="","",Offer!$D$5)</f>
        <v/>
      </c>
      <c r="AH53" s="15" t="n"/>
      <c r="AI53" s="15" t="n"/>
      <c r="AJ53" s="18">
        <f>IF(V53&lt;&gt;"",V53,S53)</f>
        <v/>
      </c>
      <c r="AK53" s="18">
        <f>IF(AG53="","",AF53&amp;" football "&amp;AD53&amp;" · "&amp;AB53&amp;" min from your office")</f>
        <v/>
      </c>
      <c r="AL53" s="18">
        <f>IF(AG53="","","Hi "&amp;IF(P53&lt;&gt;"",P53,F53&amp;" team")&amp;","&amp;CHAR(10)&amp;CHAR(10)&amp;IF(AH53&lt;&gt;"","Saw that "&amp;F53&amp;" "&amp;AH53&amp;"."&amp;CHAR(10)&amp;CHAR(10),"")&amp;"I'm "&amp;IF(AQ53&lt;&gt;"",AQ53,Offer!$D$8)&amp;" from FC Urban. We run weekly after-work football for London teams. We have a "&amp;AF53&amp;" pitch at "&amp;AC53&amp;", a "&amp;AB53&amp;"-minute walk from your office on "&amp;IF(X53&lt;&gt;"",X53,Y53)&amp;", free "&amp;AD53&amp;". It's "&amp;"£"&amp;IF(AG53=INT(AG53),TEXT(AG53,"0"),TEXT(AG53,"0.00"))&amp;" a player: we book the pitch and handle sign-ups and payments, so someone just shares one link with the team."&amp;CHAR(10)&amp;CHAR(10)&amp;"Would your team be up for a weekly game? Happy to hold the slot for "&amp;F53&amp;" this week."&amp;CHAR(10)&amp;CHAR(10)&amp;"Best,"&amp;CHAR(10)&amp;IF(AQ53&lt;&gt;"",AQ53,Offer!$D$8)&amp;CHAR(10)&amp;"FC Urban")</f>
        <v/>
      </c>
      <c r="AM53" s="18">
        <f>IF(AG53="","","Hi "&amp;IF(P53&lt;&gt;"",P53,F53&amp;" team")&amp;","&amp;CHAR(10)&amp;CHAR(10)&amp;"Quick follow-up: the "&amp;AF53&amp;" pitch at "&amp;AC53&amp;" is still free "&amp;AD53&amp;", "&amp;"£"&amp;IF(AG53=INT(AG53),TEXT(AG53,"0"),TEXT(AG53,"0.00"))&amp;" a player, "&amp;AB53&amp;" minutes from your office. Shall I hold it for "&amp;F53&amp;"?"&amp;CHAR(10)&amp;CHAR(10)&amp;"Best,"&amp;CHAR(10)&amp;IF(AQ53&lt;&gt;"",AQ53,Offer!$D$8)&amp;CHAR(10)&amp;"FC Urban")</f>
        <v/>
      </c>
      <c r="AN53" s="15" t="inlineStr">
        <is>
          <t>pass</t>
        </is>
      </c>
      <c r="AO53" s="15" t="inlineStr">
        <is>
          <t>MX ok · mailbox not verified</t>
        </is>
      </c>
      <c r="AP53" s="18">
        <f>IF(AG53="","No – no confirmed London price per player",IF(AJ53="","No – no email",IF(AN53&lt;&gt;"pass","No – suppressed","Yes")))</f>
        <v/>
      </c>
      <c r="AR53" s="19" t="n"/>
      <c r="AS53" s="19" t="n"/>
    </row>
    <row r="54">
      <c r="A54" s="15" t="n">
        <v>52</v>
      </c>
      <c r="B54" s="15" t="n">
        <v>3</v>
      </c>
      <c r="C54" s="15" t="inlineStr">
        <is>
          <t>Marketing / agency</t>
        </is>
      </c>
      <c r="D54" s="15" t="inlineStr">
        <is>
          <t>EC1V</t>
        </is>
      </c>
      <c r="E54" s="15" t="inlineStr">
        <is>
          <t>Censuswide Limited</t>
        </is>
      </c>
      <c r="F54" s="15" t="inlineStr">
        <is>
          <t>Censuswide</t>
        </is>
      </c>
      <c r="G54" s="16" t="inlineStr">
        <is>
          <t>https://censuswide.com</t>
        </is>
      </c>
      <c r="H54" s="15" t="n">
        <v>29</v>
      </c>
      <c r="I54" s="15" t="inlineStr">
        <is>
          <t>07924059</t>
        </is>
      </c>
      <c r="J54" s="16" t="inlineStr">
        <is>
          <t>Open</t>
        </is>
      </c>
      <c r="K54" s="15" t="inlineStr">
        <is>
          <t>Full</t>
        </is>
      </c>
      <c r="L54" s="15" t="inlineStr">
        <is>
          <t>25/01/2012</t>
        </is>
      </c>
      <c r="M54" s="15" t="inlineStr">
        <is>
          <t>12-14 Berry Street, London</t>
        </is>
      </c>
      <c r="N54" s="15" t="inlineStr">
        <is>
          <t>EC1V 0AU</t>
        </is>
      </c>
      <c r="O54" s="15" t="inlineStr">
        <is>
          <t>No</t>
        </is>
      </c>
      <c r="P54" s="15" t="n"/>
      <c r="Q54" s="15" t="n"/>
      <c r="R54" s="15" t="n"/>
      <c r="S54" s="15" t="inlineStr">
        <is>
          <t>info@censuswide.com</t>
        </is>
      </c>
      <c r="T54" s="15" t="inlineStr">
        <is>
          <t>c general inbox</t>
        </is>
      </c>
      <c r="U54" s="16" t="inlineStr">
        <is>
          <t>https://censuswide.com/</t>
        </is>
      </c>
      <c r="X54" s="15" t="inlineStr">
        <is>
          <t>12-14 Berry Street, London</t>
        </is>
      </c>
      <c r="Y54" s="15" t="inlineStr">
        <is>
          <t>EC1V 0AU</t>
        </is>
      </c>
      <c r="Z54" s="15" t="inlineStr">
        <is>
          <t>Website (12-14 Berry Street, London)</t>
        </is>
      </c>
      <c r="AA54" s="15" t="inlineStr">
        <is>
          <t>Old St - Moreland Primary School</t>
        </is>
      </c>
      <c r="AB54" s="15" t="n">
        <v>10</v>
      </c>
      <c r="AC54" s="15" t="inlineStr">
        <is>
          <t>Old St - Moreland Primary School</t>
        </is>
      </c>
      <c r="AD54" s="15" t="inlineStr">
        <is>
          <t>Monday 12 October at 18:00</t>
        </is>
      </c>
      <c r="AE54" s="15" t="inlineStr">
        <is>
          <t>One-off</t>
        </is>
      </c>
      <c r="AF54" s="15" t="inlineStr">
        <is>
          <t>6-a-side</t>
        </is>
      </c>
      <c r="AG54" s="17">
        <f>IF(Offer!$D$5="","",Offer!$D$5)</f>
        <v/>
      </c>
      <c r="AH54" s="15" t="n"/>
      <c r="AI54" s="15" t="n"/>
      <c r="AJ54" s="18">
        <f>IF(V54&lt;&gt;"",V54,S54)</f>
        <v/>
      </c>
      <c r="AK54" s="18">
        <f>IF(AG54="","",AF54&amp;" football "&amp;AD54&amp;" · "&amp;AB54&amp;" min from your office")</f>
        <v/>
      </c>
      <c r="AL54" s="18">
        <f>IF(AG54="","","Hi "&amp;IF(P54&lt;&gt;"",P54,F54&amp;" team")&amp;","&amp;CHAR(10)&amp;CHAR(10)&amp;IF(AH54&lt;&gt;"","Saw that "&amp;F54&amp;" "&amp;AH54&amp;"."&amp;CHAR(10)&amp;CHAR(10),"")&amp;"I'm "&amp;IF(AQ54&lt;&gt;"",AQ54,Offer!$D$8)&amp;" from FC Urban. We run weekly after-work football for London teams. We have a "&amp;AF54&amp;" pitch at "&amp;AC54&amp;", a "&amp;AB54&amp;"-minute walk from your office on "&amp;IF(X54&lt;&gt;"",X54,Y54)&amp;", free "&amp;AD54&amp;". It's "&amp;"£"&amp;IF(AG54=INT(AG54),TEXT(AG54,"0"),TEXT(AG54,"0.00"))&amp;" a player: we book the pitch and handle sign-ups and payments, so someone just shares one link with the team."&amp;CHAR(10)&amp;CHAR(10)&amp;"Would your team be up for a weekly game? Happy to hold the slot for "&amp;F54&amp;" this week."&amp;CHAR(10)&amp;CHAR(10)&amp;"Best,"&amp;CHAR(10)&amp;IF(AQ54&lt;&gt;"",AQ54,Offer!$D$8)&amp;CHAR(10)&amp;"FC Urban")</f>
        <v/>
      </c>
      <c r="AM54" s="18">
        <f>IF(AG54="","","Hi "&amp;IF(P54&lt;&gt;"",P54,F54&amp;" team")&amp;","&amp;CHAR(10)&amp;CHAR(10)&amp;"Quick follow-up: the "&amp;AF54&amp;" pitch at "&amp;AC54&amp;" is still free "&amp;AD54&amp;", "&amp;"£"&amp;IF(AG54=INT(AG54),TEXT(AG54,"0"),TEXT(AG54,"0.00"))&amp;" a player, "&amp;AB54&amp;" minutes from your office. Shall I hold it for "&amp;F54&amp;"?"&amp;CHAR(10)&amp;CHAR(10)&amp;"Best,"&amp;CHAR(10)&amp;IF(AQ54&lt;&gt;"",AQ54,Offer!$D$8)&amp;CHAR(10)&amp;"FC Urban")</f>
        <v/>
      </c>
      <c r="AN54" s="15" t="inlineStr">
        <is>
          <t>pass</t>
        </is>
      </c>
      <c r="AO54" s="15" t="inlineStr">
        <is>
          <t>MX ok · mailbox not verified</t>
        </is>
      </c>
      <c r="AP54" s="18">
        <f>IF(AG54="","No – no confirmed London price per player",IF(AJ54="","No – no email",IF(AN54&lt;&gt;"pass","No – suppressed","Yes")))</f>
        <v/>
      </c>
      <c r="AR54" s="19" t="n"/>
      <c r="AS54" s="19" t="n"/>
    </row>
    <row r="55">
      <c r="A55" s="15" t="n">
        <v>53</v>
      </c>
      <c r="B55" s="15" t="n">
        <v>3</v>
      </c>
      <c r="C55" s="15" t="inlineStr">
        <is>
          <t>Tech / software</t>
        </is>
      </c>
      <c r="D55" s="15" t="inlineStr">
        <is>
          <t>EC2A</t>
        </is>
      </c>
      <c r="E55" s="15" t="inlineStr">
        <is>
          <t>Elsewhen Ltd</t>
        </is>
      </c>
      <c r="F55" s="15" t="inlineStr">
        <is>
          <t>Elsewhen</t>
        </is>
      </c>
      <c r="G55" s="16" t="inlineStr">
        <is>
          <t>https://www.elsewhen.com</t>
        </is>
      </c>
      <c r="H55" s="15" t="n">
        <v>100</v>
      </c>
      <c r="I55" s="15" t="inlineStr">
        <is>
          <t>07608360</t>
        </is>
      </c>
      <c r="J55" s="16" t="inlineStr">
        <is>
          <t>Open</t>
        </is>
      </c>
      <c r="K55" s="15" t="inlineStr">
        <is>
          <t>Full</t>
        </is>
      </c>
      <c r="L55" s="15" t="inlineStr">
        <is>
          <t>19/04/2011</t>
        </is>
      </c>
      <c r="M55" s="15" t="inlineStr">
        <is>
          <t>86-90 Paul Street, London</t>
        </is>
      </c>
      <c r="N55" s="15" t="inlineStr">
        <is>
          <t>EC2A 4NE</t>
        </is>
      </c>
      <c r="O55" s="15" t="inlineStr">
        <is>
          <t>No</t>
        </is>
      </c>
      <c r="P55" s="15" t="n"/>
      <c r="Q55" s="15" t="n"/>
      <c r="R55" s="15" t="n"/>
      <c r="S55" s="15" t="inlineStr">
        <is>
          <t>hello@elsewhen.com</t>
        </is>
      </c>
      <c r="T55" s="15" t="inlineStr">
        <is>
          <t>c general inbox</t>
        </is>
      </c>
      <c r="U55" s="16" t="inlineStr">
        <is>
          <t>https://www.elsewhen.com/</t>
        </is>
      </c>
      <c r="X55" s="15" t="inlineStr">
        <is>
          <t>1 St Peter's Sq,</t>
        </is>
      </c>
      <c r="Y55" s="15" t="inlineStr">
        <is>
          <t>EC2A 4NE</t>
        </is>
      </c>
      <c r="Z55" s="15" t="inlineStr">
        <is>
          <t>Website (1 St Peter's Sq,)</t>
        </is>
      </c>
      <c r="AA55" s="15" t="inlineStr">
        <is>
          <t>Shoreditch Powerleague</t>
        </is>
      </c>
      <c r="AB55" s="15" t="n">
        <v>10</v>
      </c>
      <c r="AC55" s="15" t="inlineStr">
        <is>
          <t>Shoreditch Powerleague</t>
        </is>
      </c>
      <c r="AD55" s="15" t="inlineStr">
        <is>
          <t>Monday 28 September at 17:40</t>
        </is>
      </c>
      <c r="AE55" s="15" t="inlineStr">
        <is>
          <t>One-off</t>
        </is>
      </c>
      <c r="AF55" s="15" t="inlineStr">
        <is>
          <t>5-a-side</t>
        </is>
      </c>
      <c r="AG55" s="17">
        <f>IF(Offer!$D$5="","",Offer!$D$5)</f>
        <v/>
      </c>
      <c r="AH55" s="15" t="inlineStr">
        <is>
          <t>team of 100+ professionals</t>
        </is>
      </c>
      <c r="AI55" s="16" t="inlineStr">
        <is>
          <t>https://www.elsewhen.com/about/</t>
        </is>
      </c>
      <c r="AJ55" s="18">
        <f>IF(V55&lt;&gt;"",V55,S55)</f>
        <v/>
      </c>
      <c r="AK55" s="18">
        <f>IF(AG55="","",AF55&amp;" football "&amp;AD55&amp;" · "&amp;AB55&amp;" min from your office")</f>
        <v/>
      </c>
      <c r="AL55" s="18">
        <f>IF(AG55="","","Hi "&amp;IF(P55&lt;&gt;"",P55,F55&amp;" team")&amp;","&amp;CHAR(10)&amp;CHAR(10)&amp;IF(AH55&lt;&gt;"","Saw that "&amp;F55&amp;" "&amp;AH55&amp;"."&amp;CHAR(10)&amp;CHAR(10),"")&amp;"I'm "&amp;IF(AQ55&lt;&gt;"",AQ55,Offer!$D$8)&amp;" from FC Urban. We run weekly after-work football for London teams. We have a "&amp;AF55&amp;" pitch at "&amp;AC55&amp;", a "&amp;AB55&amp;"-minute walk from your office on "&amp;IF(X55&lt;&gt;"",X55,Y55)&amp;", free "&amp;AD55&amp;". It's "&amp;"£"&amp;IF(AG55=INT(AG55),TEXT(AG55,"0"),TEXT(AG55,"0.00"))&amp;" a player: we book the pitch and handle sign-ups and payments, so someone just shares one link with the team."&amp;CHAR(10)&amp;CHAR(10)&amp;"Would your team be up for a weekly game? Happy to hold the slot for "&amp;F55&amp;" this week."&amp;CHAR(10)&amp;CHAR(10)&amp;"Best,"&amp;CHAR(10)&amp;IF(AQ55&lt;&gt;"",AQ55,Offer!$D$8)&amp;CHAR(10)&amp;"FC Urban")</f>
        <v/>
      </c>
      <c r="AM55" s="18">
        <f>IF(AG55="","","Hi "&amp;IF(P55&lt;&gt;"",P55,F55&amp;" team")&amp;","&amp;CHAR(10)&amp;CHAR(10)&amp;"Quick follow-up: the "&amp;AF55&amp;" pitch at "&amp;AC55&amp;" is still free "&amp;AD55&amp;", "&amp;"£"&amp;IF(AG55=INT(AG55),TEXT(AG55,"0"),TEXT(AG55,"0.00"))&amp;" a player, "&amp;AB55&amp;" minutes from your office. Shall I hold it for "&amp;F55&amp;"?"&amp;CHAR(10)&amp;CHAR(10)&amp;"Best,"&amp;CHAR(10)&amp;IF(AQ55&lt;&gt;"",AQ55,Offer!$D$8)&amp;CHAR(10)&amp;"FC Urban")</f>
        <v/>
      </c>
      <c r="AN55" s="15" t="inlineStr">
        <is>
          <t>pass</t>
        </is>
      </c>
      <c r="AO55" s="15" t="inlineStr">
        <is>
          <t>MX ok · mailbox not verified</t>
        </is>
      </c>
      <c r="AP55" s="18">
        <f>IF(AG55="","No – no confirmed London price per player",IF(AJ55="","No – no email",IF(AN55&lt;&gt;"pass","No – suppressed","Yes")))</f>
        <v/>
      </c>
      <c r="AR55" s="19" t="n"/>
      <c r="AS55" s="19" t="n"/>
    </row>
    <row r="56">
      <c r="A56" s="15" t="n">
        <v>54</v>
      </c>
      <c r="B56" s="15" t="n">
        <v>3</v>
      </c>
      <c r="C56" s="15" t="inlineStr">
        <is>
          <t>Tech / software</t>
        </is>
      </c>
      <c r="D56" s="15" t="inlineStr">
        <is>
          <t>EC2A</t>
        </is>
      </c>
      <c r="E56" s="15" t="inlineStr">
        <is>
          <t>Clover Technology Ltd</t>
        </is>
      </c>
      <c r="F56" s="15" t="inlineStr">
        <is>
          <t>Clover Technology</t>
        </is>
      </c>
      <c r="G56" s="16" t="inlineStr">
        <is>
          <t>https://www.clovertechnology.co.uk</t>
        </is>
      </c>
      <c r="H56" s="15" t="inlineStr">
        <is>
          <t>Not stated</t>
        </is>
      </c>
      <c r="I56" s="15" t="inlineStr">
        <is>
          <t>13206820</t>
        </is>
      </c>
      <c r="J56" s="16" t="inlineStr">
        <is>
          <t>Open</t>
        </is>
      </c>
      <c r="K56" s="15" t="inlineStr">
        <is>
          <t>Full</t>
        </is>
      </c>
      <c r="L56" s="15" t="inlineStr">
        <is>
          <t>17/02/2021</t>
        </is>
      </c>
      <c r="M56" s="15" t="inlineStr">
        <is>
          <t>86-90 Paul Street, London</t>
        </is>
      </c>
      <c r="N56" s="15" t="inlineStr">
        <is>
          <t>EC2A 4NE</t>
        </is>
      </c>
      <c r="O56" s="15" t="inlineStr">
        <is>
          <t>No</t>
        </is>
      </c>
      <c r="P56" s="15" t="n"/>
      <c r="Q56" s="15" t="n"/>
      <c r="R56" s="15" t="n"/>
      <c r="S56" s="15" t="inlineStr">
        <is>
          <t>info@clovertechnology.co.uk</t>
        </is>
      </c>
      <c r="T56" s="15" t="inlineStr">
        <is>
          <t>c general inbox</t>
        </is>
      </c>
      <c r="U56" s="16" t="inlineStr">
        <is>
          <t>https://www.clovertechnology.co.uk/</t>
        </is>
      </c>
      <c r="X56" s="15" t="inlineStr">
        <is>
          <t>86-90 Paul Street</t>
        </is>
      </c>
      <c r="Y56" s="15" t="inlineStr">
        <is>
          <t>EC2A 4NE</t>
        </is>
      </c>
      <c r="Z56" s="15" t="inlineStr">
        <is>
          <t>Website (86-90 Paul Street)</t>
        </is>
      </c>
      <c r="AA56" s="15" t="inlineStr">
        <is>
          <t>Shoreditch Powerleague</t>
        </is>
      </c>
      <c r="AB56" s="15" t="n">
        <v>10</v>
      </c>
      <c r="AC56" s="15" t="inlineStr">
        <is>
          <t>Shoreditch Powerleague</t>
        </is>
      </c>
      <c r="AD56" s="15" t="inlineStr">
        <is>
          <t>Monday 28 September at 17:40</t>
        </is>
      </c>
      <c r="AE56" s="15" t="inlineStr">
        <is>
          <t>One-off</t>
        </is>
      </c>
      <c r="AF56" s="15" t="inlineStr">
        <is>
          <t>5-a-side</t>
        </is>
      </c>
      <c r="AG56" s="17">
        <f>IF(Offer!$D$5="","",Offer!$D$5)</f>
        <v/>
      </c>
      <c r="AH56" s="15" t="n"/>
      <c r="AI56" s="15" t="n"/>
      <c r="AJ56" s="18">
        <f>IF(V56&lt;&gt;"",V56,S56)</f>
        <v/>
      </c>
      <c r="AK56" s="18">
        <f>IF(AG56="","",AF56&amp;" football "&amp;AD56&amp;" · "&amp;AB56&amp;" min from your office")</f>
        <v/>
      </c>
      <c r="AL56" s="18">
        <f>IF(AG56="","","Hi "&amp;IF(P56&lt;&gt;"",P56,F56&amp;" team")&amp;","&amp;CHAR(10)&amp;CHAR(10)&amp;IF(AH56&lt;&gt;"","Saw that "&amp;F56&amp;" "&amp;AH56&amp;"."&amp;CHAR(10)&amp;CHAR(10),"")&amp;"I'm "&amp;IF(AQ56&lt;&gt;"",AQ56,Offer!$D$8)&amp;" from FC Urban. We run weekly after-work football for London teams. We have a "&amp;AF56&amp;" pitch at "&amp;AC56&amp;", a "&amp;AB56&amp;"-minute walk from your office on "&amp;IF(X56&lt;&gt;"",X56,Y56)&amp;", free "&amp;AD56&amp;". It's "&amp;"£"&amp;IF(AG56=INT(AG56),TEXT(AG56,"0"),TEXT(AG56,"0.00"))&amp;" a player: we book the pitch and handle sign-ups and payments, so someone just shares one link with the team."&amp;CHAR(10)&amp;CHAR(10)&amp;"Would your team be up for a weekly game? Happy to hold the slot for "&amp;F56&amp;" this week."&amp;CHAR(10)&amp;CHAR(10)&amp;"Best,"&amp;CHAR(10)&amp;IF(AQ56&lt;&gt;"",AQ56,Offer!$D$8)&amp;CHAR(10)&amp;"FC Urban")</f>
        <v/>
      </c>
      <c r="AM56" s="18">
        <f>IF(AG56="","","Hi "&amp;IF(P56&lt;&gt;"",P56,F56&amp;" team")&amp;","&amp;CHAR(10)&amp;CHAR(10)&amp;"Quick follow-up: the "&amp;AF56&amp;" pitch at "&amp;AC56&amp;" is still free "&amp;AD56&amp;", "&amp;"£"&amp;IF(AG56=INT(AG56),TEXT(AG56,"0"),TEXT(AG56,"0.00"))&amp;" a player, "&amp;AB56&amp;" minutes from your office. Shall I hold it for "&amp;F56&amp;"?"&amp;CHAR(10)&amp;CHAR(10)&amp;"Best,"&amp;CHAR(10)&amp;IF(AQ56&lt;&gt;"",AQ56,Offer!$D$8)&amp;CHAR(10)&amp;"FC Urban")</f>
        <v/>
      </c>
      <c r="AN56" s="15" t="inlineStr">
        <is>
          <t>pass</t>
        </is>
      </c>
      <c r="AO56" s="15" t="inlineStr">
        <is>
          <t>MX ok · mailbox not verified</t>
        </is>
      </c>
      <c r="AP56" s="18">
        <f>IF(AG56="","No – no confirmed London price per player",IF(AJ56="","No – no email",IF(AN56&lt;&gt;"pass","No – suppressed","Yes")))</f>
        <v/>
      </c>
      <c r="AR56" s="19" t="n"/>
      <c r="AS56" s="19" t="n"/>
    </row>
    <row r="57">
      <c r="A57" s="15" t="n">
        <v>55</v>
      </c>
      <c r="B57" s="15" t="n">
        <v>3</v>
      </c>
      <c r="C57" s="15" t="inlineStr">
        <is>
          <t>Marketing / agency</t>
        </is>
      </c>
      <c r="D57" s="15" t="inlineStr">
        <is>
          <t>EC2A</t>
        </is>
      </c>
      <c r="E57" s="15" t="inlineStr">
        <is>
          <t>Louder Productions Limited</t>
        </is>
      </c>
      <c r="F57" s="15" t="inlineStr">
        <is>
          <t>Louder Productions</t>
        </is>
      </c>
      <c r="G57" s="16" t="inlineStr">
        <is>
          <t>https://www.louderproductions.com</t>
        </is>
      </c>
      <c r="H57" s="15" t="inlineStr">
        <is>
          <t>Not stated</t>
        </is>
      </c>
      <c r="I57" s="15" t="inlineStr">
        <is>
          <t>06459817</t>
        </is>
      </c>
      <c r="J57" s="16" t="inlineStr">
        <is>
          <t>Open</t>
        </is>
      </c>
      <c r="K57" s="15" t="inlineStr">
        <is>
          <t>Group</t>
        </is>
      </c>
      <c r="L57" s="15" t="inlineStr">
        <is>
          <t>27/12/2007</t>
        </is>
      </c>
      <c r="M57" s="15" t="inlineStr">
        <is>
          <t>27 Paul Street, London</t>
        </is>
      </c>
      <c r="N57" s="15" t="inlineStr">
        <is>
          <t>EC2A 4JU</t>
        </is>
      </c>
      <c r="O57" s="15" t="inlineStr">
        <is>
          <t>No</t>
        </is>
      </c>
      <c r="P57" s="15" t="n"/>
      <c r="Q57" s="15" t="n"/>
      <c r="R57" s="15" t="n"/>
      <c r="S57" s="15" t="inlineStr">
        <is>
          <t>info@louderproductions.com</t>
        </is>
      </c>
      <c r="T57" s="15" t="inlineStr">
        <is>
          <t>c general inbox</t>
        </is>
      </c>
      <c r="U57" s="16" t="inlineStr">
        <is>
          <t>https://louderproductions.com/contact-us/</t>
        </is>
      </c>
      <c r="X57" s="15" t="n"/>
      <c r="Y57" s="15" t="inlineStr">
        <is>
          <t>EC2A 4JU</t>
        </is>
      </c>
      <c r="Z57" s="15" t="inlineStr">
        <is>
          <t>Registered office (no address on website)</t>
        </is>
      </c>
      <c r="AA57" s="15" t="inlineStr">
        <is>
          <t>Shoreditch Powerleague</t>
        </is>
      </c>
      <c r="AB57" s="15" t="n">
        <v>10</v>
      </c>
      <c r="AC57" s="15" t="inlineStr">
        <is>
          <t>Shoreditch Powerleague</t>
        </is>
      </c>
      <c r="AD57" s="15" t="inlineStr">
        <is>
          <t>Monday 28 September at 17:40</t>
        </is>
      </c>
      <c r="AE57" s="15" t="inlineStr">
        <is>
          <t>One-off</t>
        </is>
      </c>
      <c r="AF57" s="15" t="inlineStr">
        <is>
          <t>5-a-side</t>
        </is>
      </c>
      <c r="AG57" s="17">
        <f>IF(Offer!$D$5="","",Offer!$D$5)</f>
        <v/>
      </c>
      <c r="AH57" s="15" t="n"/>
      <c r="AI57" s="15" t="n"/>
      <c r="AJ57" s="18">
        <f>IF(V57&lt;&gt;"",V57,S57)</f>
        <v/>
      </c>
      <c r="AK57" s="18">
        <f>IF(AG57="","",AF57&amp;" football "&amp;AD57&amp;" · "&amp;AB57&amp;" min from your office")</f>
        <v/>
      </c>
      <c r="AL57" s="18">
        <f>IF(AG57="","","Hi "&amp;IF(P57&lt;&gt;"",P57,F57&amp;" team")&amp;","&amp;CHAR(10)&amp;CHAR(10)&amp;IF(AH57&lt;&gt;"","Saw that "&amp;F57&amp;" "&amp;AH57&amp;"."&amp;CHAR(10)&amp;CHAR(10),"")&amp;"I'm "&amp;IF(AQ57&lt;&gt;"",AQ57,Offer!$D$8)&amp;" from FC Urban. We run weekly after-work football for London teams. We have a "&amp;AF57&amp;" pitch at "&amp;AC57&amp;", a "&amp;AB57&amp;"-minute walk from your office on "&amp;IF(X57&lt;&gt;"",X57,Y57)&amp;", free "&amp;AD57&amp;". It's "&amp;"£"&amp;IF(AG57=INT(AG57),TEXT(AG57,"0"),TEXT(AG57,"0.00"))&amp;" a player: we book the pitch and handle sign-ups and payments, so someone just shares one link with the team."&amp;CHAR(10)&amp;CHAR(10)&amp;"Would your team be up for a weekly game? Happy to hold the slot for "&amp;F57&amp;" this week."&amp;CHAR(10)&amp;CHAR(10)&amp;"Best,"&amp;CHAR(10)&amp;IF(AQ57&lt;&gt;"",AQ57,Offer!$D$8)&amp;CHAR(10)&amp;"FC Urban")</f>
        <v/>
      </c>
      <c r="AM57" s="18">
        <f>IF(AG57="","","Hi "&amp;IF(P57&lt;&gt;"",P57,F57&amp;" team")&amp;","&amp;CHAR(10)&amp;CHAR(10)&amp;"Quick follow-up: the "&amp;AF57&amp;" pitch at "&amp;AC57&amp;" is still free "&amp;AD57&amp;", "&amp;"£"&amp;IF(AG57=INT(AG57),TEXT(AG57,"0"),TEXT(AG57,"0.00"))&amp;" a player, "&amp;AB57&amp;" minutes from your office. Shall I hold it for "&amp;F57&amp;"?"&amp;CHAR(10)&amp;CHAR(10)&amp;"Best,"&amp;CHAR(10)&amp;IF(AQ57&lt;&gt;"",AQ57,Offer!$D$8)&amp;CHAR(10)&amp;"FC Urban")</f>
        <v/>
      </c>
      <c r="AN57" s="15" t="inlineStr">
        <is>
          <t>pass</t>
        </is>
      </c>
      <c r="AO57" s="15" t="inlineStr">
        <is>
          <t>MX ok · mailbox not verified</t>
        </is>
      </c>
      <c r="AP57" s="18">
        <f>IF(AG57="","No – no confirmed London price per player",IF(AJ57="","No – no email",IF(AN57&lt;&gt;"pass","No – suppressed","Yes")))</f>
        <v/>
      </c>
      <c r="AR57" s="19" t="n"/>
      <c r="AS57" s="19" t="n"/>
    </row>
    <row r="58">
      <c r="A58" s="15" t="n">
        <v>56</v>
      </c>
      <c r="B58" s="15" t="n">
        <v>3</v>
      </c>
      <c r="C58" s="15" t="inlineStr">
        <is>
          <t>Tech / software</t>
        </is>
      </c>
      <c r="D58" s="15" t="inlineStr">
        <is>
          <t>EC2A</t>
        </is>
      </c>
      <c r="E58" s="15" t="inlineStr">
        <is>
          <t>Arcontech Group PLC</t>
        </is>
      </c>
      <c r="F58" s="15" t="inlineStr">
        <is>
          <t>Arcontech</t>
        </is>
      </c>
      <c r="G58" s="16" t="inlineStr">
        <is>
          <t>https://www.arcontech.com</t>
        </is>
      </c>
      <c r="H58" s="15" t="inlineStr">
        <is>
          <t>Not stated</t>
        </is>
      </c>
      <c r="I58" s="15" t="inlineStr">
        <is>
          <t>04062416</t>
        </is>
      </c>
      <c r="J58" s="16" t="inlineStr">
        <is>
          <t>Open</t>
        </is>
      </c>
      <c r="K58" s="15" t="inlineStr">
        <is>
          <t>Group</t>
        </is>
      </c>
      <c r="L58" s="15" t="inlineStr">
        <is>
          <t>24/08/2000</t>
        </is>
      </c>
      <c r="M58" s="15" t="inlineStr">
        <is>
          <t>1St Floor, 11-21 Paul Street, London</t>
        </is>
      </c>
      <c r="N58" s="15" t="inlineStr">
        <is>
          <t>EC2A 4JU</t>
        </is>
      </c>
      <c r="O58" s="15" t="inlineStr">
        <is>
          <t>No</t>
        </is>
      </c>
      <c r="P58" s="15" t="n"/>
      <c r="Q58" s="15" t="n"/>
      <c r="R58" s="15" t="n"/>
      <c r="S58" s="15" t="inlineStr">
        <is>
          <t>mail@arcontech.com</t>
        </is>
      </c>
      <c r="T58" s="15" t="inlineStr">
        <is>
          <t>c general inbox</t>
        </is>
      </c>
      <c r="U58" s="16" t="inlineStr">
        <is>
          <t>https://www.arcontech.com/</t>
        </is>
      </c>
      <c r="X58" s="15" t="inlineStr">
        <is>
          <t>1st Floor, 11-21 Paul Street</t>
        </is>
      </c>
      <c r="Y58" s="15" t="inlineStr">
        <is>
          <t>EC2A 4JU</t>
        </is>
      </c>
      <c r="Z58" s="15" t="inlineStr">
        <is>
          <t>Website (1st Floor, 11-21 Paul Street)</t>
        </is>
      </c>
      <c r="AA58" s="15" t="inlineStr">
        <is>
          <t>Shoreditch Powerleague</t>
        </is>
      </c>
      <c r="AB58" s="15" t="n">
        <v>10</v>
      </c>
      <c r="AC58" s="15" t="inlineStr">
        <is>
          <t>Shoreditch Powerleague</t>
        </is>
      </c>
      <c r="AD58" s="15" t="inlineStr">
        <is>
          <t>Monday 28 September at 17:40</t>
        </is>
      </c>
      <c r="AE58" s="15" t="inlineStr">
        <is>
          <t>One-off</t>
        </is>
      </c>
      <c r="AF58" s="15" t="inlineStr">
        <is>
          <t>5-a-side</t>
        </is>
      </c>
      <c r="AG58" s="17">
        <f>IF(Offer!$D$5="","",Offer!$D$5)</f>
        <v/>
      </c>
      <c r="AH58" s="15" t="n"/>
      <c r="AI58" s="15" t="n"/>
      <c r="AJ58" s="18">
        <f>IF(V58&lt;&gt;"",V58,S58)</f>
        <v/>
      </c>
      <c r="AK58" s="18">
        <f>IF(AG58="","",AF58&amp;" football "&amp;AD58&amp;" · "&amp;AB58&amp;" min from your office")</f>
        <v/>
      </c>
      <c r="AL58" s="18">
        <f>IF(AG58="","","Hi "&amp;IF(P58&lt;&gt;"",P58,F58&amp;" team")&amp;","&amp;CHAR(10)&amp;CHAR(10)&amp;IF(AH58&lt;&gt;"","Saw that "&amp;F58&amp;" "&amp;AH58&amp;"."&amp;CHAR(10)&amp;CHAR(10),"")&amp;"I'm "&amp;IF(AQ58&lt;&gt;"",AQ58,Offer!$D$8)&amp;" from FC Urban. We run weekly after-work football for London teams. We have a "&amp;AF58&amp;" pitch at "&amp;AC58&amp;", a "&amp;AB58&amp;"-minute walk from your office on "&amp;IF(X58&lt;&gt;"",X58,Y58)&amp;", free "&amp;AD58&amp;". It's "&amp;"£"&amp;IF(AG58=INT(AG58),TEXT(AG58,"0"),TEXT(AG58,"0.00"))&amp;" a player: we book the pitch and handle sign-ups and payments, so someone just shares one link with the team."&amp;CHAR(10)&amp;CHAR(10)&amp;"Would your team be up for a weekly game? Happy to hold the slot for "&amp;F58&amp;" this week."&amp;CHAR(10)&amp;CHAR(10)&amp;"Best,"&amp;CHAR(10)&amp;IF(AQ58&lt;&gt;"",AQ58,Offer!$D$8)&amp;CHAR(10)&amp;"FC Urban")</f>
        <v/>
      </c>
      <c r="AM58" s="18">
        <f>IF(AG58="","","Hi "&amp;IF(P58&lt;&gt;"",P58,F58&amp;" team")&amp;","&amp;CHAR(10)&amp;CHAR(10)&amp;"Quick follow-up: the "&amp;AF58&amp;" pitch at "&amp;AC58&amp;" is still free "&amp;AD58&amp;", "&amp;"£"&amp;IF(AG58=INT(AG58),TEXT(AG58,"0"),TEXT(AG58,"0.00"))&amp;" a player, "&amp;AB58&amp;" minutes from your office. Shall I hold it for "&amp;F58&amp;"?"&amp;CHAR(10)&amp;CHAR(10)&amp;"Best,"&amp;CHAR(10)&amp;IF(AQ58&lt;&gt;"",AQ58,Offer!$D$8)&amp;CHAR(10)&amp;"FC Urban")</f>
        <v/>
      </c>
      <c r="AN58" s="15" t="inlineStr">
        <is>
          <t>pass</t>
        </is>
      </c>
      <c r="AO58" s="15" t="inlineStr">
        <is>
          <t>MX ok · mailbox not verified</t>
        </is>
      </c>
      <c r="AP58" s="18">
        <f>IF(AG58="","No – no confirmed London price per player",IF(AJ58="","No – no email",IF(AN58&lt;&gt;"pass","No – suppressed","Yes")))</f>
        <v/>
      </c>
      <c r="AR58" s="19" t="n"/>
      <c r="AS58" s="19" t="n"/>
    </row>
    <row r="59">
      <c r="A59" s="15" t="n">
        <v>57</v>
      </c>
      <c r="B59" s="15" t="n">
        <v>3</v>
      </c>
      <c r="C59" s="15" t="inlineStr">
        <is>
          <t>Tech / software</t>
        </is>
      </c>
      <c r="D59" s="15" t="inlineStr">
        <is>
          <t>EC2A</t>
        </is>
      </c>
      <c r="E59" s="15" t="inlineStr">
        <is>
          <t>Veed Limited</t>
        </is>
      </c>
      <c r="F59" s="15" t="inlineStr">
        <is>
          <t>Veed</t>
        </is>
      </c>
      <c r="G59" s="16" t="inlineStr">
        <is>
          <t>https://www.veed.io</t>
        </is>
      </c>
      <c r="H59" s="15" t="n">
        <v>150</v>
      </c>
      <c r="I59" s="15" t="inlineStr">
        <is>
          <t>11264311</t>
        </is>
      </c>
      <c r="J59" s="16" t="inlineStr">
        <is>
          <t>Open</t>
        </is>
      </c>
      <c r="K59" s="15" t="inlineStr">
        <is>
          <t>Group</t>
        </is>
      </c>
      <c r="L59" s="15" t="inlineStr">
        <is>
          <t>20/03/2018</t>
        </is>
      </c>
      <c r="M59" s="15" t="inlineStr">
        <is>
          <t>17-18 Clere Street, London</t>
        </is>
      </c>
      <c r="N59" s="15" t="inlineStr">
        <is>
          <t>EC2A 4LJ</t>
        </is>
      </c>
      <c r="O59" s="15" t="inlineStr">
        <is>
          <t>No</t>
        </is>
      </c>
      <c r="P59" s="15" t="n"/>
      <c r="Q59" s="15" t="n"/>
      <c r="R59" s="15" t="n"/>
      <c r="S59" s="15" t="inlineStr">
        <is>
          <t>hello@veed.io</t>
        </is>
      </c>
      <c r="T59" s="15" t="inlineStr">
        <is>
          <t>c general inbox</t>
        </is>
      </c>
      <c r="U59" s="16" t="inlineStr">
        <is>
          <t>https://www.veed.io/</t>
        </is>
      </c>
      <c r="X59" s="15" t="inlineStr">
        <is>
          <t>17-18 CLERE STREET</t>
        </is>
      </c>
      <c r="Y59" s="15" t="inlineStr">
        <is>
          <t>EC2A 4LJ</t>
        </is>
      </c>
      <c r="Z59" s="15" t="inlineStr">
        <is>
          <t>Website (17-18 CLERE STREET)</t>
        </is>
      </c>
      <c r="AA59" s="15" t="inlineStr">
        <is>
          <t>Shoreditch Powerleague</t>
        </is>
      </c>
      <c r="AB59" s="15" t="n">
        <v>10</v>
      </c>
      <c r="AC59" s="15" t="inlineStr">
        <is>
          <t>Shoreditch Powerleague</t>
        </is>
      </c>
      <c r="AD59" s="15" t="inlineStr">
        <is>
          <t>Monday 28 September at 17:40</t>
        </is>
      </c>
      <c r="AE59" s="15" t="inlineStr">
        <is>
          <t>One-off</t>
        </is>
      </c>
      <c r="AF59" s="15" t="inlineStr">
        <is>
          <t>5-a-side</t>
        </is>
      </c>
      <c r="AG59" s="17">
        <f>IF(Offer!$D$5="","",Offer!$D$5)</f>
        <v/>
      </c>
      <c r="AH59" s="15" t="n"/>
      <c r="AI59" s="15" t="n"/>
      <c r="AJ59" s="18">
        <f>IF(V59&lt;&gt;"",V59,S59)</f>
        <v/>
      </c>
      <c r="AK59" s="18">
        <f>IF(AG59="","",AF59&amp;" football "&amp;AD59&amp;" · "&amp;AB59&amp;" min from your office")</f>
        <v/>
      </c>
      <c r="AL59" s="18">
        <f>IF(AG59="","","Hi "&amp;IF(P59&lt;&gt;"",P59,F59&amp;" team")&amp;","&amp;CHAR(10)&amp;CHAR(10)&amp;IF(AH59&lt;&gt;"","Saw that "&amp;F59&amp;" "&amp;AH59&amp;"."&amp;CHAR(10)&amp;CHAR(10),"")&amp;"I'm "&amp;IF(AQ59&lt;&gt;"",AQ59,Offer!$D$8)&amp;" from FC Urban. We run weekly after-work football for London teams. We have a "&amp;AF59&amp;" pitch at "&amp;AC59&amp;", a "&amp;AB59&amp;"-minute walk from your office on "&amp;IF(X59&lt;&gt;"",X59,Y59)&amp;", free "&amp;AD59&amp;". It's "&amp;"£"&amp;IF(AG59=INT(AG59),TEXT(AG59,"0"),TEXT(AG59,"0.00"))&amp;" a player: we book the pitch and handle sign-ups and payments, so someone just shares one link with the team."&amp;CHAR(10)&amp;CHAR(10)&amp;"Would your team be up for a weekly game? Happy to hold the slot for "&amp;F59&amp;" this week."&amp;CHAR(10)&amp;CHAR(10)&amp;"Best,"&amp;CHAR(10)&amp;IF(AQ59&lt;&gt;"",AQ59,Offer!$D$8)&amp;CHAR(10)&amp;"FC Urban")</f>
        <v/>
      </c>
      <c r="AM59" s="18">
        <f>IF(AG59="","","Hi "&amp;IF(P59&lt;&gt;"",P59,F59&amp;" team")&amp;","&amp;CHAR(10)&amp;CHAR(10)&amp;"Quick follow-up: the "&amp;AF59&amp;" pitch at "&amp;AC59&amp;" is still free "&amp;AD59&amp;", "&amp;"£"&amp;IF(AG59=INT(AG59),TEXT(AG59,"0"),TEXT(AG59,"0.00"))&amp;" a player, "&amp;AB59&amp;" minutes from your office. Shall I hold it for "&amp;F59&amp;"?"&amp;CHAR(10)&amp;CHAR(10)&amp;"Best,"&amp;CHAR(10)&amp;IF(AQ59&lt;&gt;"",AQ59,Offer!$D$8)&amp;CHAR(10)&amp;"FC Urban")</f>
        <v/>
      </c>
      <c r="AN59" s="15" t="inlineStr">
        <is>
          <t>pass</t>
        </is>
      </c>
      <c r="AO59" s="15" t="inlineStr">
        <is>
          <t>MX ok · mailbox not verified</t>
        </is>
      </c>
      <c r="AP59" s="18">
        <f>IF(AG59="","No – no confirmed London price per player",IF(AJ59="","No – no email",IF(AN59&lt;&gt;"pass","No – suppressed","Yes")))</f>
        <v/>
      </c>
      <c r="AR59" s="19" t="n"/>
      <c r="AS59" s="19" t="n"/>
    </row>
    <row r="60">
      <c r="A60" s="15" t="n">
        <v>58</v>
      </c>
      <c r="B60" s="15" t="n">
        <v>3</v>
      </c>
      <c r="C60" s="15" t="inlineStr">
        <is>
          <t>Tech / software</t>
        </is>
      </c>
      <c r="D60" s="15" t="inlineStr">
        <is>
          <t>EC2A</t>
        </is>
      </c>
      <c r="E60" s="15" t="inlineStr">
        <is>
          <t>Atech Support Limited</t>
        </is>
      </c>
      <c r="F60" s="15" t="inlineStr">
        <is>
          <t>Atech Support</t>
        </is>
      </c>
      <c r="G60" s="16" t="inlineStr">
        <is>
          <t>https://www.atech.co.uk</t>
        </is>
      </c>
      <c r="H60" s="15" t="inlineStr">
        <is>
          <t>Not stated</t>
        </is>
      </c>
      <c r="I60" s="15" t="inlineStr">
        <is>
          <t>06021756</t>
        </is>
      </c>
      <c r="J60" s="16" t="inlineStr">
        <is>
          <t>Open</t>
        </is>
      </c>
      <c r="K60" s="15" t="inlineStr">
        <is>
          <t>Full</t>
        </is>
      </c>
      <c r="L60" s="15" t="inlineStr">
        <is>
          <t>07/12/2006</t>
        </is>
      </c>
      <c r="M60" s="15" t="inlineStr">
        <is>
          <t>11-21 Paul Street, Shoreditch, London</t>
        </is>
      </c>
      <c r="N60" s="15" t="inlineStr">
        <is>
          <t>EC2A 4JU</t>
        </is>
      </c>
      <c r="O60" s="15" t="inlineStr">
        <is>
          <t>No</t>
        </is>
      </c>
      <c r="P60" s="15" t="n"/>
      <c r="Q60" s="15" t="n"/>
      <c r="R60" s="15" t="n"/>
      <c r="S60" s="15" t="inlineStr">
        <is>
          <t>enquiries@atech.co.uk</t>
        </is>
      </c>
      <c r="T60" s="15" t="inlineStr">
        <is>
          <t>c general inbox</t>
        </is>
      </c>
      <c r="U60" s="16" t="inlineStr">
        <is>
          <t>https://www.atech.co.uk/</t>
        </is>
      </c>
      <c r="X60" s="15" t="n"/>
      <c r="Y60" s="15" t="inlineStr">
        <is>
          <t>EC2A 4JU</t>
        </is>
      </c>
      <c r="Z60" s="15" t="inlineStr">
        <is>
          <t>Website</t>
        </is>
      </c>
      <c r="AA60" s="15" t="inlineStr">
        <is>
          <t>Shoreditch Powerleague</t>
        </is>
      </c>
      <c r="AB60" s="15" t="n">
        <v>10</v>
      </c>
      <c r="AC60" s="15" t="inlineStr">
        <is>
          <t>Shoreditch Powerleague</t>
        </is>
      </c>
      <c r="AD60" s="15" t="inlineStr">
        <is>
          <t>Monday 28 September at 17:40</t>
        </is>
      </c>
      <c r="AE60" s="15" t="inlineStr">
        <is>
          <t>One-off</t>
        </is>
      </c>
      <c r="AF60" s="15" t="inlineStr">
        <is>
          <t>5-a-side</t>
        </is>
      </c>
      <c r="AG60" s="17">
        <f>IF(Offer!$D$5="","",Offer!$D$5)</f>
        <v/>
      </c>
      <c r="AH60" s="15" t="n"/>
      <c r="AI60" s="15" t="n"/>
      <c r="AJ60" s="18">
        <f>IF(V60&lt;&gt;"",V60,S60)</f>
        <v/>
      </c>
      <c r="AK60" s="18">
        <f>IF(AG60="","",AF60&amp;" football "&amp;AD60&amp;" · "&amp;AB60&amp;" min from your office")</f>
        <v/>
      </c>
      <c r="AL60" s="18">
        <f>IF(AG60="","","Hi "&amp;IF(P60&lt;&gt;"",P60,F60&amp;" team")&amp;","&amp;CHAR(10)&amp;CHAR(10)&amp;IF(AH60&lt;&gt;"","Saw that "&amp;F60&amp;" "&amp;AH60&amp;"."&amp;CHAR(10)&amp;CHAR(10),"")&amp;"I'm "&amp;IF(AQ60&lt;&gt;"",AQ60,Offer!$D$8)&amp;" from FC Urban. We run weekly after-work football for London teams. We have a "&amp;AF60&amp;" pitch at "&amp;AC60&amp;", a "&amp;AB60&amp;"-minute walk from your office on "&amp;IF(X60&lt;&gt;"",X60,Y60)&amp;", free "&amp;AD60&amp;". It's "&amp;"£"&amp;IF(AG60=INT(AG60),TEXT(AG60,"0"),TEXT(AG60,"0.00"))&amp;" a player: we book the pitch and handle sign-ups and payments, so someone just shares one link with the team."&amp;CHAR(10)&amp;CHAR(10)&amp;"Would your team be up for a weekly game? Happy to hold the slot for "&amp;F60&amp;" this week."&amp;CHAR(10)&amp;CHAR(10)&amp;"Best,"&amp;CHAR(10)&amp;IF(AQ60&lt;&gt;"",AQ60,Offer!$D$8)&amp;CHAR(10)&amp;"FC Urban")</f>
        <v/>
      </c>
      <c r="AM60" s="18">
        <f>IF(AG60="","","Hi "&amp;IF(P60&lt;&gt;"",P60,F60&amp;" team")&amp;","&amp;CHAR(10)&amp;CHAR(10)&amp;"Quick follow-up: the "&amp;AF60&amp;" pitch at "&amp;AC60&amp;" is still free "&amp;AD60&amp;", "&amp;"£"&amp;IF(AG60=INT(AG60),TEXT(AG60,"0"),TEXT(AG60,"0.00"))&amp;" a player, "&amp;AB60&amp;" minutes from your office. Shall I hold it for "&amp;F60&amp;"?"&amp;CHAR(10)&amp;CHAR(10)&amp;"Best,"&amp;CHAR(10)&amp;IF(AQ60&lt;&gt;"",AQ60,Offer!$D$8)&amp;CHAR(10)&amp;"FC Urban")</f>
        <v/>
      </c>
      <c r="AN60" s="15" t="inlineStr">
        <is>
          <t>pass</t>
        </is>
      </c>
      <c r="AO60" s="15" t="inlineStr">
        <is>
          <t>MX ok · mailbox not verified</t>
        </is>
      </c>
      <c r="AP60" s="18">
        <f>IF(AG60="","No – no confirmed London price per player",IF(AJ60="","No – no email",IF(AN60&lt;&gt;"pass","No – suppressed","Yes")))</f>
        <v/>
      </c>
      <c r="AR60" s="19" t="n"/>
      <c r="AS60" s="19" t="n"/>
    </row>
    <row r="61">
      <c r="A61" s="15" t="n">
        <v>59</v>
      </c>
      <c r="B61" s="15" t="n">
        <v>3</v>
      </c>
      <c r="C61" s="15" t="inlineStr">
        <is>
          <t>Recruitment</t>
        </is>
      </c>
      <c r="D61" s="15" t="inlineStr">
        <is>
          <t>N7</t>
        </is>
      </c>
      <c r="E61" s="15" t="inlineStr">
        <is>
          <t>Dasa Cis Limited</t>
        </is>
      </c>
      <c r="F61" s="15" t="inlineStr">
        <is>
          <t>Dasa Cis</t>
        </is>
      </c>
      <c r="G61" s="16" t="inlineStr">
        <is>
          <t>https://dasacis.co.uk</t>
        </is>
      </c>
      <c r="H61" s="15" t="inlineStr">
        <is>
          <t>Not stated</t>
        </is>
      </c>
      <c r="I61" s="15" t="inlineStr">
        <is>
          <t>08576888</t>
        </is>
      </c>
      <c r="J61" s="16" t="inlineStr">
        <is>
          <t>Open</t>
        </is>
      </c>
      <c r="K61" s="15" t="inlineStr">
        <is>
          <t>Medium</t>
        </is>
      </c>
      <c r="L61" s="15" t="inlineStr">
        <is>
          <t>20/06/2013</t>
        </is>
      </c>
      <c r="M61" s="15" t="inlineStr">
        <is>
          <t>Studio 6, 6 Hornsey Street, London</t>
        </is>
      </c>
      <c r="N61" s="15" t="inlineStr">
        <is>
          <t>N7 8GR</t>
        </is>
      </c>
      <c r="O61" s="15" t="inlineStr">
        <is>
          <t>No</t>
        </is>
      </c>
      <c r="P61" s="15" t="n"/>
      <c r="Q61" s="15" t="n"/>
      <c r="R61" s="15" t="n"/>
      <c r="S61" s="15" t="inlineStr">
        <is>
          <t>info@dasacis.co.uk</t>
        </is>
      </c>
      <c r="T61" s="15" t="inlineStr">
        <is>
          <t>c general inbox</t>
        </is>
      </c>
      <c r="U61" s="16" t="inlineStr">
        <is>
          <t>https://dasacis.co.uk/</t>
        </is>
      </c>
      <c r="X61" s="15" t="inlineStr">
        <is>
          <t>58 High Street</t>
        </is>
      </c>
      <c r="Y61" s="15" t="inlineStr">
        <is>
          <t>N7 8GR</t>
        </is>
      </c>
      <c r="Z61" s="15" t="inlineStr">
        <is>
          <t>Website (58 High Street)</t>
        </is>
      </c>
      <c r="AA61" s="15" t="inlineStr">
        <is>
          <t>Market Road</t>
        </is>
      </c>
      <c r="AB61" s="15" t="n">
        <v>10</v>
      </c>
      <c r="AC61" s="15" t="inlineStr">
        <is>
          <t>Market Road</t>
        </is>
      </c>
      <c r="AD61" s="15" t="inlineStr">
        <is>
          <t>Monday 28 September at 18:00</t>
        </is>
      </c>
      <c r="AE61" s="15" t="inlineStr">
        <is>
          <t>One-off</t>
        </is>
      </c>
      <c r="AF61" s="15" t="inlineStr">
        <is>
          <t>5-a-side</t>
        </is>
      </c>
      <c r="AG61" s="17">
        <f>IF(Offer!$D$5="","",Offer!$D$5)</f>
        <v/>
      </c>
      <c r="AH61" s="15" t="inlineStr">
        <is>
          <t>office at 58 High Street</t>
        </is>
      </c>
      <c r="AI61" s="15" t="n"/>
      <c r="AJ61" s="18">
        <f>IF(V61&lt;&gt;"",V61,S61)</f>
        <v/>
      </c>
      <c r="AK61" s="18">
        <f>IF(AG61="","",AF61&amp;" football "&amp;AD61&amp;" · "&amp;AB61&amp;" min from your office")</f>
        <v/>
      </c>
      <c r="AL61" s="18">
        <f>IF(AG61="","","Hi "&amp;IF(P61&lt;&gt;"",P61,F61&amp;" team")&amp;","&amp;CHAR(10)&amp;CHAR(10)&amp;IF(AH61&lt;&gt;"","Saw that "&amp;F61&amp;" "&amp;AH61&amp;"."&amp;CHAR(10)&amp;CHAR(10),"")&amp;"I'm "&amp;IF(AQ61&lt;&gt;"",AQ61,Offer!$D$8)&amp;" from FC Urban. We run weekly after-work football for London teams. We have a "&amp;AF61&amp;" pitch at "&amp;AC61&amp;", a "&amp;AB61&amp;"-minute walk from your office on "&amp;IF(X61&lt;&gt;"",X61,Y61)&amp;", free "&amp;AD61&amp;". It's "&amp;"£"&amp;IF(AG61=INT(AG61),TEXT(AG61,"0"),TEXT(AG61,"0.00"))&amp;" a player: we book the pitch and handle sign-ups and payments, so someone just shares one link with the team."&amp;CHAR(10)&amp;CHAR(10)&amp;"Would your team be up for a weekly game? Happy to hold the slot for "&amp;F61&amp;" this week."&amp;CHAR(10)&amp;CHAR(10)&amp;"Best,"&amp;CHAR(10)&amp;IF(AQ61&lt;&gt;"",AQ61,Offer!$D$8)&amp;CHAR(10)&amp;"FC Urban")</f>
        <v/>
      </c>
      <c r="AM61" s="18">
        <f>IF(AG61="","","Hi "&amp;IF(P61&lt;&gt;"",P61,F61&amp;" team")&amp;","&amp;CHAR(10)&amp;CHAR(10)&amp;"Quick follow-up: the "&amp;AF61&amp;" pitch at "&amp;AC61&amp;" is still free "&amp;AD61&amp;", "&amp;"£"&amp;IF(AG61=INT(AG61),TEXT(AG61,"0"),TEXT(AG61,"0.00"))&amp;" a player, "&amp;AB61&amp;" minutes from your office. Shall I hold it for "&amp;F61&amp;"?"&amp;CHAR(10)&amp;CHAR(10)&amp;"Best,"&amp;CHAR(10)&amp;IF(AQ61&lt;&gt;"",AQ61,Offer!$D$8)&amp;CHAR(10)&amp;"FC Urban")</f>
        <v/>
      </c>
      <c r="AN61" s="15" t="inlineStr">
        <is>
          <t>pass</t>
        </is>
      </c>
      <c r="AO61" s="15" t="inlineStr">
        <is>
          <t>MX ok · mailbox not verified</t>
        </is>
      </c>
      <c r="AP61" s="18">
        <f>IF(AG61="","No – no confirmed London price per player",IF(AJ61="","No – no email",IF(AN61&lt;&gt;"pass","No – suppressed","Yes")))</f>
        <v/>
      </c>
      <c r="AR61" s="19" t="n"/>
      <c r="AS61" s="19" t="n"/>
    </row>
    <row r="62">
      <c r="A62" s="15" t="n">
        <v>60</v>
      </c>
      <c r="B62" s="15" t="n">
        <v>3</v>
      </c>
      <c r="C62" s="15" t="inlineStr">
        <is>
          <t>Tech / software</t>
        </is>
      </c>
      <c r="D62" s="15" t="inlineStr">
        <is>
          <t>EC2A</t>
        </is>
      </c>
      <c r="E62" s="15" t="inlineStr">
        <is>
          <t>Tryzens Global Limited</t>
        </is>
      </c>
      <c r="F62" s="15" t="inlineStr">
        <is>
          <t>Tryzens</t>
        </is>
      </c>
      <c r="G62" s="16" t="inlineStr">
        <is>
          <t>https://tryzens.com</t>
        </is>
      </c>
      <c r="H62" s="15" t="n">
        <v>350</v>
      </c>
      <c r="I62" s="15" t="inlineStr">
        <is>
          <t>08624932</t>
        </is>
      </c>
      <c r="J62" s="16" t="inlineStr">
        <is>
          <t>Open</t>
        </is>
      </c>
      <c r="K62" s="15" t="inlineStr">
        <is>
          <t>Group</t>
        </is>
      </c>
      <c r="L62" s="15" t="inlineStr">
        <is>
          <t>25/07/2013</t>
        </is>
      </c>
      <c r="M62" s="15" t="inlineStr">
        <is>
          <t>4Th Floor, 20 Appold Street, London</t>
        </is>
      </c>
      <c r="N62" s="15" t="inlineStr">
        <is>
          <t>EC2A 2AS</t>
        </is>
      </c>
      <c r="O62" s="15" t="inlineStr">
        <is>
          <t>No</t>
        </is>
      </c>
      <c r="P62" s="15" t="n"/>
      <c r="Q62" s="15" t="n"/>
      <c r="R62" s="15" t="n"/>
      <c r="S62" s="15" t="inlineStr">
        <is>
          <t>hello@tryzens.com</t>
        </is>
      </c>
      <c r="T62" s="15" t="inlineStr">
        <is>
          <t>c general inbox</t>
        </is>
      </c>
      <c r="U62" s="16" t="inlineStr">
        <is>
          <t>https://tryzens.com/contact-us/</t>
        </is>
      </c>
      <c r="X62" s="15" t="inlineStr">
        <is>
          <t>4th Floor, 20 Appold Street</t>
        </is>
      </c>
      <c r="Y62" s="15" t="inlineStr">
        <is>
          <t>EC2A 2AS</t>
        </is>
      </c>
      <c r="Z62" s="15" t="inlineStr">
        <is>
          <t>Website (4th Floor, 20 Appold Street)</t>
        </is>
      </c>
      <c r="AA62" s="15" t="inlineStr">
        <is>
          <t>Shoreditch Powerleague</t>
        </is>
      </c>
      <c r="AB62" s="15" t="n">
        <v>10</v>
      </c>
      <c r="AC62" s="15" t="inlineStr">
        <is>
          <t>Shoreditch Powerleague</t>
        </is>
      </c>
      <c r="AD62" s="15" t="inlineStr">
        <is>
          <t>Monday 28 September at 17:40</t>
        </is>
      </c>
      <c r="AE62" s="15" t="inlineStr">
        <is>
          <t>One-off</t>
        </is>
      </c>
      <c r="AF62" s="15" t="inlineStr">
        <is>
          <t>5-a-side</t>
        </is>
      </c>
      <c r="AG62" s="17">
        <f>IF(Offer!$D$5="","",Offer!$D$5)</f>
        <v/>
      </c>
      <c r="AH62" s="15" t="n"/>
      <c r="AI62" s="15" t="n"/>
      <c r="AJ62" s="18">
        <f>IF(V62&lt;&gt;"",V62,S62)</f>
        <v/>
      </c>
      <c r="AK62" s="18">
        <f>IF(AG62="","",AF62&amp;" football "&amp;AD62&amp;" · "&amp;AB62&amp;" min from your office")</f>
        <v/>
      </c>
      <c r="AL62" s="18">
        <f>IF(AG62="","","Hi "&amp;IF(P62&lt;&gt;"",P62,F62&amp;" team")&amp;","&amp;CHAR(10)&amp;CHAR(10)&amp;IF(AH62&lt;&gt;"","Saw that "&amp;F62&amp;" "&amp;AH62&amp;"."&amp;CHAR(10)&amp;CHAR(10),"")&amp;"I'm "&amp;IF(AQ62&lt;&gt;"",AQ62,Offer!$D$8)&amp;" from FC Urban. We run weekly after-work football for London teams. We have a "&amp;AF62&amp;" pitch at "&amp;AC62&amp;", a "&amp;AB62&amp;"-minute walk from your office on "&amp;IF(X62&lt;&gt;"",X62,Y62)&amp;", free "&amp;AD62&amp;". It's "&amp;"£"&amp;IF(AG62=INT(AG62),TEXT(AG62,"0"),TEXT(AG62,"0.00"))&amp;" a player: we book the pitch and handle sign-ups and payments, so someone just shares one link with the team."&amp;CHAR(10)&amp;CHAR(10)&amp;"Would your team be up for a weekly game? Happy to hold the slot for "&amp;F62&amp;" this week."&amp;CHAR(10)&amp;CHAR(10)&amp;"Best,"&amp;CHAR(10)&amp;IF(AQ62&lt;&gt;"",AQ62,Offer!$D$8)&amp;CHAR(10)&amp;"FC Urban")</f>
        <v/>
      </c>
      <c r="AM62" s="18">
        <f>IF(AG62="","","Hi "&amp;IF(P62&lt;&gt;"",P62,F62&amp;" team")&amp;","&amp;CHAR(10)&amp;CHAR(10)&amp;"Quick follow-up: the "&amp;AF62&amp;" pitch at "&amp;AC62&amp;" is still free "&amp;AD62&amp;", "&amp;"£"&amp;IF(AG62=INT(AG62),TEXT(AG62,"0"),TEXT(AG62,"0.00"))&amp;" a player, "&amp;AB62&amp;" minutes from your office. Shall I hold it for "&amp;F62&amp;"?"&amp;CHAR(10)&amp;CHAR(10)&amp;"Best,"&amp;CHAR(10)&amp;IF(AQ62&lt;&gt;"",AQ62,Offer!$D$8)&amp;CHAR(10)&amp;"FC Urban")</f>
        <v/>
      </c>
      <c r="AN62" s="15" t="inlineStr">
        <is>
          <t>pass</t>
        </is>
      </c>
      <c r="AO62" s="15" t="inlineStr">
        <is>
          <t>MX ok · mailbox not verified</t>
        </is>
      </c>
      <c r="AP62" s="18">
        <f>IF(AG62="","No – no confirmed London price per player",IF(AJ62="","No – no email",IF(AN62&lt;&gt;"pass","No – suppressed","Yes")))</f>
        <v/>
      </c>
      <c r="AR62" s="19" t="n"/>
      <c r="AS62" s="19" t="n"/>
    </row>
    <row r="63">
      <c r="A63" s="15" t="n">
        <v>61</v>
      </c>
      <c r="B63" s="15" t="n">
        <v>3</v>
      </c>
      <c r="C63" s="15" t="inlineStr">
        <is>
          <t>Architecture</t>
        </is>
      </c>
      <c r="D63" s="15" t="inlineStr">
        <is>
          <t>E2</t>
        </is>
      </c>
      <c r="E63" s="15" t="inlineStr">
        <is>
          <t>Karakusevic Carson Architects Limited</t>
        </is>
      </c>
      <c r="F63" s="15" t="inlineStr">
        <is>
          <t>Karakusevic Carson Architects</t>
        </is>
      </c>
      <c r="G63" s="16" t="inlineStr">
        <is>
          <t>https://www.karakusevic-carson.com</t>
        </is>
      </c>
      <c r="H63" s="15" t="inlineStr">
        <is>
          <t>Not stated</t>
        </is>
      </c>
      <c r="I63" s="15" t="inlineStr">
        <is>
          <t>08720267</t>
        </is>
      </c>
      <c r="J63" s="16" t="inlineStr">
        <is>
          <t>Open</t>
        </is>
      </c>
      <c r="K63" s="15" t="inlineStr">
        <is>
          <t>Group</t>
        </is>
      </c>
      <c r="L63" s="15" t="inlineStr">
        <is>
          <t>07/10/2013</t>
        </is>
      </c>
      <c r="M63" s="15" t="inlineStr">
        <is>
          <t>Studio 501 37 Cremer Street, Hackney, London</t>
        </is>
      </c>
      <c r="N63" s="15" t="inlineStr">
        <is>
          <t>E2 8HD</t>
        </is>
      </c>
      <c r="O63" s="15" t="inlineStr">
        <is>
          <t>No</t>
        </is>
      </c>
      <c r="P63" s="15" t="n"/>
      <c r="Q63" s="15" t="n"/>
      <c r="R63" s="15" t="n"/>
      <c r="S63" s="15" t="inlineStr">
        <is>
          <t>mail@karakusevic-carson.com</t>
        </is>
      </c>
      <c r="T63" s="15" t="inlineStr">
        <is>
          <t>c general inbox</t>
        </is>
      </c>
      <c r="U63" s="16" t="inlineStr">
        <is>
          <t>https://www.karakusevic-carson.com/</t>
        </is>
      </c>
      <c r="X63" s="15" t="inlineStr">
        <is>
          <t>37 Cremer St</t>
        </is>
      </c>
      <c r="Y63" s="15" t="inlineStr">
        <is>
          <t>E2 8HD</t>
        </is>
      </c>
      <c r="Z63" s="15" t="inlineStr">
        <is>
          <t>Website (37 Cremer St)</t>
        </is>
      </c>
      <c r="AA63" s="15" t="inlineStr">
        <is>
          <t>Shoreditch Rooftop</t>
        </is>
      </c>
      <c r="AB63" s="15" t="n">
        <v>11</v>
      </c>
      <c r="AC63" s="15" t="inlineStr">
        <is>
          <t>Shoreditch Rooftop</t>
        </is>
      </c>
      <c r="AD63" s="15" t="inlineStr">
        <is>
          <t>Monday 28 September at 18:00</t>
        </is>
      </c>
      <c r="AE63" s="15" t="inlineStr">
        <is>
          <t>One-off</t>
        </is>
      </c>
      <c r="AF63" s="15" t="inlineStr">
        <is>
          <t>5-a-side</t>
        </is>
      </c>
      <c r="AG63" s="17">
        <f>IF(Offer!$D$5="","",Offer!$D$5)</f>
        <v/>
      </c>
      <c r="AH63" s="15" t="n"/>
      <c r="AI63" s="15" t="n"/>
      <c r="AJ63" s="18">
        <f>IF(V63&lt;&gt;"",V63,S63)</f>
        <v/>
      </c>
      <c r="AK63" s="18">
        <f>IF(AG63="","",AF63&amp;" football "&amp;AD63&amp;" · "&amp;AB63&amp;" min from your office")</f>
        <v/>
      </c>
      <c r="AL63" s="18">
        <f>IF(AG63="","","Hi "&amp;IF(P63&lt;&gt;"",P63,F63&amp;" team")&amp;","&amp;CHAR(10)&amp;CHAR(10)&amp;IF(AH63&lt;&gt;"","Saw that "&amp;F63&amp;" "&amp;AH63&amp;"."&amp;CHAR(10)&amp;CHAR(10),"")&amp;"I'm "&amp;IF(AQ63&lt;&gt;"",AQ63,Offer!$D$8)&amp;" from FC Urban. We run weekly after-work football for London teams. We have a "&amp;AF63&amp;" pitch at "&amp;AC63&amp;", a "&amp;AB63&amp;"-minute walk from your office on "&amp;IF(X63&lt;&gt;"",X63,Y63)&amp;", free "&amp;AD63&amp;". It's "&amp;"£"&amp;IF(AG63=INT(AG63),TEXT(AG63,"0"),TEXT(AG63,"0.00"))&amp;" a player: we book the pitch and handle sign-ups and payments, so someone just shares one link with the team."&amp;CHAR(10)&amp;CHAR(10)&amp;"Would your team be up for a weekly game? Happy to hold the slot for "&amp;F63&amp;" this week."&amp;CHAR(10)&amp;CHAR(10)&amp;"Best,"&amp;CHAR(10)&amp;IF(AQ63&lt;&gt;"",AQ63,Offer!$D$8)&amp;CHAR(10)&amp;"FC Urban")</f>
        <v/>
      </c>
      <c r="AM63" s="18">
        <f>IF(AG63="","","Hi "&amp;IF(P63&lt;&gt;"",P63,F63&amp;" team")&amp;","&amp;CHAR(10)&amp;CHAR(10)&amp;"Quick follow-up: the "&amp;AF63&amp;" pitch at "&amp;AC63&amp;" is still free "&amp;AD63&amp;", "&amp;"£"&amp;IF(AG63=INT(AG63),TEXT(AG63,"0"),TEXT(AG63,"0.00"))&amp;" a player, "&amp;AB63&amp;" minutes from your office. Shall I hold it for "&amp;F63&amp;"?"&amp;CHAR(10)&amp;CHAR(10)&amp;"Best,"&amp;CHAR(10)&amp;IF(AQ63&lt;&gt;"",AQ63,Offer!$D$8)&amp;CHAR(10)&amp;"FC Urban")</f>
        <v/>
      </c>
      <c r="AN63" s="15" t="inlineStr">
        <is>
          <t>pass</t>
        </is>
      </c>
      <c r="AO63" s="15" t="inlineStr">
        <is>
          <t>MX ok · mailbox not verified</t>
        </is>
      </c>
      <c r="AP63" s="18">
        <f>IF(AG63="","No – no confirmed London price per player",IF(AJ63="","No – no email",IF(AN63&lt;&gt;"pass","No – suppressed","Yes")))</f>
        <v/>
      </c>
      <c r="AR63" s="19" t="n"/>
      <c r="AS63" s="19" t="n"/>
    </row>
    <row r="64">
      <c r="A64" s="15" t="n">
        <v>62</v>
      </c>
      <c r="B64" s="15" t="n">
        <v>3</v>
      </c>
      <c r="C64" s="15" t="inlineStr">
        <is>
          <t>Recruitment</t>
        </is>
      </c>
      <c r="D64" s="15" t="inlineStr">
        <is>
          <t>EC2A</t>
        </is>
      </c>
      <c r="E64" s="15" t="inlineStr">
        <is>
          <t>Your World Recruitment Limited</t>
        </is>
      </c>
      <c r="F64" s="15" t="inlineStr">
        <is>
          <t>Your World Recruitment</t>
        </is>
      </c>
      <c r="G64" s="16" t="inlineStr">
        <is>
          <t>https://www.yourworld.com</t>
        </is>
      </c>
      <c r="H64" s="15" t="inlineStr">
        <is>
          <t>Not stated</t>
        </is>
      </c>
      <c r="I64" s="15" t="inlineStr">
        <is>
          <t>05460751</t>
        </is>
      </c>
      <c r="J64" s="16" t="inlineStr">
        <is>
          <t>Open</t>
        </is>
      </c>
      <c r="K64" s="15" t="inlineStr">
        <is>
          <t>Full</t>
        </is>
      </c>
      <c r="L64" s="15" t="inlineStr">
        <is>
          <t>23/05/2005</t>
        </is>
      </c>
      <c r="M64" s="15" t="inlineStr">
        <is>
          <t>4Th Floor, 69 Wilson Street, London</t>
        </is>
      </c>
      <c r="N64" s="15" t="inlineStr">
        <is>
          <t>EC2A 2BB</t>
        </is>
      </c>
      <c r="O64" s="15" t="inlineStr">
        <is>
          <t>No</t>
        </is>
      </c>
      <c r="P64" s="15" t="n"/>
      <c r="Q64" s="15" t="n"/>
      <c r="R64" s="15" t="n"/>
      <c r="S64" s="15" t="inlineStr">
        <is>
          <t>info@yourworld.com</t>
        </is>
      </c>
      <c r="T64" s="15" t="inlineStr">
        <is>
          <t>c general inbox</t>
        </is>
      </c>
      <c r="U64" s="16" t="inlineStr">
        <is>
          <t>https://www.yourworld.com/uk/contact</t>
        </is>
      </c>
      <c r="X64" s="15" t="inlineStr">
        <is>
          <t>4th Floor, 69 Wilson Street</t>
        </is>
      </c>
      <c r="Y64" s="15" t="inlineStr">
        <is>
          <t>EC2A 2BB</t>
        </is>
      </c>
      <c r="Z64" s="15" t="inlineStr">
        <is>
          <t>Website (4th Floor, 69 Wilson Street)</t>
        </is>
      </c>
      <c r="AA64" s="15" t="inlineStr">
        <is>
          <t>Shoreditch Powerleague</t>
        </is>
      </c>
      <c r="AB64" s="15" t="n">
        <v>11</v>
      </c>
      <c r="AC64" s="15" t="inlineStr">
        <is>
          <t>Shoreditch Powerleague</t>
        </is>
      </c>
      <c r="AD64" s="15" t="inlineStr">
        <is>
          <t>Monday 28 September at 17:40</t>
        </is>
      </c>
      <c r="AE64" s="15" t="inlineStr">
        <is>
          <t>One-off</t>
        </is>
      </c>
      <c r="AF64" s="15" t="inlineStr">
        <is>
          <t>5-a-side</t>
        </is>
      </c>
      <c r="AG64" s="17">
        <f>IF(Offer!$D$5="","",Offer!$D$5)</f>
        <v/>
      </c>
      <c r="AH64" s="15" t="n"/>
      <c r="AI64" s="15" t="n"/>
      <c r="AJ64" s="18">
        <f>IF(V64&lt;&gt;"",V64,S64)</f>
        <v/>
      </c>
      <c r="AK64" s="18">
        <f>IF(AG64="","",AF64&amp;" football "&amp;AD64&amp;" · "&amp;AB64&amp;" min from your office")</f>
        <v/>
      </c>
      <c r="AL64" s="18">
        <f>IF(AG64="","","Hi "&amp;IF(P64&lt;&gt;"",P64,F64&amp;" team")&amp;","&amp;CHAR(10)&amp;CHAR(10)&amp;IF(AH64&lt;&gt;"","Saw that "&amp;F64&amp;" "&amp;AH64&amp;"."&amp;CHAR(10)&amp;CHAR(10),"")&amp;"I'm "&amp;IF(AQ64&lt;&gt;"",AQ64,Offer!$D$8)&amp;" from FC Urban. We run weekly after-work football for London teams. We have a "&amp;AF64&amp;" pitch at "&amp;AC64&amp;", a "&amp;AB64&amp;"-minute walk from your office on "&amp;IF(X64&lt;&gt;"",X64,Y64)&amp;", free "&amp;AD64&amp;". It's "&amp;"£"&amp;IF(AG64=INT(AG64),TEXT(AG64,"0"),TEXT(AG64,"0.00"))&amp;" a player: we book the pitch and handle sign-ups and payments, so someone just shares one link with the team."&amp;CHAR(10)&amp;CHAR(10)&amp;"Would your team be up for a weekly game? Happy to hold the slot for "&amp;F64&amp;" this week."&amp;CHAR(10)&amp;CHAR(10)&amp;"Best,"&amp;CHAR(10)&amp;IF(AQ64&lt;&gt;"",AQ64,Offer!$D$8)&amp;CHAR(10)&amp;"FC Urban")</f>
        <v/>
      </c>
      <c r="AM64" s="18">
        <f>IF(AG64="","","Hi "&amp;IF(P64&lt;&gt;"",P64,F64&amp;" team")&amp;","&amp;CHAR(10)&amp;CHAR(10)&amp;"Quick follow-up: the "&amp;AF64&amp;" pitch at "&amp;AC64&amp;" is still free "&amp;AD64&amp;", "&amp;"£"&amp;IF(AG64=INT(AG64),TEXT(AG64,"0"),TEXT(AG64,"0.00"))&amp;" a player, "&amp;AB64&amp;" minutes from your office. Shall I hold it for "&amp;F64&amp;"?"&amp;CHAR(10)&amp;CHAR(10)&amp;"Best,"&amp;CHAR(10)&amp;IF(AQ64&lt;&gt;"",AQ64,Offer!$D$8)&amp;CHAR(10)&amp;"FC Urban")</f>
        <v/>
      </c>
      <c r="AN64" s="15" t="inlineStr">
        <is>
          <t>pass</t>
        </is>
      </c>
      <c r="AO64" s="15" t="inlineStr">
        <is>
          <t>MX ok · mailbox not verified</t>
        </is>
      </c>
      <c r="AP64" s="18">
        <f>IF(AG64="","No – no confirmed London price per player",IF(AJ64="","No – no email",IF(AN64&lt;&gt;"pass","No – suppressed","Yes")))</f>
        <v/>
      </c>
      <c r="AR64" s="19" t="n"/>
      <c r="AS64" s="19" t="n"/>
    </row>
    <row r="65">
      <c r="A65" s="15" t="n">
        <v>63</v>
      </c>
      <c r="B65" s="15" t="n">
        <v>3</v>
      </c>
      <c r="C65" s="15" t="inlineStr">
        <is>
          <t>Tech / software</t>
        </is>
      </c>
      <c r="D65" s="15" t="inlineStr">
        <is>
          <t>EC2A</t>
        </is>
      </c>
      <c r="E65" s="15" t="inlineStr">
        <is>
          <t>Datasite UK Ltd.</t>
        </is>
      </c>
      <c r="F65" s="15" t="inlineStr">
        <is>
          <t>Datasite</t>
        </is>
      </c>
      <c r="G65" s="16" t="inlineStr">
        <is>
          <t>https://www.datasite.com</t>
        </is>
      </c>
      <c r="H65" s="15" t="n">
        <v>44</v>
      </c>
      <c r="I65" s="15" t="inlineStr">
        <is>
          <t>03829230</t>
        </is>
      </c>
      <c r="J65" s="16" t="inlineStr">
        <is>
          <t>Open</t>
        </is>
      </c>
      <c r="K65" s="15" t="inlineStr">
        <is>
          <t>Full</t>
        </is>
      </c>
      <c r="L65" s="15" t="inlineStr">
        <is>
          <t>17/08/1999</t>
        </is>
      </c>
      <c r="M65" s="15" t="inlineStr">
        <is>
          <t>15 Bonhill Street, London</t>
        </is>
      </c>
      <c r="N65" s="15" t="inlineStr">
        <is>
          <t>EC2A 4DN</t>
        </is>
      </c>
      <c r="O65" s="15" t="inlineStr">
        <is>
          <t>No</t>
        </is>
      </c>
      <c r="P65" s="15" t="n"/>
      <c r="Q65" s="15" t="n"/>
      <c r="R65" s="15" t="n"/>
      <c r="S65" s="15" t="inlineStr">
        <is>
          <t>hr@datasite.com</t>
        </is>
      </c>
      <c r="T65" s="15" t="inlineStr">
        <is>
          <t>c general inbox</t>
        </is>
      </c>
      <c r="U65" s="16" t="inlineStr">
        <is>
          <t>https://www.datasite.com/en/company/careers</t>
        </is>
      </c>
      <c r="X65" s="15" t="n"/>
      <c r="Y65" s="15" t="inlineStr">
        <is>
          <t>EC2A 4DN</t>
        </is>
      </c>
      <c r="Z65" s="15" t="inlineStr">
        <is>
          <t>Website</t>
        </is>
      </c>
      <c r="AA65" s="15" t="inlineStr">
        <is>
          <t>Shoreditch Powerleague</t>
        </is>
      </c>
      <c r="AB65" s="15" t="n">
        <v>11</v>
      </c>
      <c r="AC65" s="15" t="inlineStr">
        <is>
          <t>Shoreditch Powerleague</t>
        </is>
      </c>
      <c r="AD65" s="15" t="inlineStr">
        <is>
          <t>Monday 28 September at 17:40</t>
        </is>
      </c>
      <c r="AE65" s="15" t="inlineStr">
        <is>
          <t>One-off</t>
        </is>
      </c>
      <c r="AF65" s="15" t="inlineStr">
        <is>
          <t>5-a-side</t>
        </is>
      </c>
      <c r="AG65" s="17">
        <f>IF(Offer!$D$5="","",Offer!$D$5)</f>
        <v/>
      </c>
      <c r="AH65" s="15" t="inlineStr">
        <is>
          <t>team of 44 people</t>
        </is>
      </c>
      <c r="AI65" s="16" t="inlineStr">
        <is>
          <t>https://www.datasite.com/en/company/about</t>
        </is>
      </c>
      <c r="AJ65" s="18">
        <f>IF(V65&lt;&gt;"",V65,S65)</f>
        <v/>
      </c>
      <c r="AK65" s="18">
        <f>IF(AG65="","",AF65&amp;" football "&amp;AD65&amp;" · "&amp;AB65&amp;" min from your office")</f>
        <v/>
      </c>
      <c r="AL65" s="18">
        <f>IF(AG65="","","Hi "&amp;IF(P65&lt;&gt;"",P65,F65&amp;" team")&amp;","&amp;CHAR(10)&amp;CHAR(10)&amp;IF(AH65&lt;&gt;"","Saw that "&amp;F65&amp;" "&amp;AH65&amp;"."&amp;CHAR(10)&amp;CHAR(10),"")&amp;"I'm "&amp;IF(AQ65&lt;&gt;"",AQ65,Offer!$D$8)&amp;" from FC Urban. We run weekly after-work football for London teams. We have a "&amp;AF65&amp;" pitch at "&amp;AC65&amp;", a "&amp;AB65&amp;"-minute walk from your office on "&amp;IF(X65&lt;&gt;"",X65,Y65)&amp;", free "&amp;AD65&amp;". It's "&amp;"£"&amp;IF(AG65=INT(AG65),TEXT(AG65,"0"),TEXT(AG65,"0.00"))&amp;" a player: we book the pitch and handle sign-ups and payments, so someone just shares one link with the team."&amp;CHAR(10)&amp;CHAR(10)&amp;"Would your team be up for a weekly game? Happy to hold the slot for "&amp;F65&amp;" this week."&amp;CHAR(10)&amp;CHAR(10)&amp;"Best,"&amp;CHAR(10)&amp;IF(AQ65&lt;&gt;"",AQ65,Offer!$D$8)&amp;CHAR(10)&amp;"FC Urban")</f>
        <v/>
      </c>
      <c r="AM65" s="18">
        <f>IF(AG65="","","Hi "&amp;IF(P65&lt;&gt;"",P65,F65&amp;" team")&amp;","&amp;CHAR(10)&amp;CHAR(10)&amp;"Quick follow-up: the "&amp;AF65&amp;" pitch at "&amp;AC65&amp;" is still free "&amp;AD65&amp;", "&amp;"£"&amp;IF(AG65=INT(AG65),TEXT(AG65,"0"),TEXT(AG65,"0.00"))&amp;" a player, "&amp;AB65&amp;" minutes from your office. Shall I hold it for "&amp;F65&amp;"?"&amp;CHAR(10)&amp;CHAR(10)&amp;"Best,"&amp;CHAR(10)&amp;IF(AQ65&lt;&gt;"",AQ65,Offer!$D$8)&amp;CHAR(10)&amp;"FC Urban")</f>
        <v/>
      </c>
      <c r="AN65" s="15" t="inlineStr">
        <is>
          <t>pass</t>
        </is>
      </c>
      <c r="AO65" s="15" t="inlineStr">
        <is>
          <t>MX ok · mailbox not verified</t>
        </is>
      </c>
      <c r="AP65" s="18">
        <f>IF(AG65="","No – no confirmed London price per player",IF(AJ65="","No – no email",IF(AN65&lt;&gt;"pass","No – suppressed","Yes")))</f>
        <v/>
      </c>
      <c r="AR65" s="19" t="n"/>
      <c r="AS65" s="19" t="n"/>
    </row>
    <row r="66">
      <c r="A66" s="15" t="n">
        <v>64</v>
      </c>
      <c r="B66" s="15" t="n">
        <v>3</v>
      </c>
      <c r="C66" s="15" t="inlineStr">
        <is>
          <t>Consultancy</t>
        </is>
      </c>
      <c r="D66" s="15" t="inlineStr">
        <is>
          <t>EC1V</t>
        </is>
      </c>
      <c r="E66" s="15" t="inlineStr">
        <is>
          <t>Beeline.Com Limited</t>
        </is>
      </c>
      <c r="F66" s="15" t="inlineStr">
        <is>
          <t>Beeline.Com</t>
        </is>
      </c>
      <c r="G66" s="16" t="inlineStr">
        <is>
          <t>https://www.beeline.com</t>
        </is>
      </c>
      <c r="H66" s="15" t="inlineStr">
        <is>
          <t>Not stated</t>
        </is>
      </c>
      <c r="I66" s="15" t="inlineStr">
        <is>
          <t>04993515</t>
        </is>
      </c>
      <c r="J66" s="16" t="inlineStr">
        <is>
          <t>Open</t>
        </is>
      </c>
      <c r="K66" s="15" t="inlineStr">
        <is>
          <t>Medium</t>
        </is>
      </c>
      <c r="L66" s="15" t="inlineStr">
        <is>
          <t>12/12/2003</t>
        </is>
      </c>
      <c r="M66" s="15" t="inlineStr">
        <is>
          <t>124 City Road, London</t>
        </is>
      </c>
      <c r="N66" s="15" t="inlineStr">
        <is>
          <t>EC1V 2NX</t>
        </is>
      </c>
      <c r="O66" s="15" t="inlineStr">
        <is>
          <t>No</t>
        </is>
      </c>
      <c r="P66" s="15" t="n"/>
      <c r="Q66" s="15" t="n"/>
      <c r="R66" s="15" t="n"/>
      <c r="S66" s="15" t="inlineStr">
        <is>
          <t>beelinecommunity@beeline.com</t>
        </is>
      </c>
      <c r="T66" s="15" t="inlineStr">
        <is>
          <t>c general inbox</t>
        </is>
      </c>
      <c r="U66" s="16" t="inlineStr">
        <is>
          <t>https://www.beeline.com/contact/support</t>
        </is>
      </c>
      <c r="X66" s="15" t="inlineStr">
        <is>
          <t>124 City Road</t>
        </is>
      </c>
      <c r="Y66" s="15" t="inlineStr">
        <is>
          <t>EC1V 2NX</t>
        </is>
      </c>
      <c r="Z66" s="15" t="inlineStr">
        <is>
          <t>Website (124 City Road)</t>
        </is>
      </c>
      <c r="AA66" s="15" t="inlineStr">
        <is>
          <t>Old St - Moreland Primary School</t>
        </is>
      </c>
      <c r="AB66" s="15" t="n">
        <v>11</v>
      </c>
      <c r="AC66" s="15" t="inlineStr">
        <is>
          <t>Old St - Moreland Primary School</t>
        </is>
      </c>
      <c r="AD66" s="15" t="inlineStr">
        <is>
          <t>Monday 12 October at 18:00</t>
        </is>
      </c>
      <c r="AE66" s="15" t="inlineStr">
        <is>
          <t>One-off</t>
        </is>
      </c>
      <c r="AF66" s="15" t="inlineStr">
        <is>
          <t>6-a-side</t>
        </is>
      </c>
      <c r="AG66" s="17">
        <f>IF(Offer!$D$5="","",Offer!$D$5)</f>
        <v/>
      </c>
      <c r="AH66" s="15" t="n"/>
      <c r="AI66" s="15" t="n"/>
      <c r="AJ66" s="18">
        <f>IF(V66&lt;&gt;"",V66,S66)</f>
        <v/>
      </c>
      <c r="AK66" s="18">
        <f>IF(AG66="","",AF66&amp;" football "&amp;AD66&amp;" · "&amp;AB66&amp;" min from your office")</f>
        <v/>
      </c>
      <c r="AL66" s="18">
        <f>IF(AG66="","","Hi "&amp;IF(P66&lt;&gt;"",P66,F66&amp;" team")&amp;","&amp;CHAR(10)&amp;CHAR(10)&amp;IF(AH66&lt;&gt;"","Saw that "&amp;F66&amp;" "&amp;AH66&amp;"."&amp;CHAR(10)&amp;CHAR(10),"")&amp;"I'm "&amp;IF(AQ66&lt;&gt;"",AQ66,Offer!$D$8)&amp;" from FC Urban. We run weekly after-work football for London teams. We have a "&amp;AF66&amp;" pitch at "&amp;AC66&amp;", a "&amp;AB66&amp;"-minute walk from your office on "&amp;IF(X66&lt;&gt;"",X66,Y66)&amp;", free "&amp;AD66&amp;". It's "&amp;"£"&amp;IF(AG66=INT(AG66),TEXT(AG66,"0"),TEXT(AG66,"0.00"))&amp;" a player: we book the pitch and handle sign-ups and payments, so someone just shares one link with the team."&amp;CHAR(10)&amp;CHAR(10)&amp;"Would your team be up for a weekly game? Happy to hold the slot for "&amp;F66&amp;" this week."&amp;CHAR(10)&amp;CHAR(10)&amp;"Best,"&amp;CHAR(10)&amp;IF(AQ66&lt;&gt;"",AQ66,Offer!$D$8)&amp;CHAR(10)&amp;"FC Urban")</f>
        <v/>
      </c>
      <c r="AM66" s="18">
        <f>IF(AG66="","","Hi "&amp;IF(P66&lt;&gt;"",P66,F66&amp;" team")&amp;","&amp;CHAR(10)&amp;CHAR(10)&amp;"Quick follow-up: the "&amp;AF66&amp;" pitch at "&amp;AC66&amp;" is still free "&amp;AD66&amp;", "&amp;"£"&amp;IF(AG66=INT(AG66),TEXT(AG66,"0"),TEXT(AG66,"0.00"))&amp;" a player, "&amp;AB66&amp;" minutes from your office. Shall I hold it for "&amp;F66&amp;"?"&amp;CHAR(10)&amp;CHAR(10)&amp;"Best,"&amp;CHAR(10)&amp;IF(AQ66&lt;&gt;"",AQ66,Offer!$D$8)&amp;CHAR(10)&amp;"FC Urban")</f>
        <v/>
      </c>
      <c r="AN66" s="15" t="inlineStr">
        <is>
          <t>pass</t>
        </is>
      </c>
      <c r="AO66" s="15" t="inlineStr">
        <is>
          <t>MX ok · mailbox not verified</t>
        </is>
      </c>
      <c r="AP66" s="18">
        <f>IF(AG66="","No – no confirmed London price per player",IF(AJ66="","No – no email",IF(AN66&lt;&gt;"pass","No – suppressed","Yes")))</f>
        <v/>
      </c>
      <c r="AR66" s="19" t="n"/>
      <c r="AS66" s="19" t="n"/>
    </row>
    <row r="67">
      <c r="A67" s="15" t="n">
        <v>65</v>
      </c>
      <c r="B67" s="15" t="n">
        <v>3</v>
      </c>
      <c r="C67" s="15" t="inlineStr">
        <is>
          <t>Tech / software</t>
        </is>
      </c>
      <c r="D67" s="15" t="inlineStr">
        <is>
          <t>EC1M</t>
        </is>
      </c>
      <c r="E67" s="15" t="inlineStr">
        <is>
          <t>Permutive Limited</t>
        </is>
      </c>
      <c r="F67" s="15" t="inlineStr">
        <is>
          <t>Permutive</t>
        </is>
      </c>
      <c r="G67" s="16" t="inlineStr">
        <is>
          <t>https://permutive.com</t>
        </is>
      </c>
      <c r="H67" s="15" t="inlineStr">
        <is>
          <t>Not stated</t>
        </is>
      </c>
      <c r="I67" s="15" t="inlineStr">
        <is>
          <t>08738815</t>
        </is>
      </c>
      <c r="J67" s="16" t="inlineStr">
        <is>
          <t>Open</t>
        </is>
      </c>
      <c r="K67" s="15" t="inlineStr">
        <is>
          <t>Full</t>
        </is>
      </c>
      <c r="L67" s="15" t="inlineStr">
        <is>
          <t>18/10/2013</t>
        </is>
      </c>
      <c r="M67" s="15" t="inlineStr">
        <is>
          <t>Floor 2, 8-10 Charterhouse Buildings, Goswell Road, London</t>
        </is>
      </c>
      <c r="N67" s="15" t="inlineStr">
        <is>
          <t>EC1M 7AN</t>
        </is>
      </c>
      <c r="O67" s="15" t="inlineStr">
        <is>
          <t>No</t>
        </is>
      </c>
      <c r="P67" s="15" t="n"/>
      <c r="Q67" s="15" t="n"/>
      <c r="R67" s="15" t="n"/>
      <c r="S67" s="15" t="inlineStr">
        <is>
          <t>hello@permutive.com</t>
        </is>
      </c>
      <c r="T67" s="15" t="inlineStr">
        <is>
          <t>c general inbox</t>
        </is>
      </c>
      <c r="U67" s="16" t="inlineStr">
        <is>
          <t>https://permutive.com/</t>
        </is>
      </c>
      <c r="X67" s="15" t="inlineStr">
        <is>
          <t>FLOOR 2</t>
        </is>
      </c>
      <c r="Y67" s="15" t="inlineStr">
        <is>
          <t>EC1M 7AN</t>
        </is>
      </c>
      <c r="Z67" s="15" t="inlineStr">
        <is>
          <t>Website (FLOOR 2)</t>
        </is>
      </c>
      <c r="AA67" s="15" t="inlineStr">
        <is>
          <t>Old St - Moreland Primary School</t>
        </is>
      </c>
      <c r="AB67" s="15" t="n">
        <v>11</v>
      </c>
      <c r="AC67" s="15" t="inlineStr">
        <is>
          <t>Old St - Moreland Primary School</t>
        </is>
      </c>
      <c r="AD67" s="15" t="inlineStr">
        <is>
          <t>Monday 12 October at 18:00</t>
        </is>
      </c>
      <c r="AE67" s="15" t="inlineStr">
        <is>
          <t>One-off</t>
        </is>
      </c>
      <c r="AF67" s="15" t="inlineStr">
        <is>
          <t>6-a-side</t>
        </is>
      </c>
      <c r="AG67" s="17">
        <f>IF(Offer!$D$5="","",Offer!$D$5)</f>
        <v/>
      </c>
      <c r="AH67" s="15" t="n"/>
      <c r="AI67" s="15" t="n"/>
      <c r="AJ67" s="18">
        <f>IF(V67&lt;&gt;"",V67,S67)</f>
        <v/>
      </c>
      <c r="AK67" s="18">
        <f>IF(AG67="","",AF67&amp;" football "&amp;AD67&amp;" · "&amp;AB67&amp;" min from your office")</f>
        <v/>
      </c>
      <c r="AL67" s="18">
        <f>IF(AG67="","","Hi "&amp;IF(P67&lt;&gt;"",P67,F67&amp;" team")&amp;","&amp;CHAR(10)&amp;CHAR(10)&amp;IF(AH67&lt;&gt;"","Saw that "&amp;F67&amp;" "&amp;AH67&amp;"."&amp;CHAR(10)&amp;CHAR(10),"")&amp;"I'm "&amp;IF(AQ67&lt;&gt;"",AQ67,Offer!$D$8)&amp;" from FC Urban. We run weekly after-work football for London teams. We have a "&amp;AF67&amp;" pitch at "&amp;AC67&amp;", a "&amp;AB67&amp;"-minute walk from your office on "&amp;IF(X67&lt;&gt;"",X67,Y67)&amp;", free "&amp;AD67&amp;". It's "&amp;"£"&amp;IF(AG67=INT(AG67),TEXT(AG67,"0"),TEXT(AG67,"0.00"))&amp;" a player: we book the pitch and handle sign-ups and payments, so someone just shares one link with the team."&amp;CHAR(10)&amp;CHAR(10)&amp;"Would your team be up for a weekly game? Happy to hold the slot for "&amp;F67&amp;" this week."&amp;CHAR(10)&amp;CHAR(10)&amp;"Best,"&amp;CHAR(10)&amp;IF(AQ67&lt;&gt;"",AQ67,Offer!$D$8)&amp;CHAR(10)&amp;"FC Urban")</f>
        <v/>
      </c>
      <c r="AM67" s="18">
        <f>IF(AG67="","","Hi "&amp;IF(P67&lt;&gt;"",P67,F67&amp;" team")&amp;","&amp;CHAR(10)&amp;CHAR(10)&amp;"Quick follow-up: the "&amp;AF67&amp;" pitch at "&amp;AC67&amp;" is still free "&amp;AD67&amp;", "&amp;"£"&amp;IF(AG67=INT(AG67),TEXT(AG67,"0"),TEXT(AG67,"0.00"))&amp;" a player, "&amp;AB67&amp;" minutes from your office. Shall I hold it for "&amp;F67&amp;"?"&amp;CHAR(10)&amp;CHAR(10)&amp;"Best,"&amp;CHAR(10)&amp;IF(AQ67&lt;&gt;"",AQ67,Offer!$D$8)&amp;CHAR(10)&amp;"FC Urban")</f>
        <v/>
      </c>
      <c r="AN67" s="15" t="inlineStr">
        <is>
          <t>pass</t>
        </is>
      </c>
      <c r="AO67" s="15" t="inlineStr">
        <is>
          <t>MX ok · mailbox not verified</t>
        </is>
      </c>
      <c r="AP67" s="18">
        <f>IF(AG67="","No – no confirmed London price per player",IF(AJ67="","No – no email",IF(AN67&lt;&gt;"pass","No – suppressed","Yes")))</f>
        <v/>
      </c>
      <c r="AR67" s="19" t="n"/>
      <c r="AS67" s="19" t="n"/>
    </row>
    <row r="68">
      <c r="A68" s="15" t="n">
        <v>66</v>
      </c>
      <c r="B68" s="15" t="n">
        <v>3</v>
      </c>
      <c r="C68" s="15" t="inlineStr">
        <is>
          <t>Tech / software</t>
        </is>
      </c>
      <c r="D68" s="15" t="inlineStr">
        <is>
          <t>EC2A</t>
        </is>
      </c>
      <c r="E68" s="15" t="inlineStr">
        <is>
          <t>Optimove UK Limited</t>
        </is>
      </c>
      <c r="F68" s="15" t="inlineStr">
        <is>
          <t>Optimove</t>
        </is>
      </c>
      <c r="G68" s="16" t="inlineStr">
        <is>
          <t>https://www.optimove.com</t>
        </is>
      </c>
      <c r="H68" s="15" t="inlineStr">
        <is>
          <t>Not stated</t>
        </is>
      </c>
      <c r="I68" s="15" t="inlineStr">
        <is>
          <t>10443820</t>
        </is>
      </c>
      <c r="J68" s="16" t="inlineStr">
        <is>
          <t>Open</t>
        </is>
      </c>
      <c r="K68" s="15" t="inlineStr">
        <is>
          <t>Full</t>
        </is>
      </c>
      <c r="L68" s="15" t="inlineStr">
        <is>
          <t>25/10/2016</t>
        </is>
      </c>
      <c r="M68" s="15" t="inlineStr">
        <is>
          <t>14 Bonhill Street, London</t>
        </is>
      </c>
      <c r="N68" s="15" t="inlineStr">
        <is>
          <t>EC2A 4BX</t>
        </is>
      </c>
      <c r="O68" s="15" t="inlineStr">
        <is>
          <t>No</t>
        </is>
      </c>
      <c r="P68" s="15" t="n"/>
      <c r="Q68" s="15" t="n"/>
      <c r="R68" s="15" t="n"/>
      <c r="S68" s="15" t="inlineStr">
        <is>
          <t>info@optimove.com</t>
        </is>
      </c>
      <c r="T68" s="15" t="inlineStr">
        <is>
          <t>c general inbox</t>
        </is>
      </c>
      <c r="U68" s="16" t="inlineStr">
        <is>
          <t>https://www.optimove.com/contact</t>
        </is>
      </c>
      <c r="X68" s="15" t="inlineStr">
        <is>
          <t>14 Bonhill Street</t>
        </is>
      </c>
      <c r="Y68" s="15" t="inlineStr">
        <is>
          <t>EC2A 4BX</t>
        </is>
      </c>
      <c r="Z68" s="15" t="inlineStr">
        <is>
          <t>Website (14 Bonhill Street)</t>
        </is>
      </c>
      <c r="AA68" s="15" t="inlineStr">
        <is>
          <t>Shoreditch Powerleague</t>
        </is>
      </c>
      <c r="AB68" s="15" t="n">
        <v>11</v>
      </c>
      <c r="AC68" s="15" t="inlineStr">
        <is>
          <t>Shoreditch Powerleague</t>
        </is>
      </c>
      <c r="AD68" s="15" t="inlineStr">
        <is>
          <t>Monday 28 September at 17:40</t>
        </is>
      </c>
      <c r="AE68" s="15" t="inlineStr">
        <is>
          <t>One-off</t>
        </is>
      </c>
      <c r="AF68" s="15" t="inlineStr">
        <is>
          <t>5-a-side</t>
        </is>
      </c>
      <c r="AG68" s="17">
        <f>IF(Offer!$D$5="","",Offer!$D$5)</f>
        <v/>
      </c>
      <c r="AH68" s="15" t="n"/>
      <c r="AI68" s="15" t="n"/>
      <c r="AJ68" s="18">
        <f>IF(V68&lt;&gt;"",V68,S68)</f>
        <v/>
      </c>
      <c r="AK68" s="18">
        <f>IF(AG68="","",AF68&amp;" football "&amp;AD68&amp;" · "&amp;AB68&amp;" min from your office")</f>
        <v/>
      </c>
      <c r="AL68" s="18">
        <f>IF(AG68="","","Hi "&amp;IF(P68&lt;&gt;"",P68,F68&amp;" team")&amp;","&amp;CHAR(10)&amp;CHAR(10)&amp;IF(AH68&lt;&gt;"","Saw that "&amp;F68&amp;" "&amp;AH68&amp;"."&amp;CHAR(10)&amp;CHAR(10),"")&amp;"I'm "&amp;IF(AQ68&lt;&gt;"",AQ68,Offer!$D$8)&amp;" from FC Urban. We run weekly after-work football for London teams. We have a "&amp;AF68&amp;" pitch at "&amp;AC68&amp;", a "&amp;AB68&amp;"-minute walk from your office on "&amp;IF(X68&lt;&gt;"",X68,Y68)&amp;", free "&amp;AD68&amp;". It's "&amp;"£"&amp;IF(AG68=INT(AG68),TEXT(AG68,"0"),TEXT(AG68,"0.00"))&amp;" a player: we book the pitch and handle sign-ups and payments, so someone just shares one link with the team."&amp;CHAR(10)&amp;CHAR(10)&amp;"Would your team be up for a weekly game? Happy to hold the slot for "&amp;F68&amp;" this week."&amp;CHAR(10)&amp;CHAR(10)&amp;"Best,"&amp;CHAR(10)&amp;IF(AQ68&lt;&gt;"",AQ68,Offer!$D$8)&amp;CHAR(10)&amp;"FC Urban")</f>
        <v/>
      </c>
      <c r="AM68" s="18">
        <f>IF(AG68="","","Hi "&amp;IF(P68&lt;&gt;"",P68,F68&amp;" team")&amp;","&amp;CHAR(10)&amp;CHAR(10)&amp;"Quick follow-up: the "&amp;AF68&amp;" pitch at "&amp;AC68&amp;" is still free "&amp;AD68&amp;", "&amp;"£"&amp;IF(AG68=INT(AG68),TEXT(AG68,"0"),TEXT(AG68,"0.00"))&amp;" a player, "&amp;AB68&amp;" minutes from your office. Shall I hold it for "&amp;F68&amp;"?"&amp;CHAR(10)&amp;CHAR(10)&amp;"Best,"&amp;CHAR(10)&amp;IF(AQ68&lt;&gt;"",AQ68,Offer!$D$8)&amp;CHAR(10)&amp;"FC Urban")</f>
        <v/>
      </c>
      <c r="AN68" s="15" t="inlineStr">
        <is>
          <t>pass</t>
        </is>
      </c>
      <c r="AO68" s="15" t="inlineStr">
        <is>
          <t>MX ok · mailbox not verified</t>
        </is>
      </c>
      <c r="AP68" s="18">
        <f>IF(AG68="","No – no confirmed London price per player",IF(AJ68="","No – no email",IF(AN68&lt;&gt;"pass","No – suppressed","Yes")))</f>
        <v/>
      </c>
      <c r="AR68" s="19" t="n"/>
      <c r="AS68" s="19" t="n"/>
    </row>
    <row r="69">
      <c r="A69" s="15" t="n">
        <v>67</v>
      </c>
      <c r="B69" s="15" t="n">
        <v>3</v>
      </c>
      <c r="C69" s="15" t="inlineStr">
        <is>
          <t>Tech / software</t>
        </is>
      </c>
      <c r="D69" s="15" t="inlineStr">
        <is>
          <t>EC1V</t>
        </is>
      </c>
      <c r="E69" s="15" t="inlineStr">
        <is>
          <t>Northdoor PLC</t>
        </is>
      </c>
      <c r="F69" s="15" t="inlineStr">
        <is>
          <t>Northdoor</t>
        </is>
      </c>
      <c r="G69" s="16" t="inlineStr">
        <is>
          <t>https://northdoor.co</t>
        </is>
      </c>
      <c r="H69" s="15" t="inlineStr">
        <is>
          <t>Not stated</t>
        </is>
      </c>
      <c r="I69" s="15" t="inlineStr">
        <is>
          <t>02192480</t>
        </is>
      </c>
      <c r="J69" s="16" t="inlineStr">
        <is>
          <t>Open</t>
        </is>
      </c>
      <c r="K69" s="15" t="inlineStr">
        <is>
          <t>Group</t>
        </is>
      </c>
      <c r="L69" s="15" t="inlineStr">
        <is>
          <t>11/11/1987</t>
        </is>
      </c>
      <c r="M69" s="15" t="inlineStr">
        <is>
          <t>Third Floor, Bentima House, 168-172 Old Street, London</t>
        </is>
      </c>
      <c r="N69" s="15" t="inlineStr">
        <is>
          <t>EC1V 9BP</t>
        </is>
      </c>
      <c r="O69" s="15" t="inlineStr">
        <is>
          <t>No</t>
        </is>
      </c>
      <c r="P69" s="15" t="n"/>
      <c r="Q69" s="15" t="n"/>
      <c r="R69" s="15" t="n"/>
      <c r="S69" s="15" t="inlineStr">
        <is>
          <t>eli@northdoor.co</t>
        </is>
      </c>
      <c r="T69" s="15" t="inlineStr">
        <is>
          <t>c general inbox</t>
        </is>
      </c>
      <c r="U69" s="16" t="inlineStr">
        <is>
          <t>https://northdoor.co/</t>
        </is>
      </c>
      <c r="X69" s="15" t="inlineStr">
        <is>
          <t>Third Floor, Bentima House, 168-172 Old Street</t>
        </is>
      </c>
      <c r="Y69" s="15" t="inlineStr">
        <is>
          <t>EC1V 9BP</t>
        </is>
      </c>
      <c r="Z69" s="15" t="inlineStr">
        <is>
          <t>Website (Third Floor, Bentima House, 168-172 Old Street)</t>
        </is>
      </c>
      <c r="AA69" s="15" t="inlineStr">
        <is>
          <t>Old St - Moreland Primary School</t>
        </is>
      </c>
      <c r="AB69" s="15" t="n">
        <v>11</v>
      </c>
      <c r="AC69" s="15" t="inlineStr">
        <is>
          <t>Old St - Moreland Primary School</t>
        </is>
      </c>
      <c r="AD69" s="15" t="inlineStr">
        <is>
          <t>Monday 12 October at 18:00</t>
        </is>
      </c>
      <c r="AE69" s="15" t="inlineStr">
        <is>
          <t>One-off</t>
        </is>
      </c>
      <c r="AF69" s="15" t="inlineStr">
        <is>
          <t>6-a-side</t>
        </is>
      </c>
      <c r="AG69" s="17">
        <f>IF(Offer!$D$5="","",Offer!$D$5)</f>
        <v/>
      </c>
      <c r="AH69" s="15" t="n"/>
      <c r="AI69" s="15" t="n"/>
      <c r="AJ69" s="18">
        <f>IF(V69&lt;&gt;"",V69,S69)</f>
        <v/>
      </c>
      <c r="AK69" s="18">
        <f>IF(AG69="","",AF69&amp;" football "&amp;AD69&amp;" · "&amp;AB69&amp;" min from your office")</f>
        <v/>
      </c>
      <c r="AL69" s="18">
        <f>IF(AG69="","","Hi "&amp;IF(P69&lt;&gt;"",P69,F69&amp;" team")&amp;","&amp;CHAR(10)&amp;CHAR(10)&amp;IF(AH69&lt;&gt;"","Saw that "&amp;F69&amp;" "&amp;AH69&amp;"."&amp;CHAR(10)&amp;CHAR(10),"")&amp;"I'm "&amp;IF(AQ69&lt;&gt;"",AQ69,Offer!$D$8)&amp;" from FC Urban. We run weekly after-work football for London teams. We have a "&amp;AF69&amp;" pitch at "&amp;AC69&amp;", a "&amp;AB69&amp;"-minute walk from your office on "&amp;IF(X69&lt;&gt;"",X69,Y69)&amp;", free "&amp;AD69&amp;". It's "&amp;"£"&amp;IF(AG69=INT(AG69),TEXT(AG69,"0"),TEXT(AG69,"0.00"))&amp;" a player: we book the pitch and handle sign-ups and payments, so someone just shares one link with the team."&amp;CHAR(10)&amp;CHAR(10)&amp;"Would your team be up for a weekly game? Happy to hold the slot for "&amp;F69&amp;" this week."&amp;CHAR(10)&amp;CHAR(10)&amp;"Best,"&amp;CHAR(10)&amp;IF(AQ69&lt;&gt;"",AQ69,Offer!$D$8)&amp;CHAR(10)&amp;"FC Urban")</f>
        <v/>
      </c>
      <c r="AM69" s="18">
        <f>IF(AG69="","","Hi "&amp;IF(P69&lt;&gt;"",P69,F69&amp;" team")&amp;","&amp;CHAR(10)&amp;CHAR(10)&amp;"Quick follow-up: the "&amp;AF69&amp;" pitch at "&amp;AC69&amp;" is still free "&amp;AD69&amp;", "&amp;"£"&amp;IF(AG69=INT(AG69),TEXT(AG69,"0"),TEXT(AG69,"0.00"))&amp;" a player, "&amp;AB69&amp;" minutes from your office. Shall I hold it for "&amp;F69&amp;"?"&amp;CHAR(10)&amp;CHAR(10)&amp;"Best,"&amp;CHAR(10)&amp;IF(AQ69&lt;&gt;"",AQ69,Offer!$D$8)&amp;CHAR(10)&amp;"FC Urban")</f>
        <v/>
      </c>
      <c r="AN69" s="15" t="inlineStr">
        <is>
          <t>pass</t>
        </is>
      </c>
      <c r="AO69" s="15" t="inlineStr">
        <is>
          <t>MX ok · mailbox not verified</t>
        </is>
      </c>
      <c r="AP69" s="18">
        <f>IF(AG69="","No – no confirmed London price per player",IF(AJ69="","No – no email",IF(AN69&lt;&gt;"pass","No – suppressed","Yes")))</f>
        <v/>
      </c>
      <c r="AR69" s="19" t="n"/>
      <c r="AS69" s="19" t="n"/>
    </row>
    <row r="70">
      <c r="A70" s="15" t="n">
        <v>68</v>
      </c>
      <c r="B70" s="15" t="n">
        <v>3</v>
      </c>
      <c r="C70" s="15" t="inlineStr">
        <is>
          <t>Architecture</t>
        </is>
      </c>
      <c r="D70" s="15" t="inlineStr">
        <is>
          <t>EC1Y</t>
        </is>
      </c>
      <c r="E70" s="15" t="inlineStr">
        <is>
          <t>Eric Parry Architects Ltd</t>
        </is>
      </c>
      <c r="F70" s="15" t="inlineStr">
        <is>
          <t>Eric Parry Architects</t>
        </is>
      </c>
      <c r="G70" s="16" t="inlineStr">
        <is>
          <t>https://ericparryarchitects.co.uk</t>
        </is>
      </c>
      <c r="H70" s="15" t="inlineStr">
        <is>
          <t>Not stated</t>
        </is>
      </c>
      <c r="I70" s="15" t="inlineStr">
        <is>
          <t>02522093</t>
        </is>
      </c>
      <c r="J70" s="16" t="inlineStr">
        <is>
          <t>Open</t>
        </is>
      </c>
      <c r="K70" s="15" t="inlineStr">
        <is>
          <t>Group</t>
        </is>
      </c>
      <c r="L70" s="15" t="inlineStr">
        <is>
          <t>13/07/1990</t>
        </is>
      </c>
      <c r="M70" s="15" t="inlineStr">
        <is>
          <t>28-42 Banner Street, London</t>
        </is>
      </c>
      <c r="N70" s="15" t="inlineStr">
        <is>
          <t>EC1Y 8QE</t>
        </is>
      </c>
      <c r="O70" s="15" t="inlineStr">
        <is>
          <t>No</t>
        </is>
      </c>
      <c r="P70" s="15" t="n"/>
      <c r="Q70" s="15" t="n"/>
      <c r="R70" s="15" t="n"/>
      <c r="S70" s="15" t="inlineStr">
        <is>
          <t>epa@ericparryarchitects.co.uk</t>
        </is>
      </c>
      <c r="T70" s="15" t="inlineStr">
        <is>
          <t>c general inbox</t>
        </is>
      </c>
      <c r="U70" s="16" t="inlineStr">
        <is>
          <t>https://ericparryarchitects.co.uk/</t>
        </is>
      </c>
      <c r="X70" s="15" t="inlineStr">
        <is>
          <t>28-42 Banner Street</t>
        </is>
      </c>
      <c r="Y70" s="15" t="inlineStr">
        <is>
          <t>EC1Y 8QE</t>
        </is>
      </c>
      <c r="Z70" s="15" t="inlineStr">
        <is>
          <t>Website (28-42 Banner Street)</t>
        </is>
      </c>
      <c r="AA70" s="15" t="inlineStr">
        <is>
          <t>Old St - Moreland Primary School</t>
        </is>
      </c>
      <c r="AB70" s="15" t="n">
        <v>11</v>
      </c>
      <c r="AC70" s="15" t="inlineStr">
        <is>
          <t>Old St - Moreland Primary School</t>
        </is>
      </c>
      <c r="AD70" s="15" t="inlineStr">
        <is>
          <t>Monday 12 October at 18:00</t>
        </is>
      </c>
      <c r="AE70" s="15" t="inlineStr">
        <is>
          <t>One-off</t>
        </is>
      </c>
      <c r="AF70" s="15" t="inlineStr">
        <is>
          <t>6-a-side</t>
        </is>
      </c>
      <c r="AG70" s="17">
        <f>IF(Offer!$D$5="","",Offer!$D$5)</f>
        <v/>
      </c>
      <c r="AH70" s="15" t="n"/>
      <c r="AI70" s="15" t="n"/>
      <c r="AJ70" s="18">
        <f>IF(V70&lt;&gt;"",V70,S70)</f>
        <v/>
      </c>
      <c r="AK70" s="18">
        <f>IF(AG70="","",AF70&amp;" football "&amp;AD70&amp;" · "&amp;AB70&amp;" min from your office")</f>
        <v/>
      </c>
      <c r="AL70" s="18">
        <f>IF(AG70="","","Hi "&amp;IF(P70&lt;&gt;"",P70,F70&amp;" team")&amp;","&amp;CHAR(10)&amp;CHAR(10)&amp;IF(AH70&lt;&gt;"","Saw that "&amp;F70&amp;" "&amp;AH70&amp;"."&amp;CHAR(10)&amp;CHAR(10),"")&amp;"I'm "&amp;IF(AQ70&lt;&gt;"",AQ70,Offer!$D$8)&amp;" from FC Urban. We run weekly after-work football for London teams. We have a "&amp;AF70&amp;" pitch at "&amp;AC70&amp;", a "&amp;AB70&amp;"-minute walk from your office on "&amp;IF(X70&lt;&gt;"",X70,Y70)&amp;", free "&amp;AD70&amp;". It's "&amp;"£"&amp;IF(AG70=INT(AG70),TEXT(AG70,"0"),TEXT(AG70,"0.00"))&amp;" a player: we book the pitch and handle sign-ups and payments, so someone just shares one link with the team."&amp;CHAR(10)&amp;CHAR(10)&amp;"Would your team be up for a weekly game? Happy to hold the slot for "&amp;F70&amp;" this week."&amp;CHAR(10)&amp;CHAR(10)&amp;"Best,"&amp;CHAR(10)&amp;IF(AQ70&lt;&gt;"",AQ70,Offer!$D$8)&amp;CHAR(10)&amp;"FC Urban")</f>
        <v/>
      </c>
      <c r="AM70" s="18">
        <f>IF(AG70="","","Hi "&amp;IF(P70&lt;&gt;"",P70,F70&amp;" team")&amp;","&amp;CHAR(10)&amp;CHAR(10)&amp;"Quick follow-up: the "&amp;AF70&amp;" pitch at "&amp;AC70&amp;" is still free "&amp;AD70&amp;", "&amp;"£"&amp;IF(AG70=INT(AG70),TEXT(AG70,"0"),TEXT(AG70,"0.00"))&amp;" a player, "&amp;AB70&amp;" minutes from your office. Shall I hold it for "&amp;F70&amp;"?"&amp;CHAR(10)&amp;CHAR(10)&amp;"Best,"&amp;CHAR(10)&amp;IF(AQ70&lt;&gt;"",AQ70,Offer!$D$8)&amp;CHAR(10)&amp;"FC Urban")</f>
        <v/>
      </c>
      <c r="AN70" s="15" t="inlineStr">
        <is>
          <t>pass</t>
        </is>
      </c>
      <c r="AO70" s="15" t="inlineStr">
        <is>
          <t>MX ok · mailbox not verified</t>
        </is>
      </c>
      <c r="AP70" s="18">
        <f>IF(AG70="","No – no confirmed London price per player",IF(AJ70="","No – no email",IF(AN70&lt;&gt;"pass","No – suppressed","Yes")))</f>
        <v/>
      </c>
      <c r="AR70" s="19" t="n"/>
      <c r="AS70" s="19" t="n"/>
    </row>
    <row r="71">
      <c r="A71" s="15" t="n">
        <v>69</v>
      </c>
      <c r="B71" s="15" t="n">
        <v>3</v>
      </c>
      <c r="C71" s="15" t="inlineStr">
        <is>
          <t>Architecture</t>
        </is>
      </c>
      <c r="D71" s="15" t="inlineStr">
        <is>
          <t>EC2A</t>
        </is>
      </c>
      <c r="E71" s="15" t="inlineStr">
        <is>
          <t>McBains Ltd</t>
        </is>
      </c>
      <c r="F71" s="15" t="inlineStr">
        <is>
          <t>McBains</t>
        </is>
      </c>
      <c r="G71" s="16" t="inlineStr">
        <is>
          <t>https://mcbains.co.uk</t>
        </is>
      </c>
      <c r="H71" s="15" t="inlineStr">
        <is>
          <t>Not stated</t>
        </is>
      </c>
      <c r="I71" s="15" t="inlineStr">
        <is>
          <t>03094139</t>
        </is>
      </c>
      <c r="J71" s="16" t="inlineStr">
        <is>
          <t>Open</t>
        </is>
      </c>
      <c r="K71" s="15" t="inlineStr">
        <is>
          <t>Full</t>
        </is>
      </c>
      <c r="L71" s="15" t="inlineStr">
        <is>
          <t>23/08/1995</t>
        </is>
      </c>
      <c r="M71" s="15" t="inlineStr">
        <is>
          <t>5Th Floor, 26 Finsbury Square, London</t>
        </is>
      </c>
      <c r="N71" s="15" t="inlineStr">
        <is>
          <t>EC2A 1DS</t>
        </is>
      </c>
      <c r="O71" s="15" t="inlineStr">
        <is>
          <t>No</t>
        </is>
      </c>
      <c r="P71" s="15" t="n"/>
      <c r="Q71" s="15" t="n"/>
      <c r="R71" s="15" t="n"/>
      <c r="S71" s="15" t="inlineStr">
        <is>
          <t>info@mcbains.co.uk</t>
        </is>
      </c>
      <c r="T71" s="15" t="inlineStr">
        <is>
          <t>c general inbox</t>
        </is>
      </c>
      <c r="U71" s="16" t="inlineStr">
        <is>
          <t>https://mcbains.co.uk/</t>
        </is>
      </c>
      <c r="X71" s="15" t="n"/>
      <c r="Y71" s="15" t="inlineStr">
        <is>
          <t>EC2A 1DS</t>
        </is>
      </c>
      <c r="Z71" s="15" t="inlineStr">
        <is>
          <t>Website</t>
        </is>
      </c>
      <c r="AA71" s="15" t="inlineStr">
        <is>
          <t>Shoreditch Powerleague</t>
        </is>
      </c>
      <c r="AB71" s="15" t="n">
        <v>11</v>
      </c>
      <c r="AC71" s="15" t="inlineStr">
        <is>
          <t>Shoreditch Powerleague</t>
        </is>
      </c>
      <c r="AD71" s="15" t="inlineStr">
        <is>
          <t>Monday 28 September at 17:40</t>
        </is>
      </c>
      <c r="AE71" s="15" t="inlineStr">
        <is>
          <t>One-off</t>
        </is>
      </c>
      <c r="AF71" s="15" t="inlineStr">
        <is>
          <t>5-a-side</t>
        </is>
      </c>
      <c r="AG71" s="17">
        <f>IF(Offer!$D$5="","",Offer!$D$5)</f>
        <v/>
      </c>
      <c r="AH71" s="15" t="n"/>
      <c r="AI71" s="15" t="n"/>
      <c r="AJ71" s="18">
        <f>IF(V71&lt;&gt;"",V71,S71)</f>
        <v/>
      </c>
      <c r="AK71" s="18">
        <f>IF(AG71="","",AF71&amp;" football "&amp;AD71&amp;" · "&amp;AB71&amp;" min from your office")</f>
        <v/>
      </c>
      <c r="AL71" s="18">
        <f>IF(AG71="","","Hi "&amp;IF(P71&lt;&gt;"",P71,F71&amp;" team")&amp;","&amp;CHAR(10)&amp;CHAR(10)&amp;IF(AH71&lt;&gt;"","Saw that "&amp;F71&amp;" "&amp;AH71&amp;"."&amp;CHAR(10)&amp;CHAR(10),"")&amp;"I'm "&amp;IF(AQ71&lt;&gt;"",AQ71,Offer!$D$8)&amp;" from FC Urban. We run weekly after-work football for London teams. We have a "&amp;AF71&amp;" pitch at "&amp;AC71&amp;", a "&amp;AB71&amp;"-minute walk from your office on "&amp;IF(X71&lt;&gt;"",X71,Y71)&amp;", free "&amp;AD71&amp;". It's "&amp;"£"&amp;IF(AG71=INT(AG71),TEXT(AG71,"0"),TEXT(AG71,"0.00"))&amp;" a player: we book the pitch and handle sign-ups and payments, so someone just shares one link with the team."&amp;CHAR(10)&amp;CHAR(10)&amp;"Would your team be up for a weekly game? Happy to hold the slot for "&amp;F71&amp;" this week."&amp;CHAR(10)&amp;CHAR(10)&amp;"Best,"&amp;CHAR(10)&amp;IF(AQ71&lt;&gt;"",AQ71,Offer!$D$8)&amp;CHAR(10)&amp;"FC Urban")</f>
        <v/>
      </c>
      <c r="AM71" s="18">
        <f>IF(AG71="","","Hi "&amp;IF(P71&lt;&gt;"",P71,F71&amp;" team")&amp;","&amp;CHAR(10)&amp;CHAR(10)&amp;"Quick follow-up: the "&amp;AF71&amp;" pitch at "&amp;AC71&amp;" is still free "&amp;AD71&amp;", "&amp;"£"&amp;IF(AG71=INT(AG71),TEXT(AG71,"0"),TEXT(AG71,"0.00"))&amp;" a player, "&amp;AB71&amp;" minutes from your office. Shall I hold it for "&amp;F71&amp;"?"&amp;CHAR(10)&amp;CHAR(10)&amp;"Best,"&amp;CHAR(10)&amp;IF(AQ71&lt;&gt;"",AQ71,Offer!$D$8)&amp;CHAR(10)&amp;"FC Urban")</f>
        <v/>
      </c>
      <c r="AN71" s="15" t="inlineStr">
        <is>
          <t>pass</t>
        </is>
      </c>
      <c r="AO71" s="15" t="inlineStr">
        <is>
          <t>MX ok · mailbox not verified</t>
        </is>
      </c>
      <c r="AP71" s="18">
        <f>IF(AG71="","No – no confirmed London price per player",IF(AJ71="","No – no email",IF(AN71&lt;&gt;"pass","No – suppressed","Yes")))</f>
        <v/>
      </c>
      <c r="AR71" s="19" t="n"/>
      <c r="AS71" s="19" t="n"/>
    </row>
    <row r="72">
      <c r="A72" s="15" t="n">
        <v>70</v>
      </c>
      <c r="B72" s="15" t="n">
        <v>3</v>
      </c>
      <c r="C72" s="15" t="inlineStr">
        <is>
          <t>Marketing / agency</t>
        </is>
      </c>
      <c r="D72" s="15" t="inlineStr">
        <is>
          <t>EC1R</t>
        </is>
      </c>
      <c r="E72" s="15" t="inlineStr">
        <is>
          <t>Lightbox Media Limited</t>
        </is>
      </c>
      <c r="F72" s="15" t="inlineStr">
        <is>
          <t>Lightbox Media</t>
        </is>
      </c>
      <c r="G72" s="16" t="inlineStr">
        <is>
          <t>https://lightboxmedia.co</t>
        </is>
      </c>
      <c r="H72" s="15" t="inlineStr">
        <is>
          <t>Not stated</t>
        </is>
      </c>
      <c r="I72" s="15" t="inlineStr">
        <is>
          <t>08768677</t>
        </is>
      </c>
      <c r="J72" s="16" t="inlineStr">
        <is>
          <t>Open</t>
        </is>
      </c>
      <c r="K72" s="15" t="inlineStr">
        <is>
          <t>Group</t>
        </is>
      </c>
      <c r="L72" s="15" t="inlineStr">
        <is>
          <t>11/11/2013</t>
        </is>
      </c>
      <c r="M72" s="15" t="inlineStr">
        <is>
          <t>10 Amwell Street, London</t>
        </is>
      </c>
      <c r="N72" s="15" t="inlineStr">
        <is>
          <t>EC1R 1UQ</t>
        </is>
      </c>
      <c r="O72" s="15" t="inlineStr">
        <is>
          <t>No</t>
        </is>
      </c>
      <c r="P72" s="15" t="n"/>
      <c r="Q72" s="15" t="n"/>
      <c r="R72" s="15" t="n"/>
      <c r="S72" s="15" t="inlineStr">
        <is>
          <t>studio@lightboxmedia.co</t>
        </is>
      </c>
      <c r="T72" s="15" t="inlineStr">
        <is>
          <t>c general inbox</t>
        </is>
      </c>
      <c r="U72" s="16" t="inlineStr">
        <is>
          <t>https://lightboxmedia.co/</t>
        </is>
      </c>
      <c r="X72" s="15" t="inlineStr">
        <is>
          <t>10 AMWELL STREET</t>
        </is>
      </c>
      <c r="Y72" s="15" t="inlineStr">
        <is>
          <t>EC1R 1UQ</t>
        </is>
      </c>
      <c r="Z72" s="15" t="inlineStr">
        <is>
          <t>Website (10 AMWELL STREET)</t>
        </is>
      </c>
      <c r="AA72" s="15" t="inlineStr">
        <is>
          <t>Old St - Moreland Primary School</t>
        </is>
      </c>
      <c r="AB72" s="15" t="n">
        <v>12</v>
      </c>
      <c r="AC72" s="15" t="inlineStr">
        <is>
          <t>Old St - Moreland Primary School</t>
        </is>
      </c>
      <c r="AD72" s="15" t="inlineStr">
        <is>
          <t>Monday 12 October at 18:00</t>
        </is>
      </c>
      <c r="AE72" s="15" t="inlineStr">
        <is>
          <t>One-off</t>
        </is>
      </c>
      <c r="AF72" s="15" t="inlineStr">
        <is>
          <t>6-a-side</t>
        </is>
      </c>
      <c r="AG72" s="17">
        <f>IF(Offer!$D$5="","",Offer!$D$5)</f>
        <v/>
      </c>
      <c r="AH72" s="15" t="n"/>
      <c r="AI72" s="15" t="n"/>
      <c r="AJ72" s="18">
        <f>IF(V72&lt;&gt;"",V72,S72)</f>
        <v/>
      </c>
      <c r="AK72" s="18">
        <f>IF(AG72="","",AF72&amp;" football "&amp;AD72&amp;" · "&amp;AB72&amp;" min from your office")</f>
        <v/>
      </c>
      <c r="AL72" s="18">
        <f>IF(AG72="","","Hi "&amp;IF(P72&lt;&gt;"",P72,F72&amp;" team")&amp;","&amp;CHAR(10)&amp;CHAR(10)&amp;IF(AH72&lt;&gt;"","Saw that "&amp;F72&amp;" "&amp;AH72&amp;"."&amp;CHAR(10)&amp;CHAR(10),"")&amp;"I'm "&amp;IF(AQ72&lt;&gt;"",AQ72,Offer!$D$8)&amp;" from FC Urban. We run weekly after-work football for London teams. We have a "&amp;AF72&amp;" pitch at "&amp;AC72&amp;", a "&amp;AB72&amp;"-minute walk from your office on "&amp;IF(X72&lt;&gt;"",X72,Y72)&amp;", free "&amp;AD72&amp;". It's "&amp;"£"&amp;IF(AG72=INT(AG72),TEXT(AG72,"0"),TEXT(AG72,"0.00"))&amp;" a player: we book the pitch and handle sign-ups and payments, so someone just shares one link with the team."&amp;CHAR(10)&amp;CHAR(10)&amp;"Would your team be up for a weekly game? Happy to hold the slot for "&amp;F72&amp;" this week."&amp;CHAR(10)&amp;CHAR(10)&amp;"Best,"&amp;CHAR(10)&amp;IF(AQ72&lt;&gt;"",AQ72,Offer!$D$8)&amp;CHAR(10)&amp;"FC Urban")</f>
        <v/>
      </c>
      <c r="AM72" s="18">
        <f>IF(AG72="","","Hi "&amp;IF(P72&lt;&gt;"",P72,F72&amp;" team")&amp;","&amp;CHAR(10)&amp;CHAR(10)&amp;"Quick follow-up: the "&amp;AF72&amp;" pitch at "&amp;AC72&amp;" is still free "&amp;AD72&amp;", "&amp;"£"&amp;IF(AG72=INT(AG72),TEXT(AG72,"0"),TEXT(AG72,"0.00"))&amp;" a player, "&amp;AB72&amp;" minutes from your office. Shall I hold it for "&amp;F72&amp;"?"&amp;CHAR(10)&amp;CHAR(10)&amp;"Best,"&amp;CHAR(10)&amp;IF(AQ72&lt;&gt;"",AQ72,Offer!$D$8)&amp;CHAR(10)&amp;"FC Urban")</f>
        <v/>
      </c>
      <c r="AN72" s="15" t="inlineStr">
        <is>
          <t>pass</t>
        </is>
      </c>
      <c r="AO72" s="15" t="inlineStr">
        <is>
          <t>MX ok · mailbox not verified</t>
        </is>
      </c>
      <c r="AP72" s="18">
        <f>IF(AG72="","No – no confirmed London price per player",IF(AJ72="","No – no email",IF(AN72&lt;&gt;"pass","No – suppressed","Yes")))</f>
        <v/>
      </c>
      <c r="AR72" s="19" t="n"/>
      <c r="AS72" s="19" t="n"/>
    </row>
    <row r="73">
      <c r="A73" s="15" t="n">
        <v>71</v>
      </c>
      <c r="B73" s="15" t="n">
        <v>3</v>
      </c>
      <c r="C73" s="15" t="inlineStr">
        <is>
          <t>Marketing / agency</t>
        </is>
      </c>
      <c r="D73" s="15" t="inlineStr">
        <is>
          <t>N1</t>
        </is>
      </c>
      <c r="E73" s="15" t="inlineStr">
        <is>
          <t>Blue Square Marketing Limited</t>
        </is>
      </c>
      <c r="F73" s="15" t="inlineStr">
        <is>
          <t>Blue Square Marketing</t>
        </is>
      </c>
      <c r="G73" s="16" t="inlineStr">
        <is>
          <t>https://bluesquare.io</t>
        </is>
      </c>
      <c r="H73" s="15" t="inlineStr">
        <is>
          <t>Not stated</t>
        </is>
      </c>
      <c r="I73" s="15" t="inlineStr">
        <is>
          <t>06797461</t>
        </is>
      </c>
      <c r="J73" s="16" t="inlineStr">
        <is>
          <t>Open</t>
        </is>
      </c>
      <c r="K73" s="15" t="inlineStr">
        <is>
          <t>Medium</t>
        </is>
      </c>
      <c r="L73" s="15" t="inlineStr">
        <is>
          <t>21/01/2009</t>
        </is>
      </c>
      <c r="M73" s="15" t="inlineStr">
        <is>
          <t>10 East Road, London</t>
        </is>
      </c>
      <c r="N73" s="15" t="inlineStr">
        <is>
          <t>N1 6AD</t>
        </is>
      </c>
      <c r="O73" s="15" t="inlineStr">
        <is>
          <t>No</t>
        </is>
      </c>
      <c r="P73" s="15" t="n"/>
      <c r="Q73" s="15" t="n"/>
      <c r="R73" s="15" t="n"/>
      <c r="S73" s="15" t="inlineStr">
        <is>
          <t>contact@bluesquare.io</t>
        </is>
      </c>
      <c r="T73" s="15" t="inlineStr">
        <is>
          <t>c general inbox</t>
        </is>
      </c>
      <c r="U73" s="16" t="inlineStr">
        <is>
          <t>https://bluesquare.io/</t>
        </is>
      </c>
      <c r="X73" s="15" t="n"/>
      <c r="Y73" s="15" t="inlineStr">
        <is>
          <t>N1 6AD</t>
        </is>
      </c>
      <c r="Z73" s="15" t="inlineStr">
        <is>
          <t>Website</t>
        </is>
      </c>
      <c r="AA73" s="15" t="inlineStr">
        <is>
          <t>Old St - Moreland Primary School</t>
        </is>
      </c>
      <c r="AB73" s="15" t="n">
        <v>12</v>
      </c>
      <c r="AC73" s="15" t="inlineStr">
        <is>
          <t>Old St - Moreland Primary School</t>
        </is>
      </c>
      <c r="AD73" s="15" t="inlineStr">
        <is>
          <t>Monday 12 October at 18:00</t>
        </is>
      </c>
      <c r="AE73" s="15" t="inlineStr">
        <is>
          <t>One-off</t>
        </is>
      </c>
      <c r="AF73" s="15" t="inlineStr">
        <is>
          <t>6-a-side</t>
        </is>
      </c>
      <c r="AG73" s="17">
        <f>IF(Offer!$D$5="","",Offer!$D$5)</f>
        <v/>
      </c>
      <c r="AH73" s="15" t="n"/>
      <c r="AI73" s="15" t="n"/>
      <c r="AJ73" s="18">
        <f>IF(V73&lt;&gt;"",V73,S73)</f>
        <v/>
      </c>
      <c r="AK73" s="18">
        <f>IF(AG73="","",AF73&amp;" football "&amp;AD73&amp;" · "&amp;AB73&amp;" min from your office")</f>
        <v/>
      </c>
      <c r="AL73" s="18">
        <f>IF(AG73="","","Hi "&amp;IF(P73&lt;&gt;"",P73,F73&amp;" team")&amp;","&amp;CHAR(10)&amp;CHAR(10)&amp;IF(AH73&lt;&gt;"","Saw that "&amp;F73&amp;" "&amp;AH73&amp;"."&amp;CHAR(10)&amp;CHAR(10),"")&amp;"I'm "&amp;IF(AQ73&lt;&gt;"",AQ73,Offer!$D$8)&amp;" from FC Urban. We run weekly after-work football for London teams. We have a "&amp;AF73&amp;" pitch at "&amp;AC73&amp;", a "&amp;AB73&amp;"-minute walk from your office on "&amp;IF(X73&lt;&gt;"",X73,Y73)&amp;", free "&amp;AD73&amp;". It's "&amp;"£"&amp;IF(AG73=INT(AG73),TEXT(AG73,"0"),TEXT(AG73,"0.00"))&amp;" a player: we book the pitch and handle sign-ups and payments, so someone just shares one link with the team."&amp;CHAR(10)&amp;CHAR(10)&amp;"Would your team be up for a weekly game? Happy to hold the slot for "&amp;F73&amp;" this week."&amp;CHAR(10)&amp;CHAR(10)&amp;"Best,"&amp;CHAR(10)&amp;IF(AQ73&lt;&gt;"",AQ73,Offer!$D$8)&amp;CHAR(10)&amp;"FC Urban")</f>
        <v/>
      </c>
      <c r="AM73" s="18">
        <f>IF(AG73="","","Hi "&amp;IF(P73&lt;&gt;"",P73,F73&amp;" team")&amp;","&amp;CHAR(10)&amp;CHAR(10)&amp;"Quick follow-up: the "&amp;AF73&amp;" pitch at "&amp;AC73&amp;" is still free "&amp;AD73&amp;", "&amp;"£"&amp;IF(AG73=INT(AG73),TEXT(AG73,"0"),TEXT(AG73,"0.00"))&amp;" a player, "&amp;AB73&amp;" minutes from your office. Shall I hold it for "&amp;F73&amp;"?"&amp;CHAR(10)&amp;CHAR(10)&amp;"Best,"&amp;CHAR(10)&amp;IF(AQ73&lt;&gt;"",AQ73,Offer!$D$8)&amp;CHAR(10)&amp;"FC Urban")</f>
        <v/>
      </c>
      <c r="AN73" s="15" t="inlineStr">
        <is>
          <t>pass</t>
        </is>
      </c>
      <c r="AO73" s="15" t="inlineStr">
        <is>
          <t>MX ok · mailbox not verified</t>
        </is>
      </c>
      <c r="AP73" s="18">
        <f>IF(AG73="","No – no confirmed London price per player",IF(AJ73="","No – no email",IF(AN73&lt;&gt;"pass","No – suppressed","Yes")))</f>
        <v/>
      </c>
      <c r="AR73" s="19" t="n"/>
      <c r="AS73" s="19" t="n"/>
    </row>
    <row r="74">
      <c r="A74" s="15" t="n">
        <v>72</v>
      </c>
      <c r="B74" s="15" t="n">
        <v>3</v>
      </c>
      <c r="C74" s="15" t="inlineStr">
        <is>
          <t>Tech / software</t>
        </is>
      </c>
      <c r="D74" s="15" t="inlineStr">
        <is>
          <t>N1</t>
        </is>
      </c>
      <c r="E74" s="15" t="inlineStr">
        <is>
          <t>Push Gaming Limited</t>
        </is>
      </c>
      <c r="F74" s="15" t="inlineStr">
        <is>
          <t>Push Gaming</t>
        </is>
      </c>
      <c r="G74" s="16" t="inlineStr">
        <is>
          <t>https://www.pushgaming.com</t>
        </is>
      </c>
      <c r="H74" s="15" t="inlineStr">
        <is>
          <t>Not stated</t>
        </is>
      </c>
      <c r="I74" s="15" t="inlineStr">
        <is>
          <t>07395813</t>
        </is>
      </c>
      <c r="J74" s="16" t="inlineStr">
        <is>
          <t>Open</t>
        </is>
      </c>
      <c r="K74" s="15" t="inlineStr">
        <is>
          <t>Medium</t>
        </is>
      </c>
      <c r="L74" s="15" t="inlineStr">
        <is>
          <t>04/10/2010</t>
        </is>
      </c>
      <c r="M74" s="15" t="inlineStr">
        <is>
          <t>10Th Floor, 10, East Road, London</t>
        </is>
      </c>
      <c r="N74" s="15" t="inlineStr">
        <is>
          <t>N1 6AD</t>
        </is>
      </c>
      <c r="O74" s="15" t="inlineStr">
        <is>
          <t>No</t>
        </is>
      </c>
      <c r="P74" s="15" t="n"/>
      <c r="Q74" s="15" t="n"/>
      <c r="R74" s="15" t="n"/>
      <c r="S74" s="15" t="inlineStr">
        <is>
          <t>info@pushgaming.com</t>
        </is>
      </c>
      <c r="T74" s="15" t="inlineStr">
        <is>
          <t>c general inbox</t>
        </is>
      </c>
      <c r="U74" s="16" t="inlineStr">
        <is>
          <t>https://www.pushgaming.com/</t>
        </is>
      </c>
      <c r="X74" s="15" t="inlineStr">
        <is>
          <t>10th Floor, 10 East Road</t>
        </is>
      </c>
      <c r="Y74" s="15" t="inlineStr">
        <is>
          <t>N1 6AD</t>
        </is>
      </c>
      <c r="Z74" s="15" t="inlineStr">
        <is>
          <t>Website (10th Floor, 10 East Road)</t>
        </is>
      </c>
      <c r="AA74" s="15" t="inlineStr">
        <is>
          <t>Old St - Moreland Primary School</t>
        </is>
      </c>
      <c r="AB74" s="15" t="n">
        <v>12</v>
      </c>
      <c r="AC74" s="15" t="inlineStr">
        <is>
          <t>Old St - Moreland Primary School</t>
        </is>
      </c>
      <c r="AD74" s="15" t="inlineStr">
        <is>
          <t>Monday 12 October at 18:00</t>
        </is>
      </c>
      <c r="AE74" s="15" t="inlineStr">
        <is>
          <t>One-off</t>
        </is>
      </c>
      <c r="AF74" s="15" t="inlineStr">
        <is>
          <t>6-a-side</t>
        </is>
      </c>
      <c r="AG74" s="17">
        <f>IF(Offer!$D$5="","",Offer!$D$5)</f>
        <v/>
      </c>
      <c r="AH74" s="15" t="n"/>
      <c r="AI74" s="15" t="n"/>
      <c r="AJ74" s="18">
        <f>IF(V74&lt;&gt;"",V74,S74)</f>
        <v/>
      </c>
      <c r="AK74" s="18">
        <f>IF(AG74="","",AF74&amp;" football "&amp;AD74&amp;" · "&amp;AB74&amp;" min from your office")</f>
        <v/>
      </c>
      <c r="AL74" s="18">
        <f>IF(AG74="","","Hi "&amp;IF(P74&lt;&gt;"",P74,F74&amp;" team")&amp;","&amp;CHAR(10)&amp;CHAR(10)&amp;IF(AH74&lt;&gt;"","Saw that "&amp;F74&amp;" "&amp;AH74&amp;"."&amp;CHAR(10)&amp;CHAR(10),"")&amp;"I'm "&amp;IF(AQ74&lt;&gt;"",AQ74,Offer!$D$8)&amp;" from FC Urban. We run weekly after-work football for London teams. We have a "&amp;AF74&amp;" pitch at "&amp;AC74&amp;", a "&amp;AB74&amp;"-minute walk from your office on "&amp;IF(X74&lt;&gt;"",X74,Y74)&amp;", free "&amp;AD74&amp;". It's "&amp;"£"&amp;IF(AG74=INT(AG74),TEXT(AG74,"0"),TEXT(AG74,"0.00"))&amp;" a player: we book the pitch and handle sign-ups and payments, so someone just shares one link with the team."&amp;CHAR(10)&amp;CHAR(10)&amp;"Would your team be up for a weekly game? Happy to hold the slot for "&amp;F74&amp;" this week."&amp;CHAR(10)&amp;CHAR(10)&amp;"Best,"&amp;CHAR(10)&amp;IF(AQ74&lt;&gt;"",AQ74,Offer!$D$8)&amp;CHAR(10)&amp;"FC Urban")</f>
        <v/>
      </c>
      <c r="AM74" s="18">
        <f>IF(AG74="","","Hi "&amp;IF(P74&lt;&gt;"",P74,F74&amp;" team")&amp;","&amp;CHAR(10)&amp;CHAR(10)&amp;"Quick follow-up: the "&amp;AF74&amp;" pitch at "&amp;AC74&amp;" is still free "&amp;AD74&amp;", "&amp;"£"&amp;IF(AG74=INT(AG74),TEXT(AG74,"0"),TEXT(AG74,"0.00"))&amp;" a player, "&amp;AB74&amp;" minutes from your office. Shall I hold it for "&amp;F74&amp;"?"&amp;CHAR(10)&amp;CHAR(10)&amp;"Best,"&amp;CHAR(10)&amp;IF(AQ74&lt;&gt;"",AQ74,Offer!$D$8)&amp;CHAR(10)&amp;"FC Urban")</f>
        <v/>
      </c>
      <c r="AN74" s="15" t="inlineStr">
        <is>
          <t>pass</t>
        </is>
      </c>
      <c r="AO74" s="15" t="inlineStr">
        <is>
          <t>MX ok · mailbox not verified</t>
        </is>
      </c>
      <c r="AP74" s="18">
        <f>IF(AG74="","No – no confirmed London price per player",IF(AJ74="","No – no email",IF(AN74&lt;&gt;"pass","No – suppressed","Yes")))</f>
        <v/>
      </c>
      <c r="AR74" s="19" t="n"/>
      <c r="AS74" s="19" t="n"/>
    </row>
    <row r="75">
      <c r="A75" s="15" t="n">
        <v>73</v>
      </c>
      <c r="B75" s="15" t="n">
        <v>3</v>
      </c>
      <c r="C75" s="15" t="inlineStr">
        <is>
          <t>Marketing / agency</t>
        </is>
      </c>
      <c r="D75" s="15" t="inlineStr">
        <is>
          <t>N1</t>
        </is>
      </c>
      <c r="E75" s="15" t="inlineStr">
        <is>
          <t>Creative Monster Limited</t>
        </is>
      </c>
      <c r="F75" s="15" t="inlineStr">
        <is>
          <t>Creative Monster</t>
        </is>
      </c>
      <c r="G75" s="16" t="inlineStr">
        <is>
          <t>https://www.creativemonster.com</t>
        </is>
      </c>
      <c r="H75" s="15" t="inlineStr">
        <is>
          <t>Not stated</t>
        </is>
      </c>
      <c r="I75" s="15" t="inlineStr">
        <is>
          <t>10806730</t>
        </is>
      </c>
      <c r="J75" s="16" t="inlineStr">
        <is>
          <t>Open</t>
        </is>
      </c>
      <c r="K75" s="15" t="inlineStr">
        <is>
          <t>Medium</t>
        </is>
      </c>
      <c r="L75" s="15" t="inlineStr">
        <is>
          <t>07/06/2017</t>
        </is>
      </c>
      <c r="M75" s="15" t="inlineStr">
        <is>
          <t>10 East Road, London</t>
        </is>
      </c>
      <c r="N75" s="15" t="inlineStr">
        <is>
          <t>N1 6AD</t>
        </is>
      </c>
      <c r="O75" s="15" t="inlineStr">
        <is>
          <t>No</t>
        </is>
      </c>
      <c r="P75" s="15" t="n"/>
      <c r="Q75" s="15" t="n"/>
      <c r="R75" s="15" t="n"/>
      <c r="S75" s="15" t="inlineStr">
        <is>
          <t>info@creativemonster.com</t>
        </is>
      </c>
      <c r="T75" s="15" t="inlineStr">
        <is>
          <t>c general inbox</t>
        </is>
      </c>
      <c r="U75" s="16" t="inlineStr">
        <is>
          <t>https://www.creativemonster.com/</t>
        </is>
      </c>
      <c r="X75" s="15" t="n"/>
      <c r="Y75" s="15" t="inlineStr">
        <is>
          <t>N1 6AD</t>
        </is>
      </c>
      <c r="Z75" s="15" t="inlineStr">
        <is>
          <t>Website</t>
        </is>
      </c>
      <c r="AA75" s="15" t="inlineStr">
        <is>
          <t>Old St - Moreland Primary School</t>
        </is>
      </c>
      <c r="AB75" s="15" t="n">
        <v>12</v>
      </c>
      <c r="AC75" s="15" t="inlineStr">
        <is>
          <t>Old St - Moreland Primary School</t>
        </is>
      </c>
      <c r="AD75" s="15" t="inlineStr">
        <is>
          <t>Monday 12 October at 18:00</t>
        </is>
      </c>
      <c r="AE75" s="15" t="inlineStr">
        <is>
          <t>One-off</t>
        </is>
      </c>
      <c r="AF75" s="15" t="inlineStr">
        <is>
          <t>6-a-side</t>
        </is>
      </c>
      <c r="AG75" s="17">
        <f>IF(Offer!$D$5="","",Offer!$D$5)</f>
        <v/>
      </c>
      <c r="AH75" s="15" t="n"/>
      <c r="AI75" s="15" t="n"/>
      <c r="AJ75" s="18">
        <f>IF(V75&lt;&gt;"",V75,S75)</f>
        <v/>
      </c>
      <c r="AK75" s="18">
        <f>IF(AG75="","",AF75&amp;" football "&amp;AD75&amp;" · "&amp;AB75&amp;" min from your office")</f>
        <v/>
      </c>
      <c r="AL75" s="18">
        <f>IF(AG75="","","Hi "&amp;IF(P75&lt;&gt;"",P75,F75&amp;" team")&amp;","&amp;CHAR(10)&amp;CHAR(10)&amp;IF(AH75&lt;&gt;"","Saw that "&amp;F75&amp;" "&amp;AH75&amp;"."&amp;CHAR(10)&amp;CHAR(10),"")&amp;"I'm "&amp;IF(AQ75&lt;&gt;"",AQ75,Offer!$D$8)&amp;" from FC Urban. We run weekly after-work football for London teams. We have a "&amp;AF75&amp;" pitch at "&amp;AC75&amp;", a "&amp;AB75&amp;"-minute walk from your office on "&amp;IF(X75&lt;&gt;"",X75,Y75)&amp;", free "&amp;AD75&amp;". It's "&amp;"£"&amp;IF(AG75=INT(AG75),TEXT(AG75,"0"),TEXT(AG75,"0.00"))&amp;" a player: we book the pitch and handle sign-ups and payments, so someone just shares one link with the team."&amp;CHAR(10)&amp;CHAR(10)&amp;"Would your team be up for a weekly game? Happy to hold the slot for "&amp;F75&amp;" this week."&amp;CHAR(10)&amp;CHAR(10)&amp;"Best,"&amp;CHAR(10)&amp;IF(AQ75&lt;&gt;"",AQ75,Offer!$D$8)&amp;CHAR(10)&amp;"FC Urban")</f>
        <v/>
      </c>
      <c r="AM75" s="18">
        <f>IF(AG75="","","Hi "&amp;IF(P75&lt;&gt;"",P75,F75&amp;" team")&amp;","&amp;CHAR(10)&amp;CHAR(10)&amp;"Quick follow-up: the "&amp;AF75&amp;" pitch at "&amp;AC75&amp;" is still free "&amp;AD75&amp;", "&amp;"£"&amp;IF(AG75=INT(AG75),TEXT(AG75,"0"),TEXT(AG75,"0.00"))&amp;" a player, "&amp;AB75&amp;" minutes from your office. Shall I hold it for "&amp;F75&amp;"?"&amp;CHAR(10)&amp;CHAR(10)&amp;"Best,"&amp;CHAR(10)&amp;IF(AQ75&lt;&gt;"",AQ75,Offer!$D$8)&amp;CHAR(10)&amp;"FC Urban")</f>
        <v/>
      </c>
      <c r="AN75" s="15" t="inlineStr">
        <is>
          <t>pass</t>
        </is>
      </c>
      <c r="AO75" s="15" t="inlineStr">
        <is>
          <t>MX ok · mailbox not verified</t>
        </is>
      </c>
      <c r="AP75" s="18">
        <f>IF(AG75="","No – no confirmed London price per player",IF(AJ75="","No – no email",IF(AN75&lt;&gt;"pass","No – suppressed","Yes")))</f>
        <v/>
      </c>
      <c r="AR75" s="19" t="n"/>
      <c r="AS75" s="19" t="n"/>
    </row>
    <row r="76">
      <c r="A76" s="15" t="n">
        <v>74</v>
      </c>
      <c r="B76" s="15" t="n">
        <v>3</v>
      </c>
      <c r="C76" s="15" t="inlineStr">
        <is>
          <t>Tech / software</t>
        </is>
      </c>
      <c r="D76" s="15" t="inlineStr">
        <is>
          <t>EC2M</t>
        </is>
      </c>
      <c r="E76" s="15" t="inlineStr">
        <is>
          <t>Ipc Information Systems</t>
        </is>
      </c>
      <c r="F76" s="15" t="inlineStr">
        <is>
          <t>Ipc Information Systems</t>
        </is>
      </c>
      <c r="G76" s="16" t="inlineStr">
        <is>
          <t>https://www.ipc.com</t>
        </is>
      </c>
      <c r="H76" s="15" t="inlineStr">
        <is>
          <t>Not stated</t>
        </is>
      </c>
      <c r="I76" s="15" t="inlineStr">
        <is>
          <t>01823833</t>
        </is>
      </c>
      <c r="J76" s="16" t="inlineStr">
        <is>
          <t>Open</t>
        </is>
      </c>
      <c r="K76" s="15" t="inlineStr">
        <is>
          <t>Full</t>
        </is>
      </c>
      <c r="L76" s="15" t="inlineStr">
        <is>
          <t>12/06/1984</t>
        </is>
      </c>
      <c r="M76" s="15" t="inlineStr">
        <is>
          <t>Devonshire Square, 1St Floor, 7 Devonshire Square, London</t>
        </is>
      </c>
      <c r="N76" s="15" t="inlineStr">
        <is>
          <t>EC2M 4YH</t>
        </is>
      </c>
      <c r="O76" s="15" t="inlineStr">
        <is>
          <t>No</t>
        </is>
      </c>
      <c r="P76" s="15" t="n"/>
      <c r="Q76" s="15" t="n"/>
      <c r="R76" s="15" t="n"/>
      <c r="S76" s="15" t="inlineStr">
        <is>
          <t>hr@ipc.com</t>
        </is>
      </c>
      <c r="T76" s="15" t="inlineStr">
        <is>
          <t>c general inbox</t>
        </is>
      </c>
      <c r="U76" s="16" t="inlineStr">
        <is>
          <t>https://www.ipc.com/contact-us/</t>
        </is>
      </c>
      <c r="X76" s="15" t="inlineStr">
        <is>
          <t>DEVONSHIRE SQUARE</t>
        </is>
      </c>
      <c r="Y76" s="15" t="inlineStr">
        <is>
          <t>EC2M 4YH</t>
        </is>
      </c>
      <c r="Z76" s="15" t="inlineStr">
        <is>
          <t>Website (DEVONSHIRE SQUARE)</t>
        </is>
      </c>
      <c r="AA76" s="15" t="inlineStr">
        <is>
          <t>Shoreditch Powerleague</t>
        </is>
      </c>
      <c r="AB76" s="15" t="n">
        <v>12</v>
      </c>
      <c r="AC76" s="15" t="inlineStr">
        <is>
          <t>Shoreditch Powerleague</t>
        </is>
      </c>
      <c r="AD76" s="15" t="inlineStr">
        <is>
          <t>Monday 28 September at 17:40</t>
        </is>
      </c>
      <c r="AE76" s="15" t="inlineStr">
        <is>
          <t>One-off</t>
        </is>
      </c>
      <c r="AF76" s="15" t="inlineStr">
        <is>
          <t>5-a-side</t>
        </is>
      </c>
      <c r="AG76" s="17">
        <f>IF(Offer!$D$5="","",Offer!$D$5)</f>
        <v/>
      </c>
      <c r="AH76" s="15" t="n"/>
      <c r="AI76" s="15" t="n"/>
      <c r="AJ76" s="18">
        <f>IF(V76&lt;&gt;"",V76,S76)</f>
        <v/>
      </c>
      <c r="AK76" s="18">
        <f>IF(AG76="","",AF76&amp;" football "&amp;AD76&amp;" · "&amp;AB76&amp;" min from your office")</f>
        <v/>
      </c>
      <c r="AL76" s="18">
        <f>IF(AG76="","","Hi "&amp;IF(P76&lt;&gt;"",P76,F76&amp;" team")&amp;","&amp;CHAR(10)&amp;CHAR(10)&amp;IF(AH76&lt;&gt;"","Saw that "&amp;F76&amp;" "&amp;AH76&amp;"."&amp;CHAR(10)&amp;CHAR(10),"")&amp;"I'm "&amp;IF(AQ76&lt;&gt;"",AQ76,Offer!$D$8)&amp;" from FC Urban. We run weekly after-work football for London teams. We have a "&amp;AF76&amp;" pitch at "&amp;AC76&amp;", a "&amp;AB76&amp;"-minute walk from your office on "&amp;IF(X76&lt;&gt;"",X76,Y76)&amp;", free "&amp;AD76&amp;". It's "&amp;"£"&amp;IF(AG76=INT(AG76),TEXT(AG76,"0"),TEXT(AG76,"0.00"))&amp;" a player: we book the pitch and handle sign-ups and payments, so someone just shares one link with the team."&amp;CHAR(10)&amp;CHAR(10)&amp;"Would your team be up for a weekly game? Happy to hold the slot for "&amp;F76&amp;" this week."&amp;CHAR(10)&amp;CHAR(10)&amp;"Best,"&amp;CHAR(10)&amp;IF(AQ76&lt;&gt;"",AQ76,Offer!$D$8)&amp;CHAR(10)&amp;"FC Urban")</f>
        <v/>
      </c>
      <c r="AM76" s="18">
        <f>IF(AG76="","","Hi "&amp;IF(P76&lt;&gt;"",P76,F76&amp;" team")&amp;","&amp;CHAR(10)&amp;CHAR(10)&amp;"Quick follow-up: the "&amp;AF76&amp;" pitch at "&amp;AC76&amp;" is still free "&amp;AD76&amp;", "&amp;"£"&amp;IF(AG76=INT(AG76),TEXT(AG76,"0"),TEXT(AG76,"0.00"))&amp;" a player, "&amp;AB76&amp;" minutes from your office. Shall I hold it for "&amp;F76&amp;"?"&amp;CHAR(10)&amp;CHAR(10)&amp;"Best,"&amp;CHAR(10)&amp;IF(AQ76&lt;&gt;"",AQ76,Offer!$D$8)&amp;CHAR(10)&amp;"FC Urban")</f>
        <v/>
      </c>
      <c r="AN76" s="15" t="inlineStr">
        <is>
          <t>pass</t>
        </is>
      </c>
      <c r="AO76" s="15" t="inlineStr">
        <is>
          <t>MX ok · mailbox not verified</t>
        </is>
      </c>
      <c r="AP76" s="18">
        <f>IF(AG76="","No – no confirmed London price per player",IF(AJ76="","No – no email",IF(AN76&lt;&gt;"pass","No – suppressed","Yes")))</f>
        <v/>
      </c>
      <c r="AR76" s="19" t="n"/>
      <c r="AS76" s="19" t="n"/>
    </row>
    <row r="77">
      <c r="A77" s="15" t="n">
        <v>75</v>
      </c>
      <c r="B77" s="15" t="n">
        <v>3</v>
      </c>
      <c r="C77" s="15" t="inlineStr">
        <is>
          <t>Recruitment</t>
        </is>
      </c>
      <c r="D77" s="15" t="inlineStr">
        <is>
          <t>EC2M</t>
        </is>
      </c>
      <c r="E77" s="15" t="inlineStr">
        <is>
          <t>Oliver Bernard Limited</t>
        </is>
      </c>
      <c r="F77" s="15" t="inlineStr">
        <is>
          <t>Oliver Bernard</t>
        </is>
      </c>
      <c r="G77" s="16" t="inlineStr">
        <is>
          <t>https://www.oliverbernard.com</t>
        </is>
      </c>
      <c r="H77" s="15" t="inlineStr">
        <is>
          <t>Not stated</t>
        </is>
      </c>
      <c r="I77" s="15" t="inlineStr">
        <is>
          <t>07128139</t>
        </is>
      </c>
      <c r="J77" s="16" t="inlineStr">
        <is>
          <t>Open</t>
        </is>
      </c>
      <c r="K77" s="15" t="inlineStr">
        <is>
          <t>Full</t>
        </is>
      </c>
      <c r="L77" s="15" t="inlineStr">
        <is>
          <t>18/01/2010</t>
        </is>
      </c>
      <c r="M77" s="15" t="inlineStr">
        <is>
          <t>1 Finsbury Avenue, Wilson Street, London</t>
        </is>
      </c>
      <c r="N77" s="15" t="inlineStr">
        <is>
          <t>EC2M 2PF</t>
        </is>
      </c>
      <c r="O77" s="15" t="inlineStr">
        <is>
          <t>No</t>
        </is>
      </c>
      <c r="P77" s="15" t="n"/>
      <c r="Q77" s="15" t="n"/>
      <c r="R77" s="15" t="n"/>
      <c r="S77" s="15" t="inlineStr">
        <is>
          <t>info@oliverbernard.com</t>
        </is>
      </c>
      <c r="T77" s="15" t="inlineStr">
        <is>
          <t>c general inbox</t>
        </is>
      </c>
      <c r="U77" s="16" t="inlineStr">
        <is>
          <t>https://www.oliverbernard.com/contact</t>
        </is>
      </c>
      <c r="X77" s="15" t="inlineStr">
        <is>
          <t>0207 952 5720 Our London office in Finsbury Avenue</t>
        </is>
      </c>
      <c r="Y77" s="15" t="inlineStr">
        <is>
          <t>EC2M 2PF</t>
        </is>
      </c>
      <c r="Z77" s="15" t="inlineStr">
        <is>
          <t>Website (0207 952 5720 Our London office in Finsbury Avenue)</t>
        </is>
      </c>
      <c r="AA77" s="15" t="inlineStr">
        <is>
          <t>Shoreditch Powerleague</t>
        </is>
      </c>
      <c r="AB77" s="15" t="n">
        <v>13</v>
      </c>
      <c r="AC77" s="15" t="inlineStr">
        <is>
          <t>Shoreditch Powerleague</t>
        </is>
      </c>
      <c r="AD77" s="15" t="inlineStr">
        <is>
          <t>Monday 28 September at 17:40</t>
        </is>
      </c>
      <c r="AE77" s="15" t="inlineStr">
        <is>
          <t>One-off</t>
        </is>
      </c>
      <c r="AF77" s="15" t="inlineStr">
        <is>
          <t>5-a-side</t>
        </is>
      </c>
      <c r="AG77" s="17">
        <f>IF(Offer!$D$5="","",Offer!$D$5)</f>
        <v/>
      </c>
      <c r="AH77" s="15" t="n"/>
      <c r="AI77" s="15" t="n"/>
      <c r="AJ77" s="18">
        <f>IF(V77&lt;&gt;"",V77,S77)</f>
        <v/>
      </c>
      <c r="AK77" s="18">
        <f>IF(AG77="","",AF77&amp;" football "&amp;AD77&amp;" · "&amp;AB77&amp;" min from your office")</f>
        <v/>
      </c>
      <c r="AL77" s="18">
        <f>IF(AG77="","","Hi "&amp;IF(P77&lt;&gt;"",P77,F77&amp;" team")&amp;","&amp;CHAR(10)&amp;CHAR(10)&amp;IF(AH77&lt;&gt;"","Saw that "&amp;F77&amp;" "&amp;AH77&amp;"."&amp;CHAR(10)&amp;CHAR(10),"")&amp;"I'm "&amp;IF(AQ77&lt;&gt;"",AQ77,Offer!$D$8)&amp;" from FC Urban. We run weekly after-work football for London teams. We have a "&amp;AF77&amp;" pitch at "&amp;AC77&amp;", a "&amp;AB77&amp;"-minute walk from your office on "&amp;IF(X77&lt;&gt;"",X77,Y77)&amp;", free "&amp;AD77&amp;". It's "&amp;"£"&amp;IF(AG77=INT(AG77),TEXT(AG77,"0"),TEXT(AG77,"0.00"))&amp;" a player: we book the pitch and handle sign-ups and payments, so someone just shares one link with the team."&amp;CHAR(10)&amp;CHAR(10)&amp;"Would your team be up for a weekly game? Happy to hold the slot for "&amp;F77&amp;" this week."&amp;CHAR(10)&amp;CHAR(10)&amp;"Best,"&amp;CHAR(10)&amp;IF(AQ77&lt;&gt;"",AQ77,Offer!$D$8)&amp;CHAR(10)&amp;"FC Urban")</f>
        <v/>
      </c>
      <c r="AM77" s="18">
        <f>IF(AG77="","","Hi "&amp;IF(P77&lt;&gt;"",P77,F77&amp;" team")&amp;","&amp;CHAR(10)&amp;CHAR(10)&amp;"Quick follow-up: the "&amp;AF77&amp;" pitch at "&amp;AC77&amp;" is still free "&amp;AD77&amp;", "&amp;"£"&amp;IF(AG77=INT(AG77),TEXT(AG77,"0"),TEXT(AG77,"0.00"))&amp;" a player, "&amp;AB77&amp;" minutes from your office. Shall I hold it for "&amp;F77&amp;"?"&amp;CHAR(10)&amp;CHAR(10)&amp;"Best,"&amp;CHAR(10)&amp;IF(AQ77&lt;&gt;"",AQ77,Offer!$D$8)&amp;CHAR(10)&amp;"FC Urban")</f>
        <v/>
      </c>
      <c r="AN77" s="15" t="inlineStr">
        <is>
          <t>pass</t>
        </is>
      </c>
      <c r="AO77" s="15" t="inlineStr">
        <is>
          <t>MX ok · mailbox not verified</t>
        </is>
      </c>
      <c r="AP77" s="18">
        <f>IF(AG77="","No – no confirmed London price per player",IF(AJ77="","No – no email",IF(AN77&lt;&gt;"pass","No – suppressed","Yes")))</f>
        <v/>
      </c>
      <c r="AR77" s="19" t="n"/>
      <c r="AS77" s="19" t="n"/>
    </row>
    <row r="78">
      <c r="A78" s="15" t="n">
        <v>76</v>
      </c>
      <c r="B78" s="15" t="n">
        <v>3</v>
      </c>
      <c r="C78" s="15" t="inlineStr">
        <is>
          <t>Tech / software</t>
        </is>
      </c>
      <c r="D78" s="15" t="inlineStr">
        <is>
          <t>EC1M</t>
        </is>
      </c>
      <c r="E78" s="15" t="inlineStr">
        <is>
          <t>Container Solutions Software Group Ltd</t>
        </is>
      </c>
      <c r="F78" s="15" t="inlineStr">
        <is>
          <t>Container Solutions Software</t>
        </is>
      </c>
      <c r="G78" s="16" t="inlineStr">
        <is>
          <t>https://www.container-solutions.com</t>
        </is>
      </c>
      <c r="H78" s="15" t="inlineStr">
        <is>
          <t>Not stated</t>
        </is>
      </c>
      <c r="I78" s="15" t="inlineStr">
        <is>
          <t>14061734</t>
        </is>
      </c>
      <c r="J78" s="16" t="inlineStr">
        <is>
          <t>Open</t>
        </is>
      </c>
      <c r="K78" s="15" t="inlineStr">
        <is>
          <t>Full</t>
        </is>
      </c>
      <c r="L78" s="15" t="inlineStr">
        <is>
          <t>22/04/2022</t>
        </is>
      </c>
      <c r="M78" s="15" t="inlineStr">
        <is>
          <t>29 Clerkenwell Road, London</t>
        </is>
      </c>
      <c r="N78" s="15" t="inlineStr">
        <is>
          <t>EC1M 5RN</t>
        </is>
      </c>
      <c r="O78" s="15" t="inlineStr">
        <is>
          <t>No</t>
        </is>
      </c>
      <c r="P78" s="15" t="n"/>
      <c r="Q78" s="15" t="n"/>
      <c r="R78" s="15" t="n"/>
      <c r="S78" s="15" t="inlineStr">
        <is>
          <t>info@container-solutions.com</t>
        </is>
      </c>
      <c r="T78" s="15" t="inlineStr">
        <is>
          <t>c general inbox</t>
        </is>
      </c>
      <c r="U78" s="16" t="inlineStr">
        <is>
          <t>https://www.container-solutions.com/</t>
        </is>
      </c>
      <c r="X78" s="15" t="inlineStr">
        <is>
          <t>29 CLERKENWELL ROAD</t>
        </is>
      </c>
      <c r="Y78" s="15" t="inlineStr">
        <is>
          <t>EC1M 5RN</t>
        </is>
      </c>
      <c r="Z78" s="15" t="inlineStr">
        <is>
          <t>Website (29 CLERKENWELL ROAD)</t>
        </is>
      </c>
      <c r="AA78" s="15" t="inlineStr">
        <is>
          <t>Old St - Moreland Primary School</t>
        </is>
      </c>
      <c r="AB78" s="15" t="n">
        <v>13</v>
      </c>
      <c r="AC78" s="15" t="inlineStr">
        <is>
          <t>Old St - Moreland Primary School</t>
        </is>
      </c>
      <c r="AD78" s="15" t="inlineStr">
        <is>
          <t>Monday 12 October at 18:00</t>
        </is>
      </c>
      <c r="AE78" s="15" t="inlineStr">
        <is>
          <t>One-off</t>
        </is>
      </c>
      <c r="AF78" s="15" t="inlineStr">
        <is>
          <t>6-a-side</t>
        </is>
      </c>
      <c r="AG78" s="17">
        <f>IF(Offer!$D$5="","",Offer!$D$5)</f>
        <v/>
      </c>
      <c r="AH78" s="15" t="n"/>
      <c r="AI78" s="15" t="n"/>
      <c r="AJ78" s="18">
        <f>IF(V78&lt;&gt;"",V78,S78)</f>
        <v/>
      </c>
      <c r="AK78" s="18">
        <f>IF(AG78="","",AF78&amp;" football "&amp;AD78&amp;" · "&amp;AB78&amp;" min from your office")</f>
        <v/>
      </c>
      <c r="AL78" s="18">
        <f>IF(AG78="","","Hi "&amp;IF(P78&lt;&gt;"",P78,F78&amp;" team")&amp;","&amp;CHAR(10)&amp;CHAR(10)&amp;IF(AH78&lt;&gt;"","Saw that "&amp;F78&amp;" "&amp;AH78&amp;"."&amp;CHAR(10)&amp;CHAR(10),"")&amp;"I'm "&amp;IF(AQ78&lt;&gt;"",AQ78,Offer!$D$8)&amp;" from FC Urban. We run weekly after-work football for London teams. We have a "&amp;AF78&amp;" pitch at "&amp;AC78&amp;", a "&amp;AB78&amp;"-minute walk from your office on "&amp;IF(X78&lt;&gt;"",X78,Y78)&amp;", free "&amp;AD78&amp;". It's "&amp;"£"&amp;IF(AG78=INT(AG78),TEXT(AG78,"0"),TEXT(AG78,"0.00"))&amp;" a player: we book the pitch and handle sign-ups and payments, so someone just shares one link with the team."&amp;CHAR(10)&amp;CHAR(10)&amp;"Would your team be up for a weekly game? Happy to hold the slot for "&amp;F78&amp;" this week."&amp;CHAR(10)&amp;CHAR(10)&amp;"Best,"&amp;CHAR(10)&amp;IF(AQ78&lt;&gt;"",AQ78,Offer!$D$8)&amp;CHAR(10)&amp;"FC Urban")</f>
        <v/>
      </c>
      <c r="AM78" s="18">
        <f>IF(AG78="","","Hi "&amp;IF(P78&lt;&gt;"",P78,F78&amp;" team")&amp;","&amp;CHAR(10)&amp;CHAR(10)&amp;"Quick follow-up: the "&amp;AF78&amp;" pitch at "&amp;AC78&amp;" is still free "&amp;AD78&amp;", "&amp;"£"&amp;IF(AG78=INT(AG78),TEXT(AG78,"0"),TEXT(AG78,"0.00"))&amp;" a player, "&amp;AB78&amp;" minutes from your office. Shall I hold it for "&amp;F78&amp;"?"&amp;CHAR(10)&amp;CHAR(10)&amp;"Best,"&amp;CHAR(10)&amp;IF(AQ78&lt;&gt;"",AQ78,Offer!$D$8)&amp;CHAR(10)&amp;"FC Urban")</f>
        <v/>
      </c>
      <c r="AN78" s="15" t="inlineStr">
        <is>
          <t>pass</t>
        </is>
      </c>
      <c r="AO78" s="15" t="inlineStr">
        <is>
          <t>MX ok · mailbox not verified</t>
        </is>
      </c>
      <c r="AP78" s="18">
        <f>IF(AG78="","No – no confirmed London price per player",IF(AJ78="","No – no email",IF(AN78&lt;&gt;"pass","No – suppressed","Yes")))</f>
        <v/>
      </c>
      <c r="AR78" s="19" t="n"/>
      <c r="AS78" s="19" t="n"/>
    </row>
    <row r="79">
      <c r="A79" s="15" t="n">
        <v>77</v>
      </c>
      <c r="B79" s="15" t="n">
        <v>3</v>
      </c>
      <c r="C79" s="15" t="inlineStr">
        <is>
          <t>Tech / software</t>
        </is>
      </c>
      <c r="D79" s="15" t="inlineStr">
        <is>
          <t>EC2M</t>
        </is>
      </c>
      <c r="E79" s="15" t="inlineStr">
        <is>
          <t>Fincore Limited</t>
        </is>
      </c>
      <c r="F79" s="15" t="inlineStr">
        <is>
          <t>Fincore</t>
        </is>
      </c>
      <c r="G79" s="16" t="inlineStr">
        <is>
          <t>https://fincore.ai</t>
        </is>
      </c>
      <c r="H79" s="15" t="n">
        <v>24</v>
      </c>
      <c r="I79" s="15" t="inlineStr">
        <is>
          <t>05998321</t>
        </is>
      </c>
      <c r="J79" s="16" t="inlineStr">
        <is>
          <t>Open</t>
        </is>
      </c>
      <c r="K79" s="15" t="inlineStr">
        <is>
          <t>Full</t>
        </is>
      </c>
      <c r="L79" s="15" t="inlineStr">
        <is>
          <t>14/11/2006</t>
        </is>
      </c>
      <c r="M79" s="15" t="inlineStr">
        <is>
          <t>Wilson'S Corner 23 Wilson Street, 3Rd Floor, London</t>
        </is>
      </c>
      <c r="N79" s="15" t="inlineStr">
        <is>
          <t>EC2M 2TE</t>
        </is>
      </c>
      <c r="O79" s="15" t="inlineStr">
        <is>
          <t>No</t>
        </is>
      </c>
      <c r="P79" s="15" t="n"/>
      <c r="Q79" s="15" t="n"/>
      <c r="R79" s="15" t="n"/>
      <c r="S79" s="15" t="inlineStr">
        <is>
          <t>hello@fincore.ai</t>
        </is>
      </c>
      <c r="T79" s="15" t="inlineStr">
        <is>
          <t>c general inbox</t>
        </is>
      </c>
      <c r="U79" s="16" t="inlineStr">
        <is>
          <t>https://fincore.ai/</t>
        </is>
      </c>
      <c r="X79" s="15" t="n"/>
      <c r="Y79" s="15" t="inlineStr">
        <is>
          <t>EC2M 2TE</t>
        </is>
      </c>
      <c r="Z79" s="15" t="inlineStr">
        <is>
          <t>Website</t>
        </is>
      </c>
      <c r="AA79" s="15" t="inlineStr">
        <is>
          <t>Shoreditch Powerleague</t>
        </is>
      </c>
      <c r="AB79" s="15" t="n">
        <v>14</v>
      </c>
      <c r="AC79" s="15" t="inlineStr">
        <is>
          <t>Shoreditch Powerleague</t>
        </is>
      </c>
      <c r="AD79" s="15" t="inlineStr">
        <is>
          <t>Monday 28 September at 17:40</t>
        </is>
      </c>
      <c r="AE79" s="15" t="inlineStr">
        <is>
          <t>One-off</t>
        </is>
      </c>
      <c r="AF79" s="15" t="inlineStr">
        <is>
          <t>5-a-side</t>
        </is>
      </c>
      <c r="AG79" s="17">
        <f>IF(Offer!$D$5="","",Offer!$D$5)</f>
        <v/>
      </c>
      <c r="AH79" s="15" t="inlineStr">
        <is>
          <t>team of 24 people</t>
        </is>
      </c>
      <c r="AI79" s="16" t="inlineStr">
        <is>
          <t>https://fincore.ai/about/</t>
        </is>
      </c>
      <c r="AJ79" s="18">
        <f>IF(V79&lt;&gt;"",V79,S79)</f>
        <v/>
      </c>
      <c r="AK79" s="18">
        <f>IF(AG79="","",AF79&amp;" football "&amp;AD79&amp;" · "&amp;AB79&amp;" min from your office")</f>
        <v/>
      </c>
      <c r="AL79" s="18">
        <f>IF(AG79="","","Hi "&amp;IF(P79&lt;&gt;"",P79,F79&amp;" team")&amp;","&amp;CHAR(10)&amp;CHAR(10)&amp;IF(AH79&lt;&gt;"","Saw that "&amp;F79&amp;" "&amp;AH79&amp;"."&amp;CHAR(10)&amp;CHAR(10),"")&amp;"I'm "&amp;IF(AQ79&lt;&gt;"",AQ79,Offer!$D$8)&amp;" from FC Urban. We run weekly after-work football for London teams. We have a "&amp;AF79&amp;" pitch at "&amp;AC79&amp;", a "&amp;AB79&amp;"-minute walk from your office on "&amp;IF(X79&lt;&gt;"",X79,Y79)&amp;", free "&amp;AD79&amp;". It's "&amp;"£"&amp;IF(AG79=INT(AG79),TEXT(AG79,"0"),TEXT(AG79,"0.00"))&amp;" a player: we book the pitch and handle sign-ups and payments, so someone just shares one link with the team."&amp;CHAR(10)&amp;CHAR(10)&amp;"Would your team be up for a weekly game? Happy to hold the slot for "&amp;F79&amp;" this week."&amp;CHAR(10)&amp;CHAR(10)&amp;"Best,"&amp;CHAR(10)&amp;IF(AQ79&lt;&gt;"",AQ79,Offer!$D$8)&amp;CHAR(10)&amp;"FC Urban")</f>
        <v/>
      </c>
      <c r="AM79" s="18">
        <f>IF(AG79="","","Hi "&amp;IF(P79&lt;&gt;"",P79,F79&amp;" team")&amp;","&amp;CHAR(10)&amp;CHAR(10)&amp;"Quick follow-up: the "&amp;AF79&amp;" pitch at "&amp;AC79&amp;" is still free "&amp;AD79&amp;", "&amp;"£"&amp;IF(AG79=INT(AG79),TEXT(AG79,"0"),TEXT(AG79,"0.00"))&amp;" a player, "&amp;AB79&amp;" minutes from your office. Shall I hold it for "&amp;F79&amp;"?"&amp;CHAR(10)&amp;CHAR(10)&amp;"Best,"&amp;CHAR(10)&amp;IF(AQ79&lt;&gt;"",AQ79,Offer!$D$8)&amp;CHAR(10)&amp;"FC Urban")</f>
        <v/>
      </c>
      <c r="AN79" s="15" t="inlineStr">
        <is>
          <t>pass</t>
        </is>
      </c>
      <c r="AO79" s="15" t="inlineStr">
        <is>
          <t>MX ok · mailbox not verified</t>
        </is>
      </c>
      <c r="AP79" s="18">
        <f>IF(AG79="","No – no confirmed London price per player",IF(AJ79="","No – no email",IF(AN79&lt;&gt;"pass","No – suppressed","Yes")))</f>
        <v/>
      </c>
      <c r="AR79" s="19" t="n"/>
      <c r="AS79" s="19" t="n"/>
    </row>
    <row r="80">
      <c r="A80" s="15" t="n">
        <v>78</v>
      </c>
      <c r="B80" s="15" t="n">
        <v>3</v>
      </c>
      <c r="C80" s="15" t="inlineStr">
        <is>
          <t>Tech / software</t>
        </is>
      </c>
      <c r="D80" s="15" t="inlineStr">
        <is>
          <t>EC2M</t>
        </is>
      </c>
      <c r="E80" s="15" t="inlineStr">
        <is>
          <t>Brightstar Lottery UK Solutions Limited</t>
        </is>
      </c>
      <c r="F80" s="15" t="inlineStr">
        <is>
          <t>Brightstar Lottery UK Solutions</t>
        </is>
      </c>
      <c r="G80" s="16" t="inlineStr">
        <is>
          <t>https://www.brightstarlottery.com</t>
        </is>
      </c>
      <c r="H80" s="15" t="inlineStr">
        <is>
          <t>Not stated</t>
        </is>
      </c>
      <c r="I80" s="15" t="inlineStr">
        <is>
          <t>02796326</t>
        </is>
      </c>
      <c r="J80" s="16" t="inlineStr">
        <is>
          <t>Open</t>
        </is>
      </c>
      <c r="K80" s="15" t="inlineStr">
        <is>
          <t>Full</t>
        </is>
      </c>
      <c r="L80" s="15" t="inlineStr">
        <is>
          <t>05/03/1993</t>
        </is>
      </c>
      <c r="M80" s="15" t="inlineStr">
        <is>
          <t>5Th Floor, Eldon House, 2 And 3 Eldon Street, London</t>
        </is>
      </c>
      <c r="N80" s="15" t="inlineStr">
        <is>
          <t>EC2M 7LS</t>
        </is>
      </c>
      <c r="O80" s="15" t="inlineStr">
        <is>
          <t>No</t>
        </is>
      </c>
      <c r="P80" s="15" t="n"/>
      <c r="Q80" s="15" t="n"/>
      <c r="R80" s="15" t="n"/>
      <c r="S80" s="15" t="inlineStr">
        <is>
          <t>mike.deangelis@brightstarlottery.com</t>
        </is>
      </c>
      <c r="T80" s="15" t="inlineStr">
        <is>
          <t>c general inbox</t>
        </is>
      </c>
      <c r="U80" s="16" t="inlineStr">
        <is>
          <t>https://www.brightstarlottery.com/contact-us</t>
        </is>
      </c>
      <c r="X80" s="15" t="n"/>
      <c r="Y80" s="15" t="inlineStr">
        <is>
          <t>EC2M 7LS</t>
        </is>
      </c>
      <c r="Z80" s="15" t="inlineStr">
        <is>
          <t>Website (Brightstar Lottery PLC, a public limited company organized under the laws of England and Wales, has its corporate headquarters at 5th Floor, 2 and 3 Eldon Street, London, England EC2M 7LS. Brightstar Lottery PLC, together with its consolidated subsidiaries, has principal operating facilities in Providence, Rhode Island and Rome, Italy.)</t>
        </is>
      </c>
      <c r="AA80" s="15" t="inlineStr">
        <is>
          <t>Shoreditch Powerleague</t>
        </is>
      </c>
      <c r="AB80" s="15" t="n">
        <v>14</v>
      </c>
      <c r="AC80" s="15" t="inlineStr">
        <is>
          <t>Shoreditch Powerleague</t>
        </is>
      </c>
      <c r="AD80" s="15" t="inlineStr">
        <is>
          <t>Monday 28 September at 17:40</t>
        </is>
      </c>
      <c r="AE80" s="15" t="inlineStr">
        <is>
          <t>One-off</t>
        </is>
      </c>
      <c r="AF80" s="15" t="inlineStr">
        <is>
          <t>5-a-side</t>
        </is>
      </c>
      <c r="AG80" s="17">
        <f>IF(Offer!$D$5="","",Offer!$D$5)</f>
        <v/>
      </c>
      <c r="AH80" s="15" t="n"/>
      <c r="AI80" s="15" t="n"/>
      <c r="AJ80" s="18">
        <f>IF(V80&lt;&gt;"",V80,S80)</f>
        <v/>
      </c>
      <c r="AK80" s="18">
        <f>IF(AG80="","",AF80&amp;" football "&amp;AD80&amp;" · "&amp;AB80&amp;" min from your office")</f>
        <v/>
      </c>
      <c r="AL80" s="18">
        <f>IF(AG80="","","Hi "&amp;IF(P80&lt;&gt;"",P80,F80&amp;" team")&amp;","&amp;CHAR(10)&amp;CHAR(10)&amp;IF(AH80&lt;&gt;"","Saw that "&amp;F80&amp;" "&amp;AH80&amp;"."&amp;CHAR(10)&amp;CHAR(10),"")&amp;"I'm "&amp;IF(AQ80&lt;&gt;"",AQ80,Offer!$D$8)&amp;" from FC Urban. We run weekly after-work football for London teams. We have a "&amp;AF80&amp;" pitch at "&amp;AC80&amp;", a "&amp;AB80&amp;"-minute walk from your office on "&amp;IF(X80&lt;&gt;"",X80,Y80)&amp;", free "&amp;AD80&amp;". It's "&amp;"£"&amp;IF(AG80=INT(AG80),TEXT(AG80,"0"),TEXT(AG80,"0.00"))&amp;" a player: we book the pitch and handle sign-ups and payments, so someone just shares one link with the team."&amp;CHAR(10)&amp;CHAR(10)&amp;"Would your team be up for a weekly game? Happy to hold the slot for "&amp;F80&amp;" this week."&amp;CHAR(10)&amp;CHAR(10)&amp;"Best,"&amp;CHAR(10)&amp;IF(AQ80&lt;&gt;"",AQ80,Offer!$D$8)&amp;CHAR(10)&amp;"FC Urban")</f>
        <v/>
      </c>
      <c r="AM80" s="18">
        <f>IF(AG80="","","Hi "&amp;IF(P80&lt;&gt;"",P80,F80&amp;" team")&amp;","&amp;CHAR(10)&amp;CHAR(10)&amp;"Quick follow-up: the "&amp;AF80&amp;" pitch at "&amp;AC80&amp;" is still free "&amp;AD80&amp;", "&amp;"£"&amp;IF(AG80=INT(AG80),TEXT(AG80,"0"),TEXT(AG80,"0.00"))&amp;" a player, "&amp;AB80&amp;" minutes from your office. Shall I hold it for "&amp;F80&amp;"?"&amp;CHAR(10)&amp;CHAR(10)&amp;"Best,"&amp;CHAR(10)&amp;IF(AQ80&lt;&gt;"",AQ80,Offer!$D$8)&amp;CHAR(10)&amp;"FC Urban")</f>
        <v/>
      </c>
      <c r="AN80" s="15" t="inlineStr">
        <is>
          <t>pass</t>
        </is>
      </c>
      <c r="AO80" s="15" t="inlineStr">
        <is>
          <t>MX ok · mailbox not verified</t>
        </is>
      </c>
      <c r="AP80" s="18">
        <f>IF(AG80="","No – no confirmed London price per player",IF(AJ80="","No – no email",IF(AN80&lt;&gt;"pass","No – suppressed","Yes")))</f>
        <v/>
      </c>
      <c r="AR80" s="19" t="n"/>
      <c r="AS80" s="19" t="n"/>
    </row>
    <row r="81">
      <c r="A81" s="15" t="n">
        <v>79</v>
      </c>
      <c r="B81" s="15" t="n">
        <v>3</v>
      </c>
      <c r="C81" s="15" t="inlineStr">
        <is>
          <t>Marketing / agency</t>
        </is>
      </c>
      <c r="D81" s="15" t="inlineStr">
        <is>
          <t>EC1M</t>
        </is>
      </c>
      <c r="E81" s="15" t="inlineStr">
        <is>
          <t>Euromonitor International Limited</t>
        </is>
      </c>
      <c r="F81" s="15" t="inlineStr">
        <is>
          <t>Euromonitor</t>
        </is>
      </c>
      <c r="G81" s="16" t="inlineStr">
        <is>
          <t>https://www.euromonitor.com</t>
        </is>
      </c>
      <c r="H81" s="15" t="inlineStr">
        <is>
          <t>Not stated</t>
        </is>
      </c>
      <c r="I81" s="15" t="inlineStr">
        <is>
          <t>01040587</t>
        </is>
      </c>
      <c r="J81" s="16" t="inlineStr">
        <is>
          <t>Open</t>
        </is>
      </c>
      <c r="K81" s="15" t="inlineStr">
        <is>
          <t>Group</t>
        </is>
      </c>
      <c r="L81" s="15" t="inlineStr">
        <is>
          <t>31/01/1972</t>
        </is>
      </c>
      <c r="M81" s="15" t="inlineStr">
        <is>
          <t>60-61 Britton Street, London</t>
        </is>
      </c>
      <c r="N81" s="15" t="inlineStr">
        <is>
          <t>EC1M 5UX</t>
        </is>
      </c>
      <c r="O81" s="15" t="inlineStr">
        <is>
          <t>No</t>
        </is>
      </c>
      <c r="P81" s="15" t="n"/>
      <c r="Q81" s="15" t="n"/>
      <c r="R81" s="15" t="n"/>
      <c r="S81" s="15" t="inlineStr">
        <is>
          <t>info@euromonitor.com</t>
        </is>
      </c>
      <c r="T81" s="15" t="inlineStr">
        <is>
          <t>c general inbox</t>
        </is>
      </c>
      <c r="U81" s="16" t="inlineStr">
        <is>
          <t>https://www.euromonitor.com/who-we-are/office-locations</t>
        </is>
      </c>
      <c r="X81" s="15" t="n"/>
      <c r="Y81" s="15" t="inlineStr">
        <is>
          <t>EC1M 5UX</t>
        </is>
      </c>
      <c r="Z81" s="15" t="inlineStr">
        <is>
          <t>Website contact page</t>
        </is>
      </c>
      <c r="AA81" s="15" t="inlineStr">
        <is>
          <t>Old St - Moreland Primary School</t>
        </is>
      </c>
      <c r="AB81" s="15" t="n">
        <v>14</v>
      </c>
      <c r="AC81" s="15" t="inlineStr">
        <is>
          <t>Old St - Moreland Primary School</t>
        </is>
      </c>
      <c r="AD81" s="15" t="inlineStr">
        <is>
          <t>Monday 12 October at 18:00</t>
        </is>
      </c>
      <c r="AE81" s="15" t="inlineStr">
        <is>
          <t>One-off</t>
        </is>
      </c>
      <c r="AF81" s="15" t="inlineStr">
        <is>
          <t>6-a-side</t>
        </is>
      </c>
      <c r="AG81" s="17">
        <f>IF(Offer!$D$5="","",Offer!$D$5)</f>
        <v/>
      </c>
      <c r="AH81" s="15" t="n"/>
      <c r="AI81" s="15" t="n"/>
      <c r="AJ81" s="18">
        <f>IF(V81&lt;&gt;"",V81,S81)</f>
        <v/>
      </c>
      <c r="AK81" s="18">
        <f>IF(AG81="","",AF81&amp;" football "&amp;AD81&amp;" · "&amp;AB81&amp;" min from your office")</f>
        <v/>
      </c>
      <c r="AL81" s="18">
        <f>IF(AG81="","","Hi "&amp;IF(P81&lt;&gt;"",P81,F81&amp;" team")&amp;","&amp;CHAR(10)&amp;CHAR(10)&amp;IF(AH81&lt;&gt;"","Saw that "&amp;F81&amp;" "&amp;AH81&amp;"."&amp;CHAR(10)&amp;CHAR(10),"")&amp;"I'm "&amp;IF(AQ81&lt;&gt;"",AQ81,Offer!$D$8)&amp;" from FC Urban. We run weekly after-work football for London teams. We have a "&amp;AF81&amp;" pitch at "&amp;AC81&amp;", a "&amp;AB81&amp;"-minute walk from your office on "&amp;IF(X81&lt;&gt;"",X81,Y81)&amp;", free "&amp;AD81&amp;". It's "&amp;"£"&amp;IF(AG81=INT(AG81),TEXT(AG81,"0"),TEXT(AG81,"0.00"))&amp;" a player: we book the pitch and handle sign-ups and payments, so someone just shares one link with the team."&amp;CHAR(10)&amp;CHAR(10)&amp;"Would your team be up for a weekly game? Happy to hold the slot for "&amp;F81&amp;" this week."&amp;CHAR(10)&amp;CHAR(10)&amp;"Best,"&amp;CHAR(10)&amp;IF(AQ81&lt;&gt;"",AQ81,Offer!$D$8)&amp;CHAR(10)&amp;"FC Urban")</f>
        <v/>
      </c>
      <c r="AM81" s="18">
        <f>IF(AG81="","","Hi "&amp;IF(P81&lt;&gt;"",P81,F81&amp;" team")&amp;","&amp;CHAR(10)&amp;CHAR(10)&amp;"Quick follow-up: the "&amp;AF81&amp;" pitch at "&amp;AC81&amp;" is still free "&amp;AD81&amp;", "&amp;"£"&amp;IF(AG81=INT(AG81),TEXT(AG81,"0"),TEXT(AG81,"0.00"))&amp;" a player, "&amp;AB81&amp;" minutes from your office. Shall I hold it for "&amp;F81&amp;"?"&amp;CHAR(10)&amp;CHAR(10)&amp;"Best,"&amp;CHAR(10)&amp;IF(AQ81&lt;&gt;"",AQ81,Offer!$D$8)&amp;CHAR(10)&amp;"FC Urban")</f>
        <v/>
      </c>
      <c r="AN81" s="15" t="inlineStr">
        <is>
          <t>pass</t>
        </is>
      </c>
      <c r="AO81" s="15" t="inlineStr">
        <is>
          <t>MX ok · mailbox not verified</t>
        </is>
      </c>
      <c r="AP81" s="18">
        <f>IF(AG81="","No – no confirmed London price per player",IF(AJ81="","No – no email",IF(AN81&lt;&gt;"pass","No – suppressed","Yes")))</f>
        <v/>
      </c>
      <c r="AR81" s="19" t="n"/>
      <c r="AS81" s="19" t="n"/>
    </row>
    <row r="82">
      <c r="A82" s="15" t="n">
        <v>80</v>
      </c>
      <c r="B82" s="15" t="n">
        <v>3</v>
      </c>
      <c r="C82" s="15" t="inlineStr">
        <is>
          <t>Finance / accounting</t>
        </is>
      </c>
      <c r="D82" s="15" t="inlineStr">
        <is>
          <t>EC1M</t>
        </is>
      </c>
      <c r="E82" s="15" t="inlineStr">
        <is>
          <t>Gtn Europe Financial Services Limited</t>
        </is>
      </c>
      <c r="F82" s="15" t="inlineStr">
        <is>
          <t>Gtn Europe Financial</t>
        </is>
      </c>
      <c r="G82" s="16" t="inlineStr">
        <is>
          <t>https://www.gtn.com</t>
        </is>
      </c>
      <c r="H82" s="15" t="inlineStr">
        <is>
          <t>Not stated</t>
        </is>
      </c>
      <c r="I82" s="15" t="inlineStr">
        <is>
          <t>14150611</t>
        </is>
      </c>
      <c r="J82" s="16" t="inlineStr">
        <is>
          <t>Open</t>
        </is>
      </c>
      <c r="K82" s="15" t="inlineStr">
        <is>
          <t>Full</t>
        </is>
      </c>
      <c r="L82" s="15" t="inlineStr">
        <is>
          <t>06/06/2022</t>
        </is>
      </c>
      <c r="M82" s="15" t="inlineStr">
        <is>
          <t>1-2 Charterhouse Mews, London</t>
        </is>
      </c>
      <c r="N82" s="15" t="inlineStr">
        <is>
          <t>EC1M 6BB</t>
        </is>
      </c>
      <c r="O82" s="15" t="inlineStr">
        <is>
          <t>No</t>
        </is>
      </c>
      <c r="P82" s="15" t="n"/>
      <c r="Q82" s="15" t="n"/>
      <c r="R82" s="15" t="n"/>
      <c r="S82" s="15" t="inlineStr">
        <is>
          <t>info@gtn.com</t>
        </is>
      </c>
      <c r="T82" s="15" t="inlineStr">
        <is>
          <t>c general inbox</t>
        </is>
      </c>
      <c r="U82" s="16" t="inlineStr">
        <is>
          <t>https://www.gtn.com/</t>
        </is>
      </c>
      <c r="X82" s="15" t="inlineStr">
        <is>
          <t>1-2 Charterhouse Mews</t>
        </is>
      </c>
      <c r="Y82" s="15" t="inlineStr">
        <is>
          <t>EC1M 6BB</t>
        </is>
      </c>
      <c r="Z82" s="15" t="inlineStr">
        <is>
          <t>Website (1-2 Charterhouse Mews)</t>
        </is>
      </c>
      <c r="AA82" s="15" t="inlineStr">
        <is>
          <t>Old St - Moreland Primary School</t>
        </is>
      </c>
      <c r="AB82" s="15" t="n">
        <v>14</v>
      </c>
      <c r="AC82" s="15" t="inlineStr">
        <is>
          <t>Old St - Moreland Primary School</t>
        </is>
      </c>
      <c r="AD82" s="15" t="inlineStr">
        <is>
          <t>Monday 12 October at 18:00</t>
        </is>
      </c>
      <c r="AE82" s="15" t="inlineStr">
        <is>
          <t>One-off</t>
        </is>
      </c>
      <c r="AF82" s="15" t="inlineStr">
        <is>
          <t>6-a-side</t>
        </is>
      </c>
      <c r="AG82" s="17">
        <f>IF(Offer!$D$5="","",Offer!$D$5)</f>
        <v/>
      </c>
      <c r="AH82" s="15" t="n"/>
      <c r="AI82" s="15" t="n"/>
      <c r="AJ82" s="18">
        <f>IF(V82&lt;&gt;"",V82,S82)</f>
        <v/>
      </c>
      <c r="AK82" s="18">
        <f>IF(AG82="","",AF82&amp;" football "&amp;AD82&amp;" · "&amp;AB82&amp;" min from your office")</f>
        <v/>
      </c>
      <c r="AL82" s="18">
        <f>IF(AG82="","","Hi "&amp;IF(P82&lt;&gt;"",P82,F82&amp;" team")&amp;","&amp;CHAR(10)&amp;CHAR(10)&amp;IF(AH82&lt;&gt;"","Saw that "&amp;F82&amp;" "&amp;AH82&amp;"."&amp;CHAR(10)&amp;CHAR(10),"")&amp;"I'm "&amp;IF(AQ82&lt;&gt;"",AQ82,Offer!$D$8)&amp;" from FC Urban. We run weekly after-work football for London teams. We have a "&amp;AF82&amp;" pitch at "&amp;AC82&amp;", a "&amp;AB82&amp;"-minute walk from your office on "&amp;IF(X82&lt;&gt;"",X82,Y82)&amp;", free "&amp;AD82&amp;". It's "&amp;"£"&amp;IF(AG82=INT(AG82),TEXT(AG82,"0"),TEXT(AG82,"0.00"))&amp;" a player: we book the pitch and handle sign-ups and payments, so someone just shares one link with the team."&amp;CHAR(10)&amp;CHAR(10)&amp;"Would your team be up for a weekly game? Happy to hold the slot for "&amp;F82&amp;" this week."&amp;CHAR(10)&amp;CHAR(10)&amp;"Best,"&amp;CHAR(10)&amp;IF(AQ82&lt;&gt;"",AQ82,Offer!$D$8)&amp;CHAR(10)&amp;"FC Urban")</f>
        <v/>
      </c>
      <c r="AM82" s="18">
        <f>IF(AG82="","","Hi "&amp;IF(P82&lt;&gt;"",P82,F82&amp;" team")&amp;","&amp;CHAR(10)&amp;CHAR(10)&amp;"Quick follow-up: the "&amp;AF82&amp;" pitch at "&amp;AC82&amp;" is still free "&amp;AD82&amp;", "&amp;"£"&amp;IF(AG82=INT(AG82),TEXT(AG82,"0"),TEXT(AG82,"0.00"))&amp;" a player, "&amp;AB82&amp;" minutes from your office. Shall I hold it for "&amp;F82&amp;"?"&amp;CHAR(10)&amp;CHAR(10)&amp;"Best,"&amp;CHAR(10)&amp;IF(AQ82&lt;&gt;"",AQ82,Offer!$D$8)&amp;CHAR(10)&amp;"FC Urban")</f>
        <v/>
      </c>
      <c r="AN82" s="15" t="inlineStr">
        <is>
          <t>pass</t>
        </is>
      </c>
      <c r="AO82" s="15" t="inlineStr">
        <is>
          <t>MX ok · mailbox not verified</t>
        </is>
      </c>
      <c r="AP82" s="18">
        <f>IF(AG82="","No – no confirmed London price per player",IF(AJ82="","No – no email",IF(AN82&lt;&gt;"pass","No – suppressed","Yes")))</f>
        <v/>
      </c>
      <c r="AR82" s="19" t="n"/>
      <c r="AS82" s="19" t="n"/>
    </row>
    <row r="83">
      <c r="A83" s="15" t="n">
        <v>81</v>
      </c>
      <c r="B83" s="15" t="n">
        <v>3</v>
      </c>
      <c r="C83" s="15" t="inlineStr">
        <is>
          <t>Tech / software</t>
        </is>
      </c>
      <c r="D83" s="15" t="inlineStr">
        <is>
          <t>EC2M</t>
        </is>
      </c>
      <c r="E83" s="15" t="inlineStr">
        <is>
          <t>Parseq Limited</t>
        </is>
      </c>
      <c r="F83" s="15" t="inlineStr">
        <is>
          <t>Parseq</t>
        </is>
      </c>
      <c r="G83" s="16" t="inlineStr">
        <is>
          <t>https://www.parseq.com</t>
        </is>
      </c>
      <c r="H83" s="15" t="inlineStr">
        <is>
          <t>Not stated</t>
        </is>
      </c>
      <c r="I83" s="15" t="inlineStr">
        <is>
          <t>05815806</t>
        </is>
      </c>
      <c r="J83" s="16" t="inlineStr">
        <is>
          <t>Open</t>
        </is>
      </c>
      <c r="K83" s="15" t="inlineStr">
        <is>
          <t>Group</t>
        </is>
      </c>
      <c r="L83" s="15" t="inlineStr">
        <is>
          <t>12/05/2006</t>
        </is>
      </c>
      <c r="M83" s="15" t="inlineStr">
        <is>
          <t>Lower Ground Floor, Park House, 16/18, Finsbury Circus, London</t>
        </is>
      </c>
      <c r="N83" s="15" t="inlineStr">
        <is>
          <t>EC2M 7EB</t>
        </is>
      </c>
      <c r="O83" s="15" t="inlineStr">
        <is>
          <t>No</t>
        </is>
      </c>
      <c r="P83" s="15" t="n"/>
      <c r="Q83" s="15" t="n"/>
      <c r="R83" s="15" t="n"/>
      <c r="S83" s="15" t="inlineStr">
        <is>
          <t>info@parseq.com</t>
        </is>
      </c>
      <c r="T83" s="15" t="inlineStr">
        <is>
          <t>c general inbox</t>
        </is>
      </c>
      <c r="U83" s="16" t="inlineStr">
        <is>
          <t>https://www.parseq.com/</t>
        </is>
      </c>
      <c r="X83" s="15" t="inlineStr">
        <is>
          <t>LOWER GROUND FLOOR, PARK HOUSE, 16/18, FINSBURY CIRCUS</t>
        </is>
      </c>
      <c r="Y83" s="15" t="inlineStr">
        <is>
          <t>EC2M 7EB</t>
        </is>
      </c>
      <c r="Z83" s="15" t="inlineStr">
        <is>
          <t>Website (LOWER GROUND FLOOR, PARK HOUSE, 16/18, FINSBURY CIRCUS)</t>
        </is>
      </c>
      <c r="AA83" s="15" t="inlineStr">
        <is>
          <t>Shoreditch Powerleague</t>
        </is>
      </c>
      <c r="AB83" s="15" t="n">
        <v>15</v>
      </c>
      <c r="AC83" s="15" t="inlineStr">
        <is>
          <t>Shoreditch Powerleague</t>
        </is>
      </c>
      <c r="AD83" s="15" t="inlineStr">
        <is>
          <t>Monday 28 September at 17:40</t>
        </is>
      </c>
      <c r="AE83" s="15" t="inlineStr">
        <is>
          <t>One-off</t>
        </is>
      </c>
      <c r="AF83" s="15" t="inlineStr">
        <is>
          <t>5-a-side</t>
        </is>
      </c>
      <c r="AG83" s="17">
        <f>IF(Offer!$D$5="","",Offer!$D$5)</f>
        <v/>
      </c>
      <c r="AH83" s="15" t="n"/>
      <c r="AI83" s="15" t="n"/>
      <c r="AJ83" s="18">
        <f>IF(V83&lt;&gt;"",V83,S83)</f>
        <v/>
      </c>
      <c r="AK83" s="18">
        <f>IF(AG83="","",AF83&amp;" football "&amp;AD83&amp;" · "&amp;AB83&amp;" min from your office")</f>
        <v/>
      </c>
      <c r="AL83" s="18">
        <f>IF(AG83="","","Hi "&amp;IF(P83&lt;&gt;"",P83,F83&amp;" team")&amp;","&amp;CHAR(10)&amp;CHAR(10)&amp;IF(AH83&lt;&gt;"","Saw that "&amp;F83&amp;" "&amp;AH83&amp;"."&amp;CHAR(10)&amp;CHAR(10),"")&amp;"I'm "&amp;IF(AQ83&lt;&gt;"",AQ83,Offer!$D$8)&amp;" from FC Urban. We run weekly after-work football for London teams. We have a "&amp;AF83&amp;" pitch at "&amp;AC83&amp;", a "&amp;AB83&amp;"-minute walk from your office on "&amp;IF(X83&lt;&gt;"",X83,Y83)&amp;", free "&amp;AD83&amp;". It's "&amp;"£"&amp;IF(AG83=INT(AG83),TEXT(AG83,"0"),TEXT(AG83,"0.00"))&amp;" a player: we book the pitch and handle sign-ups and payments, so someone just shares one link with the team."&amp;CHAR(10)&amp;CHAR(10)&amp;"Would your team be up for a weekly game? Happy to hold the slot for "&amp;F83&amp;" this week."&amp;CHAR(10)&amp;CHAR(10)&amp;"Best,"&amp;CHAR(10)&amp;IF(AQ83&lt;&gt;"",AQ83,Offer!$D$8)&amp;CHAR(10)&amp;"FC Urban")</f>
        <v/>
      </c>
      <c r="AM83" s="18">
        <f>IF(AG83="","","Hi "&amp;IF(P83&lt;&gt;"",P83,F83&amp;" team")&amp;","&amp;CHAR(10)&amp;CHAR(10)&amp;"Quick follow-up: the "&amp;AF83&amp;" pitch at "&amp;AC83&amp;" is still free "&amp;AD83&amp;", "&amp;"£"&amp;IF(AG83=INT(AG83),TEXT(AG83,"0"),TEXT(AG83,"0.00"))&amp;" a player, "&amp;AB83&amp;" minutes from your office. Shall I hold it for "&amp;F83&amp;"?"&amp;CHAR(10)&amp;CHAR(10)&amp;"Best,"&amp;CHAR(10)&amp;IF(AQ83&lt;&gt;"",AQ83,Offer!$D$8)&amp;CHAR(10)&amp;"FC Urban")</f>
        <v/>
      </c>
      <c r="AN83" s="15" t="inlineStr">
        <is>
          <t>pass</t>
        </is>
      </c>
      <c r="AO83" s="15" t="inlineStr">
        <is>
          <t>MX ok · mailbox not verified</t>
        </is>
      </c>
      <c r="AP83" s="18">
        <f>IF(AG83="","No – no confirmed London price per player",IF(AJ83="","No – no email",IF(AN83&lt;&gt;"pass","No – suppressed","Yes")))</f>
        <v/>
      </c>
      <c r="AR83" s="19" t="n"/>
      <c r="AS83" s="19" t="n"/>
    </row>
    <row r="84">
      <c r="A84" s="15" t="n">
        <v>82</v>
      </c>
      <c r="B84" s="15" t="n">
        <v>3</v>
      </c>
      <c r="C84" s="15" t="inlineStr">
        <is>
          <t>Consultancy</t>
        </is>
      </c>
      <c r="D84" s="15" t="inlineStr">
        <is>
          <t>EC3A</t>
        </is>
      </c>
      <c r="E84" s="15" t="inlineStr">
        <is>
          <t>Sigmatic Limited</t>
        </is>
      </c>
      <c r="F84" s="15" t="inlineStr">
        <is>
          <t>Sigmatic</t>
        </is>
      </c>
      <c r="G84" s="16" t="inlineStr">
        <is>
          <t>https://sigmatic.io</t>
        </is>
      </c>
      <c r="H84" s="15" t="inlineStr">
        <is>
          <t>Not stated</t>
        </is>
      </c>
      <c r="I84" s="15" t="inlineStr">
        <is>
          <t>03034965</t>
        </is>
      </c>
      <c r="J84" s="16" t="inlineStr">
        <is>
          <t>Open</t>
        </is>
      </c>
      <c r="K84" s="15" t="inlineStr">
        <is>
          <t>Full</t>
        </is>
      </c>
      <c r="L84" s="15" t="inlineStr">
        <is>
          <t>20/03/1995</t>
        </is>
      </c>
      <c r="M84" s="15" t="inlineStr">
        <is>
          <t>70 St. Mary Axe, London</t>
        </is>
      </c>
      <c r="N84" s="15" t="inlineStr">
        <is>
          <t>EC3A 8BE</t>
        </is>
      </c>
      <c r="O84" s="15" t="inlineStr">
        <is>
          <t>No</t>
        </is>
      </c>
      <c r="P84" s="15" t="n"/>
      <c r="Q84" s="15" t="n"/>
      <c r="R84" s="15" t="n"/>
      <c r="S84" s="15" t="inlineStr">
        <is>
          <t>contact@sigmatic.io</t>
        </is>
      </c>
      <c r="T84" s="15" t="inlineStr">
        <is>
          <t>c general inbox</t>
        </is>
      </c>
      <c r="U84" s="16" t="inlineStr">
        <is>
          <t>https://sigmatic.io/</t>
        </is>
      </c>
      <c r="X84" s="15" t="n"/>
      <c r="Y84" s="15" t="inlineStr">
        <is>
          <t>EC3A 8BE</t>
        </is>
      </c>
      <c r="Z84" s="15" t="inlineStr">
        <is>
          <t>Registered office (no address on website)</t>
        </is>
      </c>
      <c r="AA84" s="15" t="inlineStr">
        <is>
          <t>Shoreditch Powerleague</t>
        </is>
      </c>
      <c r="AB84" s="15" t="n">
        <v>15</v>
      </c>
      <c r="AC84" s="15" t="inlineStr">
        <is>
          <t>Shoreditch Powerleague</t>
        </is>
      </c>
      <c r="AD84" s="15" t="inlineStr">
        <is>
          <t>Monday 28 September at 17:40</t>
        </is>
      </c>
      <c r="AE84" s="15" t="inlineStr">
        <is>
          <t>One-off</t>
        </is>
      </c>
      <c r="AF84" s="15" t="inlineStr">
        <is>
          <t>5-a-side</t>
        </is>
      </c>
      <c r="AG84" s="17">
        <f>IF(Offer!$D$5="","",Offer!$D$5)</f>
        <v/>
      </c>
      <c r="AH84" s="15" t="n"/>
      <c r="AI84" s="15" t="n"/>
      <c r="AJ84" s="18">
        <f>IF(V84&lt;&gt;"",V84,S84)</f>
        <v/>
      </c>
      <c r="AK84" s="18">
        <f>IF(AG84="","",AF84&amp;" football "&amp;AD84&amp;" · "&amp;AB84&amp;" min from your office")</f>
        <v/>
      </c>
      <c r="AL84" s="18">
        <f>IF(AG84="","","Hi "&amp;IF(P84&lt;&gt;"",P84,F84&amp;" team")&amp;","&amp;CHAR(10)&amp;CHAR(10)&amp;IF(AH84&lt;&gt;"","Saw that "&amp;F84&amp;" "&amp;AH84&amp;"."&amp;CHAR(10)&amp;CHAR(10),"")&amp;"I'm "&amp;IF(AQ84&lt;&gt;"",AQ84,Offer!$D$8)&amp;" from FC Urban. We run weekly after-work football for London teams. We have a "&amp;AF84&amp;" pitch at "&amp;AC84&amp;", a "&amp;AB84&amp;"-minute walk from your office on "&amp;IF(X84&lt;&gt;"",X84,Y84)&amp;", free "&amp;AD84&amp;". It's "&amp;"£"&amp;IF(AG84=INT(AG84),TEXT(AG84,"0"),TEXT(AG84,"0.00"))&amp;" a player: we book the pitch and handle sign-ups and payments, so someone just shares one link with the team."&amp;CHAR(10)&amp;CHAR(10)&amp;"Would your team be up for a weekly game? Happy to hold the slot for "&amp;F84&amp;" this week."&amp;CHAR(10)&amp;CHAR(10)&amp;"Best,"&amp;CHAR(10)&amp;IF(AQ84&lt;&gt;"",AQ84,Offer!$D$8)&amp;CHAR(10)&amp;"FC Urban")</f>
        <v/>
      </c>
      <c r="AM84" s="18">
        <f>IF(AG84="","","Hi "&amp;IF(P84&lt;&gt;"",P84,F84&amp;" team")&amp;","&amp;CHAR(10)&amp;CHAR(10)&amp;"Quick follow-up: the "&amp;AF84&amp;" pitch at "&amp;AC84&amp;" is still free "&amp;AD84&amp;", "&amp;"£"&amp;IF(AG84=INT(AG84),TEXT(AG84,"0"),TEXT(AG84,"0.00"))&amp;" a player, "&amp;AB84&amp;" minutes from your office. Shall I hold it for "&amp;F84&amp;"?"&amp;CHAR(10)&amp;CHAR(10)&amp;"Best,"&amp;CHAR(10)&amp;IF(AQ84&lt;&gt;"",AQ84,Offer!$D$8)&amp;CHAR(10)&amp;"FC Urban")</f>
        <v/>
      </c>
      <c r="AN84" s="15" t="inlineStr">
        <is>
          <t>pass</t>
        </is>
      </c>
      <c r="AO84" s="15" t="inlineStr">
        <is>
          <t>MX ok · mailbox not verified</t>
        </is>
      </c>
      <c r="AP84" s="18">
        <f>IF(AG84="","No – no confirmed London price per player",IF(AJ84="","No – no email",IF(AN84&lt;&gt;"pass","No – suppressed","Yes")))</f>
        <v/>
      </c>
      <c r="AR84" s="19" t="n"/>
      <c r="AS84" s="19" t="n"/>
    </row>
  </sheetData>
  <autoFilter ref="A2:AY84"/>
  <mergeCells count="6">
    <mergeCell ref="X1:AB1"/>
    <mergeCell ref="AN1:AP1"/>
    <mergeCell ref="AQ1:AY1"/>
    <mergeCell ref="A1:O1"/>
    <mergeCell ref="P1:W1"/>
    <mergeCell ref="AC1:AM1"/>
  </mergeCells>
  <dataValidations count="6">
    <dataValidation sqref="AQ3:AQ1000" showDropDown="0" showInputMessage="0" showErrorMessage="0" allowBlank="1" type="list">
      <formula1>"Brian"</formula1>
    </dataValidation>
    <dataValidation sqref="AT3:AT1000" showDropDown="0" showInputMessage="0" showErrorMessage="0" allowBlank="1" type="list">
      <formula1>"Yes,No"</formula1>
    </dataValidation>
    <dataValidation sqref="AV3:AV1000" showDropDown="0" showInputMessage="0" showErrorMessage="0" allowBlank="1" type="list">
      <formula1>"Yes,No"</formula1>
    </dataValidation>
    <dataValidation sqref="AW3:AW1000" showDropDown="0" showInputMessage="0" showErrorMessage="0" allowBlank="1" type="list">
      <formula1>"Yes,No"</formula1>
    </dataValidation>
    <dataValidation sqref="AX3:AX1000" showDropDown="0" showInputMessage="0" showErrorMessage="0" allowBlank="1" type="list">
      <formula1>"Yes,No"</formula1>
    </dataValidation>
    <dataValidation sqref="AU3:AU1000" showDropDown="0" showInputMessage="0" showErrorMessage="0" allowBlank="1" type="list">
      <formula1>"Interested,Call requested,Not now,Not interested,Wrong person,Opt-out,Bounce,Out of office"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J3" r:id="rId2"/>
    <hyperlink xmlns:r="http://schemas.openxmlformats.org/officeDocument/2006/relationships" ref="U3" r:id="rId3"/>
    <hyperlink xmlns:r="http://schemas.openxmlformats.org/officeDocument/2006/relationships" ref="G4" r:id="rId4"/>
    <hyperlink xmlns:r="http://schemas.openxmlformats.org/officeDocument/2006/relationships" ref="J4" r:id="rId5"/>
    <hyperlink xmlns:r="http://schemas.openxmlformats.org/officeDocument/2006/relationships" ref="U4" r:id="rId6"/>
    <hyperlink xmlns:r="http://schemas.openxmlformats.org/officeDocument/2006/relationships" ref="G5" r:id="rId7"/>
    <hyperlink xmlns:r="http://schemas.openxmlformats.org/officeDocument/2006/relationships" ref="J5" r:id="rId8"/>
    <hyperlink xmlns:r="http://schemas.openxmlformats.org/officeDocument/2006/relationships" ref="U5" r:id="rId9"/>
    <hyperlink xmlns:r="http://schemas.openxmlformats.org/officeDocument/2006/relationships" ref="G6" r:id="rId10"/>
    <hyperlink xmlns:r="http://schemas.openxmlformats.org/officeDocument/2006/relationships" ref="J6" r:id="rId11"/>
    <hyperlink xmlns:r="http://schemas.openxmlformats.org/officeDocument/2006/relationships" ref="U6" r:id="rId12"/>
    <hyperlink xmlns:r="http://schemas.openxmlformats.org/officeDocument/2006/relationships" ref="G7" r:id="rId13"/>
    <hyperlink xmlns:r="http://schemas.openxmlformats.org/officeDocument/2006/relationships" ref="J7" r:id="rId14"/>
    <hyperlink xmlns:r="http://schemas.openxmlformats.org/officeDocument/2006/relationships" ref="U7" r:id="rId15"/>
    <hyperlink xmlns:r="http://schemas.openxmlformats.org/officeDocument/2006/relationships" ref="G8" r:id="rId16"/>
    <hyperlink xmlns:r="http://schemas.openxmlformats.org/officeDocument/2006/relationships" ref="J8" r:id="rId17"/>
    <hyperlink xmlns:r="http://schemas.openxmlformats.org/officeDocument/2006/relationships" ref="U8" r:id="rId18"/>
    <hyperlink xmlns:r="http://schemas.openxmlformats.org/officeDocument/2006/relationships" ref="AI8" r:id="rId19"/>
    <hyperlink xmlns:r="http://schemas.openxmlformats.org/officeDocument/2006/relationships" ref="G9" r:id="rId20"/>
    <hyperlink xmlns:r="http://schemas.openxmlformats.org/officeDocument/2006/relationships" ref="J9" r:id="rId21"/>
    <hyperlink xmlns:r="http://schemas.openxmlformats.org/officeDocument/2006/relationships" ref="U9" r:id="rId22"/>
    <hyperlink xmlns:r="http://schemas.openxmlformats.org/officeDocument/2006/relationships" ref="G10" r:id="rId23"/>
    <hyperlink xmlns:r="http://schemas.openxmlformats.org/officeDocument/2006/relationships" ref="J10" r:id="rId24"/>
    <hyperlink xmlns:r="http://schemas.openxmlformats.org/officeDocument/2006/relationships" ref="U10" r:id="rId25"/>
    <hyperlink xmlns:r="http://schemas.openxmlformats.org/officeDocument/2006/relationships" ref="G11" r:id="rId26"/>
    <hyperlink xmlns:r="http://schemas.openxmlformats.org/officeDocument/2006/relationships" ref="J11" r:id="rId27"/>
    <hyperlink xmlns:r="http://schemas.openxmlformats.org/officeDocument/2006/relationships" ref="U11" r:id="rId28"/>
    <hyperlink xmlns:r="http://schemas.openxmlformats.org/officeDocument/2006/relationships" ref="AI11" r:id="rId29"/>
    <hyperlink xmlns:r="http://schemas.openxmlformats.org/officeDocument/2006/relationships" ref="G12" r:id="rId30"/>
    <hyperlink xmlns:r="http://schemas.openxmlformats.org/officeDocument/2006/relationships" ref="J12" r:id="rId31"/>
    <hyperlink xmlns:r="http://schemas.openxmlformats.org/officeDocument/2006/relationships" ref="U12" r:id="rId32"/>
    <hyperlink xmlns:r="http://schemas.openxmlformats.org/officeDocument/2006/relationships" ref="AI12" r:id="rId33"/>
    <hyperlink xmlns:r="http://schemas.openxmlformats.org/officeDocument/2006/relationships" ref="G13" r:id="rId34"/>
    <hyperlink xmlns:r="http://schemas.openxmlformats.org/officeDocument/2006/relationships" ref="J13" r:id="rId35"/>
    <hyperlink xmlns:r="http://schemas.openxmlformats.org/officeDocument/2006/relationships" ref="U13" r:id="rId36"/>
    <hyperlink xmlns:r="http://schemas.openxmlformats.org/officeDocument/2006/relationships" ref="AI13" r:id="rId37"/>
    <hyperlink xmlns:r="http://schemas.openxmlformats.org/officeDocument/2006/relationships" ref="G14" r:id="rId38"/>
    <hyperlink xmlns:r="http://schemas.openxmlformats.org/officeDocument/2006/relationships" ref="J14" r:id="rId39"/>
    <hyperlink xmlns:r="http://schemas.openxmlformats.org/officeDocument/2006/relationships" ref="U14" r:id="rId40"/>
    <hyperlink xmlns:r="http://schemas.openxmlformats.org/officeDocument/2006/relationships" ref="G15" r:id="rId41"/>
    <hyperlink xmlns:r="http://schemas.openxmlformats.org/officeDocument/2006/relationships" ref="J15" r:id="rId42"/>
    <hyperlink xmlns:r="http://schemas.openxmlformats.org/officeDocument/2006/relationships" ref="U15" r:id="rId43"/>
    <hyperlink xmlns:r="http://schemas.openxmlformats.org/officeDocument/2006/relationships" ref="G16" r:id="rId44"/>
    <hyperlink xmlns:r="http://schemas.openxmlformats.org/officeDocument/2006/relationships" ref="J16" r:id="rId45"/>
    <hyperlink xmlns:r="http://schemas.openxmlformats.org/officeDocument/2006/relationships" ref="U16" r:id="rId46"/>
    <hyperlink xmlns:r="http://schemas.openxmlformats.org/officeDocument/2006/relationships" ref="G17" r:id="rId47"/>
    <hyperlink xmlns:r="http://schemas.openxmlformats.org/officeDocument/2006/relationships" ref="J17" r:id="rId48"/>
    <hyperlink xmlns:r="http://schemas.openxmlformats.org/officeDocument/2006/relationships" ref="U17" r:id="rId49"/>
    <hyperlink xmlns:r="http://schemas.openxmlformats.org/officeDocument/2006/relationships" ref="AI17" r:id="rId50"/>
    <hyperlink xmlns:r="http://schemas.openxmlformats.org/officeDocument/2006/relationships" ref="G18" r:id="rId51"/>
    <hyperlink xmlns:r="http://schemas.openxmlformats.org/officeDocument/2006/relationships" ref="J18" r:id="rId52"/>
    <hyperlink xmlns:r="http://schemas.openxmlformats.org/officeDocument/2006/relationships" ref="U18" r:id="rId53"/>
    <hyperlink xmlns:r="http://schemas.openxmlformats.org/officeDocument/2006/relationships" ref="G19" r:id="rId54"/>
    <hyperlink xmlns:r="http://schemas.openxmlformats.org/officeDocument/2006/relationships" ref="J19" r:id="rId55"/>
    <hyperlink xmlns:r="http://schemas.openxmlformats.org/officeDocument/2006/relationships" ref="U19" r:id="rId56"/>
    <hyperlink xmlns:r="http://schemas.openxmlformats.org/officeDocument/2006/relationships" ref="G20" r:id="rId57"/>
    <hyperlink xmlns:r="http://schemas.openxmlformats.org/officeDocument/2006/relationships" ref="J20" r:id="rId58"/>
    <hyperlink xmlns:r="http://schemas.openxmlformats.org/officeDocument/2006/relationships" ref="U20" r:id="rId59"/>
    <hyperlink xmlns:r="http://schemas.openxmlformats.org/officeDocument/2006/relationships" ref="G21" r:id="rId60"/>
    <hyperlink xmlns:r="http://schemas.openxmlformats.org/officeDocument/2006/relationships" ref="J21" r:id="rId61"/>
    <hyperlink xmlns:r="http://schemas.openxmlformats.org/officeDocument/2006/relationships" ref="U21" r:id="rId62"/>
    <hyperlink xmlns:r="http://schemas.openxmlformats.org/officeDocument/2006/relationships" ref="G22" r:id="rId63"/>
    <hyperlink xmlns:r="http://schemas.openxmlformats.org/officeDocument/2006/relationships" ref="J22" r:id="rId64"/>
    <hyperlink xmlns:r="http://schemas.openxmlformats.org/officeDocument/2006/relationships" ref="U22" r:id="rId65"/>
    <hyperlink xmlns:r="http://schemas.openxmlformats.org/officeDocument/2006/relationships" ref="G23" r:id="rId66"/>
    <hyperlink xmlns:r="http://schemas.openxmlformats.org/officeDocument/2006/relationships" ref="J23" r:id="rId67"/>
    <hyperlink xmlns:r="http://schemas.openxmlformats.org/officeDocument/2006/relationships" ref="U23" r:id="rId68"/>
    <hyperlink xmlns:r="http://schemas.openxmlformats.org/officeDocument/2006/relationships" ref="G24" r:id="rId69"/>
    <hyperlink xmlns:r="http://schemas.openxmlformats.org/officeDocument/2006/relationships" ref="J24" r:id="rId70"/>
    <hyperlink xmlns:r="http://schemas.openxmlformats.org/officeDocument/2006/relationships" ref="U24" r:id="rId71"/>
    <hyperlink xmlns:r="http://schemas.openxmlformats.org/officeDocument/2006/relationships" ref="G25" r:id="rId72"/>
    <hyperlink xmlns:r="http://schemas.openxmlformats.org/officeDocument/2006/relationships" ref="J25" r:id="rId73"/>
    <hyperlink xmlns:r="http://schemas.openxmlformats.org/officeDocument/2006/relationships" ref="U25" r:id="rId74"/>
    <hyperlink xmlns:r="http://schemas.openxmlformats.org/officeDocument/2006/relationships" ref="G26" r:id="rId75"/>
    <hyperlink xmlns:r="http://schemas.openxmlformats.org/officeDocument/2006/relationships" ref="J26" r:id="rId76"/>
    <hyperlink xmlns:r="http://schemas.openxmlformats.org/officeDocument/2006/relationships" ref="U26" r:id="rId77"/>
    <hyperlink xmlns:r="http://schemas.openxmlformats.org/officeDocument/2006/relationships" ref="G27" r:id="rId78"/>
    <hyperlink xmlns:r="http://schemas.openxmlformats.org/officeDocument/2006/relationships" ref="J27" r:id="rId79"/>
    <hyperlink xmlns:r="http://schemas.openxmlformats.org/officeDocument/2006/relationships" ref="U27" r:id="rId80"/>
    <hyperlink xmlns:r="http://schemas.openxmlformats.org/officeDocument/2006/relationships" ref="G28" r:id="rId81"/>
    <hyperlink xmlns:r="http://schemas.openxmlformats.org/officeDocument/2006/relationships" ref="J28" r:id="rId82"/>
    <hyperlink xmlns:r="http://schemas.openxmlformats.org/officeDocument/2006/relationships" ref="U28" r:id="rId83"/>
    <hyperlink xmlns:r="http://schemas.openxmlformats.org/officeDocument/2006/relationships" ref="AI28" r:id="rId84"/>
    <hyperlink xmlns:r="http://schemas.openxmlformats.org/officeDocument/2006/relationships" ref="G29" r:id="rId85"/>
    <hyperlink xmlns:r="http://schemas.openxmlformats.org/officeDocument/2006/relationships" ref="J29" r:id="rId86"/>
    <hyperlink xmlns:r="http://schemas.openxmlformats.org/officeDocument/2006/relationships" ref="U29" r:id="rId87"/>
    <hyperlink xmlns:r="http://schemas.openxmlformats.org/officeDocument/2006/relationships" ref="G30" r:id="rId88"/>
    <hyperlink xmlns:r="http://schemas.openxmlformats.org/officeDocument/2006/relationships" ref="J30" r:id="rId89"/>
    <hyperlink xmlns:r="http://schemas.openxmlformats.org/officeDocument/2006/relationships" ref="U30" r:id="rId90"/>
    <hyperlink xmlns:r="http://schemas.openxmlformats.org/officeDocument/2006/relationships" ref="G31" r:id="rId91"/>
    <hyperlink xmlns:r="http://schemas.openxmlformats.org/officeDocument/2006/relationships" ref="J31" r:id="rId92"/>
    <hyperlink xmlns:r="http://schemas.openxmlformats.org/officeDocument/2006/relationships" ref="U31" r:id="rId93"/>
    <hyperlink xmlns:r="http://schemas.openxmlformats.org/officeDocument/2006/relationships" ref="G32" r:id="rId94"/>
    <hyperlink xmlns:r="http://schemas.openxmlformats.org/officeDocument/2006/relationships" ref="J32" r:id="rId95"/>
    <hyperlink xmlns:r="http://schemas.openxmlformats.org/officeDocument/2006/relationships" ref="U32" r:id="rId96"/>
    <hyperlink xmlns:r="http://schemas.openxmlformats.org/officeDocument/2006/relationships" ref="AI32" r:id="rId97"/>
    <hyperlink xmlns:r="http://schemas.openxmlformats.org/officeDocument/2006/relationships" ref="G33" r:id="rId98"/>
    <hyperlink xmlns:r="http://schemas.openxmlformats.org/officeDocument/2006/relationships" ref="J33" r:id="rId99"/>
    <hyperlink xmlns:r="http://schemas.openxmlformats.org/officeDocument/2006/relationships" ref="U33" r:id="rId100"/>
    <hyperlink xmlns:r="http://schemas.openxmlformats.org/officeDocument/2006/relationships" ref="AI33" r:id="rId101"/>
    <hyperlink xmlns:r="http://schemas.openxmlformats.org/officeDocument/2006/relationships" ref="G34" r:id="rId102"/>
    <hyperlink xmlns:r="http://schemas.openxmlformats.org/officeDocument/2006/relationships" ref="J34" r:id="rId103"/>
    <hyperlink xmlns:r="http://schemas.openxmlformats.org/officeDocument/2006/relationships" ref="U34" r:id="rId104"/>
    <hyperlink xmlns:r="http://schemas.openxmlformats.org/officeDocument/2006/relationships" ref="G35" r:id="rId105"/>
    <hyperlink xmlns:r="http://schemas.openxmlformats.org/officeDocument/2006/relationships" ref="J35" r:id="rId106"/>
    <hyperlink xmlns:r="http://schemas.openxmlformats.org/officeDocument/2006/relationships" ref="U35" r:id="rId107"/>
    <hyperlink xmlns:r="http://schemas.openxmlformats.org/officeDocument/2006/relationships" ref="G36" r:id="rId108"/>
    <hyperlink xmlns:r="http://schemas.openxmlformats.org/officeDocument/2006/relationships" ref="J36" r:id="rId109"/>
    <hyperlink xmlns:r="http://schemas.openxmlformats.org/officeDocument/2006/relationships" ref="U36" r:id="rId110"/>
    <hyperlink xmlns:r="http://schemas.openxmlformats.org/officeDocument/2006/relationships" ref="G37" r:id="rId111"/>
    <hyperlink xmlns:r="http://schemas.openxmlformats.org/officeDocument/2006/relationships" ref="J37" r:id="rId112"/>
    <hyperlink xmlns:r="http://schemas.openxmlformats.org/officeDocument/2006/relationships" ref="U37" r:id="rId113"/>
    <hyperlink xmlns:r="http://schemas.openxmlformats.org/officeDocument/2006/relationships" ref="G38" r:id="rId114"/>
    <hyperlink xmlns:r="http://schemas.openxmlformats.org/officeDocument/2006/relationships" ref="J38" r:id="rId115"/>
    <hyperlink xmlns:r="http://schemas.openxmlformats.org/officeDocument/2006/relationships" ref="U38" r:id="rId116"/>
    <hyperlink xmlns:r="http://schemas.openxmlformats.org/officeDocument/2006/relationships" ref="G39" r:id="rId117"/>
    <hyperlink xmlns:r="http://schemas.openxmlformats.org/officeDocument/2006/relationships" ref="J39" r:id="rId118"/>
    <hyperlink xmlns:r="http://schemas.openxmlformats.org/officeDocument/2006/relationships" ref="U39" r:id="rId119"/>
    <hyperlink xmlns:r="http://schemas.openxmlformats.org/officeDocument/2006/relationships" ref="G40" r:id="rId120"/>
    <hyperlink xmlns:r="http://schemas.openxmlformats.org/officeDocument/2006/relationships" ref="J40" r:id="rId121"/>
    <hyperlink xmlns:r="http://schemas.openxmlformats.org/officeDocument/2006/relationships" ref="U40" r:id="rId122"/>
    <hyperlink xmlns:r="http://schemas.openxmlformats.org/officeDocument/2006/relationships" ref="G41" r:id="rId123"/>
    <hyperlink xmlns:r="http://schemas.openxmlformats.org/officeDocument/2006/relationships" ref="J41" r:id="rId124"/>
    <hyperlink xmlns:r="http://schemas.openxmlformats.org/officeDocument/2006/relationships" ref="U41" r:id="rId125"/>
    <hyperlink xmlns:r="http://schemas.openxmlformats.org/officeDocument/2006/relationships" ref="G42" r:id="rId126"/>
    <hyperlink xmlns:r="http://schemas.openxmlformats.org/officeDocument/2006/relationships" ref="J42" r:id="rId127"/>
    <hyperlink xmlns:r="http://schemas.openxmlformats.org/officeDocument/2006/relationships" ref="U42" r:id="rId128"/>
    <hyperlink xmlns:r="http://schemas.openxmlformats.org/officeDocument/2006/relationships" ref="G43" r:id="rId129"/>
    <hyperlink xmlns:r="http://schemas.openxmlformats.org/officeDocument/2006/relationships" ref="J43" r:id="rId130"/>
    <hyperlink xmlns:r="http://schemas.openxmlformats.org/officeDocument/2006/relationships" ref="U43" r:id="rId131"/>
    <hyperlink xmlns:r="http://schemas.openxmlformats.org/officeDocument/2006/relationships" ref="AI43" r:id="rId132"/>
    <hyperlink xmlns:r="http://schemas.openxmlformats.org/officeDocument/2006/relationships" ref="G44" r:id="rId133"/>
    <hyperlink xmlns:r="http://schemas.openxmlformats.org/officeDocument/2006/relationships" ref="J44" r:id="rId134"/>
    <hyperlink xmlns:r="http://schemas.openxmlformats.org/officeDocument/2006/relationships" ref="U44" r:id="rId135"/>
    <hyperlink xmlns:r="http://schemas.openxmlformats.org/officeDocument/2006/relationships" ref="G45" r:id="rId136"/>
    <hyperlink xmlns:r="http://schemas.openxmlformats.org/officeDocument/2006/relationships" ref="J45" r:id="rId137"/>
    <hyperlink xmlns:r="http://schemas.openxmlformats.org/officeDocument/2006/relationships" ref="U45" r:id="rId138"/>
    <hyperlink xmlns:r="http://schemas.openxmlformats.org/officeDocument/2006/relationships" ref="G46" r:id="rId139"/>
    <hyperlink xmlns:r="http://schemas.openxmlformats.org/officeDocument/2006/relationships" ref="J46" r:id="rId140"/>
    <hyperlink xmlns:r="http://schemas.openxmlformats.org/officeDocument/2006/relationships" ref="U46" r:id="rId141"/>
    <hyperlink xmlns:r="http://schemas.openxmlformats.org/officeDocument/2006/relationships" ref="AI46" r:id="rId142"/>
    <hyperlink xmlns:r="http://schemas.openxmlformats.org/officeDocument/2006/relationships" ref="G47" r:id="rId143"/>
    <hyperlink xmlns:r="http://schemas.openxmlformats.org/officeDocument/2006/relationships" ref="J47" r:id="rId144"/>
    <hyperlink xmlns:r="http://schemas.openxmlformats.org/officeDocument/2006/relationships" ref="U47" r:id="rId145"/>
    <hyperlink xmlns:r="http://schemas.openxmlformats.org/officeDocument/2006/relationships" ref="AI47" r:id="rId146"/>
    <hyperlink xmlns:r="http://schemas.openxmlformats.org/officeDocument/2006/relationships" ref="G48" r:id="rId147"/>
    <hyperlink xmlns:r="http://schemas.openxmlformats.org/officeDocument/2006/relationships" ref="J48" r:id="rId148"/>
    <hyperlink xmlns:r="http://schemas.openxmlformats.org/officeDocument/2006/relationships" ref="U48" r:id="rId149"/>
    <hyperlink xmlns:r="http://schemas.openxmlformats.org/officeDocument/2006/relationships" ref="G49" r:id="rId150"/>
    <hyperlink xmlns:r="http://schemas.openxmlformats.org/officeDocument/2006/relationships" ref="J49" r:id="rId151"/>
    <hyperlink xmlns:r="http://schemas.openxmlformats.org/officeDocument/2006/relationships" ref="U49" r:id="rId152"/>
    <hyperlink xmlns:r="http://schemas.openxmlformats.org/officeDocument/2006/relationships" ref="G50" r:id="rId153"/>
    <hyperlink xmlns:r="http://schemas.openxmlformats.org/officeDocument/2006/relationships" ref="J50" r:id="rId154"/>
    <hyperlink xmlns:r="http://schemas.openxmlformats.org/officeDocument/2006/relationships" ref="U50" r:id="rId155"/>
    <hyperlink xmlns:r="http://schemas.openxmlformats.org/officeDocument/2006/relationships" ref="G51" r:id="rId156"/>
    <hyperlink xmlns:r="http://schemas.openxmlformats.org/officeDocument/2006/relationships" ref="J51" r:id="rId157"/>
    <hyperlink xmlns:r="http://schemas.openxmlformats.org/officeDocument/2006/relationships" ref="U51" r:id="rId158"/>
    <hyperlink xmlns:r="http://schemas.openxmlformats.org/officeDocument/2006/relationships" ref="G52" r:id="rId159"/>
    <hyperlink xmlns:r="http://schemas.openxmlformats.org/officeDocument/2006/relationships" ref="J52" r:id="rId160"/>
    <hyperlink xmlns:r="http://schemas.openxmlformats.org/officeDocument/2006/relationships" ref="U52" r:id="rId161"/>
    <hyperlink xmlns:r="http://schemas.openxmlformats.org/officeDocument/2006/relationships" ref="AI52" r:id="rId162"/>
    <hyperlink xmlns:r="http://schemas.openxmlformats.org/officeDocument/2006/relationships" ref="G53" r:id="rId163"/>
    <hyperlink xmlns:r="http://schemas.openxmlformats.org/officeDocument/2006/relationships" ref="J53" r:id="rId164"/>
    <hyperlink xmlns:r="http://schemas.openxmlformats.org/officeDocument/2006/relationships" ref="U53" r:id="rId165"/>
    <hyperlink xmlns:r="http://schemas.openxmlformats.org/officeDocument/2006/relationships" ref="G54" r:id="rId166"/>
    <hyperlink xmlns:r="http://schemas.openxmlformats.org/officeDocument/2006/relationships" ref="J54" r:id="rId167"/>
    <hyperlink xmlns:r="http://schemas.openxmlformats.org/officeDocument/2006/relationships" ref="U54" r:id="rId168"/>
    <hyperlink xmlns:r="http://schemas.openxmlformats.org/officeDocument/2006/relationships" ref="G55" r:id="rId169"/>
    <hyperlink xmlns:r="http://schemas.openxmlformats.org/officeDocument/2006/relationships" ref="J55" r:id="rId170"/>
    <hyperlink xmlns:r="http://schemas.openxmlformats.org/officeDocument/2006/relationships" ref="U55" r:id="rId171"/>
    <hyperlink xmlns:r="http://schemas.openxmlformats.org/officeDocument/2006/relationships" ref="AI55" r:id="rId172"/>
    <hyperlink xmlns:r="http://schemas.openxmlformats.org/officeDocument/2006/relationships" ref="G56" r:id="rId173"/>
    <hyperlink xmlns:r="http://schemas.openxmlformats.org/officeDocument/2006/relationships" ref="J56" r:id="rId174"/>
    <hyperlink xmlns:r="http://schemas.openxmlformats.org/officeDocument/2006/relationships" ref="U56" r:id="rId175"/>
    <hyperlink xmlns:r="http://schemas.openxmlformats.org/officeDocument/2006/relationships" ref="G57" r:id="rId176"/>
    <hyperlink xmlns:r="http://schemas.openxmlformats.org/officeDocument/2006/relationships" ref="J57" r:id="rId177"/>
    <hyperlink xmlns:r="http://schemas.openxmlformats.org/officeDocument/2006/relationships" ref="U57" r:id="rId178"/>
    <hyperlink xmlns:r="http://schemas.openxmlformats.org/officeDocument/2006/relationships" ref="G58" r:id="rId179"/>
    <hyperlink xmlns:r="http://schemas.openxmlformats.org/officeDocument/2006/relationships" ref="J58" r:id="rId180"/>
    <hyperlink xmlns:r="http://schemas.openxmlformats.org/officeDocument/2006/relationships" ref="U58" r:id="rId181"/>
    <hyperlink xmlns:r="http://schemas.openxmlformats.org/officeDocument/2006/relationships" ref="G59" r:id="rId182"/>
    <hyperlink xmlns:r="http://schemas.openxmlformats.org/officeDocument/2006/relationships" ref="J59" r:id="rId183"/>
    <hyperlink xmlns:r="http://schemas.openxmlformats.org/officeDocument/2006/relationships" ref="U59" r:id="rId184"/>
    <hyperlink xmlns:r="http://schemas.openxmlformats.org/officeDocument/2006/relationships" ref="G60" r:id="rId185"/>
    <hyperlink xmlns:r="http://schemas.openxmlformats.org/officeDocument/2006/relationships" ref="J60" r:id="rId186"/>
    <hyperlink xmlns:r="http://schemas.openxmlformats.org/officeDocument/2006/relationships" ref="U60" r:id="rId187"/>
    <hyperlink xmlns:r="http://schemas.openxmlformats.org/officeDocument/2006/relationships" ref="G61" r:id="rId188"/>
    <hyperlink xmlns:r="http://schemas.openxmlformats.org/officeDocument/2006/relationships" ref="J61" r:id="rId189"/>
    <hyperlink xmlns:r="http://schemas.openxmlformats.org/officeDocument/2006/relationships" ref="U61" r:id="rId190"/>
    <hyperlink xmlns:r="http://schemas.openxmlformats.org/officeDocument/2006/relationships" ref="G62" r:id="rId191"/>
    <hyperlink xmlns:r="http://schemas.openxmlformats.org/officeDocument/2006/relationships" ref="J62" r:id="rId192"/>
    <hyperlink xmlns:r="http://schemas.openxmlformats.org/officeDocument/2006/relationships" ref="U62" r:id="rId193"/>
    <hyperlink xmlns:r="http://schemas.openxmlformats.org/officeDocument/2006/relationships" ref="G63" r:id="rId194"/>
    <hyperlink xmlns:r="http://schemas.openxmlformats.org/officeDocument/2006/relationships" ref="J63" r:id="rId195"/>
    <hyperlink xmlns:r="http://schemas.openxmlformats.org/officeDocument/2006/relationships" ref="U63" r:id="rId196"/>
    <hyperlink xmlns:r="http://schemas.openxmlformats.org/officeDocument/2006/relationships" ref="G64" r:id="rId197"/>
    <hyperlink xmlns:r="http://schemas.openxmlformats.org/officeDocument/2006/relationships" ref="J64" r:id="rId198"/>
    <hyperlink xmlns:r="http://schemas.openxmlformats.org/officeDocument/2006/relationships" ref="U64" r:id="rId199"/>
    <hyperlink xmlns:r="http://schemas.openxmlformats.org/officeDocument/2006/relationships" ref="G65" r:id="rId200"/>
    <hyperlink xmlns:r="http://schemas.openxmlformats.org/officeDocument/2006/relationships" ref="J65" r:id="rId201"/>
    <hyperlink xmlns:r="http://schemas.openxmlformats.org/officeDocument/2006/relationships" ref="U65" r:id="rId202"/>
    <hyperlink xmlns:r="http://schemas.openxmlformats.org/officeDocument/2006/relationships" ref="AI65" r:id="rId203"/>
    <hyperlink xmlns:r="http://schemas.openxmlformats.org/officeDocument/2006/relationships" ref="G66" r:id="rId204"/>
    <hyperlink xmlns:r="http://schemas.openxmlformats.org/officeDocument/2006/relationships" ref="J66" r:id="rId205"/>
    <hyperlink xmlns:r="http://schemas.openxmlformats.org/officeDocument/2006/relationships" ref="U66" r:id="rId206"/>
    <hyperlink xmlns:r="http://schemas.openxmlformats.org/officeDocument/2006/relationships" ref="G67" r:id="rId207"/>
    <hyperlink xmlns:r="http://schemas.openxmlformats.org/officeDocument/2006/relationships" ref="J67" r:id="rId208"/>
    <hyperlink xmlns:r="http://schemas.openxmlformats.org/officeDocument/2006/relationships" ref="U67" r:id="rId209"/>
    <hyperlink xmlns:r="http://schemas.openxmlformats.org/officeDocument/2006/relationships" ref="G68" r:id="rId210"/>
    <hyperlink xmlns:r="http://schemas.openxmlformats.org/officeDocument/2006/relationships" ref="J68" r:id="rId211"/>
    <hyperlink xmlns:r="http://schemas.openxmlformats.org/officeDocument/2006/relationships" ref="U68" r:id="rId212"/>
    <hyperlink xmlns:r="http://schemas.openxmlformats.org/officeDocument/2006/relationships" ref="G69" r:id="rId213"/>
    <hyperlink xmlns:r="http://schemas.openxmlformats.org/officeDocument/2006/relationships" ref="J69" r:id="rId214"/>
    <hyperlink xmlns:r="http://schemas.openxmlformats.org/officeDocument/2006/relationships" ref="U69" r:id="rId215"/>
    <hyperlink xmlns:r="http://schemas.openxmlformats.org/officeDocument/2006/relationships" ref="G70" r:id="rId216"/>
    <hyperlink xmlns:r="http://schemas.openxmlformats.org/officeDocument/2006/relationships" ref="J70" r:id="rId217"/>
    <hyperlink xmlns:r="http://schemas.openxmlformats.org/officeDocument/2006/relationships" ref="U70" r:id="rId218"/>
    <hyperlink xmlns:r="http://schemas.openxmlformats.org/officeDocument/2006/relationships" ref="G71" r:id="rId219"/>
    <hyperlink xmlns:r="http://schemas.openxmlformats.org/officeDocument/2006/relationships" ref="J71" r:id="rId220"/>
    <hyperlink xmlns:r="http://schemas.openxmlformats.org/officeDocument/2006/relationships" ref="U71" r:id="rId221"/>
    <hyperlink xmlns:r="http://schemas.openxmlformats.org/officeDocument/2006/relationships" ref="G72" r:id="rId222"/>
    <hyperlink xmlns:r="http://schemas.openxmlformats.org/officeDocument/2006/relationships" ref="J72" r:id="rId223"/>
    <hyperlink xmlns:r="http://schemas.openxmlformats.org/officeDocument/2006/relationships" ref="U72" r:id="rId224"/>
    <hyperlink xmlns:r="http://schemas.openxmlformats.org/officeDocument/2006/relationships" ref="G73" r:id="rId225"/>
    <hyperlink xmlns:r="http://schemas.openxmlformats.org/officeDocument/2006/relationships" ref="J73" r:id="rId226"/>
    <hyperlink xmlns:r="http://schemas.openxmlformats.org/officeDocument/2006/relationships" ref="U73" r:id="rId227"/>
    <hyperlink xmlns:r="http://schemas.openxmlformats.org/officeDocument/2006/relationships" ref="G74" r:id="rId228"/>
    <hyperlink xmlns:r="http://schemas.openxmlformats.org/officeDocument/2006/relationships" ref="J74" r:id="rId229"/>
    <hyperlink xmlns:r="http://schemas.openxmlformats.org/officeDocument/2006/relationships" ref="U74" r:id="rId230"/>
    <hyperlink xmlns:r="http://schemas.openxmlformats.org/officeDocument/2006/relationships" ref="G75" r:id="rId231"/>
    <hyperlink xmlns:r="http://schemas.openxmlformats.org/officeDocument/2006/relationships" ref="J75" r:id="rId232"/>
    <hyperlink xmlns:r="http://schemas.openxmlformats.org/officeDocument/2006/relationships" ref="U75" r:id="rId233"/>
    <hyperlink xmlns:r="http://schemas.openxmlformats.org/officeDocument/2006/relationships" ref="G76" r:id="rId234"/>
    <hyperlink xmlns:r="http://schemas.openxmlformats.org/officeDocument/2006/relationships" ref="J76" r:id="rId235"/>
    <hyperlink xmlns:r="http://schemas.openxmlformats.org/officeDocument/2006/relationships" ref="U76" r:id="rId236"/>
    <hyperlink xmlns:r="http://schemas.openxmlformats.org/officeDocument/2006/relationships" ref="G77" r:id="rId237"/>
    <hyperlink xmlns:r="http://schemas.openxmlformats.org/officeDocument/2006/relationships" ref="J77" r:id="rId238"/>
    <hyperlink xmlns:r="http://schemas.openxmlformats.org/officeDocument/2006/relationships" ref="U77" r:id="rId239"/>
    <hyperlink xmlns:r="http://schemas.openxmlformats.org/officeDocument/2006/relationships" ref="G78" r:id="rId240"/>
    <hyperlink xmlns:r="http://schemas.openxmlformats.org/officeDocument/2006/relationships" ref="J78" r:id="rId241"/>
    <hyperlink xmlns:r="http://schemas.openxmlformats.org/officeDocument/2006/relationships" ref="U78" r:id="rId242"/>
    <hyperlink xmlns:r="http://schemas.openxmlformats.org/officeDocument/2006/relationships" ref="G79" r:id="rId243"/>
    <hyperlink xmlns:r="http://schemas.openxmlformats.org/officeDocument/2006/relationships" ref="J79" r:id="rId244"/>
    <hyperlink xmlns:r="http://schemas.openxmlformats.org/officeDocument/2006/relationships" ref="U79" r:id="rId245"/>
    <hyperlink xmlns:r="http://schemas.openxmlformats.org/officeDocument/2006/relationships" ref="AI79" r:id="rId246"/>
    <hyperlink xmlns:r="http://schemas.openxmlformats.org/officeDocument/2006/relationships" ref="G80" r:id="rId247"/>
    <hyperlink xmlns:r="http://schemas.openxmlformats.org/officeDocument/2006/relationships" ref="J80" r:id="rId248"/>
    <hyperlink xmlns:r="http://schemas.openxmlformats.org/officeDocument/2006/relationships" ref="U80" r:id="rId249"/>
    <hyperlink xmlns:r="http://schemas.openxmlformats.org/officeDocument/2006/relationships" ref="G81" r:id="rId250"/>
    <hyperlink xmlns:r="http://schemas.openxmlformats.org/officeDocument/2006/relationships" ref="J81" r:id="rId251"/>
    <hyperlink xmlns:r="http://schemas.openxmlformats.org/officeDocument/2006/relationships" ref="U81" r:id="rId252"/>
    <hyperlink xmlns:r="http://schemas.openxmlformats.org/officeDocument/2006/relationships" ref="G82" r:id="rId253"/>
    <hyperlink xmlns:r="http://schemas.openxmlformats.org/officeDocument/2006/relationships" ref="J82" r:id="rId254"/>
    <hyperlink xmlns:r="http://schemas.openxmlformats.org/officeDocument/2006/relationships" ref="U82" r:id="rId255"/>
    <hyperlink xmlns:r="http://schemas.openxmlformats.org/officeDocument/2006/relationships" ref="G83" r:id="rId256"/>
    <hyperlink xmlns:r="http://schemas.openxmlformats.org/officeDocument/2006/relationships" ref="J83" r:id="rId257"/>
    <hyperlink xmlns:r="http://schemas.openxmlformats.org/officeDocument/2006/relationships" ref="U83" r:id="rId258"/>
    <hyperlink xmlns:r="http://schemas.openxmlformats.org/officeDocument/2006/relationships" ref="G84" r:id="rId259"/>
    <hyperlink xmlns:r="http://schemas.openxmlformats.org/officeDocument/2006/relationships" ref="J84" r:id="rId260"/>
    <hyperlink xmlns:r="http://schemas.openxmlformats.org/officeDocument/2006/relationships" ref="U84" r:id="rId26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4" customWidth="1" min="6" max="6"/>
  </cols>
  <sheetData>
    <row r="1">
      <c r="B1" s="20" t="inlineStr">
        <is>
          <t>Confirmed price per player (one row per city)</t>
        </is>
      </c>
    </row>
    <row r="2">
      <c r="B2" s="21" t="inlineStr">
        <is>
          <t>Drafts stay empty and Draftable says No until the London price is filled in. Never type TBC.</t>
        </is>
      </c>
    </row>
    <row r="4">
      <c r="B4" s="22" t="inlineStr">
        <is>
          <t>City</t>
        </is>
      </c>
      <c r="C4" s="22" t="inlineStr">
        <is>
          <t>Currency</t>
        </is>
      </c>
      <c r="D4" s="22" t="inlineStr">
        <is>
          <t>Price per player</t>
        </is>
      </c>
      <c r="E4" s="22" t="inlineStr">
        <is>
          <t>Confirmed by</t>
        </is>
      </c>
      <c r="F4" s="22" t="inlineStr">
        <is>
          <t>Confirmed on</t>
        </is>
      </c>
    </row>
    <row r="5">
      <c r="B5" s="23" t="inlineStr">
        <is>
          <t>London</t>
        </is>
      </c>
      <c r="C5" s="21" t="inlineStr">
        <is>
          <t>GBP</t>
        </is>
      </c>
      <c r="D5" s="24" t="n"/>
      <c r="E5" s="25" t="n"/>
      <c r="F5" s="26" t="n"/>
    </row>
    <row r="6">
      <c r="B6" s="23" t="inlineStr">
        <is>
          <t>Stockholm</t>
        </is>
      </c>
      <c r="C6" s="21" t="inlineStr">
        <is>
          <t>SEK</t>
        </is>
      </c>
      <c r="D6" s="27" t="n"/>
      <c r="E6" s="25" t="n"/>
      <c r="F6" s="26" t="n"/>
    </row>
    <row r="8">
      <c r="B8" s="23" t="inlineStr">
        <is>
          <t>Sender for this sheet</t>
        </is>
      </c>
      <c r="D8" s="25" t="inlineStr">
        <is>
          <t>Brian</t>
        </is>
      </c>
    </row>
    <row r="9">
      <c r="B9" s="23" t="inlineStr">
        <is>
          <t>Sending inbox</t>
        </is>
      </c>
      <c r="D9" s="21" t="inlineStr">
        <is>
          <t>brian@fcurban.com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2" customWidth="1" min="1" max="1"/>
    <col width="46" customWidth="1" min="2" max="2"/>
    <col width="14" customWidth="1" min="3" max="3"/>
    <col width="10" customWidth="1" min="4" max="4"/>
    <col width="14" customWidth="1" min="5" max="5"/>
    <col width="9" customWidth="1" min="6" max="6"/>
    <col width="14" customWidth="1" min="7" max="7"/>
    <col width="40" customWidth="1" min="8" max="8"/>
  </cols>
  <sheetData>
    <row r="1">
      <c r="A1" s="28" t="inlineStr">
        <is>
          <t>Pitch</t>
        </is>
      </c>
      <c r="B1" s="28" t="inlineStr">
        <is>
          <t>Offer in email</t>
        </is>
      </c>
      <c r="C1" s="28" t="inlineStr">
        <is>
          <t>Recurring or one-off</t>
        </is>
      </c>
      <c r="D1" s="28" t="inlineStr">
        <is>
          <t>Format</t>
        </is>
      </c>
      <c r="E1" s="28" t="inlineStr">
        <is>
          <t>First date</t>
        </is>
      </c>
      <c r="F1" s="28" t="inlineStr">
        <is>
          <t>Kick-off</t>
        </is>
      </c>
      <c r="G1" s="28" t="inlineStr">
        <is>
          <t>Open Mon–Thu 17:30–20:00 slots (next 3 weeks)</t>
        </is>
      </c>
      <c r="H1" s="28" t="inlineStr">
        <is>
          <t>Booking source</t>
        </is>
      </c>
    </row>
    <row r="2">
      <c r="A2" s="21" t="inlineStr">
        <is>
          <t>Market Road</t>
        </is>
      </c>
      <c r="B2" s="21" t="inlineStr">
        <is>
          <t>Monday 28 September at 18:00</t>
        </is>
      </c>
      <c r="C2" s="21" t="inlineStr">
        <is>
          <t>One-off</t>
        </is>
      </c>
      <c r="D2" s="21" t="inlineStr">
        <is>
          <t>5-a-side</t>
        </is>
      </c>
      <c r="E2" s="29" t="n">
        <v>46293</v>
      </c>
      <c r="F2" s="21" t="inlineStr">
        <is>
          <t>18:00</t>
        </is>
      </c>
      <c r="G2" s="21" t="n">
        <v>1</v>
      </c>
      <c r="H2" s="21" t="inlineStr">
        <is>
          <t>Better (GLL) - Islington Tennis Centre</t>
        </is>
      </c>
    </row>
    <row r="3">
      <c r="A3" s="21" t="inlineStr">
        <is>
          <t>Old St - Moreland Primary School</t>
        </is>
      </c>
      <c r="B3" s="21" t="inlineStr">
        <is>
          <t>Monday 12 October at 18:00</t>
        </is>
      </c>
      <c r="C3" s="21" t="inlineStr">
        <is>
          <t>One-off</t>
        </is>
      </c>
      <c r="D3" s="21" t="inlineStr">
        <is>
          <t>6-a-side</t>
        </is>
      </c>
      <c r="E3" s="29" t="n">
        <v>46307</v>
      </c>
      <c r="F3" s="21" t="inlineStr">
        <is>
          <t>18:00</t>
        </is>
      </c>
      <c r="G3" s="21" t="n">
        <v>3</v>
      </c>
      <c r="H3" s="21" t="inlineStr">
        <is>
          <t>PlayFootball</t>
        </is>
      </c>
    </row>
    <row r="4">
      <c r="A4" s="21" t="inlineStr">
        <is>
          <t>Shoreditch Powerleague</t>
        </is>
      </c>
      <c r="B4" s="21" t="inlineStr">
        <is>
          <t>Monday 28 September at 17:40</t>
        </is>
      </c>
      <c r="C4" s="21" t="inlineStr">
        <is>
          <t>One-off</t>
        </is>
      </c>
      <c r="D4" s="21" t="inlineStr">
        <is>
          <t>5-a-side</t>
        </is>
      </c>
      <c r="E4" s="29" t="n">
        <v>46293</v>
      </c>
      <c r="F4" s="21" t="inlineStr">
        <is>
          <t>17:40</t>
        </is>
      </c>
      <c r="G4" s="21" t="n">
        <v>4</v>
      </c>
      <c r="H4" s="21" t="inlineStr">
        <is>
          <t>Powerleague official website (online booking)</t>
        </is>
      </c>
    </row>
    <row r="5">
      <c r="A5" s="21" t="inlineStr">
        <is>
          <t>Shoreditch Rooftop</t>
        </is>
      </c>
      <c r="B5" s="21" t="inlineStr">
        <is>
          <t>Monday 28 September at 18:00</t>
        </is>
      </c>
      <c r="C5" s="21" t="inlineStr">
        <is>
          <t>One-off</t>
        </is>
      </c>
      <c r="D5" s="21" t="inlineStr">
        <is>
          <t>5-a-side</t>
        </is>
      </c>
      <c r="E5" s="29" t="n">
        <v>46293</v>
      </c>
      <c r="F5" s="21" t="inlineStr">
        <is>
          <t>18:00</t>
        </is>
      </c>
      <c r="G5" s="21" t="n">
        <v>1</v>
      </c>
      <c r="H5" s="21" t="inlineStr">
        <is>
          <t>Better (GLL)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20" t="inlineStr">
        <is>
          <t>FC Urban · London after-work football leads</t>
        </is>
      </c>
    </row>
    <row r="2">
      <c r="A2" s="21" t="inlineStr">
        <is>
          <t>82 companies with a published email on their own domain, an office within a 15-minute walk of a pitch that has an open Mon–Thu 17:30–20:00 slot in the next 3 weeks.</t>
        </is>
      </c>
    </row>
    <row r="3">
      <c r="A3" s="21" t="inlineStr"/>
    </row>
    <row r="4">
      <c r="A4" s="23" t="inlineStr">
        <is>
          <t>How it was built</t>
        </is>
      </c>
    </row>
    <row r="5">
      <c r="A5" s="21" t="inlineStr">
        <is>
          <t>1. Companies House bulk data: active London companies filing full, medium or group accounts; SIC for law, finance/accounting, insurance, consultancy, tech/software, architecture, recruitment, marketing/agencies (LLPs by name).</t>
        </is>
      </c>
    </row>
    <row r="6">
      <c r="A6" s="21" t="inlineStr">
        <is>
          <t>2. Removed shells, holding/fund/property vehicles, schools, charities, public bodies, hospitality, retail, clinics, formation-agent addresses (&gt;12 brands at one address), and anything in an earlier FC Urban sheet.</t>
        </is>
      </c>
    </row>
    <row r="7">
      <c r="A7" s="21" t="inlineStr">
        <is>
          <t>3. Suppression: brian@fcurban.com Sent (last 90 days) checked domain by domain, plus senders of opt-out / "no thanks" / "not interested" replies.</t>
        </is>
      </c>
    </row>
    <row r="8">
      <c r="A8" s="21" t="inlineStr">
        <is>
          <t>4. Website found and read for each firm: working office from its own contact page (registered office only when the site shows no address, labelled in Office basis).</t>
        </is>
      </c>
    </row>
    <row r="9">
      <c r="A9" s="21" t="inlineStr">
        <is>
          <t>5. Walk = straight line × 1.3 at 4.8 km/h to the nearest pitch with a confirmed open slot (Slots tab). Kept ≤ 15 minutes.</t>
        </is>
      </c>
    </row>
    <row r="10">
      <c r="A10" s="21" t="inlineStr">
        <is>
          <t>6. Contact order: named HR / People / Office / Operations person → named partner/director/founder (firms under ~100) → general inbox on the firm's own domain. No press, privacy, careers, support, sales or other-country inboxes. Emails were only taken where published; none guessed.</t>
        </is>
      </c>
    </row>
    <row r="11">
      <c r="A11" s="21" t="inlineStr">
        <is>
          <t>7. Headcount from the firm's own site where stated; firms under 20 or over 500 removed; "Not stated" otherwise.</t>
        </is>
      </c>
    </row>
    <row r="12">
      <c r="A12" s="21" t="inlineStr">
        <is>
          <t>8. Personal line: one fact from the firm's own pages (source linked). Blank when nothing real was found.</t>
        </is>
      </c>
    </row>
    <row r="13">
      <c r="A13" s="21" t="inlineStr"/>
    </row>
    <row r="14">
      <c r="A14" s="23" t="inlineStr">
        <is>
          <t>Sending rules (for when the n8n workflow is switched on)</t>
        </is>
      </c>
    </row>
    <row r="15">
      <c r="A15" s="21" t="inlineStr">
        <is>
          <t>Max 150 per inbox per day, spread across working hours; one sender name per inbox (Brian on brian@fcurban.com); stop the batch if bounces exceed 3%; log Contacted on here and reply categories in Notion.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2026-09-25T18:17:27Z</dcterms:created>
  <dcterms:modified xsi:type="dcterms:W3CDTF">2026-09-25T18:17:27Z</dcterms:modified>
</cp:coreProperties>
</file>