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reach" sheetId="1" state="visible" r:id="rId1"/>
    <sheet name="Offer" sheetId="2" state="visible" r:id="rId2"/>
    <sheet name="Slots" sheetId="3" state="visible" r:id="rId3"/>
    <sheet name="Read me" sheetId="4" state="visible" r:id="rId4"/>
  </sheets>
  <definedNames>
    <definedName name="_xlnm._FilterDatabase" localSheetId="0" hidden="1">'Outreach'!$A$2:$BE$79</definedName>
  </definedNames>
  <calcPr calcId="124519" fullCalcOnLoad="1"/>
</workbook>
</file>

<file path=xl/styles.xml><?xml version="1.0" encoding="utf-8"?>
<styleSheet xmlns="http://schemas.openxmlformats.org/spreadsheetml/2006/main">
  <numFmts count="5">
    <numFmt numFmtId="164" formatCode="£#,##0.00;-£#,##0.00;-"/>
    <numFmt numFmtId="165" formatCode="#,##0 &quot;kr&quot;"/>
    <numFmt numFmtId="166" formatCode="d mmm yyyy"/>
    <numFmt numFmtId="167" formatCode="yyyy-mm-dd"/>
    <numFmt numFmtId="168" formatCode="ddd d mmm yyyy"/>
  </numFmts>
  <fonts count="8">
    <font>
      <name val="Calibri"/>
      <family val="2"/>
      <color theme="1"/>
      <sz val="11"/>
      <scheme val="minor"/>
    </font>
    <font>
      <name val="Arial"/>
      <b val="1"/>
      <sz val="14"/>
    </font>
    <font>
      <name val="Arial"/>
      <sz val="10"/>
    </font>
    <font>
      <name val="Arial"/>
      <b val="1"/>
      <color rgb="00FFFFFF"/>
      <sz val="10"/>
    </font>
    <font>
      <name val="Arial"/>
      <b val="1"/>
      <sz val="10"/>
    </font>
    <font>
      <name val="Arial"/>
      <color rgb="000000FF"/>
      <sz val="10"/>
    </font>
    <font>
      <name val="Arial"/>
      <color rgb="00008000"/>
      <sz val="10"/>
    </font>
    <font>
      <name val="Arial"/>
      <color rgb="001155CC"/>
      <sz val="10"/>
      <u val="single"/>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7030A0"/>
      </patternFill>
    </fill>
    <fill>
      <patternFill patternType="solid">
        <fgColor rgb="00548235"/>
      </patternFill>
    </fill>
    <fill>
      <patternFill patternType="solid">
        <fgColor rgb="00C55A11"/>
      </patternFill>
    </fill>
    <fill>
      <patternFill patternType="solid">
        <fgColor rgb="00404040"/>
      </patternFill>
    </fill>
    <fill>
      <patternFill patternType="solid">
        <fgColor rgb="00BF9000"/>
      </patternFill>
    </fill>
  </fills>
  <borders count="2">
    <border>
      <left/>
      <right/>
      <top/>
      <bottom/>
      <diagonal/>
    </border>
    <border>
      <bottom style="thin">
        <color rgb="00D9D9D9"/>
      </bottom>
    </border>
  </borders>
  <cellStyleXfs count="1">
    <xf numFmtId="0" fontId="0" fillId="0" borderId="0"/>
  </cellStyleXfs>
  <cellXfs count="32">
    <xf numFmtId="0" fontId="0" fillId="0" borderId="0" pivotButton="0" quotePrefix="0" xfId="0"/>
    <xf numFmtId="0" fontId="3" fillId="4" borderId="0" pivotButton="0" quotePrefix="0" xfId="0"/>
    <xf numFmtId="0" fontId="0" fillId="4" borderId="0" pivotButton="0" quotePrefix="0" xfId="0"/>
    <xf numFmtId="0" fontId="3" fillId="5" borderId="0" pivotButton="0" quotePrefix="0" xfId="0"/>
    <xf numFmtId="0" fontId="0" fillId="5" borderId="0" pivotButton="0" quotePrefix="0" xfId="0"/>
    <xf numFmtId="0" fontId="3" fillId="6" borderId="0" pivotButton="0" quotePrefix="0" xfId="0"/>
    <xf numFmtId="0" fontId="0" fillId="6" borderId="0" pivotButton="0" quotePrefix="0" xfId="0"/>
    <xf numFmtId="0" fontId="3" fillId="7" borderId="0" pivotButton="0" quotePrefix="0" xfId="0"/>
    <xf numFmtId="0" fontId="0" fillId="7" borderId="0" pivotButton="0" quotePrefix="0" xfId="0"/>
    <xf numFmtId="0" fontId="3" fillId="8" borderId="0" pivotButton="0" quotePrefix="0" xfId="0"/>
    <xf numFmtId="0" fontId="0" fillId="8" borderId="0" pivotButton="0" quotePrefix="0" xfId="0"/>
    <xf numFmtId="0" fontId="3" fillId="9" borderId="0" pivotButton="0" quotePrefix="0" xfId="0"/>
    <xf numFmtId="0" fontId="0" fillId="9" borderId="0" pivotButton="0" quotePrefix="0" xfId="0"/>
    <xf numFmtId="0" fontId="3" fillId="2" borderId="0" applyAlignment="1" pivotButton="0" quotePrefix="0" xfId="0">
      <alignment vertical="center" wrapText="1"/>
    </xf>
    <xf numFmtId="0" fontId="4" fillId="3" borderId="0" applyAlignment="1" pivotButton="0" quotePrefix="0" xfId="0">
      <alignment vertical="center" wrapText="1"/>
    </xf>
    <xf numFmtId="0" fontId="2" fillId="0" borderId="1" applyAlignment="1" pivotButton="0" quotePrefix="0" xfId="0">
      <alignment vertical="top"/>
    </xf>
    <xf numFmtId="0" fontId="7" fillId="0" borderId="1" applyAlignment="1" pivotButton="0" quotePrefix="0" xfId="0">
      <alignment vertical="top"/>
    </xf>
    <xf numFmtId="164" fontId="6" fillId="0" borderId="1" applyAlignment="1" pivotButton="0" quotePrefix="0" xfId="0">
      <alignment vertical="top"/>
    </xf>
    <xf numFmtId="0" fontId="6" fillId="0" borderId="1" applyAlignment="1" pivotButton="0" quotePrefix="0" xfId="0">
      <alignment vertical="top"/>
    </xf>
    <xf numFmtId="0" fontId="2" fillId="0" borderId="1" applyAlignment="1" pivotButton="0" quotePrefix="0" xfId="0">
      <alignment vertical="top" wrapText="1"/>
    </xf>
    <xf numFmtId="0" fontId="6" fillId="0" borderId="1" applyAlignment="1" pivotButton="0" quotePrefix="0" xfId="0">
      <alignment vertical="top" wrapText="1"/>
    </xf>
    <xf numFmtId="166"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164" fontId="5" fillId="3" borderId="0" pivotButton="0" quotePrefix="0" xfId="0"/>
    <xf numFmtId="0" fontId="5" fillId="3" borderId="0" pivotButton="0" quotePrefix="0" xfId="0"/>
    <xf numFmtId="166" fontId="5" fillId="3" borderId="0" pivotButton="0" quotePrefix="0" xfId="0"/>
    <xf numFmtId="165" fontId="5" fillId="3" borderId="0" pivotButton="0" quotePrefix="0" xfId="0"/>
    <xf numFmtId="0" fontId="3" fillId="2" borderId="0" applyAlignment="1" pivotButton="0" quotePrefix="0" xfId="0">
      <alignment vertical="top" wrapText="1"/>
    </xf>
    <xf numFmtId="168"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FC Urban</author>
  </authors>
  <commentList>
    <comment ref="Z2" authorId="0" shapeId="0">
      <text>
        <t>Website = address from the firm's own site. "Registered office (no address on website)" = the site shows no address, so the Companies House address was used.</t>
      </text>
    </comment>
    <comment ref="AT2" authorId="0" shapeId="0">
      <text>
        <t>The domain has a mail (MX) record. Mailbox-level SMTP checks could not run from the research environment (port 25 blocked) — run a verifier before sending.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dscale.com" TargetMode="External" Id="rId1" /><Relationship Type="http://schemas.openxmlformats.org/officeDocument/2006/relationships/hyperlink" Target="https://find-and-update.company-information.service.gov.uk/company/08650664" TargetMode="External" Id="rId2" /><Relationship Type="http://schemas.openxmlformats.org/officeDocument/2006/relationships/hyperlink" Target="https://leadscale.com/careers/" TargetMode="External" Id="rId3" /><Relationship Type="http://schemas.openxmlformats.org/officeDocument/2006/relationships/hyperlink" Target="https://leadscale.com/careers/" TargetMode="External" Id="rId4" /><Relationship Type="http://schemas.openxmlformats.org/officeDocument/2006/relationships/hyperlink" Target="https://www.exigere.co.uk" TargetMode="External" Id="rId5" /><Relationship Type="http://schemas.openxmlformats.org/officeDocument/2006/relationships/hyperlink" Target="https://find-and-update.company-information.service.gov.uk/company/09049470" TargetMode="External" Id="rId6" /><Relationship Type="http://schemas.openxmlformats.org/officeDocument/2006/relationships/hyperlink" Target="https://exigere.co.uk/people" TargetMode="External" Id="rId7" /><Relationship Type="http://schemas.openxmlformats.org/officeDocument/2006/relationships/hyperlink" Target="https://veretec.co.uk" TargetMode="External" Id="rId8" /><Relationship Type="http://schemas.openxmlformats.org/officeDocument/2006/relationships/hyperlink" Target="https://find-and-update.company-information.service.gov.uk/company/01959521" TargetMode="External" Id="rId9" /><Relationship Type="http://schemas.openxmlformats.org/officeDocument/2006/relationships/hyperlink" Target="https://veretec.co.uk/contact/" TargetMode="External" Id="rId10" /><Relationship Type="http://schemas.openxmlformats.org/officeDocument/2006/relationships/hyperlink" Target="https://veretec.co.uk/contact/" TargetMode="External" Id="rId11" /><Relationship Type="http://schemas.openxmlformats.org/officeDocument/2006/relationships/hyperlink" Target="https://www.codurance.com" TargetMode="External" Id="rId12" /><Relationship Type="http://schemas.openxmlformats.org/officeDocument/2006/relationships/hyperlink" Target="https://find-and-update.company-information.service.gov.uk/company/08712584" TargetMode="External" Id="rId13" /><Relationship Type="http://schemas.openxmlformats.org/officeDocument/2006/relationships/hyperlink" Target="https://www.codurance.com/contact-us" TargetMode="External" Id="rId14" /><Relationship Type="http://schemas.openxmlformats.org/officeDocument/2006/relationships/hyperlink" Target="https://www.codurance.com/contact-us" TargetMode="External" Id="rId15" /><Relationship Type="http://schemas.openxmlformats.org/officeDocument/2006/relationships/hyperlink" Target="https://www.preciseconsultants.com" TargetMode="External" Id="rId16" /><Relationship Type="http://schemas.openxmlformats.org/officeDocument/2006/relationships/hyperlink" Target="https://find-and-update.company-information.service.gov.uk/company/08517073" TargetMode="External" Id="rId17" /><Relationship Type="http://schemas.openxmlformats.org/officeDocument/2006/relationships/hyperlink" Target="https://www.preciseconsultants.com/meet-the-team/" TargetMode="External" Id="rId18" /><Relationship Type="http://schemas.openxmlformats.org/officeDocument/2006/relationships/hyperlink" Target="https://guybutler.co.uk" TargetMode="External" Id="rId19" /><Relationship Type="http://schemas.openxmlformats.org/officeDocument/2006/relationships/hyperlink" Target="https://find-and-update.company-information.service.gov.uk/company/03869802" TargetMode="External" Id="rId20" /><Relationship Type="http://schemas.openxmlformats.org/officeDocument/2006/relationships/hyperlink" Target="https://guybutler.co.uk/" TargetMode="External" Id="rId21" /><Relationship Type="http://schemas.openxmlformats.org/officeDocument/2006/relationships/hyperlink" Target="https://www.goodmanmasson.com" TargetMode="External" Id="rId22" /><Relationship Type="http://schemas.openxmlformats.org/officeDocument/2006/relationships/hyperlink" Target="https://find-and-update.company-information.service.gov.uk/company/02769447" TargetMode="External" Id="rId23" /><Relationship Type="http://schemas.openxmlformats.org/officeDocument/2006/relationships/hyperlink" Target="https://www.goodmanmasson.com/aca-careers-hub" TargetMode="External" Id="rId24" /><Relationship Type="http://schemas.openxmlformats.org/officeDocument/2006/relationships/hyperlink" Target="https://www.goodmanmasson.com/aca-careers-hub" TargetMode="External" Id="rId25" /><Relationship Type="http://schemas.openxmlformats.org/officeDocument/2006/relationships/hyperlink" Target="https://turbinestudios.co.uk" TargetMode="External" Id="rId26" /><Relationship Type="http://schemas.openxmlformats.org/officeDocument/2006/relationships/hyperlink" Target="https://find-and-update.company-information.service.gov.uk/company/10994901" TargetMode="External" Id="rId27" /><Relationship Type="http://schemas.openxmlformats.org/officeDocument/2006/relationships/hyperlink" Target="https://turbinestudios.co.uk/" TargetMode="External" Id="rId28" /><Relationship Type="http://schemas.openxmlformats.org/officeDocument/2006/relationships/hyperlink" Target="https://oribiotech.com" TargetMode="External" Id="rId29" /><Relationship Type="http://schemas.openxmlformats.org/officeDocument/2006/relationships/hyperlink" Target="https://find-and-update.company-information.service.gov.uk/company/09757696" TargetMode="External" Id="rId30" /><Relationship Type="http://schemas.openxmlformats.org/officeDocument/2006/relationships/hyperlink" Target="https://oribiotech.com/about/careers" TargetMode="External" Id="rId31" /><Relationship Type="http://schemas.openxmlformats.org/officeDocument/2006/relationships/hyperlink" Target="https://www.humanmademachine.com" TargetMode="External" Id="rId32" /><Relationship Type="http://schemas.openxmlformats.org/officeDocument/2006/relationships/hyperlink" Target="https://find-and-update.company-information.service.gov.uk/company/09338935" TargetMode="External" Id="rId33" /><Relationship Type="http://schemas.openxmlformats.org/officeDocument/2006/relationships/hyperlink" Target="https://www.humanmademachine.com/contact" TargetMode="External" Id="rId34" /><Relationship Type="http://schemas.openxmlformats.org/officeDocument/2006/relationships/hyperlink" Target="https://artiq.co" TargetMode="External" Id="rId35" /><Relationship Type="http://schemas.openxmlformats.org/officeDocument/2006/relationships/hyperlink" Target="https://find-and-update.company-information.service.gov.uk/company/07080437" TargetMode="External" Id="rId36" /><Relationship Type="http://schemas.openxmlformats.org/officeDocument/2006/relationships/hyperlink" Target="https://artiq.co/" TargetMode="External" Id="rId37" /><Relationship Type="http://schemas.openxmlformats.org/officeDocument/2006/relationships/hyperlink" Target="https://osf.digital" TargetMode="External" Id="rId38" /><Relationship Type="http://schemas.openxmlformats.org/officeDocument/2006/relationships/hyperlink" Target="https://find-and-update.company-information.service.gov.uk/company/03844574" TargetMode="External" Id="rId39" /><Relationship Type="http://schemas.openxmlformats.org/officeDocument/2006/relationships/hyperlink" Target="https://osf.digital/" TargetMode="External" Id="rId40" /><Relationship Type="http://schemas.openxmlformats.org/officeDocument/2006/relationships/hyperlink" Target="https://windfallfilms.com" TargetMode="External" Id="rId41" /><Relationship Type="http://schemas.openxmlformats.org/officeDocument/2006/relationships/hyperlink" Target="https://find-and-update.company-information.service.gov.uk/company/02205891" TargetMode="External" Id="rId42" /><Relationship Type="http://schemas.openxmlformats.org/officeDocument/2006/relationships/hyperlink" Target="https://windfallfilms.com/contact" TargetMode="External" Id="rId43" /><Relationship Type="http://schemas.openxmlformats.org/officeDocument/2006/relationships/hyperlink" Target="https://72films.com" TargetMode="External" Id="rId44" /><Relationship Type="http://schemas.openxmlformats.org/officeDocument/2006/relationships/hyperlink" Target="https://find-and-update.company-information.service.gov.uk/company/10075517" TargetMode="External" Id="rId45" /><Relationship Type="http://schemas.openxmlformats.org/officeDocument/2006/relationships/hyperlink" Target="https://72films.com/contact/" TargetMode="External" Id="rId46" /><Relationship Type="http://schemas.openxmlformats.org/officeDocument/2006/relationships/hyperlink" Target="https://octoberfilms.co.uk" TargetMode="External" Id="rId47" /><Relationship Type="http://schemas.openxmlformats.org/officeDocument/2006/relationships/hyperlink" Target="https://find-and-update.company-information.service.gov.uk/company/02328023" TargetMode="External" Id="rId48" /><Relationship Type="http://schemas.openxmlformats.org/officeDocument/2006/relationships/hyperlink" Target="https://octoberfilms.co.uk/contact/" TargetMode="External" Id="rId49" /><Relationship Type="http://schemas.openxmlformats.org/officeDocument/2006/relationships/hyperlink" Target="https://octoberfilms.co.uk/about/" TargetMode="External" Id="rId50" /><Relationship Type="http://schemas.openxmlformats.org/officeDocument/2006/relationships/hyperlink" Target="https://www.yendallhunter.com" TargetMode="External" Id="rId51" /><Relationship Type="http://schemas.openxmlformats.org/officeDocument/2006/relationships/hyperlink" Target="https://find-and-update.company-information.service.gov.uk/company/09410777" TargetMode="External" Id="rId52" /><Relationship Type="http://schemas.openxmlformats.org/officeDocument/2006/relationships/hyperlink" Target="https://www.yendallhunter.com/" TargetMode="External" Id="rId53" /><Relationship Type="http://schemas.openxmlformats.org/officeDocument/2006/relationships/hyperlink" Target="https://jenoa.com:443" TargetMode="External" Id="rId54" /><Relationship Type="http://schemas.openxmlformats.org/officeDocument/2006/relationships/hyperlink" Target="https://find-and-update.company-information.service.gov.uk/company/12292684" TargetMode="External" Id="rId55" /><Relationship Type="http://schemas.openxmlformats.org/officeDocument/2006/relationships/hyperlink" Target="https://jenoa.com/en/locations/" TargetMode="External" Id="rId56" /><Relationship Type="http://schemas.openxmlformats.org/officeDocument/2006/relationships/hyperlink" Target="https://www.gje.com" TargetMode="External" Id="rId57" /><Relationship Type="http://schemas.openxmlformats.org/officeDocument/2006/relationships/hyperlink" Target="https://find-and-update.company-information.service.gov.uk/company/OC313165" TargetMode="External" Id="rId58" /><Relationship Type="http://schemas.openxmlformats.org/officeDocument/2006/relationships/hyperlink" Target="https://www.gje.com/" TargetMode="External" Id="rId59" /><Relationship Type="http://schemas.openxmlformats.org/officeDocument/2006/relationships/hyperlink" Target="https://www.rbbecon.com" TargetMode="External" Id="rId60" /><Relationship Type="http://schemas.openxmlformats.org/officeDocument/2006/relationships/hyperlink" Target="https://find-and-update.company-information.service.gov.uk/company/OC315356" TargetMode="External" Id="rId61" /><Relationship Type="http://schemas.openxmlformats.org/officeDocument/2006/relationships/hyperlink" Target="https://www.rbbecon.com/contact/" TargetMode="External" Id="rId62" /><Relationship Type="http://schemas.openxmlformats.org/officeDocument/2006/relationships/hyperlink" Target="https://www.rbbecon.com/team/" TargetMode="External" Id="rId63" /><Relationship Type="http://schemas.openxmlformats.org/officeDocument/2006/relationships/hyperlink" Target="https://montash.com" TargetMode="External" Id="rId64" /><Relationship Type="http://schemas.openxmlformats.org/officeDocument/2006/relationships/hyperlink" Target="https://find-and-update.company-information.service.gov.uk/company/05195273" TargetMode="External" Id="rId65" /><Relationship Type="http://schemas.openxmlformats.org/officeDocument/2006/relationships/hyperlink" Target="https://montash.com/" TargetMode="External" Id="rId66" /><Relationship Type="http://schemas.openxmlformats.org/officeDocument/2006/relationships/hyperlink" Target="https://www.atelierten.com" TargetMode="External" Id="rId67" /><Relationship Type="http://schemas.openxmlformats.org/officeDocument/2006/relationships/hyperlink" Target="https://find-and-update.company-information.service.gov.uk/company/02552224" TargetMode="External" Id="rId68" /><Relationship Type="http://schemas.openxmlformats.org/officeDocument/2006/relationships/hyperlink" Target="https://www.atelierten.com/offices/london/" TargetMode="External" Id="rId69" /><Relationship Type="http://schemas.openxmlformats.org/officeDocument/2006/relationships/hyperlink" Target="https://www.aptem.co.uk" TargetMode="External" Id="rId70" /><Relationship Type="http://schemas.openxmlformats.org/officeDocument/2006/relationships/hyperlink" Target="https://find-and-update.company-information.service.gov.uk/company/06824227" TargetMode="External" Id="rId71" /><Relationship Type="http://schemas.openxmlformats.org/officeDocument/2006/relationships/hyperlink" Target="https://www.aptem.co.uk/contact-us/" TargetMode="External" Id="rId72" /><Relationship Type="http://schemas.openxmlformats.org/officeDocument/2006/relationships/hyperlink" Target="https://www.elsewhen.com" TargetMode="External" Id="rId73" /><Relationship Type="http://schemas.openxmlformats.org/officeDocument/2006/relationships/hyperlink" Target="https://find-and-update.company-information.service.gov.uk/company/07608360" TargetMode="External" Id="rId74" /><Relationship Type="http://schemas.openxmlformats.org/officeDocument/2006/relationships/hyperlink" Target="https://www.elsewhen.com/" TargetMode="External" Id="rId75" /><Relationship Type="http://schemas.openxmlformats.org/officeDocument/2006/relationships/hyperlink" Target="https://www.elsewhen.com/about/" TargetMode="External" Id="rId76" /><Relationship Type="http://schemas.openxmlformats.org/officeDocument/2006/relationships/hyperlink" Target="https://www.veed.io" TargetMode="External" Id="rId77" /><Relationship Type="http://schemas.openxmlformats.org/officeDocument/2006/relationships/hyperlink" Target="https://find-and-update.company-information.service.gov.uk/company/11264311" TargetMode="External" Id="rId78" /><Relationship Type="http://schemas.openxmlformats.org/officeDocument/2006/relationships/hyperlink" Target="https://www.veed.io/" TargetMode="External" Id="rId79" /><Relationship Type="http://schemas.openxmlformats.org/officeDocument/2006/relationships/hyperlink" Target="https://tryzens.com" TargetMode="External" Id="rId80" /><Relationship Type="http://schemas.openxmlformats.org/officeDocument/2006/relationships/hyperlink" Target="https://find-and-update.company-information.service.gov.uk/company/08624932" TargetMode="External" Id="rId81" /><Relationship Type="http://schemas.openxmlformats.org/officeDocument/2006/relationships/hyperlink" Target="https://tryzens.com/contact-us/" TargetMode="External" Id="rId82" /><Relationship Type="http://schemas.openxmlformats.org/officeDocument/2006/relationships/hyperlink" Target="https://www.karakusevic-carson.com" TargetMode="External" Id="rId83" /><Relationship Type="http://schemas.openxmlformats.org/officeDocument/2006/relationships/hyperlink" Target="https://find-and-update.company-information.service.gov.uk/company/08720267" TargetMode="External" Id="rId84" /><Relationship Type="http://schemas.openxmlformats.org/officeDocument/2006/relationships/hyperlink" Target="https://www.karakusevic-carson.com/" TargetMode="External" Id="rId85" /><Relationship Type="http://schemas.openxmlformats.org/officeDocument/2006/relationships/hyperlink" Target="https://permutive.com" TargetMode="External" Id="rId86" /><Relationship Type="http://schemas.openxmlformats.org/officeDocument/2006/relationships/hyperlink" Target="https://find-and-update.company-information.service.gov.uk/company/08738815" TargetMode="External" Id="rId87" /><Relationship Type="http://schemas.openxmlformats.org/officeDocument/2006/relationships/hyperlink" Target="https://permutive.com/" TargetMode="External" Id="rId88" /><Relationship Type="http://schemas.openxmlformats.org/officeDocument/2006/relationships/hyperlink" Target="https://ericparryarchitects.co.uk" TargetMode="External" Id="rId89" /><Relationship Type="http://schemas.openxmlformats.org/officeDocument/2006/relationships/hyperlink" Target="https://find-and-update.company-information.service.gov.uk/company/02522093" TargetMode="External" Id="rId90" /><Relationship Type="http://schemas.openxmlformats.org/officeDocument/2006/relationships/hyperlink" Target="https://ericparryarchitects.co.uk/" TargetMode="External" Id="rId91" /><Relationship Type="http://schemas.openxmlformats.org/officeDocument/2006/relationships/hyperlink" Target="https://www.pushgaming.com" TargetMode="External" Id="rId92" /><Relationship Type="http://schemas.openxmlformats.org/officeDocument/2006/relationships/hyperlink" Target="https://find-and-update.company-information.service.gov.uk/company/07395813" TargetMode="External" Id="rId93" /><Relationship Type="http://schemas.openxmlformats.org/officeDocument/2006/relationships/hyperlink" Target="https://www.pushgaming.com/" TargetMode="External" Id="rId94" /><Relationship Type="http://schemas.openxmlformats.org/officeDocument/2006/relationships/hyperlink" Target="https://www.oliverbernard.com" TargetMode="External" Id="rId95" /><Relationship Type="http://schemas.openxmlformats.org/officeDocument/2006/relationships/hyperlink" Target="https://find-and-update.company-information.service.gov.uk/company/07128139" TargetMode="External" Id="rId96" /><Relationship Type="http://schemas.openxmlformats.org/officeDocument/2006/relationships/hyperlink" Target="https://www.oliverbernard.com/contact" TargetMode="External" Id="rId97" /><Relationship Type="http://schemas.openxmlformats.org/officeDocument/2006/relationships/hyperlink" Target="https://www.wellcomww.com:443" TargetMode="External" Id="rId98" /><Relationship Type="http://schemas.openxmlformats.org/officeDocument/2006/relationships/hyperlink" Target="https://find-and-update.company-information.service.gov.uk/company/00979521" TargetMode="External" Id="rId99" /><Relationship Type="http://schemas.openxmlformats.org/officeDocument/2006/relationships/hyperlink" Target="https://www.wellcomww.com:443/offices/new-york" TargetMode="External" Id="rId100" /><Relationship Type="http://schemas.openxmlformats.org/officeDocument/2006/relationships/hyperlink" Target="https://www.mention-me.com" TargetMode="External" Id="rId101" /><Relationship Type="http://schemas.openxmlformats.org/officeDocument/2006/relationships/hyperlink" Target="https://find-and-update.company-information.service.gov.uk/company/08382730" TargetMode="External" Id="rId102" /><Relationship Type="http://schemas.openxmlformats.org/officeDocument/2006/relationships/hyperlink" Target="https://www.mention-me.com/careers" TargetMode="External" Id="rId103" /><Relationship Type="http://schemas.openxmlformats.org/officeDocument/2006/relationships/hyperlink" Target="https://www.oakleafpartnership.com" TargetMode="External" Id="rId104" /><Relationship Type="http://schemas.openxmlformats.org/officeDocument/2006/relationships/hyperlink" Target="https://find-and-update.company-information.service.gov.uk/company/05396257" TargetMode="External" Id="rId105" /><Relationship Type="http://schemas.openxmlformats.org/officeDocument/2006/relationships/hyperlink" Target="https://www.oakleafpartnership.com/us/team" TargetMode="External" Id="rId106" /><Relationship Type="http://schemas.openxmlformats.org/officeDocument/2006/relationships/hyperlink" Target="https://www.hoptroff.com" TargetMode="External" Id="rId107" /><Relationship Type="http://schemas.openxmlformats.org/officeDocument/2006/relationships/hyperlink" Target="https://find-and-update.company-information.service.gov.uk/company/09566434" TargetMode="External" Id="rId108" /><Relationship Type="http://schemas.openxmlformats.org/officeDocument/2006/relationships/hyperlink" Target="https://www.hoptroff.com/" TargetMode="External" Id="rId109" /><Relationship Type="http://schemas.openxmlformats.org/officeDocument/2006/relationships/hyperlink" Target="https://www.stantonhouse.com" TargetMode="External" Id="rId110" /><Relationship Type="http://schemas.openxmlformats.org/officeDocument/2006/relationships/hyperlink" Target="https://find-and-update.company-information.service.gov.uk/company/07394702" TargetMode="External" Id="rId111" /><Relationship Type="http://schemas.openxmlformats.org/officeDocument/2006/relationships/hyperlink" Target="https://www.stantonhouse.com/jobs/32939-Chief-Financial-Officer" TargetMode="External" Id="rId112" /><Relationship Type="http://schemas.openxmlformats.org/officeDocument/2006/relationships/hyperlink" Target="https://www.stantonhouse.com/contact-us" TargetMode="External" Id="rId113" /><Relationship Type="http://schemas.openxmlformats.org/officeDocument/2006/relationships/hyperlink" Target="https://corporate.travelfusion.com" TargetMode="External" Id="rId114" /><Relationship Type="http://schemas.openxmlformats.org/officeDocument/2006/relationships/hyperlink" Target="https://find-and-update.company-information.service.gov.uk/company/03880175" TargetMode="External" Id="rId115" /><Relationship Type="http://schemas.openxmlformats.org/officeDocument/2006/relationships/hyperlink" Target="https://corporate.travelfusion.com/company/contact-us" TargetMode="External" Id="rId116" /><Relationship Type="http://schemas.openxmlformats.org/officeDocument/2006/relationships/hyperlink" Target="https://simplyeducation.co.uk" TargetMode="External" Id="rId117" /><Relationship Type="http://schemas.openxmlformats.org/officeDocument/2006/relationships/hyperlink" Target="https://find-and-update.company-information.service.gov.uk/company/05532608" TargetMode="External" Id="rId118" /><Relationship Type="http://schemas.openxmlformats.org/officeDocument/2006/relationships/hyperlink" Target="https://simplyeducation.co.uk/" TargetMode="External" Id="rId119" /><Relationship Type="http://schemas.openxmlformats.org/officeDocument/2006/relationships/hyperlink" Target="https://ecodriver.co.uk" TargetMode="External" Id="rId120" /><Relationship Type="http://schemas.openxmlformats.org/officeDocument/2006/relationships/hyperlink" Target="https://find-and-update.company-information.service.gov.uk/company/05258662" TargetMode="External" Id="rId121" /><Relationship Type="http://schemas.openxmlformats.org/officeDocument/2006/relationships/hyperlink" Target="https://ecodriver.co.uk/" TargetMode="External" Id="rId122" /><Relationship Type="http://schemas.openxmlformats.org/officeDocument/2006/relationships/hyperlink" Target="https://www.testingxperts.com" TargetMode="External" Id="rId123" /><Relationship Type="http://schemas.openxmlformats.org/officeDocument/2006/relationships/hyperlink" Target="https://find-and-update.company-information.service.gov.uk/company/10491678" TargetMode="External" Id="rId124" /><Relationship Type="http://schemas.openxmlformats.org/officeDocument/2006/relationships/hyperlink" Target="https://www.testingxperts.com/" TargetMode="External" Id="rId125" /><Relationship Type="http://schemas.openxmlformats.org/officeDocument/2006/relationships/hyperlink" Target="https://www.testingxperts.com/contact-us/" TargetMode="External" Id="rId126" /><Relationship Type="http://schemas.openxmlformats.org/officeDocument/2006/relationships/hyperlink" Target="https://www.fenergo.com" TargetMode="External" Id="rId127" /><Relationship Type="http://schemas.openxmlformats.org/officeDocument/2006/relationships/hyperlink" Target="https://find-and-update.company-information.service.gov.uk/company/10267569" TargetMode="External" Id="rId128" /><Relationship Type="http://schemas.openxmlformats.org/officeDocument/2006/relationships/hyperlink" Target="https://www.fenergo.com/" TargetMode="External" Id="rId129" /><Relationship Type="http://schemas.openxmlformats.org/officeDocument/2006/relationships/hyperlink" Target="https://fluenceenergy.com" TargetMode="External" Id="rId130" /><Relationship Type="http://schemas.openxmlformats.org/officeDocument/2006/relationships/hyperlink" Target="https://find-and-update.company-information.service.gov.uk/company/14401806" TargetMode="External" Id="rId131" /><Relationship Type="http://schemas.openxmlformats.org/officeDocument/2006/relationships/hyperlink" Target="https://fluenceenergy.com/about/media-room/" TargetMode="External" Id="rId132" /><Relationship Type="http://schemas.openxmlformats.org/officeDocument/2006/relationships/hyperlink" Target="https://www.vendavo.com" TargetMode="External" Id="rId133" /><Relationship Type="http://schemas.openxmlformats.org/officeDocument/2006/relationships/hyperlink" Target="https://find-and-update.company-information.service.gov.uk/company/05724979" TargetMode="External" Id="rId134" /><Relationship Type="http://schemas.openxmlformats.org/officeDocument/2006/relationships/hyperlink" Target="https://www.vendavo.com/company/contact/" TargetMode="External" Id="rId135" /><Relationship Type="http://schemas.openxmlformats.org/officeDocument/2006/relationships/hyperlink" Target="https://www.whitepaperco.com" TargetMode="External" Id="rId136" /><Relationship Type="http://schemas.openxmlformats.org/officeDocument/2006/relationships/hyperlink" Target="https://find-and-update.company-information.service.gov.uk/company/09980890" TargetMode="External" Id="rId137" /><Relationship Type="http://schemas.openxmlformats.org/officeDocument/2006/relationships/hyperlink" Target="https://www.whitepaperco.com/" TargetMode="External" Id="rId138" /><Relationship Type="http://schemas.openxmlformats.org/officeDocument/2006/relationships/hyperlink" Target="https://hadean.com" TargetMode="External" Id="rId139" /><Relationship Type="http://schemas.openxmlformats.org/officeDocument/2006/relationships/hyperlink" Target="https://find-and-update.company-information.service.gov.uk/company/09808169" TargetMode="External" Id="rId140" /><Relationship Type="http://schemas.openxmlformats.org/officeDocument/2006/relationships/hyperlink" Target="https://hadean.com/careers/" TargetMode="External" Id="rId141" /><Relationship Type="http://schemas.openxmlformats.org/officeDocument/2006/relationships/hyperlink" Target="https://vivacitylabs.com" TargetMode="External" Id="rId142" /><Relationship Type="http://schemas.openxmlformats.org/officeDocument/2006/relationships/hyperlink" Target="https://find-and-update.company-information.service.gov.uk/company/09924516" TargetMode="External" Id="rId143" /><Relationship Type="http://schemas.openxmlformats.org/officeDocument/2006/relationships/hyperlink" Target="https://vivacitylabs.com/north-america/about-us/contact/" TargetMode="External" Id="rId144" /><Relationship Type="http://schemas.openxmlformats.org/officeDocument/2006/relationships/hyperlink" Target="https://vivacitylabs.com/north-america/about-us/contact/" TargetMode="External" Id="rId145" /><Relationship Type="http://schemas.openxmlformats.org/officeDocument/2006/relationships/hyperlink" Target="https://www.ahmm.co.uk" TargetMode="External" Id="rId146" /><Relationship Type="http://schemas.openxmlformats.org/officeDocument/2006/relationships/hyperlink" Target="https://find-and-update.company-information.service.gov.uk/company/07155322" TargetMode="External" Id="rId147" /><Relationship Type="http://schemas.openxmlformats.org/officeDocument/2006/relationships/hyperlink" Target="https://www.ahmm.co.uk/contact/" TargetMode="External" Id="rId148" /><Relationship Type="http://schemas.openxmlformats.org/officeDocument/2006/relationships/hyperlink" Target="https://censuswide.com" TargetMode="External" Id="rId149" /><Relationship Type="http://schemas.openxmlformats.org/officeDocument/2006/relationships/hyperlink" Target="https://find-and-update.company-information.service.gov.uk/company/07924059" TargetMode="External" Id="rId150" /><Relationship Type="http://schemas.openxmlformats.org/officeDocument/2006/relationships/hyperlink" Target="https://censuswide.com/" TargetMode="External" Id="rId151" /><Relationship Type="http://schemas.openxmlformats.org/officeDocument/2006/relationships/hyperlink" Target="https://www.atech.co.uk" TargetMode="External" Id="rId152" /><Relationship Type="http://schemas.openxmlformats.org/officeDocument/2006/relationships/hyperlink" Target="https://find-and-update.company-information.service.gov.uk/company/06021756" TargetMode="External" Id="rId153" /><Relationship Type="http://schemas.openxmlformats.org/officeDocument/2006/relationships/hyperlink" Target="https://www.atech.co.uk/" TargetMode="External" Id="rId154" /><Relationship Type="http://schemas.openxmlformats.org/officeDocument/2006/relationships/hyperlink" Target="https://mcbains.co.uk" TargetMode="External" Id="rId155" /><Relationship Type="http://schemas.openxmlformats.org/officeDocument/2006/relationships/hyperlink" Target="https://find-and-update.company-information.service.gov.uk/company/03094139" TargetMode="External" Id="rId156" /><Relationship Type="http://schemas.openxmlformats.org/officeDocument/2006/relationships/hyperlink" Target="https://mcbains.co.uk/" TargetMode="External" Id="rId157" /><Relationship Type="http://schemas.openxmlformats.org/officeDocument/2006/relationships/hyperlink" Target="https://fincore.ai" TargetMode="External" Id="rId158" /><Relationship Type="http://schemas.openxmlformats.org/officeDocument/2006/relationships/hyperlink" Target="https://find-and-update.company-information.service.gov.uk/company/05998321" TargetMode="External" Id="rId159" /><Relationship Type="http://schemas.openxmlformats.org/officeDocument/2006/relationships/hyperlink" Target="https://fincore.ai/" TargetMode="External" Id="rId160" /><Relationship Type="http://schemas.openxmlformats.org/officeDocument/2006/relationships/hyperlink" Target="https://fincore.ai/about/" TargetMode="External" Id="rId161" /><Relationship Type="http://schemas.openxmlformats.org/officeDocument/2006/relationships/hyperlink" Target="https://www.gtn.com" TargetMode="External" Id="rId162" /><Relationship Type="http://schemas.openxmlformats.org/officeDocument/2006/relationships/hyperlink" Target="https://find-and-update.company-information.service.gov.uk/company/14150611" TargetMode="External" Id="rId163" /><Relationship Type="http://schemas.openxmlformats.org/officeDocument/2006/relationships/hyperlink" Target="https://www.gtn.com/" TargetMode="External" Id="rId164" /><Relationship Type="http://schemas.openxmlformats.org/officeDocument/2006/relationships/hyperlink" Target="https://yulife.com" TargetMode="External" Id="rId165" /><Relationship Type="http://schemas.openxmlformats.org/officeDocument/2006/relationships/hyperlink" Target="https://find-and-update.company-information.service.gov.uk/company/10308260" TargetMode="External" Id="rId166" /><Relationship Type="http://schemas.openxmlformats.org/officeDocument/2006/relationships/hyperlink" Target="https://yulife.com/team/" TargetMode="External" Id="rId167" /><Relationship Type="http://schemas.openxmlformats.org/officeDocument/2006/relationships/hyperlink" Target="https://creditexbrokeragellp.com" TargetMode="External" Id="rId168" /><Relationship Type="http://schemas.openxmlformats.org/officeDocument/2006/relationships/hyperlink" Target="https://find-and-update.company-information.service.gov.uk/company/OC315800" TargetMode="External" Id="rId169" /><Relationship Type="http://schemas.openxmlformats.org/officeDocument/2006/relationships/hyperlink" Target="https://creditexbrokeragellp.com/" TargetMode="External" Id="rId170" /><Relationship Type="http://schemas.openxmlformats.org/officeDocument/2006/relationships/hyperlink" Target="https://creditexbrokeragellp.com/about/" TargetMode="External" Id="rId171" /><Relationship Type="http://schemas.openxmlformats.org/officeDocument/2006/relationships/hyperlink" Target="https://made.studio" TargetMode="External" Id="rId172" /><Relationship Type="http://schemas.openxmlformats.org/officeDocument/2006/relationships/hyperlink" Target="https://find-and-update.company-information.service.gov.uk/company/06591591" TargetMode="External" Id="rId173" /><Relationship Type="http://schemas.openxmlformats.org/officeDocument/2006/relationships/hyperlink" Target="https://made.studio/" TargetMode="External" Id="rId174" /><Relationship Type="http://schemas.openxmlformats.org/officeDocument/2006/relationships/hyperlink" Target="https://www.clovertechnology.co.uk" TargetMode="External" Id="rId175" /><Relationship Type="http://schemas.openxmlformats.org/officeDocument/2006/relationships/hyperlink" Target="https://find-and-update.company-information.service.gov.uk/company/13206820" TargetMode="External" Id="rId176" /><Relationship Type="http://schemas.openxmlformats.org/officeDocument/2006/relationships/hyperlink" Target="https://www.clovertechnology.co.uk/" TargetMode="External" Id="rId177" /><Relationship Type="http://schemas.openxmlformats.org/officeDocument/2006/relationships/hyperlink" Target="https://www.louderproductions.com" TargetMode="External" Id="rId178" /><Relationship Type="http://schemas.openxmlformats.org/officeDocument/2006/relationships/hyperlink" Target="https://find-and-update.company-information.service.gov.uk/company/06459817" TargetMode="External" Id="rId179" /><Relationship Type="http://schemas.openxmlformats.org/officeDocument/2006/relationships/hyperlink" Target="https://louderproductions.com/contact-us/" TargetMode="External" Id="rId180" /><Relationship Type="http://schemas.openxmlformats.org/officeDocument/2006/relationships/hyperlink" Target="https://www.arcontech.com" TargetMode="External" Id="rId181" /><Relationship Type="http://schemas.openxmlformats.org/officeDocument/2006/relationships/hyperlink" Target="https://find-and-update.company-information.service.gov.uk/company/04062416" TargetMode="External" Id="rId182" /><Relationship Type="http://schemas.openxmlformats.org/officeDocument/2006/relationships/hyperlink" Target="https://www.arcontech.com/" TargetMode="External" Id="rId183" /><Relationship Type="http://schemas.openxmlformats.org/officeDocument/2006/relationships/hyperlink" Target="https://bluesquare.io" TargetMode="External" Id="rId184" /><Relationship Type="http://schemas.openxmlformats.org/officeDocument/2006/relationships/hyperlink" Target="https://find-and-update.company-information.service.gov.uk/company/06797461" TargetMode="External" Id="rId185" /><Relationship Type="http://schemas.openxmlformats.org/officeDocument/2006/relationships/hyperlink" Target="https://bluesquare.io/" TargetMode="External" Id="rId186" /><Relationship Type="http://schemas.openxmlformats.org/officeDocument/2006/relationships/hyperlink" Target="https://www.container-solutions.com" TargetMode="External" Id="rId187" /><Relationship Type="http://schemas.openxmlformats.org/officeDocument/2006/relationships/hyperlink" Target="https://find-and-update.company-information.service.gov.uk/company/14061734" TargetMode="External" Id="rId188" /><Relationship Type="http://schemas.openxmlformats.org/officeDocument/2006/relationships/hyperlink" Target="https://www.container-solutions.com/" TargetMode="External" Id="rId189" /><Relationship Type="http://schemas.openxmlformats.org/officeDocument/2006/relationships/hyperlink" Target="https://www.parseq.com" TargetMode="External" Id="rId190" /><Relationship Type="http://schemas.openxmlformats.org/officeDocument/2006/relationships/hyperlink" Target="https://find-and-update.company-information.service.gov.uk/company/05815806" TargetMode="External" Id="rId191" /><Relationship Type="http://schemas.openxmlformats.org/officeDocument/2006/relationships/hyperlink" Target="https://www.parseq.com/" TargetMode="External" Id="rId192" /><Relationship Type="http://schemas.openxmlformats.org/officeDocument/2006/relationships/hyperlink" Target="https://www.quantexa.com" TargetMode="External" Id="rId193" /><Relationship Type="http://schemas.openxmlformats.org/officeDocument/2006/relationships/hyperlink" Target="https://find-and-update.company-information.service.gov.uk/company/10045407" TargetMode="External" Id="rId194" /><Relationship Type="http://schemas.openxmlformats.org/officeDocument/2006/relationships/hyperlink" Target="https://www.quantexa.com/" TargetMode="External" Id="rId195" /><Relationship Type="http://schemas.openxmlformats.org/officeDocument/2006/relationships/hyperlink" Target="https://www.maccreanorlavington.com" TargetMode="External" Id="rId196" /><Relationship Type="http://schemas.openxmlformats.org/officeDocument/2006/relationships/hyperlink" Target="https://find-and-update.company-information.service.gov.uk/company/04944069" TargetMode="External" Id="rId197" /><Relationship Type="http://schemas.openxmlformats.org/officeDocument/2006/relationships/hyperlink" Target="https://www.maccreanorlavington.com/" TargetMode="External" Id="rId198" /><Relationship Type="http://schemas.openxmlformats.org/officeDocument/2006/relationships/hyperlink" Target="https://www.maccreanorlavington.com/practice/about-us/" TargetMode="External" Id="rId199" /><Relationship Type="http://schemas.openxmlformats.org/officeDocument/2006/relationships/hyperlink" Target="https://www.valeofoods.co.uk" TargetMode="External" Id="rId200" /><Relationship Type="http://schemas.openxmlformats.org/officeDocument/2006/relationships/hyperlink" Target="https://find-and-update.company-information.service.gov.uk/company/OC391111" TargetMode="External" Id="rId201" /><Relationship Type="http://schemas.openxmlformats.org/officeDocument/2006/relationships/hyperlink" Target="https://www.valeofoods.co.uk/contact" TargetMode="External" Id="rId202" /><Relationship Type="http://schemas.openxmlformats.org/officeDocument/2006/relationships/hyperlink" Target="https://www.yourworld.com" TargetMode="External" Id="rId203" /><Relationship Type="http://schemas.openxmlformats.org/officeDocument/2006/relationships/hyperlink" Target="https://find-and-update.company-information.service.gov.uk/company/05460751" TargetMode="External" Id="rId204" /><Relationship Type="http://schemas.openxmlformats.org/officeDocument/2006/relationships/hyperlink" Target="https://www.yourworld.com/uk/contact" TargetMode="External" Id="rId205" /><Relationship Type="http://schemas.openxmlformats.org/officeDocument/2006/relationships/hyperlink" Target="https://www.beeline.com" TargetMode="External" Id="rId206" /><Relationship Type="http://schemas.openxmlformats.org/officeDocument/2006/relationships/hyperlink" Target="https://find-and-update.company-information.service.gov.uk/company/04993515" TargetMode="External" Id="rId207" /><Relationship Type="http://schemas.openxmlformats.org/officeDocument/2006/relationships/hyperlink" Target="https://www.beeline.com/contact/support" TargetMode="External" Id="rId208" /><Relationship Type="http://schemas.openxmlformats.org/officeDocument/2006/relationships/hyperlink" Target="https://www.optimove.com" TargetMode="External" Id="rId209" /><Relationship Type="http://schemas.openxmlformats.org/officeDocument/2006/relationships/hyperlink" Target="https://find-and-update.company-information.service.gov.uk/company/10443820" TargetMode="External" Id="rId210" /><Relationship Type="http://schemas.openxmlformats.org/officeDocument/2006/relationships/hyperlink" Target="https://www.optimove.com/contact" TargetMode="External" Id="rId211" /><Relationship Type="http://schemas.openxmlformats.org/officeDocument/2006/relationships/hyperlink" Target="https://www.moonpay.com" TargetMode="External" Id="rId212" /><Relationship Type="http://schemas.openxmlformats.org/officeDocument/2006/relationships/hyperlink" Target="https://find-and-update.company-information.service.gov.uk/company/12055543" TargetMode="External" Id="rId213" /><Relationship Type="http://schemas.openxmlformats.org/officeDocument/2006/relationships/hyperlink" Target="https://www.moonpay.com/newsroom/changelog" TargetMode="External" Id="rId214" /><Relationship Type="http://schemas.openxmlformats.org/officeDocument/2006/relationships/hyperlink" Target="https://tvf.co.uk" TargetMode="External" Id="rId215" /><Relationship Type="http://schemas.openxmlformats.org/officeDocument/2006/relationships/hyperlink" Target="https://find-and-update.company-information.service.gov.uk/company/02830019" TargetMode="External" Id="rId216" /><Relationship Type="http://schemas.openxmlformats.org/officeDocument/2006/relationships/hyperlink" Target="https://tvf.co.uk/contact" TargetMode="External" Id="rId217" /><Relationship Type="http://schemas.openxmlformats.org/officeDocument/2006/relationships/hyperlink" Target="https://tvf.co.uk/" TargetMode="External" Id="rId218" /><Relationship Type="http://schemas.openxmlformats.org/officeDocument/2006/relationships/hyperlink" Target="https://www.datasite.com" TargetMode="External" Id="rId219" /><Relationship Type="http://schemas.openxmlformats.org/officeDocument/2006/relationships/hyperlink" Target="https://find-and-update.company-information.service.gov.uk/company/03829230" TargetMode="External" Id="rId220" /><Relationship Type="http://schemas.openxmlformats.org/officeDocument/2006/relationships/hyperlink" Target="https://www.datasite.com/en/company/careers" TargetMode="External" Id="rId221" /><Relationship Type="http://schemas.openxmlformats.org/officeDocument/2006/relationships/hyperlink" Target="https://www.datasite.com/en/company/about" TargetMode="External" Id="rId222" /><Relationship Type="http://schemas.openxmlformats.org/officeDocument/2006/relationships/hyperlink" Target="https://www.side.com" TargetMode="External" Id="rId223" /><Relationship Type="http://schemas.openxmlformats.org/officeDocument/2006/relationships/hyperlink" Target="https://find-and-update.company-information.service.gov.uk/company/03134517" TargetMode="External" Id="rId224" /><Relationship Type="http://schemas.openxmlformats.org/officeDocument/2006/relationships/hyperlink" Target="https://www.side.com/locations/" TargetMode="External" Id="rId225" /><Relationship Type="http://schemas.openxmlformats.org/officeDocument/2006/relationships/hyperlink" Target="https://mother.com" TargetMode="External" Id="rId226" /><Relationship Type="http://schemas.openxmlformats.org/officeDocument/2006/relationships/hyperlink" Target="https://find-and-update.company-information.service.gov.uk/company/04983564" TargetMode="External" Id="rId227" /><Relationship Type="http://schemas.openxmlformats.org/officeDocument/2006/relationships/hyperlink" Target="https://mother.com/contact/" TargetMode="External" Id="rId228" /><Relationship Type="http://schemas.openxmlformats.org/officeDocument/2006/relationships/hyperlink" Target="https://www.paloma.com" TargetMode="External" Id="rId229" /><Relationship Type="http://schemas.openxmlformats.org/officeDocument/2006/relationships/hyperlink" Target="https://find-and-update.company-information.service.gov.uk/company/OC423581" TargetMode="External" Id="rId230" /><Relationship Type="http://schemas.openxmlformats.org/officeDocument/2006/relationships/hyperlink" Target="https://www.paloma.com/contact" TargetMode="External" Id="rId231" /><Relationship Type="http://schemas.openxmlformats.org/officeDocument/2006/relationships/hyperlink" Target="https://squadron.com" TargetMode="External" Id="rId232" /><Relationship Type="http://schemas.openxmlformats.org/officeDocument/2006/relationships/hyperlink" Target="https://find-and-update.company-information.service.gov.uk/company/OC449650" TargetMode="External" Id="rId233" /><Relationship Type="http://schemas.openxmlformats.org/officeDocument/2006/relationships/hyperlink" Target="https://squadron.com/" TargetMode="External" Id="rId234" /><Relationship Type="http://schemas.openxmlformats.org/officeDocument/2006/relationships/hyperlink" Target="https://northdoor.co" TargetMode="External" Id="rId235" /><Relationship Type="http://schemas.openxmlformats.org/officeDocument/2006/relationships/hyperlink" Target="https://find-and-update.company-information.service.gov.uk/company/02192480" TargetMode="External" Id="rId236" /><Relationship Type="http://schemas.openxmlformats.org/officeDocument/2006/relationships/hyperlink" Target="https://northdoor.co/" TargetMode="External" Id="rId237" /><Relationship Type="http://schemas.openxmlformats.org/officeDocument/2006/relationships/hyperlink" Target="https://lightboxmedia.co" TargetMode="External" Id="rId238" /><Relationship Type="http://schemas.openxmlformats.org/officeDocument/2006/relationships/hyperlink" Target="https://find-and-update.company-information.service.gov.uk/company/08768677" TargetMode="External" Id="rId239" /><Relationship Type="http://schemas.openxmlformats.org/officeDocument/2006/relationships/hyperlink" Target="https://lightboxmedia.co/" TargetMode="External" Id="rId240" /><Relationship Type="http://schemas.openxmlformats.org/officeDocument/2006/relationships/hyperlink" Target="https://www.creativemonster.com" TargetMode="External" Id="rId241" /><Relationship Type="http://schemas.openxmlformats.org/officeDocument/2006/relationships/hyperlink" Target="https://find-and-update.company-information.service.gov.uk/company/10806730" TargetMode="External" Id="rId242" /><Relationship Type="http://schemas.openxmlformats.org/officeDocument/2006/relationships/hyperlink" Target="https://www.creativemonster.com/" TargetMode="External" Id="rId243" /><Relationship Type="http://schemas.openxmlformats.org/officeDocument/2006/relationships/hyperlink" Target="https://sigmatic.io" TargetMode="External" Id="rId244" /><Relationship Type="http://schemas.openxmlformats.org/officeDocument/2006/relationships/hyperlink" Target="https://find-and-update.company-information.service.gov.uk/company/03034965" TargetMode="External" Id="rId245" /><Relationship Type="http://schemas.openxmlformats.org/officeDocument/2006/relationships/hyperlink" Target="https://sigmatic.io/" TargetMode="External" Id="rId24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E79"/>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2" customWidth="1" min="5" max="5"/>
    <col width="22" customWidth="1" min="6" max="6"/>
    <col width="24" customWidth="1" min="7" max="7"/>
    <col width="9" customWidth="1" min="8" max="8"/>
    <col width="11" customWidth="1" min="9" max="9"/>
    <col width="10" customWidth="1" min="10" max="10"/>
    <col width="8" customWidth="1" min="11" max="11"/>
    <col width="11" customWidth="1" min="12" max="12"/>
    <col width="30" customWidth="1" min="13" max="13"/>
    <col width="9" customWidth="1" min="14" max="14"/>
    <col width="9" customWidth="1" min="15" max="15"/>
    <col width="11" customWidth="1" min="16" max="16"/>
    <col width="18" customWidth="1" min="17" max="17"/>
    <col width="20" customWidth="1" min="18" max="18"/>
    <col width="28" customWidth="1" min="19" max="19"/>
    <col width="20" customWidth="1" min="20" max="20"/>
    <col width="22" customWidth="1" min="21" max="21"/>
    <col width="18" customWidth="1" min="22" max="22"/>
    <col width="12" customWidth="1" min="23" max="23"/>
    <col width="26" customWidth="1" min="24" max="24"/>
    <col width="10" customWidth="1" min="25" max="25"/>
    <col width="22" customWidth="1" min="26" max="26"/>
    <col width="26" customWidth="1" min="27" max="27"/>
    <col width="7" customWidth="1" min="28" max="28"/>
    <col width="26" customWidth="1" min="29" max="29"/>
    <col width="30" customWidth="1" min="30" max="30"/>
    <col width="10" customWidth="1" min="31" max="31"/>
    <col width="9" customWidth="1" min="32" max="32"/>
    <col width="9" customWidth="1" min="33" max="33"/>
    <col width="36" customWidth="1" min="34" max="34"/>
    <col width="20" customWidth="1" min="35" max="35"/>
    <col width="12" customWidth="1" min="36" max="36"/>
    <col width="9" customWidth="1" min="37" max="37"/>
    <col width="30" customWidth="1" min="38" max="38"/>
    <col width="26" customWidth="1" min="39" max="39"/>
    <col width="40" customWidth="1" min="40" max="40"/>
    <col width="60" customWidth="1" min="41" max="41"/>
    <col width="45" customWidth="1" min="42" max="42"/>
    <col width="60" customWidth="1" min="43" max="43"/>
    <col width="45" customWidth="1" min="44" max="44"/>
    <col width="10" customWidth="1" min="45" max="45"/>
    <col width="9" customWidth="1" min="46" max="46"/>
    <col width="24" customWidth="1" min="47" max="47"/>
    <col width="30" customWidth="1" min="48" max="48"/>
    <col width="8" customWidth="1" min="49" max="49"/>
    <col width="11" customWidth="1" min="50" max="50"/>
    <col width="11" customWidth="1" min="51" max="51"/>
    <col width="8" customWidth="1" min="52" max="52"/>
    <col width="14" customWidth="1" min="53" max="53"/>
    <col width="8" customWidth="1" min="54" max="54"/>
    <col width="8" customWidth="1" min="55" max="55"/>
    <col width="8" customWidth="1" min="56" max="56"/>
    <col width="28" customWidth="1" min="57" max="57"/>
  </cols>
  <sheetData>
    <row r="1">
      <c r="A1" s="1" t="inlineStr">
        <is>
          <t>Company</t>
        </is>
      </c>
      <c r="B1" s="2" t="n"/>
      <c r="C1" s="2" t="n"/>
      <c r="D1" s="2" t="n"/>
      <c r="E1" s="2" t="n"/>
      <c r="F1" s="2" t="n"/>
      <c r="G1" s="2" t="n"/>
      <c r="H1" s="2" t="n"/>
      <c r="I1" s="2" t="n"/>
      <c r="J1" s="2" t="n"/>
      <c r="K1" s="2" t="n"/>
      <c r="L1" s="2" t="n"/>
      <c r="M1" s="2" t="n"/>
      <c r="N1" s="2" t="n"/>
      <c r="O1" s="2" t="n"/>
      <c r="P1" s="3" t="inlineStr">
        <is>
          <t>Contact</t>
        </is>
      </c>
      <c r="Q1" s="4" t="n"/>
      <c r="R1" s="4" t="n"/>
      <c r="S1" s="4" t="n"/>
      <c r="T1" s="4" t="n"/>
      <c r="U1" s="4" t="n"/>
      <c r="V1" s="4" t="n"/>
      <c r="W1" s="4" t="n"/>
      <c r="X1" s="5" t="inlineStr">
        <is>
          <t>Office &amp; pitch</t>
        </is>
      </c>
      <c r="Y1" s="6" t="n"/>
      <c r="Z1" s="6" t="n"/>
      <c r="AA1" s="6" t="n"/>
      <c r="AB1" s="6" t="n"/>
      <c r="AC1" s="7" t="inlineStr">
        <is>
          <t>Lead with (message)</t>
        </is>
      </c>
      <c r="AD1" s="8" t="n"/>
      <c r="AE1" s="8" t="n"/>
      <c r="AF1" s="8" t="n"/>
      <c r="AG1" s="8" t="n"/>
      <c r="AH1" s="8" t="n"/>
      <c r="AI1" s="8" t="n"/>
      <c r="AJ1" s="8" t="n"/>
      <c r="AK1" s="8" t="n"/>
      <c r="AL1" s="8" t="n"/>
      <c r="AM1" s="8" t="n"/>
      <c r="AN1" s="8" t="n"/>
      <c r="AO1" s="8" t="n"/>
      <c r="AP1" s="8" t="n"/>
      <c r="AQ1" s="8" t="n"/>
      <c r="AR1" s="8" t="n"/>
      <c r="AS1" s="9" t="inlineStr">
        <is>
          <t>Checks</t>
        </is>
      </c>
      <c r="AT1" s="10" t="n"/>
      <c r="AU1" s="10" t="n"/>
      <c r="AV1" s="10" t="n"/>
      <c r="AW1" s="11" t="inlineStr">
        <is>
          <t>Tracking — fill in</t>
        </is>
      </c>
      <c r="AX1" s="12" t="n"/>
      <c r="AY1" s="12" t="n"/>
      <c r="AZ1" s="12" t="n"/>
      <c r="BA1" s="12" t="n"/>
      <c r="BB1" s="12" t="n"/>
      <c r="BC1" s="12" t="n"/>
      <c r="BD1" s="12" t="n"/>
      <c r="BE1" s="12" t="n"/>
    </row>
    <row r="2" ht="42" customHeight="1">
      <c r="A2" s="13" t="inlineStr">
        <is>
          <t>#</t>
        </is>
      </c>
      <c r="B2" s="13" t="inlineStr">
        <is>
          <t>Priority</t>
        </is>
      </c>
      <c r="C2" s="13" t="inlineStr">
        <is>
          <t>Segment</t>
        </is>
      </c>
      <c r="D2" s="13" t="inlineStr">
        <is>
          <t>Area</t>
        </is>
      </c>
      <c r="E2" s="13" t="inlineStr">
        <is>
          <t>Company</t>
        </is>
      </c>
      <c r="F2" s="13" t="inlineStr">
        <is>
          <t>Name for messages</t>
        </is>
      </c>
      <c r="G2" s="13" t="inlineStr">
        <is>
          <t>Website</t>
        </is>
      </c>
      <c r="H2" s="13" t="inlineStr">
        <is>
          <t>Headcount</t>
        </is>
      </c>
      <c r="I2" s="13" t="inlineStr">
        <is>
          <t>Companies House no.</t>
        </is>
      </c>
      <c r="J2" s="13" t="inlineStr">
        <is>
          <t>Companies House</t>
        </is>
      </c>
      <c r="K2" s="13" t="inlineStr">
        <is>
          <t>Accounts</t>
        </is>
      </c>
      <c r="L2" s="13" t="inlineStr">
        <is>
          <t>Incorporated</t>
        </is>
      </c>
      <c r="M2" s="13" t="inlineStr">
        <is>
          <t>Registered address</t>
        </is>
      </c>
      <c r="N2" s="13" t="inlineStr">
        <is>
          <t>Postcode</t>
        </is>
      </c>
      <c r="O2" s="13" t="inlineStr">
        <is>
          <t>In 933 research list?</t>
        </is>
      </c>
      <c r="P2" s="13" t="inlineStr">
        <is>
          <t>Contact first name</t>
        </is>
      </c>
      <c r="Q2" s="13" t="inlineStr">
        <is>
          <t>Contact full name</t>
        </is>
      </c>
      <c r="R2" s="13" t="inlineStr">
        <is>
          <t>Contact title</t>
        </is>
      </c>
      <c r="S2" s="13" t="inlineStr">
        <is>
          <t>Email</t>
        </is>
      </c>
      <c r="T2" s="13" t="inlineStr">
        <is>
          <t>Email type</t>
        </is>
      </c>
      <c r="U2" s="13" t="inlineStr">
        <is>
          <t>Contact source URL</t>
        </is>
      </c>
      <c r="V2" s="13" t="inlineStr">
        <is>
          <t>Direct email</t>
        </is>
      </c>
      <c r="W2" s="13" t="inlineStr">
        <is>
          <t>Phone</t>
        </is>
      </c>
      <c r="X2" s="13" t="inlineStr">
        <is>
          <t>Office street</t>
        </is>
      </c>
      <c r="Y2" s="13" t="inlineStr">
        <is>
          <t>Office postcode</t>
        </is>
      </c>
      <c r="Z2" s="13" t="inlineStr">
        <is>
          <t>Office basis</t>
        </is>
      </c>
      <c r="AA2" s="13" t="inlineStr">
        <is>
          <t>Nearest pitch</t>
        </is>
      </c>
      <c r="AB2" s="13" t="inlineStr">
        <is>
          <t>Walk (min)</t>
        </is>
      </c>
      <c r="AC2" s="13" t="inlineStr">
        <is>
          <t>Lead with: pitch</t>
        </is>
      </c>
      <c r="AD2" s="13" t="inlineStr">
        <is>
          <t>Lead with: slot</t>
        </is>
      </c>
      <c r="AE2" s="13" t="inlineStr">
        <is>
          <t>Slot type</t>
        </is>
      </c>
      <c r="AF2" s="13" t="inlineStr">
        <is>
          <t>Lead with: format</t>
        </is>
      </c>
      <c r="AG2" s="13" t="inlineStr">
        <is>
          <t>Price per player (£)</t>
        </is>
      </c>
      <c r="AH2" s="13" t="inlineStr">
        <is>
          <t>Personal line</t>
        </is>
      </c>
      <c r="AI2" s="13" t="inlineStr">
        <is>
          <t>Personal line source</t>
        </is>
      </c>
      <c r="AJ2" s="13" t="inlineStr">
        <is>
          <t>Hook type</t>
        </is>
      </c>
      <c r="AK2" s="13" t="inlineStr">
        <is>
          <t>Research confidence</t>
        </is>
      </c>
      <c r="AL2" s="13" t="inlineStr">
        <is>
          <t>Check before sending</t>
        </is>
      </c>
      <c r="AM2" s="13" t="inlineStr">
        <is>
          <t>Send to</t>
        </is>
      </c>
      <c r="AN2" s="13" t="inlineStr">
        <is>
          <t>Subject</t>
        </is>
      </c>
      <c r="AO2" s="13" t="inlineStr">
        <is>
          <t>Personalised email (price pending)</t>
        </is>
      </c>
      <c r="AP2" s="13" t="inlineStr">
        <is>
          <t>Personalised follow-up (price pending)</t>
        </is>
      </c>
      <c r="AQ2" s="13" t="inlineStr">
        <is>
          <t>Email draft</t>
        </is>
      </c>
      <c r="AR2" s="13" t="inlineStr">
        <is>
          <t>Follow-up email (day 4)</t>
        </is>
      </c>
      <c r="AS2" s="13" t="inlineStr">
        <is>
          <t>Suppression check</t>
        </is>
      </c>
      <c r="AT2" s="13" t="inlineStr">
        <is>
          <t>MX check</t>
        </is>
      </c>
      <c r="AU2" s="13" t="inlineStr">
        <is>
          <t>Hold (check first)</t>
        </is>
      </c>
      <c r="AV2" s="13" t="inlineStr">
        <is>
          <t>Draftable</t>
        </is>
      </c>
      <c r="AW2" s="14" t="inlineStr">
        <is>
          <t>Owner</t>
        </is>
      </c>
      <c r="AX2" s="14" t="inlineStr">
        <is>
          <t>Contacted on</t>
        </is>
      </c>
      <c r="AY2" s="14" t="inlineStr">
        <is>
          <t>Follow-up sent on</t>
        </is>
      </c>
      <c r="AZ2" s="14" t="inlineStr">
        <is>
          <t>Replied</t>
        </is>
      </c>
      <c r="BA2" s="14" t="inlineStr">
        <is>
          <t>Reply category</t>
        </is>
      </c>
      <c r="BB2" s="14" t="inlineStr">
        <is>
          <t>Call booked</t>
        </is>
      </c>
      <c r="BC2" s="14" t="inlineStr">
        <is>
          <t>Group created</t>
        </is>
      </c>
      <c r="BD2" s="14" t="inlineStr">
        <is>
          <t>First game booked</t>
        </is>
      </c>
      <c r="BE2" s="14" t="inlineStr">
        <is>
          <t>Notes</t>
        </is>
      </c>
    </row>
    <row r="3">
      <c r="A3" s="15" t="n">
        <v>1</v>
      </c>
      <c r="B3" s="15" t="n">
        <v>1</v>
      </c>
      <c r="C3" s="15" t="inlineStr">
        <is>
          <t>Marketing / agency</t>
        </is>
      </c>
      <c r="D3" s="15" t="inlineStr">
        <is>
          <t>EC1V</t>
        </is>
      </c>
      <c r="E3" s="15" t="inlineStr">
        <is>
          <t>Leadscale Limited</t>
        </is>
      </c>
      <c r="F3" s="15" t="inlineStr">
        <is>
          <t>Leadscale</t>
        </is>
      </c>
      <c r="G3" s="16" t="inlineStr">
        <is>
          <t>https://leadscale.com</t>
        </is>
      </c>
      <c r="H3" s="15" t="inlineStr">
        <is>
          <t>Not stated</t>
        </is>
      </c>
      <c r="I3" s="15" t="inlineStr">
        <is>
          <t>08650664</t>
        </is>
      </c>
      <c r="J3" s="16" t="inlineStr">
        <is>
          <t>Open</t>
        </is>
      </c>
      <c r="K3" s="15" t="inlineStr">
        <is>
          <t>Group</t>
        </is>
      </c>
      <c r="L3" s="15" t="inlineStr">
        <is>
          <t>14/08/2013</t>
        </is>
      </c>
      <c r="M3" s="15" t="inlineStr">
        <is>
          <t>Unit 1, 6 Owen Street, London</t>
        </is>
      </c>
      <c r="N3" s="15" t="inlineStr">
        <is>
          <t>EC1V 7JX</t>
        </is>
      </c>
      <c r="O3" s="15" t="inlineStr">
        <is>
          <t>No</t>
        </is>
      </c>
      <c r="P3" s="15" t="n"/>
      <c r="Q3" s="15" t="n"/>
      <c r="R3" s="15" t="n"/>
      <c r="S3" s="15" t="inlineStr">
        <is>
          <t>hr@leadscale.com</t>
        </is>
      </c>
      <c r="T3" s="15" t="inlineStr">
        <is>
          <t>a/b named person</t>
        </is>
      </c>
      <c r="U3" s="16" t="inlineStr">
        <is>
          <t>https://leadscale.com/careers/</t>
        </is>
      </c>
      <c r="X3" s="15" t="inlineStr">
        <is>
          <t>Unit 1, 6 Owen Street</t>
        </is>
      </c>
      <c r="Y3" s="15" t="inlineStr">
        <is>
          <t>EC1V 7JX</t>
        </is>
      </c>
      <c r="Z3" s="15" t="inlineStr">
        <is>
          <t>Website (Unit 1, 6 Owen Street)</t>
        </is>
      </c>
      <c r="AA3" s="15" t="inlineStr">
        <is>
          <t>Old St - Moreland Primary School</t>
        </is>
      </c>
      <c r="AB3" s="15" t="n">
        <v>9</v>
      </c>
      <c r="AC3" s="15" t="inlineStr">
        <is>
          <t>Old St - Moreland Primary School</t>
        </is>
      </c>
      <c r="AD3" s="15" t="inlineStr">
        <is>
          <t>Monday 12 October at 18:00</t>
        </is>
      </c>
      <c r="AE3" s="15" t="inlineStr">
        <is>
          <t>One-off</t>
        </is>
      </c>
      <c r="AF3" s="15" t="inlineStr">
        <is>
          <t>6-a-side</t>
        </is>
      </c>
      <c r="AG3" s="17">
        <f>IF(Offer!$D$5="","",Offer!$D$5)</f>
        <v/>
      </c>
      <c r="AH3" s="15" t="inlineStr">
        <is>
          <t>Describes itself as ‘growing and close-knit, valuing circles of knowledge rather than squares of hierarchy’</t>
        </is>
      </c>
      <c r="AI3" s="16" t="inlineStr">
        <is>
          <t>https://leadscale.com/careers/</t>
        </is>
      </c>
      <c r="AJ3" s="15" t="inlineStr">
        <is>
          <t>culture/sport</t>
        </is>
      </c>
      <c r="AK3" s="15" t="inlineStr">
        <is>
          <t>high</t>
        </is>
      </c>
      <c r="AL3" s="15" t="n"/>
      <c r="AM3" s="18">
        <f>IF(V3&lt;&gt;"",V3,S3)</f>
        <v/>
      </c>
      <c r="AN3" s="18">
        <f>IF(AG3="","","9 min from Owen Street: a weekly team game")</f>
        <v/>
      </c>
      <c r="AO3" s="19" t="inlineStr">
        <is>
          <t>Hi Leadscale team,
You describe Team Leadscale as growing and close-knit, valuing circles of knowledge over hierarchy — that's exactly the kind of team that plays well together. We've got a 6-a-side pitch at Moreland School, Gard Street, a 9-minute walk from Owen Street, with Monday 12 October at 18:00 open (or 19:00), and it's an easy way to make that a regular weekly thing. It's {PRICE} a player, and we book the pitch and handle sign-ups and payments, so someone just shares one link with the team. Would your team be up for it?
Best,
Brian
FC Urban</t>
        </is>
      </c>
      <c r="AP3" s="19" t="inlineStr">
        <is>
          <t>Hi Leadscale team,
Following up on Monday 12 October at 18:00 (or 19:00) at Moreland School, a 9-minute walk from Owen Street. Still {PRICE} a player, we handle the pitch, sign-ups and payments. Shall I hold a slot for the team?
Best,
Brian</t>
        </is>
      </c>
      <c r="AQ3" s="20">
        <f>IF(OR(AG3="",AO3=""),"",SUBSTITUTE(AO3,"{PRICE}","£"&amp;IF(AG3=INT(AG3),TEXT(AG3,"0"),TEXT(AG3,"0.00"))))</f>
        <v/>
      </c>
      <c r="AR3" s="20">
        <f>IF(OR(AG3="",AP3=""),"",SUBSTITUTE(AP3,"{PRICE}","£"&amp;IF(AG3=INT(AG3),TEXT(AG3,"0"),TEXT(AG3,"0.00"))))</f>
        <v/>
      </c>
      <c r="AS3" s="15" t="inlineStr">
        <is>
          <t>pass</t>
        </is>
      </c>
      <c r="AT3" s="15" t="inlineStr">
        <is>
          <t>MX ok · mailbox not verified</t>
        </is>
      </c>
      <c r="AU3" s="15" t="n"/>
      <c r="AV3" s="18">
        <f>IF(AU3&lt;&gt;"","No – hold: "&amp;AU3,IF(AG3="","No – no confirmed London price per player",IF(AM3="","No – no email",IF(AO3="","No – no personalised email",IF(AS3&lt;&gt;"pass","No – suppressed","Yes")))))</f>
        <v/>
      </c>
      <c r="AX3" s="21" t="n"/>
      <c r="AY3" s="21" t="n"/>
    </row>
    <row r="4">
      <c r="A4" s="15" t="n">
        <v>2</v>
      </c>
      <c r="B4" s="15" t="n">
        <v>1</v>
      </c>
      <c r="C4" s="15" t="inlineStr">
        <is>
          <t>Tech / software</t>
        </is>
      </c>
      <c r="D4" s="15" t="inlineStr">
        <is>
          <t>EC1V</t>
        </is>
      </c>
      <c r="E4" s="15" t="inlineStr">
        <is>
          <t>Exigere Project Services Limited</t>
        </is>
      </c>
      <c r="F4" s="15" t="inlineStr">
        <is>
          <t>Exigere Project</t>
        </is>
      </c>
      <c r="G4" s="16" t="inlineStr">
        <is>
          <t>https://www.exigere.co.uk</t>
        </is>
      </c>
      <c r="H4" s="15" t="n">
        <v>60</v>
      </c>
      <c r="I4" s="15" t="inlineStr">
        <is>
          <t>09049470</t>
        </is>
      </c>
      <c r="J4" s="16" t="inlineStr">
        <is>
          <t>Open</t>
        </is>
      </c>
      <c r="K4" s="15" t="inlineStr">
        <is>
          <t>Full</t>
        </is>
      </c>
      <c r="L4" s="15" t="inlineStr">
        <is>
          <t>21/05/2014</t>
        </is>
      </c>
      <c r="M4" s="15" t="inlineStr">
        <is>
          <t>Morelands, 5-23 Old Street, London</t>
        </is>
      </c>
      <c r="N4" s="15" t="inlineStr">
        <is>
          <t>EC1V 9HL</t>
        </is>
      </c>
      <c r="O4" s="15" t="inlineStr">
        <is>
          <t>No</t>
        </is>
      </c>
      <c r="P4" s="15" t="inlineStr">
        <is>
          <t>Martin</t>
        </is>
      </c>
      <c r="Q4" s="15" t="inlineStr">
        <is>
          <t>Martin Broughton</t>
        </is>
      </c>
      <c r="R4" s="15" t="inlineStr">
        <is>
          <t>Partner</t>
        </is>
      </c>
      <c r="S4" s="15" t="inlineStr">
        <is>
          <t>martin.broughton@exigere.co.uk</t>
        </is>
      </c>
      <c r="T4" s="15" t="inlineStr">
        <is>
          <t>a/b named person</t>
        </is>
      </c>
      <c r="U4" s="16" t="inlineStr">
        <is>
          <t>https://exigere.co.uk/people</t>
        </is>
      </c>
      <c r="X4" s="15" t="inlineStr">
        <is>
          <t>Morelands, 5-23 Old Street</t>
        </is>
      </c>
      <c r="Y4" s="15" t="inlineStr">
        <is>
          <t>EC1V 9HL</t>
        </is>
      </c>
      <c r="Z4" s="15" t="inlineStr">
        <is>
          <t>Website (Morelands, 5-23 Old Street)</t>
        </is>
      </c>
      <c r="AA4" s="15" t="inlineStr">
        <is>
          <t>Old St - Moreland Primary School</t>
        </is>
      </c>
      <c r="AB4" s="15" t="n">
        <v>10</v>
      </c>
      <c r="AC4" s="15" t="inlineStr">
        <is>
          <t>Old St - Moreland Primary School</t>
        </is>
      </c>
      <c r="AD4" s="15" t="inlineStr">
        <is>
          <t>Monday 12 October at 18:00</t>
        </is>
      </c>
      <c r="AE4" s="15" t="inlineStr">
        <is>
          <t>One-off</t>
        </is>
      </c>
      <c r="AF4" s="15" t="inlineStr">
        <is>
          <t>6-a-side</t>
        </is>
      </c>
      <c r="AG4" s="17">
        <f>IF(Offer!$D$5="","",Offer!$D$5)</f>
        <v/>
      </c>
      <c r="AH4" s="15" t="inlineStr">
        <is>
          <t>Team benefits include an annual company conference and a paid volunteering day</t>
        </is>
      </c>
      <c r="AI4" s="15" t="inlineStr">
        <is>
          <t>https://exigere.co.uk/careers</t>
        </is>
      </c>
      <c r="AJ4" s="15" t="inlineStr">
        <is>
          <t>culture/sport</t>
        </is>
      </c>
      <c r="AK4" s="15" t="inlineStr">
        <is>
          <t>high</t>
        </is>
      </c>
      <c r="AL4" s="15" t="n"/>
      <c r="AM4" s="18">
        <f>IF(V4&lt;&gt;"",V4,S4)</f>
        <v/>
      </c>
      <c r="AN4" s="18">
        <f>IF(AG4="","","10 min from Old Street: a weekly team game")</f>
        <v/>
      </c>
      <c r="AO4" s="19" t="inlineStr">
        <is>
          <t>Hi Martin,
Exigere already gets the whole team together for your annual company conference, so a regular weekly game wouldn't be a stretch. We've got the floodlit 6-a-side pitch at Moreland School, Gard Street, a 10-minute walk from your Old Street office, with Monday 12 October at 18:00 open (or 19:00), and it can become a fixed weekly slot. It's {PRICE} a player, and we book the pitch and handle sign-ups and payments, so someone just shares one link with the team. Shall I hold Monday for you?
Best,
Brian
FC Urban</t>
        </is>
      </c>
      <c r="AP4" s="19" t="inlineStr">
        <is>
          <t>Hi Martin,
Following up on Monday 12 October at 18:00 (or 19:00) at Moreland School, a 10-minute walk from Old Street. Still {PRICE} a player, we sort the pitch, sign-ups and payments. Want me to hold a slot for the Exigere team?
Best,
Brian</t>
        </is>
      </c>
      <c r="AQ4" s="20">
        <f>IF(OR(AG4="",AO4=""),"",SUBSTITUTE(AO4,"{PRICE}","£"&amp;IF(AG4=INT(AG4),TEXT(AG4,"0"),TEXT(AG4,"0.00"))))</f>
        <v/>
      </c>
      <c r="AR4" s="20">
        <f>IF(OR(AG4="",AP4=""),"",SUBSTITUTE(AP4,"{PRICE}","£"&amp;IF(AG4=INT(AG4),TEXT(AG4,"0"),TEXT(AG4,"0.00"))))</f>
        <v/>
      </c>
      <c r="AS4" s="15" t="inlineStr">
        <is>
          <t>pass</t>
        </is>
      </c>
      <c r="AT4" s="15" t="inlineStr">
        <is>
          <t>MX ok · mailbox not verified</t>
        </is>
      </c>
      <c r="AU4" s="15" t="n"/>
      <c r="AV4" s="18">
        <f>IF(AU4&lt;&gt;"","No – hold: "&amp;AU4,IF(AG4="","No – no confirmed London price per player",IF(AM4="","No – no email",IF(AO4="","No – no personalised email",IF(AS4&lt;&gt;"pass","No – suppressed","Yes")))))</f>
        <v/>
      </c>
      <c r="AX4" s="21" t="n"/>
      <c r="AY4" s="21" t="n"/>
    </row>
    <row r="5">
      <c r="A5" s="15" t="n">
        <v>3</v>
      </c>
      <c r="B5" s="15" t="n">
        <v>1</v>
      </c>
      <c r="C5" s="15" t="inlineStr">
        <is>
          <t>Architecture</t>
        </is>
      </c>
      <c r="D5" s="15" t="inlineStr">
        <is>
          <t>EC2A</t>
        </is>
      </c>
      <c r="E5" s="15" t="inlineStr">
        <is>
          <t>Veretec Limited</t>
        </is>
      </c>
      <c r="F5" s="15" t="inlineStr">
        <is>
          <t>Veretec</t>
        </is>
      </c>
      <c r="G5" s="16" t="inlineStr">
        <is>
          <t>https://veretec.co.uk</t>
        </is>
      </c>
      <c r="H5" s="15" t="inlineStr">
        <is>
          <t>Not stated</t>
        </is>
      </c>
      <c r="I5" s="15" t="inlineStr">
        <is>
          <t>01959521</t>
        </is>
      </c>
      <c r="J5" s="16" t="inlineStr">
        <is>
          <t>Open</t>
        </is>
      </c>
      <c r="K5" s="15" t="inlineStr">
        <is>
          <t>Full</t>
        </is>
      </c>
      <c r="L5" s="15" t="inlineStr">
        <is>
          <t>15/11/1985</t>
        </is>
      </c>
      <c r="M5" s="15" t="inlineStr">
        <is>
          <t>10 Bonhill Street, London</t>
        </is>
      </c>
      <c r="N5" s="15" t="inlineStr">
        <is>
          <t>EC2A 4PE</t>
        </is>
      </c>
      <c r="O5" s="15" t="inlineStr">
        <is>
          <t>No</t>
        </is>
      </c>
      <c r="P5" s="15" t="inlineStr">
        <is>
          <t>Sandra</t>
        </is>
      </c>
      <c r="Q5" s="15" t="inlineStr">
        <is>
          <t>Sandra Taylor</t>
        </is>
      </c>
      <c r="R5" s="15" t="n"/>
      <c r="S5" s="15" t="inlineStr">
        <is>
          <t>sandra.taylor@veretec.co.uk</t>
        </is>
      </c>
      <c r="T5" s="15" t="inlineStr">
        <is>
          <t>a/b named person</t>
        </is>
      </c>
      <c r="U5" s="16" t="inlineStr">
        <is>
          <t>https://veretec.co.uk/contact/</t>
        </is>
      </c>
      <c r="X5" s="15" t="inlineStr">
        <is>
          <t>10 Bonhill Street</t>
        </is>
      </c>
      <c r="Y5" s="15" t="inlineStr">
        <is>
          <t>EC2A 4PE</t>
        </is>
      </c>
      <c r="Z5" s="15" t="inlineStr">
        <is>
          <t>Website (10 Bonhill Street)</t>
        </is>
      </c>
      <c r="AA5" s="15" t="inlineStr">
        <is>
          <t>Shoreditch Powerleague</t>
        </is>
      </c>
      <c r="AB5" s="15" t="n">
        <v>10</v>
      </c>
      <c r="AC5" s="15" t="inlineStr">
        <is>
          <t>Shoreditch Powerleague</t>
        </is>
      </c>
      <c r="AD5" s="15" t="inlineStr">
        <is>
          <t>Monday 28 September at 17:40</t>
        </is>
      </c>
      <c r="AE5" s="15" t="inlineStr">
        <is>
          <t>One-off</t>
        </is>
      </c>
      <c r="AF5" s="15" t="inlineStr">
        <is>
          <t>5-a-side</t>
        </is>
      </c>
      <c r="AG5" s="17">
        <f>IF(Offer!$D$5="","",Offer!$D$5)</f>
        <v/>
      </c>
      <c r="AH5" s="15" t="inlineStr">
        <is>
          <t>call their studio culture vibrant, enthusiastic and collaborative, with a friendly, social environment</t>
        </is>
      </c>
      <c r="AI5" s="16" t="inlineStr">
        <is>
          <t>https://veretec.co.uk/careers/</t>
        </is>
      </c>
      <c r="AJ5" s="15" t="inlineStr">
        <is>
          <t>culture/sport</t>
        </is>
      </c>
      <c r="AK5" s="15" t="inlineStr">
        <is>
          <t>high</t>
        </is>
      </c>
      <c r="AL5" s="15" t="n"/>
      <c r="AM5" s="18">
        <f>IF(V5&lt;&gt;"",V5,S5)</f>
        <v/>
      </c>
      <c r="AN5" s="18">
        <f>IF(AG5="","","5-a-side near Bonhill Street for Veretec?")</f>
        <v/>
      </c>
      <c r="AO5" s="19" t="inlineStr">
        <is>
          <t>Hi Sandra,
Veretec's careers page describes your studio as vibrant, enthusiastic and collaborative, with a genuinely friendly, social culture. That sounds like a team that would enjoy a regular kickabout.
We've a 5-a-side pitch at Powerleague Shoreditch, Braithwaite Street, E1 6GJ, a 10-minute walk from 10 Bonhill Street, with slots free Monday 28 September at 17:40 or 19:40. It could easily become your weekly team game.
It's {PRICE} a player, and we book the pitch and handle sign-ups and payments, so someone just shares one link with the team.
Shall I hold Monday 28 September for you?
Best,
Brian
FC Urban</t>
        </is>
      </c>
      <c r="AP5" s="19" t="inlineStr">
        <is>
          <t>Hi Sandra,
Quick follow-up on the 5-a-side at Powerleague Shoreditch. The Monday 28 September slots are still free, or there's Thursday 1 October at 18:20 if that suits better. It's {PRICE} a player, one link for the team, and we handle the rest.
Best,
Brian
FC Urban</t>
        </is>
      </c>
      <c r="AQ5" s="20">
        <f>IF(OR(AG5="",AO5=""),"",SUBSTITUTE(AO5,"{PRICE}","£"&amp;IF(AG5=INT(AG5),TEXT(AG5,"0"),TEXT(AG5,"0.00"))))</f>
        <v/>
      </c>
      <c r="AR5" s="20">
        <f>IF(OR(AG5="",AP5=""),"",SUBSTITUTE(AP5,"{PRICE}","£"&amp;IF(AG5=INT(AG5),TEXT(AG5,"0"),TEXT(AG5,"0.00"))))</f>
        <v/>
      </c>
      <c r="AS5" s="15" t="inlineStr">
        <is>
          <t>pass</t>
        </is>
      </c>
      <c r="AT5" s="15" t="inlineStr">
        <is>
          <t>MX ok · mailbox not verified</t>
        </is>
      </c>
      <c r="AU5" s="15" t="n"/>
      <c r="AV5" s="18">
        <f>IF(AU5&lt;&gt;"","No – hold: "&amp;AU5,IF(AG5="","No – no confirmed London price per player",IF(AM5="","No – no email",IF(AO5="","No – no personalised email",IF(AS5&lt;&gt;"pass","No – suppressed","Yes")))))</f>
        <v/>
      </c>
      <c r="AX5" s="21" t="n"/>
      <c r="AY5" s="21" t="n"/>
    </row>
    <row r="6">
      <c r="A6" s="15" t="n">
        <v>4</v>
      </c>
      <c r="B6" s="15" t="n">
        <v>1</v>
      </c>
      <c r="C6" s="15" t="inlineStr">
        <is>
          <t>Tech / software</t>
        </is>
      </c>
      <c r="D6" s="15" t="inlineStr">
        <is>
          <t>EC1M</t>
        </is>
      </c>
      <c r="E6" s="15" t="inlineStr">
        <is>
          <t>Codurance Ltd</t>
        </is>
      </c>
      <c r="F6" s="15" t="inlineStr">
        <is>
          <t>Codurance</t>
        </is>
      </c>
      <c r="G6" s="16" t="inlineStr">
        <is>
          <t>https://www.codurance.com</t>
        </is>
      </c>
      <c r="H6" s="15" t="inlineStr">
        <is>
          <t>Not stated</t>
        </is>
      </c>
      <c r="I6" s="15" t="inlineStr">
        <is>
          <t>08712584</t>
        </is>
      </c>
      <c r="J6" s="16" t="inlineStr">
        <is>
          <t>Open</t>
        </is>
      </c>
      <c r="K6" s="15" t="inlineStr">
        <is>
          <t>Full</t>
        </is>
      </c>
      <c r="L6" s="15" t="inlineStr">
        <is>
          <t>01/10/2013</t>
        </is>
      </c>
      <c r="M6" s="15" t="inlineStr">
        <is>
          <t>3 Sutton Lane, London</t>
        </is>
      </c>
      <c r="N6" s="15" t="inlineStr">
        <is>
          <t>EC1M 5PU</t>
        </is>
      </c>
      <c r="O6" s="15" t="inlineStr">
        <is>
          <t>No</t>
        </is>
      </c>
      <c r="P6" s="15" t="inlineStr">
        <is>
          <t>Robert</t>
        </is>
      </c>
      <c r="Q6" s="15" t="inlineStr">
        <is>
          <t>Robert Gray</t>
        </is>
      </c>
      <c r="R6" s="15" t="inlineStr">
        <is>
          <t>Sales contact</t>
        </is>
      </c>
      <c r="S6" s="15" t="inlineStr">
        <is>
          <t>robert.gray@codurance.com</t>
        </is>
      </c>
      <c r="T6" s="15" t="inlineStr">
        <is>
          <t>a/b named person</t>
        </is>
      </c>
      <c r="U6" s="16" t="inlineStr">
        <is>
          <t>https://www.codurance.com/contact-us</t>
        </is>
      </c>
      <c r="X6" s="15" t="inlineStr">
        <is>
          <t>3 Sutton Lane, 3rd floor</t>
        </is>
      </c>
      <c r="Y6" s="15" t="inlineStr">
        <is>
          <t>EC1M 5PU</t>
        </is>
      </c>
      <c r="Z6" s="15" t="inlineStr">
        <is>
          <t>Website (3 Sutton Lane, 3rd floor)</t>
        </is>
      </c>
      <c r="AA6" s="15" t="inlineStr">
        <is>
          <t>Old St - Moreland Primary School</t>
        </is>
      </c>
      <c r="AB6" s="15" t="n">
        <v>11</v>
      </c>
      <c r="AC6" s="15" t="inlineStr">
        <is>
          <t>Old St - Moreland Primary School</t>
        </is>
      </c>
      <c r="AD6" s="15" t="inlineStr">
        <is>
          <t>Monday 12 October at 18:00</t>
        </is>
      </c>
      <c r="AE6" s="15" t="inlineStr">
        <is>
          <t>One-off</t>
        </is>
      </c>
      <c r="AF6" s="15" t="inlineStr">
        <is>
          <t>6-a-side</t>
        </is>
      </c>
      <c r="AG6" s="17">
        <f>IF(Offer!$D$5="","",Offer!$D$5)</f>
        <v/>
      </c>
      <c r="AH6" s="15" t="inlineStr">
        <is>
          <t>call their engineers 'software craftspeople', founded the London Software Craftsmanship Community in 2010</t>
        </is>
      </c>
      <c r="AI6" s="16" t="inlineStr">
        <is>
          <t>https://www.codurance.com/about-us/our-story/</t>
        </is>
      </c>
      <c r="AJ6" s="15" t="inlineStr">
        <is>
          <t>what they do</t>
        </is>
      </c>
      <c r="AK6" s="15" t="inlineStr">
        <is>
          <t>high</t>
        </is>
      </c>
      <c r="AL6" s="15" t="n"/>
      <c r="AM6" s="18">
        <f>IF(V6&lt;&gt;"",V6,S6)</f>
        <v/>
      </c>
      <c r="AN6" s="18">
        <f>IF(AG6="","","6-a-side near Sutton Lane for Codurance?")</f>
        <v/>
      </c>
      <c r="AO6" s="19" t="inlineStr">
        <is>
          <t>Hi Robert,
Codurance's own story page calls your engineers software craftspeople, with roots in the London Software Craftsmanship Community you helped start back in 2010. That close-knit culture usually makes a good five-a-side team too.
We've a 6-a-side pitch at the floodlit 3G at Moreland School, Gard Street, EC1V 8DW, an 11-minute walk from 3 Sutton Lane, with slots free Monday 12 October at 18:00, 19:00 or 20:00. It could become your regular weekly game.
It's {PRICE} a player, and we book the pitch and handle sign-ups and payments, so someone just shares one link with the team.
Shall I hold Monday 12 October for you?
Best,
Brian
FC Urban</t>
        </is>
      </c>
      <c r="AP6" s="19" t="inlineStr">
        <is>
          <t>Hi Robert,
Following up on the 6-a-side at Moreland School. Monday 12 October still has slots at 18:00, 19:00 and 20:00. It's {PRICE} a player, one link for the team, and we handle the pitch and payments.
Best,
Brian
FC Urban</t>
        </is>
      </c>
      <c r="AQ6" s="20">
        <f>IF(OR(AG6="",AO6=""),"",SUBSTITUTE(AO6,"{PRICE}","£"&amp;IF(AG6=INT(AG6),TEXT(AG6,"0"),TEXT(AG6,"0.00"))))</f>
        <v/>
      </c>
      <c r="AR6" s="20">
        <f>IF(OR(AG6="",AP6=""),"",SUBSTITUTE(AP6,"{PRICE}","£"&amp;IF(AG6=INT(AG6),TEXT(AG6,"0"),TEXT(AG6,"0.00"))))</f>
        <v/>
      </c>
      <c r="AS6" s="15" t="inlineStr">
        <is>
          <t>pass</t>
        </is>
      </c>
      <c r="AT6" s="15" t="inlineStr">
        <is>
          <t>MX ok · mailbox not verified</t>
        </is>
      </c>
      <c r="AU6" s="15" t="n"/>
      <c r="AV6" s="18">
        <f>IF(AU6&lt;&gt;"","No – hold: "&amp;AU6,IF(AG6="","No – no confirmed London price per player",IF(AM6="","No – no email",IF(AO6="","No – no personalised email",IF(AS6&lt;&gt;"pass","No – suppressed","Yes")))))</f>
        <v/>
      </c>
      <c r="AX6" s="21" t="n"/>
      <c r="AY6" s="21" t="n"/>
    </row>
    <row r="7">
      <c r="A7" s="15" t="n">
        <v>5</v>
      </c>
      <c r="B7" s="15" t="n">
        <v>1</v>
      </c>
      <c r="C7" s="15" t="inlineStr">
        <is>
          <t>Recruitment</t>
        </is>
      </c>
      <c r="D7" s="15" t="inlineStr">
        <is>
          <t>EC2M</t>
        </is>
      </c>
      <c r="E7" s="15" t="inlineStr">
        <is>
          <t>Precise Consultants Limited</t>
        </is>
      </c>
      <c r="F7" s="15" t="inlineStr">
        <is>
          <t>Precise Consultants</t>
        </is>
      </c>
      <c r="G7" s="16" t="inlineStr">
        <is>
          <t>https://www.preciseconsultants.com</t>
        </is>
      </c>
      <c r="H7" s="15" t="inlineStr">
        <is>
          <t>Not stated</t>
        </is>
      </c>
      <c r="I7" s="15" t="inlineStr">
        <is>
          <t>08517073</t>
        </is>
      </c>
      <c r="J7" s="16" t="inlineStr">
        <is>
          <t>Open</t>
        </is>
      </c>
      <c r="K7" s="15" t="inlineStr">
        <is>
          <t>Medium</t>
        </is>
      </c>
      <c r="L7" s="15" t="inlineStr">
        <is>
          <t>07/05/2013</t>
        </is>
      </c>
      <c r="M7" s="15" t="inlineStr">
        <is>
          <t>4Th Floor, 14 Devonshire Square, London</t>
        </is>
      </c>
      <c r="N7" s="15" t="inlineStr">
        <is>
          <t>EC2M 4YT</t>
        </is>
      </c>
      <c r="O7" s="15" t="inlineStr">
        <is>
          <t>No</t>
        </is>
      </c>
      <c r="P7" s="15" t="inlineStr">
        <is>
          <t>Sophie</t>
        </is>
      </c>
      <c r="Q7" s="15" t="inlineStr">
        <is>
          <t>Sophie M</t>
        </is>
      </c>
      <c r="R7" s="15" t="n"/>
      <c r="S7" s="15" t="inlineStr">
        <is>
          <t>sophie.m@preciseconsultants.com</t>
        </is>
      </c>
      <c r="T7" s="15" t="inlineStr">
        <is>
          <t>a/b named person</t>
        </is>
      </c>
      <c r="U7" s="16" t="inlineStr">
        <is>
          <t>https://www.preciseconsultants.com/meet-the-team/</t>
        </is>
      </c>
      <c r="X7" s="15" t="inlineStr">
        <is>
          <t>4th Floor, 14 Devonshire Square</t>
        </is>
      </c>
      <c r="Y7" s="15" t="inlineStr">
        <is>
          <t>EC2M 4YT</t>
        </is>
      </c>
      <c r="Z7" s="15" t="inlineStr">
        <is>
          <t>Website (4th Floor, 14 Devonshire Square)</t>
        </is>
      </c>
      <c r="AA7" s="15" t="inlineStr">
        <is>
          <t>Shoreditch Powerleague</t>
        </is>
      </c>
      <c r="AB7" s="15" t="n">
        <v>12</v>
      </c>
      <c r="AC7" s="15" t="inlineStr">
        <is>
          <t>Shoreditch Powerleague</t>
        </is>
      </c>
      <c r="AD7" s="15" t="inlineStr">
        <is>
          <t>Monday 28 September at 17:40</t>
        </is>
      </c>
      <c r="AE7" s="15" t="inlineStr">
        <is>
          <t>One-off</t>
        </is>
      </c>
      <c r="AF7" s="15" t="inlineStr">
        <is>
          <t>5-a-side</t>
        </is>
      </c>
      <c r="AG7" s="17">
        <f>IF(Offer!$D$5="","",Offer!$D$5)</f>
        <v/>
      </c>
      <c r="AH7" s="15" t="inlineStr">
        <is>
          <t>recently became carbon negative, offsetting 82.66 tonnes of CO2e through verified projects</t>
        </is>
      </c>
      <c r="AI7" s="15" t="inlineStr">
        <is>
          <t>https://www.preciseconsultants.com/about-us/carbon-neutral/</t>
        </is>
      </c>
      <c r="AJ7" s="15" t="inlineStr">
        <is>
          <t>milestone</t>
        </is>
      </c>
      <c r="AK7" s="15" t="inlineStr">
        <is>
          <t>high</t>
        </is>
      </c>
      <c r="AL7" s="15" t="n"/>
      <c r="AM7" s="18">
        <f>IF(V7&lt;&gt;"",V7,S7)</f>
        <v/>
      </c>
      <c r="AN7" s="18">
        <f>IF(AG7="","","5-a-side near Devonshire Square, Precise Consultants?")</f>
        <v/>
      </c>
      <c r="AO7" s="19" t="inlineStr">
        <is>
          <t>Hi Sophie,
Precise Consultants have just gone a step further than carbon neutral to carbon negative, offsetting 82.66 tonnes of CO2e through verified projects. A team that takes that seriously might enjoy getting outdoors together too.
We've a 5-a-side pitch at Powerleague Shoreditch, Braithwaite Street, E1 6GJ, a 12-minute walk from 14 Devonshire Square, with slots free Monday 28 September at 17:40 or 19:40. It could become your weekly team game.
It's {PRICE} a player, and we book the pitch and handle sign-ups and payments, so someone just shares one link with the team.
Would your team be up for it?
Best,
Brian
FC Urban</t>
        </is>
      </c>
      <c r="AP7" s="19" t="inlineStr">
        <is>
          <t>Hi Sophie,
Following up on the 5-a-side at Powerleague Shoreditch. Monday 28 September at 17:40 or 19:40 is still free, or Thursday 1 October at 18:20. It's {PRICE} a player, one link for the team, and we handle the rest.
Best,
Brian
FC Urban</t>
        </is>
      </c>
      <c r="AQ7" s="20">
        <f>IF(OR(AG7="",AO7=""),"",SUBSTITUTE(AO7,"{PRICE}","£"&amp;IF(AG7=INT(AG7),TEXT(AG7,"0"),TEXT(AG7,"0.00"))))</f>
        <v/>
      </c>
      <c r="AR7" s="20">
        <f>IF(OR(AG7="",AP7=""),"",SUBSTITUTE(AP7,"{PRICE}","£"&amp;IF(AG7=INT(AG7),TEXT(AG7,"0"),TEXT(AG7,"0.00"))))</f>
        <v/>
      </c>
      <c r="AS7" s="15" t="inlineStr">
        <is>
          <t>pass</t>
        </is>
      </c>
      <c r="AT7" s="15" t="inlineStr">
        <is>
          <t>MX ok · mailbox not verified</t>
        </is>
      </c>
      <c r="AU7" s="15" t="n"/>
      <c r="AV7" s="18">
        <f>IF(AU7&lt;&gt;"","No – hold: "&amp;AU7,IF(AG7="","No – no confirmed London price per player",IF(AM7="","No – no email",IF(AO7="","No – no personalised email",IF(AS7&lt;&gt;"pass","No – suppressed","Yes")))))</f>
        <v/>
      </c>
      <c r="AX7" s="21" t="n"/>
      <c r="AY7" s="21" t="n"/>
    </row>
    <row r="8">
      <c r="A8" s="15" t="n">
        <v>6</v>
      </c>
      <c r="B8" s="15" t="n">
        <v>1</v>
      </c>
      <c r="C8" s="15" t="inlineStr">
        <is>
          <t>Finance / accounting</t>
        </is>
      </c>
      <c r="D8" s="15" t="inlineStr">
        <is>
          <t>EC2M</t>
        </is>
      </c>
      <c r="E8" s="15" t="inlineStr">
        <is>
          <t>Guy Butler Limited</t>
        </is>
      </c>
      <c r="F8" s="15" t="inlineStr">
        <is>
          <t>Guy Butler</t>
        </is>
      </c>
      <c r="G8" s="16" t="inlineStr">
        <is>
          <t>https://guybutler.co.uk</t>
        </is>
      </c>
      <c r="H8" s="15" t="inlineStr">
        <is>
          <t>Not stated</t>
        </is>
      </c>
      <c r="I8" s="15" t="inlineStr">
        <is>
          <t>03869802</t>
        </is>
      </c>
      <c r="J8" s="16" t="inlineStr">
        <is>
          <t>Open</t>
        </is>
      </c>
      <c r="K8" s="15" t="inlineStr">
        <is>
          <t>Full</t>
        </is>
      </c>
      <c r="L8" s="15" t="inlineStr">
        <is>
          <t>02/11/1999</t>
        </is>
      </c>
      <c r="M8" s="15" t="inlineStr">
        <is>
          <t>4Th Floor, 95 Gresham Street, London</t>
        </is>
      </c>
      <c r="N8" s="15" t="inlineStr">
        <is>
          <t>EC2V 7AB</t>
        </is>
      </c>
      <c r="O8" s="15" t="inlineStr">
        <is>
          <t>No</t>
        </is>
      </c>
      <c r="P8" s="15" t="inlineStr">
        <is>
          <t>Jamie</t>
        </is>
      </c>
      <c r="Q8" s="15" t="inlineStr">
        <is>
          <t>Jamie Macfarlane</t>
        </is>
      </c>
      <c r="R8" s="15" t="inlineStr">
        <is>
          <t>Sales</t>
        </is>
      </c>
      <c r="S8" s="15" t="inlineStr">
        <is>
          <t>jamie.macfarlane@guybutler.co.uk</t>
        </is>
      </c>
      <c r="T8" s="15" t="inlineStr">
        <is>
          <t>a/b named person</t>
        </is>
      </c>
      <c r="U8" s="16" t="inlineStr">
        <is>
          <t>https://guybutler.co.uk/</t>
        </is>
      </c>
      <c r="X8" s="15" t="inlineStr">
        <is>
          <t>14th Floor, Dashwood House, 69 Old Broad Street</t>
        </is>
      </c>
      <c r="Y8" s="15" t="inlineStr">
        <is>
          <t>EC2M 1QS</t>
        </is>
      </c>
      <c r="Z8" s="15" t="inlineStr">
        <is>
          <t>Website (14th Floor, Dashwood House, 69 Old Broad Street)</t>
        </is>
      </c>
      <c r="AA8" s="15" t="inlineStr">
        <is>
          <t>Shoreditch Powerleague</t>
        </is>
      </c>
      <c r="AB8" s="15" t="n">
        <v>14</v>
      </c>
      <c r="AC8" s="15" t="inlineStr">
        <is>
          <t>Shoreditch Powerleague</t>
        </is>
      </c>
      <c r="AD8" s="15" t="inlineStr">
        <is>
          <t>Monday 28 September at 17:40</t>
        </is>
      </c>
      <c r="AE8" s="15" t="inlineStr">
        <is>
          <t>One-off</t>
        </is>
      </c>
      <c r="AF8" s="15" t="inlineStr">
        <is>
          <t>5-a-side</t>
        </is>
      </c>
      <c r="AG8" s="17">
        <f>IF(Offer!$D$5="","",Offer!$D$5)</f>
        <v/>
      </c>
      <c r="AH8" s="15" t="inlineStr">
        <is>
          <t>trace their roots back over 50 years as an independent bond house in the City</t>
        </is>
      </c>
      <c r="AI8" s="15" t="inlineStr">
        <is>
          <t>https://guybutler.co.uk/</t>
        </is>
      </c>
      <c r="AJ8" s="15" t="inlineStr">
        <is>
          <t>milestone</t>
        </is>
      </c>
      <c r="AK8" s="15" t="inlineStr">
        <is>
          <t>high</t>
        </is>
      </c>
      <c r="AL8" s="15" t="n"/>
      <c r="AM8" s="18">
        <f>IF(V8&lt;&gt;"",V8,S8)</f>
        <v/>
      </c>
      <c r="AN8" s="18">
        <f>IF(AG8="","","5-a-side near Old Broad Street for Guy Butler?")</f>
        <v/>
      </c>
      <c r="AO8" s="19" t="inlineStr">
        <is>
          <t>Hi Jamie,
Guy Butler's website says you can trace your roots back over 50 years as an independent bond house in the City, with a team that has worked together for many years. That's exactly the kind of long-standing team that enjoys a regular five-a-side.
We've a 5-a-side pitch at Powerleague Shoreditch, Braithwaite Street, E1 6GJ, a 14-minute walk from 69 Old Broad Street, with slots free Monday 28 September at 17:40 or 19:40. It could become your weekly game.
It's {PRICE} a player, and we book the pitch and handle sign-ups and payments, so someone just shares one link with the team.
Shall I hold Monday 28 September for you?
Best,
Brian
FC Urban</t>
        </is>
      </c>
      <c r="AP8" s="19" t="inlineStr">
        <is>
          <t>Hi Jamie,
Following up on the 5-a-side at Powerleague Shoreditch. Monday 28 September at 17:40 or 19:40 is still open, or Thursday 1 October at 18:20. It's {PRICE} a player, one link for the team, and we handle the rest.
Best,
Brian
FC Urban</t>
        </is>
      </c>
      <c r="AQ8" s="20">
        <f>IF(OR(AG8="",AO8=""),"",SUBSTITUTE(AO8,"{PRICE}","£"&amp;IF(AG8=INT(AG8),TEXT(AG8,"0"),TEXT(AG8,"0.00"))))</f>
        <v/>
      </c>
      <c r="AR8" s="20">
        <f>IF(OR(AG8="",AP8=""),"",SUBSTITUTE(AP8,"{PRICE}","£"&amp;IF(AG8=INT(AG8),TEXT(AG8,"0"),TEXT(AG8,"0.00"))))</f>
        <v/>
      </c>
      <c r="AS8" s="15" t="inlineStr">
        <is>
          <t>pass</t>
        </is>
      </c>
      <c r="AT8" s="15" t="inlineStr">
        <is>
          <t>MX ok · mailbox not verified</t>
        </is>
      </c>
      <c r="AU8" s="15" t="n"/>
      <c r="AV8" s="18">
        <f>IF(AU8&lt;&gt;"","No – hold: "&amp;AU8,IF(AG8="","No – no confirmed London price per player",IF(AM8="","No – no email",IF(AO8="","No – no personalised email",IF(AS8&lt;&gt;"pass","No – suppressed","Yes")))))</f>
        <v/>
      </c>
      <c r="AX8" s="21" t="n"/>
      <c r="AY8" s="21" t="n"/>
    </row>
    <row r="9">
      <c r="A9" s="15" t="n">
        <v>7</v>
      </c>
      <c r="B9" s="15" t="n">
        <v>1</v>
      </c>
      <c r="C9" s="15" t="inlineStr">
        <is>
          <t>Recruitment</t>
        </is>
      </c>
      <c r="D9" s="15" t="inlineStr">
        <is>
          <t>EC1A</t>
        </is>
      </c>
      <c r="E9" s="15" t="inlineStr">
        <is>
          <t>Goodman Masson Limited</t>
        </is>
      </c>
      <c r="F9" s="15" t="inlineStr">
        <is>
          <t>Goodman Masson</t>
        </is>
      </c>
      <c r="G9" s="16" t="inlineStr">
        <is>
          <t>https://www.goodmanmasson.com</t>
        </is>
      </c>
      <c r="H9" s="15" t="n">
        <v>100</v>
      </c>
      <c r="I9" s="15" t="inlineStr">
        <is>
          <t>02769447</t>
        </is>
      </c>
      <c r="J9" s="16" t="inlineStr">
        <is>
          <t>Open</t>
        </is>
      </c>
      <c r="K9" s="15" t="inlineStr">
        <is>
          <t>Group</t>
        </is>
      </c>
      <c r="L9" s="15" t="inlineStr">
        <is>
          <t>01/12/1992</t>
        </is>
      </c>
      <c r="M9" s="15" t="inlineStr">
        <is>
          <t>Fourth Floor, 120 Aldersgate Street, London</t>
        </is>
      </c>
      <c r="N9" s="15" t="inlineStr">
        <is>
          <t>EC1A 4JQ</t>
        </is>
      </c>
      <c r="O9" s="15" t="inlineStr">
        <is>
          <t>No</t>
        </is>
      </c>
      <c r="P9" s="15" t="inlineStr">
        <is>
          <t>Iain</t>
        </is>
      </c>
      <c r="Q9" s="15" t="inlineStr">
        <is>
          <t>Iain Mcgill</t>
        </is>
      </c>
      <c r="R9" s="15" t="n"/>
      <c r="S9" s="15" t="inlineStr">
        <is>
          <t>iain.mcgill@goodmanmasson.com</t>
        </is>
      </c>
      <c r="T9" s="15" t="inlineStr">
        <is>
          <t>a/b named person</t>
        </is>
      </c>
      <c r="U9" s="16" t="inlineStr">
        <is>
          <t>https://www.goodmanmasson.com/aca-careers-hub</t>
        </is>
      </c>
      <c r="X9" s="15" t="inlineStr">
        <is>
          <t>120 Aldersgate Street</t>
        </is>
      </c>
      <c r="Y9" s="15" t="inlineStr">
        <is>
          <t>EC1A 4JQ</t>
        </is>
      </c>
      <c r="Z9" s="15" t="inlineStr">
        <is>
          <t>Website (120 Aldersgate Street)</t>
        </is>
      </c>
      <c r="AA9" s="15" t="inlineStr">
        <is>
          <t>Old St - Moreland Primary School</t>
        </is>
      </c>
      <c r="AB9" s="15" t="n">
        <v>14</v>
      </c>
      <c r="AC9" s="15" t="inlineStr">
        <is>
          <t>Old St - Moreland Primary School</t>
        </is>
      </c>
      <c r="AD9" s="15" t="inlineStr">
        <is>
          <t>Monday 12 October at 18:00</t>
        </is>
      </c>
      <c r="AE9" s="15" t="inlineStr">
        <is>
          <t>One-off</t>
        </is>
      </c>
      <c r="AF9" s="15" t="inlineStr">
        <is>
          <t>6-a-side</t>
        </is>
      </c>
      <c r="AG9" s="17">
        <f>IF(Offer!$D$5="","",Offer!$D$5)</f>
        <v/>
      </c>
      <c r="AH9" s="15" t="inlineStr">
        <is>
          <t>named UK's Best Workplace for Wellbeing in 2023</t>
        </is>
      </c>
      <c r="AI9" s="16" t="inlineStr">
        <is>
          <t>https://www.goodmanmasson.com/about-us</t>
        </is>
      </c>
      <c r="AJ9" s="15" t="inlineStr">
        <is>
          <t>milestone</t>
        </is>
      </c>
      <c r="AK9" s="15" t="inlineStr">
        <is>
          <t>high</t>
        </is>
      </c>
      <c r="AL9" s="15" t="inlineStr">
        <is>
          <t>known_personal_fact 'team of 23' refers to the ACA/CTA specialist team (from the aca-careers-hub page), not the whole office; the wider company shows headcount 100 / '100 Consultants' on about-us, so I used the Wellbeing award instead to avoid confusion.</t>
        </is>
      </c>
      <c r="AM9" s="18">
        <f>IF(V9&lt;&gt;"",V9,S9)</f>
        <v/>
      </c>
      <c r="AN9" s="18">
        <f>IF(AG9="","","6-a-side near Aldersgate Street for Goodman Masson?")</f>
        <v/>
      </c>
      <c r="AO9" s="19" t="inlineStr">
        <is>
          <t>Hi Iain,
Goodman Masson was named the UK's Best Workplace for Wellbeing back in 2023, which says a lot about how you look after the team. A weekly game is an easy way to keep that going.
We've a 6-a-side pitch at the floodlit 3G at Moreland School, Gard Street, EC1V 8DW, a 14-minute walk from 120 Aldersgate Street, with slots free Monday 12 October at 18:00 or 19:00. It could become your regular fixture.
It's {PRICE} a player, and we book the pitch and handle sign-ups and payments, so someone just shares one link with the team.
Shall I hold Monday 12 October for you?
Best,
Brian
FC Urban</t>
        </is>
      </c>
      <c r="AP9" s="19" t="inlineStr">
        <is>
          <t>Hi Iain,
Following up on the 6-a-side at Moreland School. Monday 12 October still has slots at 18:00 and 19:00, or 20:00. It's {PRICE} a player, one link for the team, and we handle the pitch and payments.
Best,
Brian
FC Urban</t>
        </is>
      </c>
      <c r="AQ9" s="20">
        <f>IF(OR(AG9="",AO9=""),"",SUBSTITUTE(AO9,"{PRICE}","£"&amp;IF(AG9=INT(AG9),TEXT(AG9,"0"),TEXT(AG9,"0.00"))))</f>
        <v/>
      </c>
      <c r="AR9" s="20">
        <f>IF(OR(AG9="",AP9=""),"",SUBSTITUTE(AP9,"{PRICE}","£"&amp;IF(AG9=INT(AG9),TEXT(AG9,"0"),TEXT(AG9,"0.00"))))</f>
        <v/>
      </c>
      <c r="AS9" s="15" t="inlineStr">
        <is>
          <t>pass</t>
        </is>
      </c>
      <c r="AT9" s="15" t="inlineStr">
        <is>
          <t>MX ok · mailbox not verified</t>
        </is>
      </c>
      <c r="AU9" s="15" t="n"/>
      <c r="AV9" s="18">
        <f>IF(AU9&lt;&gt;"","No – hold: "&amp;AU9,IF(AG9="","No – no confirmed London price per player",IF(AM9="","No – no email",IF(AO9="","No – no personalised email",IF(AS9&lt;&gt;"pass","No – suppressed","Yes")))))</f>
        <v/>
      </c>
      <c r="AX9" s="21" t="n"/>
      <c r="AY9" s="21" t="n"/>
    </row>
    <row r="10">
      <c r="A10" s="15" t="n">
        <v>8</v>
      </c>
      <c r="B10" s="15" t="n">
        <v>2</v>
      </c>
      <c r="C10" s="15" t="inlineStr">
        <is>
          <t>Marketing / agency</t>
        </is>
      </c>
      <c r="D10" s="15" t="inlineStr">
        <is>
          <t>EC1V</t>
        </is>
      </c>
      <c r="E10" s="15" t="inlineStr">
        <is>
          <t>Turbine Studios Limited</t>
        </is>
      </c>
      <c r="F10" s="15" t="inlineStr">
        <is>
          <t>Turbine Studios</t>
        </is>
      </c>
      <c r="G10" s="16" t="inlineStr">
        <is>
          <t>https://turbinestudios.co.uk</t>
        </is>
      </c>
      <c r="H10" s="15" t="inlineStr">
        <is>
          <t>Not stated</t>
        </is>
      </c>
      <c r="I10" s="15" t="inlineStr">
        <is>
          <t>10994901</t>
        </is>
      </c>
      <c r="J10" s="16" t="inlineStr">
        <is>
          <t>Open</t>
        </is>
      </c>
      <c r="K10" s="15" t="inlineStr">
        <is>
          <t>Group</t>
        </is>
      </c>
      <c r="L10" s="15" t="inlineStr">
        <is>
          <t>04/10/2017</t>
        </is>
      </c>
      <c r="M10" s="15" t="inlineStr">
        <is>
          <t>9A Dallington Street, London</t>
        </is>
      </c>
      <c r="N10" s="15" t="inlineStr">
        <is>
          <t>EC1V 0BQ</t>
        </is>
      </c>
      <c r="O10" s="15" t="inlineStr">
        <is>
          <t>No</t>
        </is>
      </c>
      <c r="P10" s="15" t="inlineStr">
        <is>
          <t>Tracey</t>
        </is>
      </c>
      <c r="Q10" s="15" t="inlineStr">
        <is>
          <t>Tracey Scoffield</t>
        </is>
      </c>
      <c r="R10" s="15" t="inlineStr">
        <is>
          <t>Founder &amp; Exec Producer</t>
        </is>
      </c>
      <c r="S10" s="15" t="inlineStr">
        <is>
          <t>mail@turbinestudios.co.uk</t>
        </is>
      </c>
      <c r="T10" s="15" t="inlineStr">
        <is>
          <t>a/b named person via general inbox</t>
        </is>
      </c>
      <c r="U10" s="16" t="inlineStr">
        <is>
          <t>https://turbinestudios.co.uk/</t>
        </is>
      </c>
      <c r="X10" s="15" t="inlineStr">
        <is>
          <t>9A Dallington Street</t>
        </is>
      </c>
      <c r="Y10" s="15" t="inlineStr">
        <is>
          <t>EC1V 0BQ</t>
        </is>
      </c>
      <c r="Z10" s="15" t="inlineStr">
        <is>
          <t>Website (9A Dallington Street)</t>
        </is>
      </c>
      <c r="AA10" s="15" t="inlineStr">
        <is>
          <t>Old St - Moreland Primary School</t>
        </is>
      </c>
      <c r="AB10" s="15" t="n">
        <v>8</v>
      </c>
      <c r="AC10" s="15" t="inlineStr">
        <is>
          <t>Old St - Moreland Primary School</t>
        </is>
      </c>
      <c r="AD10" s="15" t="inlineStr">
        <is>
          <t>Monday 12 October at 18:00</t>
        </is>
      </c>
      <c r="AE10" s="15" t="inlineStr">
        <is>
          <t>One-off</t>
        </is>
      </c>
      <c r="AF10" s="15" t="inlineStr">
        <is>
          <t>6-a-side</t>
        </is>
      </c>
      <c r="AG10" s="17">
        <f>IF(Offer!$D$5="","",Offer!$D$5)</f>
        <v/>
      </c>
      <c r="AH10" s="15" t="inlineStr">
        <is>
          <t>their new series Embassy, starring Anna Kendrick and J.K. Simmons, was just picked up by Prime Video</t>
        </is>
      </c>
      <c r="AI10" s="15" t="inlineStr">
        <is>
          <t>https://turbinestudios.co.uk/news/</t>
        </is>
      </c>
      <c r="AJ10" s="15" t="inlineStr">
        <is>
          <t>milestone</t>
        </is>
      </c>
      <c r="AK10" s="15" t="inlineStr">
        <is>
          <t>high</t>
        </is>
      </c>
      <c r="AL10" s="15" t="n"/>
      <c r="AM10" s="18">
        <f>IF(V10&lt;&gt;"",V10,S10)</f>
        <v/>
      </c>
      <c r="AN10" s="18">
        <f>IF(AG10="","","Congrats on Embassy -- football on Dallington St?")</f>
        <v/>
      </c>
      <c r="AO10" s="19" t="inlineStr">
        <is>
          <t>Hi Tracey,
Congratulations on Embassy landing at Prime Video -- must be a good week at Turbine.
We run a floodlit 6-a-side pitch at Moreland School, Gard Street, an 8-minute walk from Dallington Street. There's a slot free Monday 12 October at 18:00, or 19:00, and it could easily become your regular weekly game.
It's {PRICE} a player, and we book the pitch and handle sign-ups and payments, so someone just shares one link with the team.
Shall I hold Monday for you?
Best,
Brian
FC Urban</t>
        </is>
      </c>
      <c r="AP10" s="19" t="inlineStr">
        <is>
          <t>Hi Tracey,
Following up on the 6-a-side slot at Moreland School, 8 minutes from Dallington Street. Monday 12 October at 19:00 is still free. It's {PRICE} a player, and we handle the booking and payments, so it's one link for the team. Worth a try?
Best,
Brian
FC Urban</t>
        </is>
      </c>
      <c r="AQ10" s="20">
        <f>IF(OR(AG10="",AO10=""),"",SUBSTITUTE(AO10,"{PRICE}","£"&amp;IF(AG10=INT(AG10),TEXT(AG10,"0"),TEXT(AG10,"0.00"))))</f>
        <v/>
      </c>
      <c r="AR10" s="20">
        <f>IF(OR(AG10="",AP10=""),"",SUBSTITUTE(AP10,"{PRICE}","£"&amp;IF(AG10=INT(AG10),TEXT(AG10,"0"),TEXT(AG10,"0.00"))))</f>
        <v/>
      </c>
      <c r="AS10" s="15" t="inlineStr">
        <is>
          <t>pass</t>
        </is>
      </c>
      <c r="AT10" s="15" t="inlineStr">
        <is>
          <t>MX ok · mailbox not verified</t>
        </is>
      </c>
      <c r="AU10" s="15" t="n"/>
      <c r="AV10" s="18">
        <f>IF(AU10&lt;&gt;"","No – hold: "&amp;AU10,IF(AG10="","No – no confirmed London price per player",IF(AM10="","No – no email",IF(AO10="","No – no personalised email",IF(AS10&lt;&gt;"pass","No – suppressed","Yes")))))</f>
        <v/>
      </c>
      <c r="AX10" s="21" t="n"/>
      <c r="AY10" s="21" t="n"/>
    </row>
    <row r="11">
      <c r="A11" s="15" t="n">
        <v>9</v>
      </c>
      <c r="B11" s="15" t="n">
        <v>2</v>
      </c>
      <c r="C11" s="15" t="inlineStr">
        <is>
          <t>Architecture</t>
        </is>
      </c>
      <c r="D11" s="15" t="inlineStr">
        <is>
          <t>N7</t>
        </is>
      </c>
      <c r="E11" s="15" t="inlineStr">
        <is>
          <t>Oribiotech Ltd</t>
        </is>
      </c>
      <c r="F11" s="15" t="inlineStr">
        <is>
          <t>Oribiotech</t>
        </is>
      </c>
      <c r="G11" s="16" t="inlineStr">
        <is>
          <t>https://oribiotech.com</t>
        </is>
      </c>
      <c r="H11" s="15" t="inlineStr">
        <is>
          <t>Not stated</t>
        </is>
      </c>
      <c r="I11" s="15" t="inlineStr">
        <is>
          <t>09757696</t>
        </is>
      </c>
      <c r="J11" s="16" t="inlineStr">
        <is>
          <t>Open</t>
        </is>
      </c>
      <c r="K11" s="15" t="inlineStr">
        <is>
          <t>Group</t>
        </is>
      </c>
      <c r="L11" s="15" t="inlineStr">
        <is>
          <t>02/09/2015</t>
        </is>
      </c>
      <c r="M11" s="15" t="inlineStr">
        <is>
          <t>Mayde, 5-10 Brandon Road, London</t>
        </is>
      </c>
      <c r="N11" s="15" t="inlineStr">
        <is>
          <t>N7 9AA</t>
        </is>
      </c>
      <c r="O11" s="15" t="inlineStr">
        <is>
          <t>No</t>
        </is>
      </c>
      <c r="P11" s="15" t="inlineStr">
        <is>
          <t>Nick</t>
        </is>
      </c>
      <c r="Q11" s="15" t="inlineStr">
        <is>
          <t>Nick Treuil</t>
        </is>
      </c>
      <c r="R11" s="15" t="inlineStr">
        <is>
          <t>Chief of Staff</t>
        </is>
      </c>
      <c r="S11" s="15" t="inlineStr">
        <is>
          <t>info@oribiotech.com</t>
        </is>
      </c>
      <c r="T11" s="15" t="inlineStr">
        <is>
          <t>a/b named person via general inbox</t>
        </is>
      </c>
      <c r="U11" s="16" t="inlineStr">
        <is>
          <t>https://oribiotech.com/about/careers</t>
        </is>
      </c>
      <c r="X11" s="15" t="n"/>
      <c r="Y11" s="15" t="inlineStr">
        <is>
          <t>N7 9AA</t>
        </is>
      </c>
      <c r="Z11" s="15" t="inlineStr">
        <is>
          <t>Website</t>
        </is>
      </c>
      <c r="AA11" s="15" t="inlineStr">
        <is>
          <t>Market Road</t>
        </is>
      </c>
      <c r="AB11" s="15" t="n">
        <v>9</v>
      </c>
      <c r="AC11" s="15" t="inlineStr">
        <is>
          <t>Market Road</t>
        </is>
      </c>
      <c r="AD11" s="15" t="inlineStr">
        <is>
          <t>Monday 28 September at 18:00</t>
        </is>
      </c>
      <c r="AE11" s="15" t="inlineStr">
        <is>
          <t>One-off</t>
        </is>
      </c>
      <c r="AF11" s="15" t="inlineStr">
        <is>
          <t>5-a-side</t>
        </is>
      </c>
      <c r="AG11" s="17">
        <f>IF(Offer!$D$5="","",Offer!$D$5)</f>
        <v/>
      </c>
      <c r="AH11" s="15" t="inlineStr">
        <is>
          <t>Ori Biotech just announced a 10-year, $120M partnership to put a commercial cell therapy onto its manufacturing platform</t>
        </is>
      </c>
      <c r="AI11" s="15" t="inlineStr">
        <is>
          <t>https://oribiotech.com/news-insights</t>
        </is>
      </c>
      <c r="AJ11" s="15" t="inlineStr">
        <is>
          <t>milestone</t>
        </is>
      </c>
      <c r="AK11" s="15" t="inlineStr">
        <is>
          <t>high</t>
        </is>
      </c>
      <c r="AL11" s="15" t="n"/>
      <c r="AM11" s="18">
        <f>IF(V11&lt;&gt;"",V11,S11)</f>
        <v/>
      </c>
      <c r="AN11" s="18">
        <f>IF(AG11="","","Football near N7 9AA, after a big week for Ori")</f>
        <v/>
      </c>
      <c r="AO11" s="19" t="inlineStr">
        <is>
          <t>Hi Nick,
Congratulations on the new 10-year, $120M manufacturing partnership -- a big one to land.
We run a 5-a-side pitch at Market Road Pitches, Caledonian Road, a 9-minute walk from your office near N7 9AA. There's a slot free Monday 28 September at 18:00, and it could easily become your regular weekly game.
It's {PRICE} a player, and we book the pitch and handle sign-ups and payments, so someone just shares one link with the team.
Would your team be up for it?
Best,
Brian
FC Urban</t>
        </is>
      </c>
      <c r="AP11" s="19" t="inlineStr">
        <is>
          <t>Hi Nick,
Still holding the 5-a-side slot at Market Road Pitches on Monday 28 September at 18:00, 9 minutes from your office. It's {PRICE} a player, and we handle the booking and payments, so it's one link for the team. Fancy giving it a go?
Best,
Brian
FC Urban</t>
        </is>
      </c>
      <c r="AQ11" s="20">
        <f>IF(OR(AG11="",AO11=""),"",SUBSTITUTE(AO11,"{PRICE}","£"&amp;IF(AG11=INT(AG11),TEXT(AG11,"0"),TEXT(AG11,"0.00"))))</f>
        <v/>
      </c>
      <c r="AR11" s="20">
        <f>IF(OR(AG11="",AP11=""),"",SUBSTITUTE(AP11,"{PRICE}","£"&amp;IF(AG11=INT(AG11),TEXT(AG11,"0"),TEXT(AG11,"0.00"))))</f>
        <v/>
      </c>
      <c r="AS11" s="15" t="inlineStr">
        <is>
          <t>pass</t>
        </is>
      </c>
      <c r="AT11" s="15" t="inlineStr">
        <is>
          <t>MX ok · mailbox not verified</t>
        </is>
      </c>
      <c r="AU11" s="15" t="n"/>
      <c r="AV11" s="18">
        <f>IF(AU11&lt;&gt;"","No – hold: "&amp;AU11,IF(AG11="","No – no confirmed London price per player",IF(AM11="","No – no email",IF(AO11="","No – no personalised email",IF(AS11&lt;&gt;"pass","No – suppressed","Yes")))))</f>
        <v/>
      </c>
      <c r="AX11" s="21" t="n"/>
      <c r="AY11" s="21" t="n"/>
    </row>
    <row r="12">
      <c r="A12" s="15" t="n">
        <v>10</v>
      </c>
      <c r="B12" s="15" t="n">
        <v>2</v>
      </c>
      <c r="C12" s="15" t="inlineStr">
        <is>
          <t>Tech / software</t>
        </is>
      </c>
      <c r="D12" s="15" t="inlineStr">
        <is>
          <t>N1</t>
        </is>
      </c>
      <c r="E12" s="15" t="inlineStr">
        <is>
          <t>Human Made Machine Limited</t>
        </is>
      </c>
      <c r="F12" s="15" t="inlineStr">
        <is>
          <t>Human Made Machine</t>
        </is>
      </c>
      <c r="G12" s="16" t="inlineStr">
        <is>
          <t>https://www.humanmademachine.com</t>
        </is>
      </c>
      <c r="H12" s="15" t="inlineStr">
        <is>
          <t>Not stated</t>
        </is>
      </c>
      <c r="I12" s="15" t="inlineStr">
        <is>
          <t>09338935</t>
        </is>
      </c>
      <c r="J12" s="16" t="inlineStr">
        <is>
          <t>Open</t>
        </is>
      </c>
      <c r="K12" s="15" t="inlineStr">
        <is>
          <t>Group</t>
        </is>
      </c>
      <c r="L12" s="15" t="inlineStr">
        <is>
          <t>03/12/2014</t>
        </is>
      </c>
      <c r="M12" s="15" t="inlineStr">
        <is>
          <t>2-4 Hoxton Square, London</t>
        </is>
      </c>
      <c r="N12" s="15" t="inlineStr">
        <is>
          <t>N1 6NU</t>
        </is>
      </c>
      <c r="O12" s="15" t="inlineStr">
        <is>
          <t>No</t>
        </is>
      </c>
      <c r="P12" s="15" t="inlineStr">
        <is>
          <t>Sabrina</t>
        </is>
      </c>
      <c r="Q12" s="15" t="inlineStr">
        <is>
          <t>Sabrina Talma</t>
        </is>
      </c>
      <c r="R12" s="15" t="inlineStr">
        <is>
          <t>Founder / Chief Executive Officer</t>
        </is>
      </c>
      <c r="S12" s="15" t="inlineStr">
        <is>
          <t>talkto@humanmademachine.com</t>
        </is>
      </c>
      <c r="T12" s="15" t="inlineStr">
        <is>
          <t>a/b named person via general inbox</t>
        </is>
      </c>
      <c r="U12" s="16" t="inlineStr">
        <is>
          <t>https://www.humanmademachine.com/contact</t>
        </is>
      </c>
      <c r="X12" s="15" t="inlineStr">
        <is>
          <t>Unit 6, 2-4 Hoxton Square</t>
        </is>
      </c>
      <c r="Y12" s="15" t="inlineStr">
        <is>
          <t>N1 6NU</t>
        </is>
      </c>
      <c r="Z12" s="15" t="inlineStr">
        <is>
          <t>Website (Unit 6, 2-4 Hoxton Square)</t>
        </is>
      </c>
      <c r="AA12" s="15" t="inlineStr">
        <is>
          <t>Shoreditch Powerleague</t>
        </is>
      </c>
      <c r="AB12" s="15" t="n">
        <v>11</v>
      </c>
      <c r="AC12" s="15" t="inlineStr">
        <is>
          <t>Shoreditch Powerleague</t>
        </is>
      </c>
      <c r="AD12" s="15" t="inlineStr">
        <is>
          <t>Monday 28 September at 17:40</t>
        </is>
      </c>
      <c r="AE12" s="15" t="inlineStr">
        <is>
          <t>One-off</t>
        </is>
      </c>
      <c r="AF12" s="15" t="inlineStr">
        <is>
          <t>5-a-side</t>
        </is>
      </c>
      <c r="AG12" s="17">
        <f>IF(Offer!$D$5="","",Offer!$D$5)</f>
        <v/>
      </c>
      <c r="AH12" s="15" t="inlineStr">
        <is>
          <t>you give a share of profits to charity and put real weight on flexible hybrid working and personal development</t>
        </is>
      </c>
      <c r="AI12" s="15" t="inlineStr">
        <is>
          <t>https://www.humanmademachine.com/careers</t>
        </is>
      </c>
      <c r="AJ12" s="15" t="inlineStr">
        <is>
          <t>culture/sport</t>
        </is>
      </c>
      <c r="AK12" s="15" t="inlineStr">
        <is>
          <t>high</t>
        </is>
      </c>
      <c r="AL12" s="15" t="n"/>
      <c r="AM12" s="18">
        <f>IF(V12&lt;&gt;"",V12,S12)</f>
        <v/>
      </c>
      <c r="AN12" s="18">
        <f>IF(AG12="","","Football 11 minutes from Hoxton Square")</f>
        <v/>
      </c>
      <c r="AO12" s="19" t="inlineStr">
        <is>
          <t>Hi Sabrina,
You've built a culture around people first, flexible working and giving back -- a weekly team game fits that pretty well.
We've a 5-a-side pitch at Powerleague Shoreditch, Braithwaite Street, an 11-minute walk from Hoxton Square. There's a slot free Monday 28 September at 17:40, or 19:40, and it could become your regular weekly game.
It's {PRICE} a player, and we book the pitch and handle sign-ups and payments, so someone just shares one link with the team.
Would your team be up for it?
Best,
Brian
FC Urban</t>
        </is>
      </c>
      <c r="AP12" s="19" t="inlineStr">
        <is>
          <t>Hi Sabrina,
Following up on the five-a-side slot at Powerleague Shoreditch, 11 minutes from Hoxton Square. Thursday 1 October at 18:20 is still open. It's {PRICE} a player, and we handle the booking and payments -- one link for the team. Worth a try?
Best,
Brian
FC Urban</t>
        </is>
      </c>
      <c r="AQ12" s="20">
        <f>IF(OR(AG12="",AO12=""),"",SUBSTITUTE(AO12,"{PRICE}","£"&amp;IF(AG12=INT(AG12),TEXT(AG12,"0"),TEXT(AG12,"0.00"))))</f>
        <v/>
      </c>
      <c r="AR12" s="20">
        <f>IF(OR(AG12="",AP12=""),"",SUBSTITUTE(AP12,"{PRICE}","£"&amp;IF(AG12=INT(AG12),TEXT(AG12,"0"),TEXT(AG12,"0.00"))))</f>
        <v/>
      </c>
      <c r="AS12" s="15" t="inlineStr">
        <is>
          <t>pass</t>
        </is>
      </c>
      <c r="AT12" s="15" t="inlineStr">
        <is>
          <t>MX ok · mailbox not verified</t>
        </is>
      </c>
      <c r="AU12" s="15" t="n"/>
      <c r="AV12" s="18">
        <f>IF(AU12&lt;&gt;"","No – hold: "&amp;AU12,IF(AG12="","No – no confirmed London price per player",IF(AM12="","No – no email",IF(AO12="","No – no personalised email",IF(AS12&lt;&gt;"pass","No – suppressed","Yes")))))</f>
        <v/>
      </c>
      <c r="AX12" s="21" t="n"/>
      <c r="AY12" s="21" t="n"/>
    </row>
    <row r="13">
      <c r="A13" s="15" t="n">
        <v>11</v>
      </c>
      <c r="B13" s="15" t="n">
        <v>2</v>
      </c>
      <c r="C13" s="15" t="inlineStr">
        <is>
          <t>Marketing / agency</t>
        </is>
      </c>
      <c r="D13" s="15" t="inlineStr">
        <is>
          <t>EC1V</t>
        </is>
      </c>
      <c r="E13" s="15" t="inlineStr">
        <is>
          <t>Artiq Limited</t>
        </is>
      </c>
      <c r="F13" s="15" t="inlineStr">
        <is>
          <t>Artiq</t>
        </is>
      </c>
      <c r="G13" s="16" t="inlineStr">
        <is>
          <t>https://artiq.co</t>
        </is>
      </c>
      <c r="H13" s="15" t="n">
        <v>40</v>
      </c>
      <c r="I13" s="15" t="inlineStr">
        <is>
          <t>07080437</t>
        </is>
      </c>
      <c r="J13" s="16" t="inlineStr">
        <is>
          <t>Open</t>
        </is>
      </c>
      <c r="K13" s="15" t="inlineStr">
        <is>
          <t>Group</t>
        </is>
      </c>
      <c r="L13" s="15" t="inlineStr">
        <is>
          <t>18/11/2009</t>
        </is>
      </c>
      <c r="M13" s="15" t="inlineStr">
        <is>
          <t>1St Floor, 23-25 Great Sutton Street, London</t>
        </is>
      </c>
      <c r="N13" s="15" t="inlineStr">
        <is>
          <t>EC1V 0DN</t>
        </is>
      </c>
      <c r="O13" s="15" t="inlineStr">
        <is>
          <t>No</t>
        </is>
      </c>
      <c r="P13" s="15" t="inlineStr">
        <is>
          <t>Patrick</t>
        </is>
      </c>
      <c r="Q13" s="15" t="inlineStr">
        <is>
          <t>Patrick McCrae</t>
        </is>
      </c>
      <c r="R13" s="15" t="inlineStr">
        <is>
          <t>CEO</t>
        </is>
      </c>
      <c r="S13" s="15" t="inlineStr">
        <is>
          <t>hello@artiq.co</t>
        </is>
      </c>
      <c r="T13" s="15" t="inlineStr">
        <is>
          <t>a/b named person via general inbox</t>
        </is>
      </c>
      <c r="U13" s="16" t="inlineStr">
        <is>
          <t>https://artiq.co/</t>
        </is>
      </c>
      <c r="X13" s="15" t="inlineStr">
        <is>
          <t>1st Floor, 23-25 Great Sutton Street</t>
        </is>
      </c>
      <c r="Y13" s="15" t="inlineStr">
        <is>
          <t>EC1V 0DN</t>
        </is>
      </c>
      <c r="Z13" s="15" t="inlineStr">
        <is>
          <t>Website (1st Floor, 23-25 Great Sutton Street)</t>
        </is>
      </c>
      <c r="AA13" s="15" t="inlineStr">
        <is>
          <t>Old St - Moreland Primary School</t>
        </is>
      </c>
      <c r="AB13" s="15" t="n">
        <v>11</v>
      </c>
      <c r="AC13" s="15" t="inlineStr">
        <is>
          <t>Old St - Moreland Primary School</t>
        </is>
      </c>
      <c r="AD13" s="15" t="inlineStr">
        <is>
          <t>Monday 12 October at 18:00</t>
        </is>
      </c>
      <c r="AE13" s="15" t="inlineStr">
        <is>
          <t>One-off</t>
        </is>
      </c>
      <c r="AF13" s="15" t="inlineStr">
        <is>
          <t>6-a-side</t>
        </is>
      </c>
      <c r="AG13" s="17">
        <f>IF(Offer!$D$5="","",Offer!$D$5)</f>
        <v/>
      </c>
      <c r="AH13" s="15" t="inlineStr">
        <is>
          <t>Artiq grew from a team of two in 2009 to over 40 people, and won The Sunday Times Best Places to Work award in 2023</t>
        </is>
      </c>
      <c r="AI13" s="15" t="inlineStr">
        <is>
          <t>https://artiq.co/careers/</t>
        </is>
      </c>
      <c r="AJ13" s="15" t="inlineStr">
        <is>
          <t>milestone</t>
        </is>
      </c>
      <c r="AK13" s="15" t="inlineStr">
        <is>
          <t>high</t>
        </is>
      </c>
      <c r="AL13" s="15" t="n"/>
      <c r="AM13" s="18">
        <f>IF(V13&lt;&gt;"",V13,S13)</f>
        <v/>
      </c>
      <c r="AN13" s="18">
        <f>IF(AG13="","","Football near Great Sutton St, for a Best Places team")</f>
        <v/>
      </c>
      <c r="AO13" s="19" t="inlineStr">
        <is>
          <t>Hi Patrick,
Going from a team of two to a Sunday Times Best Places to Work winner is quite a run -- worth marking with something the whole team can join in on.
We run a floodlit 6-a-side pitch at Moreland School, Gard Street, an 11-minute walk from Great Sutton Street. There's a slot free Monday 12 October at 18:00, 19:00, or 20:00, and it could become your regular weekly game.
It's {PRICE} a player, and we book the pitch and handle sign-ups and payments, so someone just shares one link with the team.
Shall I hold Monday for you?
Best,
Brian
FC Urban</t>
        </is>
      </c>
      <c r="AP13" s="19" t="inlineStr">
        <is>
          <t>Hi Patrick,
Still holding the 6-a-side slot at Moreland School, 11 minutes from Great Sutton Street. Monday 12 October at 19:00 is free. It's {PRICE} a player, and we handle the booking and payments, so it's one link for the team. Fancy giving it a go?
Best,
Brian
FC Urban</t>
        </is>
      </c>
      <c r="AQ13" s="20">
        <f>IF(OR(AG13="",AO13=""),"",SUBSTITUTE(AO13,"{PRICE}","£"&amp;IF(AG13=INT(AG13),TEXT(AG13,"0"),TEXT(AG13,"0.00"))))</f>
        <v/>
      </c>
      <c r="AR13" s="20">
        <f>IF(OR(AG13="",AP13=""),"",SUBSTITUTE(AP13,"{PRICE}","£"&amp;IF(AG13=INT(AG13),TEXT(AG13,"0"),TEXT(AG13,"0.00"))))</f>
        <v/>
      </c>
      <c r="AS13" s="15" t="inlineStr">
        <is>
          <t>pass</t>
        </is>
      </c>
      <c r="AT13" s="15" t="inlineStr">
        <is>
          <t>MX ok · mailbox not verified</t>
        </is>
      </c>
      <c r="AU13" s="15" t="n"/>
      <c r="AV13" s="18">
        <f>IF(AU13&lt;&gt;"","No – hold: "&amp;AU13,IF(AG13="","No – no confirmed London price per player",IF(AM13="","No – no email",IF(AO13="","No – no personalised email",IF(AS13&lt;&gt;"pass","No – suppressed","Yes")))))</f>
        <v/>
      </c>
      <c r="AX13" s="21" t="n"/>
      <c r="AY13" s="21" t="n"/>
    </row>
    <row r="14">
      <c r="A14" s="15" t="n">
        <v>12</v>
      </c>
      <c r="B14" s="15" t="n">
        <v>2</v>
      </c>
      <c r="C14" s="15" t="inlineStr">
        <is>
          <t>Tech / software</t>
        </is>
      </c>
      <c r="D14" s="15" t="inlineStr">
        <is>
          <t>EC2A</t>
        </is>
      </c>
      <c r="E14" s="15" t="inlineStr">
        <is>
          <t>Osf Digital UK Ltd</t>
        </is>
      </c>
      <c r="F14" s="15" t="inlineStr">
        <is>
          <t>Osf Digital</t>
        </is>
      </c>
      <c r="G14" s="16" t="inlineStr">
        <is>
          <t>https://osf.digital</t>
        </is>
      </c>
      <c r="H14" s="15" t="inlineStr">
        <is>
          <t>Not stated</t>
        </is>
      </c>
      <c r="I14" s="15" t="inlineStr">
        <is>
          <t>03844574</t>
        </is>
      </c>
      <c r="J14" s="16" t="inlineStr">
        <is>
          <t>Open</t>
        </is>
      </c>
      <c r="K14" s="15" t="inlineStr">
        <is>
          <t>Full</t>
        </is>
      </c>
      <c r="L14" s="15" t="inlineStr">
        <is>
          <t>20/09/1999</t>
        </is>
      </c>
      <c r="M14" s="15" t="inlineStr">
        <is>
          <t>First Floor, 28-30 Worship Street, London</t>
        </is>
      </c>
      <c r="N14" s="15" t="inlineStr">
        <is>
          <t>EC2A 2AH</t>
        </is>
      </c>
      <c r="O14" s="15" t="inlineStr">
        <is>
          <t>No</t>
        </is>
      </c>
      <c r="P14" s="15" t="inlineStr">
        <is>
          <t>David</t>
        </is>
      </c>
      <c r="Q14" s="15" t="inlineStr">
        <is>
          <t>David Northington</t>
        </is>
      </c>
      <c r="R14" s="15" t="inlineStr">
        <is>
          <t>CEO</t>
        </is>
      </c>
      <c r="S14" s="15" t="inlineStr">
        <is>
          <t>request@osf.digital</t>
        </is>
      </c>
      <c r="T14" s="15" t="inlineStr">
        <is>
          <t>a/b named person via general inbox</t>
        </is>
      </c>
      <c r="U14" s="16" t="inlineStr">
        <is>
          <t>https://osf.digital/</t>
        </is>
      </c>
      <c r="X14" s="15" t="inlineStr">
        <is>
          <t>Sixth Floor, 28-30 Worship Street</t>
        </is>
      </c>
      <c r="Y14" s="15" t="inlineStr">
        <is>
          <t>EC2A 2AH</t>
        </is>
      </c>
      <c r="Z14" s="15" t="inlineStr">
        <is>
          <t>Website (Sixth Floor, 28-30 Worship Street)</t>
        </is>
      </c>
      <c r="AA14" s="15" t="inlineStr">
        <is>
          <t>Shoreditch Powerleague</t>
        </is>
      </c>
      <c r="AB14" s="15" t="n">
        <v>11</v>
      </c>
      <c r="AC14" s="15" t="inlineStr">
        <is>
          <t>Shoreditch Powerleague</t>
        </is>
      </c>
      <c r="AD14" s="15" t="inlineStr">
        <is>
          <t>Monday 28 September at 17:40</t>
        </is>
      </c>
      <c r="AE14" s="15" t="inlineStr">
        <is>
          <t>One-off</t>
        </is>
      </c>
      <c r="AF14" s="15" t="inlineStr">
        <is>
          <t>5-a-side</t>
        </is>
      </c>
      <c r="AG14" s="17">
        <f>IF(Offer!$D$5="","",Offer!$D$5)</f>
        <v/>
      </c>
      <c r="AH14" s="15" t="inlineStr">
        <is>
          <t>David became CEO in 2025; OSF earned ISO 27001 certification and an EcoVadis Bronze this year</t>
        </is>
      </c>
      <c r="AI14" s="15" t="inlineStr">
        <is>
          <t>https://osf.digital/about-us/our-story/</t>
        </is>
      </c>
      <c r="AJ14" s="15" t="inlineStr">
        <is>
          <t>milestone</t>
        </is>
      </c>
      <c r="AK14" s="15" t="inlineStr">
        <is>
          <t>high</t>
        </is>
      </c>
      <c r="AL14" s="15" t="inlineStr">
        <is>
          <t>Contact first name and title (David, CEO) match David Northington, appointed CEO in 2025 per the Our Story page.</t>
        </is>
      </c>
      <c r="AM14" s="18">
        <f>IF(V14&lt;&gt;"",V14,S14)</f>
        <v/>
      </c>
      <c r="AN14" s="18">
        <f>IF(AG14="","","5-a-side, 11 minutes from Worship Street")</f>
        <v/>
      </c>
      <c r="AO14" s="19" t="inlineStr">
        <is>
          <t>Hi David,
Congratulations on becoming CEO last year, and on the ISO 27001 certification and EcoVadis Bronze this year, good momentum to keep going. We've got a 5-a-side pitch at Powerleague Shoreditch, an 11-minute walk from Worship Street, with a slot free Monday 28 September at 17:40, or 19:40 if evenings suit better. It's an easy way to turn that into a regular weekly game for the team.
It's {PRICE} a player, and we book the pitch and handle sign-ups and payments, so someone just shares one link with the team.
Would your team be up for it?
Best,
Brian
FC Urban</t>
        </is>
      </c>
      <c r="AP14" s="19" t="inlineStr">
        <is>
          <t>Hi David,
Just checking back on the Shoreditch pitch. Monday 28 September has gone, but Thursday 1 October at 18:20 is open, still an 11-minute walk from Worship Street. It's {PRICE} a player, and we handle booking and payments. Want me to lock it in for OSF?
Best,
Brian
FC Urban</t>
        </is>
      </c>
      <c r="AQ14" s="20">
        <f>IF(OR(AG14="",AO14=""),"",SUBSTITUTE(AO14,"{PRICE}","£"&amp;IF(AG14=INT(AG14),TEXT(AG14,"0"),TEXT(AG14,"0.00"))))</f>
        <v/>
      </c>
      <c r="AR14" s="20">
        <f>IF(OR(AG14="",AP14=""),"",SUBSTITUTE(AP14,"{PRICE}","£"&amp;IF(AG14=INT(AG14),TEXT(AG14,"0"),TEXT(AG14,"0.00"))))</f>
        <v/>
      </c>
      <c r="AS14" s="15" t="inlineStr">
        <is>
          <t>pass</t>
        </is>
      </c>
      <c r="AT14" s="15" t="inlineStr">
        <is>
          <t>MX ok · mailbox not verified</t>
        </is>
      </c>
      <c r="AU14" s="15" t="n"/>
      <c r="AV14" s="18">
        <f>IF(AU14&lt;&gt;"","No – hold: "&amp;AU14,IF(AG14="","No – no confirmed London price per player",IF(AM14="","No – no email",IF(AO14="","No – no personalised email",IF(AS14&lt;&gt;"pass","No – suppressed","Yes")))))</f>
        <v/>
      </c>
      <c r="AX14" s="21" t="n"/>
      <c r="AY14" s="21" t="n"/>
    </row>
    <row r="15">
      <c r="A15" s="15" t="n">
        <v>13</v>
      </c>
      <c r="B15" s="15" t="n">
        <v>2</v>
      </c>
      <c r="C15" s="15" t="inlineStr">
        <is>
          <t>Marketing / agency</t>
        </is>
      </c>
      <c r="D15" s="15" t="inlineStr">
        <is>
          <t>N1</t>
        </is>
      </c>
      <c r="E15" s="15" t="inlineStr">
        <is>
          <t>Windfall Films Limited</t>
        </is>
      </c>
      <c r="F15" s="15" t="inlineStr">
        <is>
          <t>Windfall Films</t>
        </is>
      </c>
      <c r="G15" s="16" t="inlineStr">
        <is>
          <t>https://windfallfilms.com</t>
        </is>
      </c>
      <c r="H15" s="15" t="n">
        <v>20</v>
      </c>
      <c r="I15" s="15" t="inlineStr">
        <is>
          <t>02205891</t>
        </is>
      </c>
      <c r="J15" s="16" t="inlineStr">
        <is>
          <t>Open</t>
        </is>
      </c>
      <c r="K15" s="15" t="inlineStr">
        <is>
          <t>Full</t>
        </is>
      </c>
      <c r="L15" s="15" t="inlineStr">
        <is>
          <t>16/12/1987</t>
        </is>
      </c>
      <c r="M15" s="15" t="inlineStr">
        <is>
          <t>1-3 St. Peter'S Street, London</t>
        </is>
      </c>
      <c r="N15" s="15" t="inlineStr">
        <is>
          <t>N1 8JD</t>
        </is>
      </c>
      <c r="O15" s="15" t="inlineStr">
        <is>
          <t>No</t>
        </is>
      </c>
      <c r="P15" s="15" t="inlineStr">
        <is>
          <t>Carlo</t>
        </is>
      </c>
      <c r="Q15" s="15" t="inlineStr">
        <is>
          <t>Carlo Massarella</t>
        </is>
      </c>
      <c r="R15" s="15" t="inlineStr">
        <is>
          <t>Chief Executive Officer</t>
        </is>
      </c>
      <c r="S15" s="15" t="inlineStr">
        <is>
          <t>enquiries@windfallfilms.com</t>
        </is>
      </c>
      <c r="T15" s="15" t="inlineStr">
        <is>
          <t>a/b named person via general inbox</t>
        </is>
      </c>
      <c r="U15" s="16" t="inlineStr">
        <is>
          <t>https://windfallfilms.com/contact</t>
        </is>
      </c>
      <c r="X15" s="15" t="inlineStr">
        <is>
          <t>1-3 St. Peter's Street</t>
        </is>
      </c>
      <c r="Y15" s="15" t="inlineStr">
        <is>
          <t>N1 8JD</t>
        </is>
      </c>
      <c r="Z15" s="15" t="inlineStr">
        <is>
          <t>Website (1-3 St. Peter's Street)</t>
        </is>
      </c>
      <c r="AA15" s="15" t="inlineStr">
        <is>
          <t>Old St - Moreland Primary School</t>
        </is>
      </c>
      <c r="AB15" s="15" t="n">
        <v>13</v>
      </c>
      <c r="AC15" s="15" t="inlineStr">
        <is>
          <t>Old St - Moreland Primary School</t>
        </is>
      </c>
      <c r="AD15" s="15" t="inlineStr">
        <is>
          <t>Monday 12 October at 18:00</t>
        </is>
      </c>
      <c r="AE15" s="15" t="inlineStr">
        <is>
          <t>One-off</t>
        </is>
      </c>
      <c r="AF15" s="15" t="inlineStr">
        <is>
          <t>6-a-side</t>
        </is>
      </c>
      <c r="AG15" s="17">
        <f>IF(Offer!$D$5="","",Offer!$D$5)</f>
        <v/>
      </c>
      <c r="AH15" s="15" t="inlineStr">
        <is>
          <t>Windfall Films won Best Places to Work in TV 2026 at the Broadcast Awards</t>
        </is>
      </c>
      <c r="AI15" s="15" t="inlineStr">
        <is>
          <t>https://windfallfilms.com/awards</t>
        </is>
      </c>
      <c r="AJ15" s="15" t="inlineStr">
        <is>
          <t>culture/sport</t>
        </is>
      </c>
      <c r="AK15" s="15" t="inlineStr">
        <is>
          <t>high</t>
        </is>
      </c>
      <c r="AL15" s="15" t="inlineStr">
        <is>
          <t>Hook found via the awards page (linked from site nav), not in the supplied pages. Contact matches Carlo Massarella, CEO.</t>
        </is>
      </c>
      <c r="AM15" s="18">
        <f>IF(V15&lt;&gt;"",V15,S15)</f>
        <v/>
      </c>
      <c r="AN15" s="18">
        <f>IF(AG15="","","Best Places to Work 2026 - and a weekly game?")</f>
        <v/>
      </c>
      <c r="AO15" s="19" t="inlineStr">
        <is>
          <t>Hi Carlo,
Congratulations on being named Best Places to Work in TV 2026 at the Broadcast Awards, sounds like exactly the kind of team that would enjoy a regular kickabout together. We've got a floodlit 6-a-side pitch at Moreland School, a 13-minute walk from St Peter's Street, with a slot free Monday 12 October at 18:00, or 19:00 if that works better. It could easily become your weekly game.
It's {PRICE} a player, and we book the pitch and handle sign-ups and payments, so someone just shares one link with the team.
Shall I hold Monday for you?
Best,
Brian
FC Urban</t>
        </is>
      </c>
      <c r="AP15" s="19" t="inlineStr">
        <is>
          <t>Hi Carlo,
Following up on the pitch near St Peter's Street. Monday 12 October at 18:00 is still free, or 19:00 works too. It's {PRICE} a player, and we handle the booking and payments. Fits nicely for a team that just won Best Places to Work. Worth a try?
Best,
Brian
FC Urban</t>
        </is>
      </c>
      <c r="AQ15" s="20">
        <f>IF(OR(AG15="",AO15=""),"",SUBSTITUTE(AO15,"{PRICE}","£"&amp;IF(AG15=INT(AG15),TEXT(AG15,"0"),TEXT(AG15,"0.00"))))</f>
        <v/>
      </c>
      <c r="AR15" s="20">
        <f>IF(OR(AG15="",AP15=""),"",SUBSTITUTE(AP15,"{PRICE}","£"&amp;IF(AG15=INT(AG15),TEXT(AG15,"0"),TEXT(AG15,"0.00"))))</f>
        <v/>
      </c>
      <c r="AS15" s="15" t="inlineStr">
        <is>
          <t>pass</t>
        </is>
      </c>
      <c r="AT15" s="15" t="inlineStr">
        <is>
          <t>MX ok · mailbox not verified</t>
        </is>
      </c>
      <c r="AU15" s="15" t="n"/>
      <c r="AV15" s="18">
        <f>IF(AU15&lt;&gt;"","No – hold: "&amp;AU15,IF(AG15="","No – no confirmed London price per player",IF(AM15="","No – no email",IF(AO15="","No – no personalised email",IF(AS15&lt;&gt;"pass","No – suppressed","Yes")))))</f>
        <v/>
      </c>
      <c r="AX15" s="21" t="n"/>
      <c r="AY15" s="21" t="n"/>
    </row>
    <row r="16">
      <c r="A16" s="15" t="n">
        <v>14</v>
      </c>
      <c r="B16" s="15" t="n">
        <v>2</v>
      </c>
      <c r="C16" s="15" t="inlineStr">
        <is>
          <t>Marketing / agency</t>
        </is>
      </c>
      <c r="D16" s="15" t="inlineStr">
        <is>
          <t>EC1R</t>
        </is>
      </c>
      <c r="E16" s="15" t="inlineStr">
        <is>
          <t>72 Films Limited</t>
        </is>
      </c>
      <c r="F16" s="15" t="inlineStr">
        <is>
          <t>72 Films</t>
        </is>
      </c>
      <c r="G16" s="16" t="inlineStr">
        <is>
          <t>https://72films.com</t>
        </is>
      </c>
      <c r="H16" s="15" t="n">
        <v>24</v>
      </c>
      <c r="I16" s="15" t="inlineStr">
        <is>
          <t>10075517</t>
        </is>
      </c>
      <c r="J16" s="16" t="inlineStr">
        <is>
          <t>Open</t>
        </is>
      </c>
      <c r="K16" s="15" t="inlineStr">
        <is>
          <t>Group</t>
        </is>
      </c>
      <c r="L16" s="15" t="inlineStr">
        <is>
          <t>21/03/2016</t>
        </is>
      </c>
      <c r="M16" s="15" t="inlineStr">
        <is>
          <t>1St Floor, No.1, Amwell Street, London</t>
        </is>
      </c>
      <c r="N16" s="15" t="inlineStr">
        <is>
          <t>EC1R 1UL</t>
        </is>
      </c>
      <c r="O16" s="15" t="inlineStr">
        <is>
          <t>No</t>
        </is>
      </c>
      <c r="P16" s="15" t="inlineStr">
        <is>
          <t>David</t>
        </is>
      </c>
      <c r="Q16" s="15" t="inlineStr">
        <is>
          <t>David Glover</t>
        </is>
      </c>
      <c r="R16" s="15" t="inlineStr">
        <is>
          <t>Founder/CEO</t>
        </is>
      </c>
      <c r="S16" s="15" t="inlineStr">
        <is>
          <t>info@72films.com</t>
        </is>
      </c>
      <c r="T16" s="15" t="inlineStr">
        <is>
          <t>a/b named person via general inbox</t>
        </is>
      </c>
      <c r="U16" s="16" t="inlineStr">
        <is>
          <t>https://72films.com/contact/</t>
        </is>
      </c>
      <c r="X16" s="15" t="inlineStr">
        <is>
          <t>1st Floor, 1 Amwell Street</t>
        </is>
      </c>
      <c r="Y16" s="15" t="inlineStr">
        <is>
          <t>EC1R 1UL</t>
        </is>
      </c>
      <c r="Z16" s="15" t="inlineStr">
        <is>
          <t>Website (1st Floor, 1 Amwell Street)</t>
        </is>
      </c>
      <c r="AA16" s="15" t="inlineStr">
        <is>
          <t>Old St - Moreland Primary School</t>
        </is>
      </c>
      <c r="AB16" s="15" t="n">
        <v>13</v>
      </c>
      <c r="AC16" s="15" t="inlineStr">
        <is>
          <t>Old St - Moreland Primary School</t>
        </is>
      </c>
      <c r="AD16" s="15" t="inlineStr">
        <is>
          <t>Monday 12 October at 18:00</t>
        </is>
      </c>
      <c r="AE16" s="15" t="inlineStr">
        <is>
          <t>One-off</t>
        </is>
      </c>
      <c r="AF16" s="15" t="inlineStr">
        <is>
          <t>6-a-side</t>
        </is>
      </c>
      <c r="AG16" s="17">
        <f>IF(Offer!$D$5="","",Offer!$D$5)</f>
        <v/>
      </c>
      <c r="AH16" s="15" t="inlineStr">
        <is>
          <t>72 Films ranked the UK's #2 independent production company in Broadcast's 2026 Annual Peer Poll</t>
        </is>
      </c>
      <c r="AI16" s="15" t="inlineStr">
        <is>
          <t>https://72films.com/news-feed/</t>
        </is>
      </c>
      <c r="AJ16" s="15" t="inlineStr">
        <is>
          <t>milestone</t>
        </is>
      </c>
      <c r="AK16" s="15" t="inlineStr">
        <is>
          <t>high</t>
        </is>
      </c>
      <c r="AL16" s="15" t="inlineStr">
        <is>
          <t>Contact matches David Glover, Founder/CEO, named on the same news feed.</t>
        </is>
      </c>
      <c r="AM16" s="18">
        <f>IF(V16&lt;&gt;"",V16,S16)</f>
        <v/>
      </c>
      <c r="AN16" s="18">
        <f>IF(AG16="","","72 Films, ranked #2 - fancy a weekly game?")</f>
        <v/>
      </c>
      <c r="AO16" s="19" t="inlineStr">
        <is>
          <t>Hi David,
Congratulations on being ranked the UK's number two independent production company in Broadcast's 2026 Annual Peer Poll, quite a year for the team. We've got a floodlit 6-a-side pitch at Moreland School, a 13-minute walk from Amwell Street, with a slot free Monday 12 October at 18:00, or 19:00 if that suits better. It's a good excuse to make it a regular weekly game.
It's {PRICE} a player, and we book the pitch and handle sign-ups and payments, so someone just shares one link with the team.
Shall I hold Monday for you?
Best,
Brian
FC Urban</t>
        </is>
      </c>
      <c r="AP16" s="19" t="inlineStr">
        <is>
          <t>Hi David,
Just checking back on the pitch near Amwell Street. Monday 12 October at 18:00 is still open, or 19:00 works too. It's {PRICE} a player, and we handle booking and payments. Good way to celebrate that #2 ranking with the team. Shall I hold it?
Best,
Brian
FC Urban</t>
        </is>
      </c>
      <c r="AQ16" s="20">
        <f>IF(OR(AG16="",AO16=""),"",SUBSTITUTE(AO16,"{PRICE}","£"&amp;IF(AG16=INT(AG16),TEXT(AG16,"0"),TEXT(AG16,"0.00"))))</f>
        <v/>
      </c>
      <c r="AR16" s="20">
        <f>IF(OR(AG16="",AP16=""),"",SUBSTITUTE(AP16,"{PRICE}","£"&amp;IF(AG16=INT(AG16),TEXT(AG16,"0"),TEXT(AG16,"0.00"))))</f>
        <v/>
      </c>
      <c r="AS16" s="15" t="inlineStr">
        <is>
          <t>pass</t>
        </is>
      </c>
      <c r="AT16" s="15" t="inlineStr">
        <is>
          <t>MX ok · mailbox not verified</t>
        </is>
      </c>
      <c r="AU16" s="15" t="n"/>
      <c r="AV16" s="18">
        <f>IF(AU16&lt;&gt;"","No – hold: "&amp;AU16,IF(AG16="","No – no confirmed London price per player",IF(AM16="","No – no email",IF(AO16="","No – no personalised email",IF(AS16&lt;&gt;"pass","No – suppressed","Yes")))))</f>
        <v/>
      </c>
      <c r="AX16" s="21" t="n"/>
      <c r="AY16" s="21" t="n"/>
    </row>
    <row r="17">
      <c r="A17" s="15" t="n">
        <v>15</v>
      </c>
      <c r="B17" s="15" t="n">
        <v>2</v>
      </c>
      <c r="C17" s="15" t="inlineStr">
        <is>
          <t>Marketing / agency</t>
        </is>
      </c>
      <c r="D17" s="15" t="inlineStr">
        <is>
          <t>N7</t>
        </is>
      </c>
      <c r="E17" s="15" t="inlineStr">
        <is>
          <t>October Films Ltd</t>
        </is>
      </c>
      <c r="F17" s="15" t="inlineStr">
        <is>
          <t>October Films</t>
        </is>
      </c>
      <c r="G17" s="16" t="inlineStr">
        <is>
          <t>https://octoberfilms.co.uk</t>
        </is>
      </c>
      <c r="H17" s="15" t="n">
        <v>25</v>
      </c>
      <c r="I17" s="15" t="inlineStr">
        <is>
          <t>02328023</t>
        </is>
      </c>
      <c r="J17" s="16" t="inlineStr">
        <is>
          <t>Open</t>
        </is>
      </c>
      <c r="K17" s="15" t="inlineStr">
        <is>
          <t>Full</t>
        </is>
      </c>
      <c r="L17" s="15" t="inlineStr">
        <is>
          <t>13/12/1988</t>
        </is>
      </c>
      <c r="M17" s="15" t="inlineStr">
        <is>
          <t>Benwell Studios, 11-13 Benwell Road, London</t>
        </is>
      </c>
      <c r="N17" s="15" t="inlineStr">
        <is>
          <t>N7 7BL</t>
        </is>
      </c>
      <c r="O17" s="15" t="inlineStr">
        <is>
          <t>No</t>
        </is>
      </c>
      <c r="P17" s="15" t="inlineStr">
        <is>
          <t>Jane</t>
        </is>
      </c>
      <c r="Q17" s="15" t="inlineStr">
        <is>
          <t>Jane Manning</t>
        </is>
      </c>
      <c r="R17" s="15" t="inlineStr">
        <is>
          <t>Chief Operating Officer</t>
        </is>
      </c>
      <c r="S17" s="15" t="inlineStr">
        <is>
          <t>info@octoberfilms.co.uk</t>
        </is>
      </c>
      <c r="T17" s="15" t="inlineStr">
        <is>
          <t>a/b named person via general inbox</t>
        </is>
      </c>
      <c r="U17" s="16" t="inlineStr">
        <is>
          <t>https://octoberfilms.co.uk/contact/</t>
        </is>
      </c>
      <c r="X17" s="15" t="inlineStr">
        <is>
          <t>11/13 Benwell Road</t>
        </is>
      </c>
      <c r="Y17" s="15" t="inlineStr">
        <is>
          <t>N7 7BL</t>
        </is>
      </c>
      <c r="Z17" s="15" t="inlineStr">
        <is>
          <t>Website (11/13 Benwell Road)</t>
        </is>
      </c>
      <c r="AA17" s="15" t="inlineStr">
        <is>
          <t>Market Road</t>
        </is>
      </c>
      <c r="AB17" s="15" t="n">
        <v>14</v>
      </c>
      <c r="AC17" s="15" t="inlineStr">
        <is>
          <t>Market Road</t>
        </is>
      </c>
      <c r="AD17" s="15" t="inlineStr">
        <is>
          <t>Monday 28 September at 18:00</t>
        </is>
      </c>
      <c r="AE17" s="15" t="inlineStr">
        <is>
          <t>One-off</t>
        </is>
      </c>
      <c r="AF17" s="15" t="inlineStr">
        <is>
          <t>5-a-side</t>
        </is>
      </c>
      <c r="AG17" s="17">
        <f>IF(Offer!$D$5="","",Offer!$D$5)</f>
        <v/>
      </c>
      <c r="AH17" s="15" t="inlineStr">
        <is>
          <t>Founded in London in 1989, employee-owned October has won over 100 awards incl. EMMY, Prix Italia, BAFTA</t>
        </is>
      </c>
      <c r="AI17" s="16" t="inlineStr">
        <is>
          <t>https://octoberfilms.co.uk/about/</t>
        </is>
      </c>
      <c r="AJ17" s="15" t="inlineStr">
        <is>
          <t>milestone</t>
        </is>
      </c>
      <c r="AK17" s="15" t="inlineStr">
        <is>
          <t>high</t>
        </is>
      </c>
      <c r="AL17" s="15" t="inlineStr">
        <is>
          <t>Only one open slot was supplied, so the follow-up asks for a preferred day rather than naming a second slot. Contact matches Jane Manning, Chief Operating Officer.</t>
        </is>
      </c>
      <c r="AM17" s="18">
        <f>IF(V17&lt;&gt;"",V17,S17)</f>
        <v/>
      </c>
      <c r="AN17" s="18">
        <f>IF(AG17="","","A 5-a-side pitch near Benwell Road for October Films")</f>
        <v/>
      </c>
      <c r="AO17" s="19" t="inlineStr">
        <is>
          <t>Hi Jane,
October Films has been turning out award-winning documentaries from Benwell Road since 1989, picking up over 100 prizes along the way, including EMMY, Prix Italia and BAFTA, quite a team to be proud of. We've got a 5-a-side pitch at Market Road, a 14-minute walk away, free Monday 28 September at 18:00. It could easily become your regular weekly game.
It's {PRICE} a player, and we book the pitch and handle sign-ups and payments, so someone just shares one link with the team.
Shall I hold Monday for you?
Best,
Brian
FC Urban</t>
        </is>
      </c>
      <c r="AP17" s="19" t="inlineStr">
        <is>
          <t>Hi Jane,
Circling back on the 5-a-side pitch near Benwell Road. If Monday's slot has gone, let me know a day and time that suits the team and I'll check what's free at Market Road. It's {PRICE} a player, and we handle booking and payments end to end. Worth a go?
Best,
Brian
FC Urban</t>
        </is>
      </c>
      <c r="AQ17" s="20">
        <f>IF(OR(AG17="",AO17=""),"",SUBSTITUTE(AO17,"{PRICE}","£"&amp;IF(AG17=INT(AG17),TEXT(AG17,"0"),TEXT(AG17,"0.00"))))</f>
        <v/>
      </c>
      <c r="AR17" s="20">
        <f>IF(OR(AG17="",AP17=""),"",SUBSTITUTE(AP17,"{PRICE}","£"&amp;IF(AG17=INT(AG17),TEXT(AG17,"0"),TEXT(AG17,"0.00"))))</f>
        <v/>
      </c>
      <c r="AS17" s="15" t="inlineStr">
        <is>
          <t>pass</t>
        </is>
      </c>
      <c r="AT17" s="15" t="inlineStr">
        <is>
          <t>MX ok · mailbox not verified</t>
        </is>
      </c>
      <c r="AU17" s="15" t="n"/>
      <c r="AV17" s="18">
        <f>IF(AU17&lt;&gt;"","No – hold: "&amp;AU17,IF(AG17="","No – no confirmed London price per player",IF(AM17="","No – no email",IF(AO17="","No – no personalised email",IF(AS17&lt;&gt;"pass","No – suppressed","Yes")))))</f>
        <v/>
      </c>
      <c r="AX17" s="21" t="n"/>
      <c r="AY17" s="21" t="n"/>
    </row>
    <row r="18">
      <c r="A18" s="15" t="n">
        <v>16</v>
      </c>
      <c r="B18" s="15" t="n">
        <v>2</v>
      </c>
      <c r="C18" s="15" t="inlineStr">
        <is>
          <t>Consultancy</t>
        </is>
      </c>
      <c r="D18" s="15" t="inlineStr">
        <is>
          <t>EC2M</t>
        </is>
      </c>
      <c r="E18" s="15" t="inlineStr">
        <is>
          <t>Yendall Hunter Limited</t>
        </is>
      </c>
      <c r="F18" s="15" t="inlineStr">
        <is>
          <t>Yendall Hunter</t>
        </is>
      </c>
      <c r="G18" s="16" t="inlineStr">
        <is>
          <t>https://www.yendallhunter.com</t>
        </is>
      </c>
      <c r="H18" s="15" t="inlineStr">
        <is>
          <t>Not stated</t>
        </is>
      </c>
      <c r="I18" s="15" t="inlineStr">
        <is>
          <t>09410777</t>
        </is>
      </c>
      <c r="J18" s="16" t="inlineStr">
        <is>
          <t>Open</t>
        </is>
      </c>
      <c r="K18" s="15" t="inlineStr">
        <is>
          <t>Medium</t>
        </is>
      </c>
      <c r="L18" s="15" t="inlineStr">
        <is>
          <t>28/01/2015</t>
        </is>
      </c>
      <c r="M18" s="15" t="inlineStr">
        <is>
          <t>Dashwood House, 69 Old Broad Street, London</t>
        </is>
      </c>
      <c r="N18" s="15" t="inlineStr">
        <is>
          <t>EC2M 1QS</t>
        </is>
      </c>
      <c r="O18" s="15" t="inlineStr">
        <is>
          <t>No</t>
        </is>
      </c>
      <c r="P18" s="15" t="inlineStr">
        <is>
          <t>Martin</t>
        </is>
      </c>
      <c r="Q18" s="15" t="inlineStr">
        <is>
          <t>Martin Hunter</t>
        </is>
      </c>
      <c r="R18" s="15" t="inlineStr">
        <is>
          <t>Managing Director</t>
        </is>
      </c>
      <c r="S18" s="15" t="inlineStr">
        <is>
          <t>info@yendallhunter.com</t>
        </is>
      </c>
      <c r="T18" s="15" t="inlineStr">
        <is>
          <t>a/b named person via general inbox</t>
        </is>
      </c>
      <c r="U18" s="16" t="inlineStr">
        <is>
          <t>https://www.yendallhunter.com/</t>
        </is>
      </c>
      <c r="X18" s="15" t="inlineStr">
        <is>
          <t>69 Old Broad Street</t>
        </is>
      </c>
      <c r="Y18" s="15" t="inlineStr">
        <is>
          <t>EC2M 1QS</t>
        </is>
      </c>
      <c r="Z18" s="15" t="inlineStr">
        <is>
          <t>Website (69 Old Broad Street)</t>
        </is>
      </c>
      <c r="AA18" s="15" t="inlineStr">
        <is>
          <t>Shoreditch Powerleague</t>
        </is>
      </c>
      <c r="AB18" s="15" t="n">
        <v>14</v>
      </c>
      <c r="AC18" s="15" t="inlineStr">
        <is>
          <t>Shoreditch Powerleague</t>
        </is>
      </c>
      <c r="AD18" s="15" t="inlineStr">
        <is>
          <t>Monday 28 September at 17:40</t>
        </is>
      </c>
      <c r="AE18" s="15" t="inlineStr">
        <is>
          <t>One-off</t>
        </is>
      </c>
      <c r="AF18" s="15" t="inlineStr">
        <is>
          <t>5-a-side</t>
        </is>
      </c>
      <c r="AG18" s="17">
        <f>IF(Offer!$D$5="","",Offer!$D$5)</f>
        <v/>
      </c>
      <c r="AH18" s="15" t="inlineStr">
        <is>
          <t>Yendall Hunter's London office moved to Dashwood House, 69 Old Broad Street, in 2024</t>
        </is>
      </c>
      <c r="AI18" s="15" t="inlineStr">
        <is>
          <t>https://www.yendallhunter.com/news/london-office-move</t>
        </is>
      </c>
      <c r="AJ18" s="15" t="inlineStr">
        <is>
          <t>office move</t>
        </is>
      </c>
      <c r="AK18" s="15" t="inlineStr">
        <is>
          <t>high</t>
        </is>
      </c>
      <c r="AL18" s="15" t="inlineStr">
        <is>
          <t>Contact matches Martin Hunter, Managing Director and co-founder, who authored the office-move news post himself.</t>
        </is>
      </c>
      <c r="AM18" s="18">
        <f>IF(V18&lt;&gt;"",V18,S18)</f>
        <v/>
      </c>
      <c r="AN18" s="18">
        <f>IF(AG18="","","A 5-a-side pitch near Dashwood House, Old Broad St")</f>
        <v/>
      </c>
      <c r="AO18" s="19" t="inlineStr">
        <is>
          <t>Hi Martin,
Since the move to Dashwood House on Old Broad Street, it's a great excuse to get the team out together. We've got a 5-a-side pitch at Powerleague Shoreditch, a 14-minute walk away, with a slot free Monday 28 September at 17:40, or 19:40 if evenings suit better. It could easily become your regular weekly game.
It's {PRICE} a player, and we book the pitch and handle sign-ups and payments, so someone just shares one link with the team.
Shall I hold Monday for you?
Best,
Brian
FC Urban</t>
        </is>
      </c>
      <c r="AP18" s="19" t="inlineStr">
        <is>
          <t>Hi Martin,
Just checking back on the pitch near Dashwood House. Monday's slot has gone, but Thursday 1 October at 18:20 is still free. It's {PRICE} a player, and we handle booking and payments. Good way to get the team together after the move. Shall I hold it?
Best,
Brian
FC Urban</t>
        </is>
      </c>
      <c r="AQ18" s="20">
        <f>IF(OR(AG18="",AO18=""),"",SUBSTITUTE(AO18,"{PRICE}","£"&amp;IF(AG18=INT(AG18),TEXT(AG18,"0"),TEXT(AG18,"0.00"))))</f>
        <v/>
      </c>
      <c r="AR18" s="20">
        <f>IF(OR(AG18="",AP18=""),"",SUBSTITUTE(AP18,"{PRICE}","£"&amp;IF(AG18=INT(AG18),TEXT(AG18,"0"),TEXT(AG18,"0.00"))))</f>
        <v/>
      </c>
      <c r="AS18" s="15" t="inlineStr">
        <is>
          <t>pass</t>
        </is>
      </c>
      <c r="AT18" s="15" t="inlineStr">
        <is>
          <t>MX ok · mailbox not verified</t>
        </is>
      </c>
      <c r="AU18" s="15" t="n"/>
      <c r="AV18" s="18">
        <f>IF(AU18&lt;&gt;"","No – hold: "&amp;AU18,IF(AG18="","No – no confirmed London price per player",IF(AM18="","No – no email",IF(AO18="","No – no personalised email",IF(AS18&lt;&gt;"pass","No – suppressed","Yes")))))</f>
        <v/>
      </c>
      <c r="AX18" s="21" t="n"/>
      <c r="AY18" s="21" t="n"/>
    </row>
    <row r="19">
      <c r="A19" s="15" t="n">
        <v>17</v>
      </c>
      <c r="B19" s="15" t="n">
        <v>2</v>
      </c>
      <c r="C19" s="15" t="inlineStr">
        <is>
          <t>Finance / accounting</t>
        </is>
      </c>
      <c r="D19" s="15" t="inlineStr">
        <is>
          <t>EC3A</t>
        </is>
      </c>
      <c r="E19" s="15" t="inlineStr">
        <is>
          <t>Jenoa Limited</t>
        </is>
      </c>
      <c r="F19" s="15" t="inlineStr">
        <is>
          <t>Jenoa</t>
        </is>
      </c>
      <c r="G19" s="16" t="inlineStr">
        <is>
          <t>https://jenoa.com:443</t>
        </is>
      </c>
      <c r="H19" s="15" t="inlineStr">
        <is>
          <t>Not stated</t>
        </is>
      </c>
      <c r="I19" s="15" t="inlineStr">
        <is>
          <t>12292684</t>
        </is>
      </c>
      <c r="J19" s="16" t="inlineStr">
        <is>
          <t>Open</t>
        </is>
      </c>
      <c r="K19" s="15" t="inlineStr">
        <is>
          <t>Full</t>
        </is>
      </c>
      <c r="L19" s="15" t="inlineStr">
        <is>
          <t>31/10/2019</t>
        </is>
      </c>
      <c r="M19" s="15" t="inlineStr">
        <is>
          <t>C/O Clyde &amp; Co Llp, St Botolph Building, 138 Houndsditch, London</t>
        </is>
      </c>
      <c r="N19" s="15" t="inlineStr">
        <is>
          <t>EC3A 7AR</t>
        </is>
      </c>
      <c r="O19" s="15" t="inlineStr">
        <is>
          <t>No</t>
        </is>
      </c>
      <c r="P19" s="15" t="inlineStr">
        <is>
          <t>Mahboob</t>
        </is>
      </c>
      <c r="Q19" s="15" t="inlineStr">
        <is>
          <t>Mahboob Khan</t>
        </is>
      </c>
      <c r="R19" s="15" t="inlineStr">
        <is>
          <t>Chief Executive Officer</t>
        </is>
      </c>
      <c r="S19" s="15" t="inlineStr">
        <is>
          <t>london@jenoa.com</t>
        </is>
      </c>
      <c r="T19" s="15" t="inlineStr">
        <is>
          <t>a/b named person via general inbox</t>
        </is>
      </c>
      <c r="U19" s="16" t="inlineStr">
        <is>
          <t>https://jenoa.com/en/locations/</t>
        </is>
      </c>
      <c r="X19" s="15" t="n"/>
      <c r="Y19" s="15" t="inlineStr">
        <is>
          <t>EC3A 8BE</t>
        </is>
      </c>
      <c r="Z19" s="15" t="inlineStr">
        <is>
          <t>Website</t>
        </is>
      </c>
      <c r="AA19" s="15" t="inlineStr">
        <is>
          <t>Shoreditch Powerleague</t>
        </is>
      </c>
      <c r="AB19" s="15" t="n">
        <v>15</v>
      </c>
      <c r="AC19" s="15" t="inlineStr">
        <is>
          <t>Shoreditch Powerleague</t>
        </is>
      </c>
      <c r="AD19" s="15" t="inlineStr">
        <is>
          <t>Monday 28 September at 17:40</t>
        </is>
      </c>
      <c r="AE19" s="15" t="inlineStr">
        <is>
          <t>One-off</t>
        </is>
      </c>
      <c r="AF19" s="15" t="inlineStr">
        <is>
          <t>5-a-side</t>
        </is>
      </c>
      <c r="AG19" s="17">
        <f>IF(Offer!$D$5="","",Offer!$D$5)</f>
        <v/>
      </c>
      <c r="AH19" s="15" t="inlineStr">
        <is>
          <t>JENOA launched in 2020 as a digital-first broker, backed by Abdul Latif Jameel's 80-year heritage</t>
        </is>
      </c>
      <c r="AI19" s="15" t="inlineStr">
        <is>
          <t>https://jenoa.com/en/about-us/</t>
        </is>
      </c>
      <c r="AJ19" s="15" t="inlineStr">
        <is>
          <t>milestone</t>
        </is>
      </c>
      <c r="AK19" s="15" t="inlineStr">
        <is>
          <t>high</t>
        </is>
      </c>
      <c r="AL19" s="15" t="inlineStr">
        <is>
          <t>Hook is from a CEO message on the about-us page signed by Mahboob Khan, matching the given contact name, so it's a good genuine match. office_street was blank in the input; research found the HQ address is 70 St Mary Axe, EC3A 8BE — used that in the email instead of guessing.</t>
        </is>
      </c>
      <c r="AM19" s="18">
        <f>IF(V19&lt;&gt;"",V19,S19)</f>
        <v/>
      </c>
      <c r="AN19" s="18">
        <f>IF(AG19="","","A weekly 5-a-side, 15 min from St Mary Axe")</f>
        <v/>
      </c>
      <c r="AO19" s="19" t="inlineStr">
        <is>
          <t>Hi Mahboob,
JENOA launched in 2020 as a digital-first broker, backed by Abdul Latif Jameel's 80-year heritage — sounds like a team that could do with a regular game together. We've got a 5-a-side pitch at Powerleague Shoreditch, Braithwaite Street, E1 6GJ, about a 15-minute walk from St Mary Axe. There's a slot open Monday 28 September at 17:40, or 19:40 if evenings suit better, and it could become your weekly fixture. It's {PRICE} a player, and we book the pitch and handle sign-ups and payments, so someone just shares one link with the team. Shall I hold Monday for you?
Best,
Brian
FC Urban</t>
        </is>
      </c>
      <c r="AP19" s="19" t="inlineStr">
        <is>
          <t>Hi Mahboob,
Following up on that 5-a-side slot at Powerleague Shoreditch — Monday 28 September at 17:40 is still open, or Thursday 1 October at 18:20 if that's easier. It's {PRICE} a player; we handle the booking and payments, so it's simple to start. Let me know if you'd like it held.
Best,
Brian
FC Urban</t>
        </is>
      </c>
      <c r="AQ19" s="20">
        <f>IF(OR(AG19="",AO19=""),"",SUBSTITUTE(AO19,"{PRICE}","£"&amp;IF(AG19=INT(AG19),TEXT(AG19,"0"),TEXT(AG19,"0.00"))))</f>
        <v/>
      </c>
      <c r="AR19" s="20">
        <f>IF(OR(AG19="",AP19=""),"",SUBSTITUTE(AP19,"{PRICE}","£"&amp;IF(AG19=INT(AG19),TEXT(AG19,"0"),TEXT(AG19,"0.00"))))</f>
        <v/>
      </c>
      <c r="AS19" s="15" t="inlineStr">
        <is>
          <t>pass</t>
        </is>
      </c>
      <c r="AT19" s="15" t="inlineStr">
        <is>
          <t>MX ok · mailbox not verified</t>
        </is>
      </c>
      <c r="AU19" s="15" t="n"/>
      <c r="AV19" s="18">
        <f>IF(AU19&lt;&gt;"","No – hold: "&amp;AU19,IF(AG19="","No – no confirmed London price per player",IF(AM19="","No – no email",IF(AO19="","No – no personalised email",IF(AS19&lt;&gt;"pass","No – suppressed","Yes")))))</f>
        <v/>
      </c>
      <c r="AX19" s="21" t="n"/>
      <c r="AY19" s="21" t="n"/>
    </row>
    <row r="20">
      <c r="A20" s="15" t="n">
        <v>18</v>
      </c>
      <c r="B20" s="15" t="n">
        <v>3</v>
      </c>
      <c r="C20" s="15" t="inlineStr">
        <is>
          <t>Professional services (LLP)</t>
        </is>
      </c>
      <c r="D20" s="15" t="inlineStr">
        <is>
          <t>EC2A</t>
        </is>
      </c>
      <c r="E20" s="15" t="inlineStr">
        <is>
          <t>Gill Jennings &amp; Every LLP</t>
        </is>
      </c>
      <c r="F20" s="15" t="inlineStr">
        <is>
          <t>Gill Jennings &amp; Every</t>
        </is>
      </c>
      <c r="G20" s="16" t="inlineStr">
        <is>
          <t>https://www.gje.com</t>
        </is>
      </c>
      <c r="H20" s="15" t="inlineStr">
        <is>
          <t>Not stated</t>
        </is>
      </c>
      <c r="I20" s="15" t="inlineStr">
        <is>
          <t>OC313165</t>
        </is>
      </c>
      <c r="J20" s="16" t="inlineStr">
        <is>
          <t>Open</t>
        </is>
      </c>
      <c r="K20" s="15" t="inlineStr">
        <is>
          <t>Full</t>
        </is>
      </c>
      <c r="L20" s="15" t="inlineStr">
        <is>
          <t>09/05/2005</t>
        </is>
      </c>
      <c r="M20" s="15" t="inlineStr">
        <is>
          <t>The Broadgate Tower, 20 Primrose Street, London</t>
        </is>
      </c>
      <c r="N20" s="15" t="inlineStr">
        <is>
          <t>EC2A 2ES</t>
        </is>
      </c>
      <c r="O20" s="15" t="inlineStr">
        <is>
          <t>No</t>
        </is>
      </c>
      <c r="P20" s="15" t="n"/>
      <c r="Q20" s="15" t="n"/>
      <c r="R20" s="15" t="n"/>
      <c r="S20" s="15" t="inlineStr">
        <is>
          <t>gje@gje.com</t>
        </is>
      </c>
      <c r="T20" s="15" t="inlineStr">
        <is>
          <t>c general inbox</t>
        </is>
      </c>
      <c r="U20" s="16" t="inlineStr">
        <is>
          <t>https://www.gje.com/</t>
        </is>
      </c>
      <c r="X20" s="15" t="n"/>
      <c r="Y20" s="15" t="inlineStr">
        <is>
          <t>EC2A 2ES</t>
        </is>
      </c>
      <c r="Z20" s="15" t="inlineStr">
        <is>
          <t>Website</t>
        </is>
      </c>
      <c r="AA20" s="15" t="inlineStr">
        <is>
          <t>Shoreditch Powerleague</t>
        </is>
      </c>
      <c r="AB20" s="15" t="n">
        <v>6</v>
      </c>
      <c r="AC20" s="15" t="inlineStr">
        <is>
          <t>Shoreditch Powerleague</t>
        </is>
      </c>
      <c r="AD20" s="15" t="inlineStr">
        <is>
          <t>Monday 28 September at 17:40</t>
        </is>
      </c>
      <c r="AE20" s="15" t="inlineStr">
        <is>
          <t>One-off</t>
        </is>
      </c>
      <c r="AF20" s="15" t="inlineStr">
        <is>
          <t>5-a-side</t>
        </is>
      </c>
      <c r="AG20" s="17">
        <f>IF(Offer!$D$5="","",Offer!$D$5)</f>
        <v/>
      </c>
      <c r="AH20" s="15" t="inlineStr">
        <is>
          <t>~125-strong London team in Broadgate Tower, who like getting together socially in the area</t>
        </is>
      </c>
      <c r="AI20" s="15" t="inlineStr">
        <is>
          <t>https://www.gje.com/about-gje/law-careers/</t>
        </is>
      </c>
      <c r="AJ20" s="15" t="inlineStr">
        <is>
          <t>culture/sport</t>
        </is>
      </c>
      <c r="AK20" s="15" t="inlineStr">
        <is>
          <t>high</t>
        </is>
      </c>
      <c r="AL20" s="15" t="inlineStr">
        <is>
          <t>No named contact given; sent to gje@gje.com, the general enquiries inbox. Office address confirmed on site as The Broadgate Tower, 20 Primrose Street, EC2A 2ES, matching the given postcode.</t>
        </is>
      </c>
      <c r="AM20" s="18">
        <f>IF(V20&lt;&gt;"",V20,S20)</f>
        <v/>
      </c>
      <c r="AN20" s="18">
        <f>IF(AG20="","","6 minutes from Broadgate Tower: weekly 5-a-side")</f>
        <v/>
      </c>
      <c r="AO20" s="19" t="inlineStr">
        <is>
          <t>Hi Gill Jennings &amp; Every team,
With around 125 of you in Broadgate Tower, and a habit of getting together socially in the area, a regular five-a-side game sounds right up your street. We've got a pitch at Powerleague Shoreditch, Braithwaite Street, E1 6GJ, about a 6-minute walk from your office. There's a slot open Monday 28 September at 17:40, or 19:40 if that suits better, and it could become your weekly fixture. It's {PRICE} a player, and we book the pitch and handle sign-ups and payments, so someone just shares one link with the team. Shall I hold Monday for you?
Best,
Brian
FC Urban</t>
        </is>
      </c>
      <c r="AP20" s="19" t="inlineStr">
        <is>
          <t>Hi Gill Jennings &amp; Every team,
Following up on the 5-a-side slot at Powerleague Shoreditch, a short walk from Broadgate Tower — Monday 28 September at 17:40 is still open, or Thursday 1 October at 18:20. It's {PRICE} a player; we handle the booking and payments. Let me know if you'd like it held.
Best,
Brian
FC Urban</t>
        </is>
      </c>
      <c r="AQ20" s="20">
        <f>IF(OR(AG20="",AO20=""),"",SUBSTITUTE(AO20,"{PRICE}","£"&amp;IF(AG20=INT(AG20),TEXT(AG20,"0"),TEXT(AG20,"0.00"))))</f>
        <v/>
      </c>
      <c r="AR20" s="20">
        <f>IF(OR(AG20="",AP20=""),"",SUBSTITUTE(AP20,"{PRICE}","£"&amp;IF(AG20=INT(AG20),TEXT(AG20,"0"),TEXT(AG20,"0.00"))))</f>
        <v/>
      </c>
      <c r="AS20" s="15" t="inlineStr">
        <is>
          <t>pass</t>
        </is>
      </c>
      <c r="AT20" s="15" t="inlineStr">
        <is>
          <t>MX ok · mailbox not verified</t>
        </is>
      </c>
      <c r="AU20" s="15" t="n"/>
      <c r="AV20" s="18">
        <f>IF(AU20&lt;&gt;"","No – hold: "&amp;AU20,IF(AG20="","No – no confirmed London price per player",IF(AM20="","No – no email",IF(AO20="","No – no personalised email",IF(AS20&lt;&gt;"pass","No – suppressed","Yes")))))</f>
        <v/>
      </c>
      <c r="AX20" s="21" t="n"/>
      <c r="AY20" s="21" t="n"/>
    </row>
    <row r="21">
      <c r="A21" s="15" t="n">
        <v>19</v>
      </c>
      <c r="B21" s="15" t="n">
        <v>3</v>
      </c>
      <c r="C21" s="15" t="inlineStr">
        <is>
          <t>Professional services (LLP)</t>
        </is>
      </c>
      <c r="D21" s="15" t="inlineStr">
        <is>
          <t>EC2M</t>
        </is>
      </c>
      <c r="E21" s="15" t="inlineStr">
        <is>
          <t>Rbb Economics LLP</t>
        </is>
      </c>
      <c r="F21" s="15" t="inlineStr">
        <is>
          <t>Rbb Economics</t>
        </is>
      </c>
      <c r="G21" s="16" t="inlineStr">
        <is>
          <t>https://www.rbbecon.com</t>
        </is>
      </c>
      <c r="H21" s="15" t="n">
        <v>190</v>
      </c>
      <c r="I21" s="15" t="inlineStr">
        <is>
          <t>OC315356</t>
        </is>
      </c>
      <c r="J21" s="16" t="inlineStr">
        <is>
          <t>Open</t>
        </is>
      </c>
      <c r="K21" s="15" t="inlineStr">
        <is>
          <t>Group</t>
        </is>
      </c>
      <c r="L21" s="15" t="inlineStr">
        <is>
          <t>26/09/2005</t>
        </is>
      </c>
      <c r="M21" s="15" t="inlineStr">
        <is>
          <t>199 Bishopsgate, London</t>
        </is>
      </c>
      <c r="N21" s="15" t="inlineStr">
        <is>
          <t>EC2M 3TY</t>
        </is>
      </c>
      <c r="O21" s="15" t="inlineStr">
        <is>
          <t>No</t>
        </is>
      </c>
      <c r="P21" s="15" t="n"/>
      <c r="Q21" s="15" t="n"/>
      <c r="R21" s="15" t="n"/>
      <c r="S21" s="15" t="inlineStr">
        <is>
          <t>london@rbbecon.com</t>
        </is>
      </c>
      <c r="T21" s="15" t="inlineStr">
        <is>
          <t>c general inbox</t>
        </is>
      </c>
      <c r="U21" s="16" t="inlineStr">
        <is>
          <t>https://www.rbbecon.com/contact/</t>
        </is>
      </c>
      <c r="X21" s="15" t="n"/>
      <c r="Y21" s="15" t="inlineStr">
        <is>
          <t>EC2M 3TY</t>
        </is>
      </c>
      <c r="Z21" s="15" t="inlineStr">
        <is>
          <t>Website</t>
        </is>
      </c>
      <c r="AA21" s="15" t="inlineStr">
        <is>
          <t>Shoreditch Powerleague</t>
        </is>
      </c>
      <c r="AB21" s="15" t="n">
        <v>7</v>
      </c>
      <c r="AC21" s="15" t="inlineStr">
        <is>
          <t>Shoreditch Powerleague</t>
        </is>
      </c>
      <c r="AD21" s="15" t="inlineStr">
        <is>
          <t>Monday 28 September at 17:40</t>
        </is>
      </c>
      <c r="AE21" s="15" t="inlineStr">
        <is>
          <t>One-off</t>
        </is>
      </c>
      <c r="AF21" s="15" t="inlineStr">
        <is>
          <t>5-a-side</t>
        </is>
      </c>
      <c r="AG21" s="17">
        <f>IF(Offer!$D$5="","",Offer!$D$5)</f>
        <v/>
      </c>
      <c r="AH21" s="15" t="inlineStr">
        <is>
          <t>grew from 16 founding staff in 2002 to over 300 economists across 18 offices</t>
        </is>
      </c>
      <c r="AI21" s="16" t="inlineStr">
        <is>
          <t>https://www.rbbecon.com/about/</t>
        </is>
      </c>
      <c r="AJ21" s="15" t="inlineStr">
        <is>
          <t>team/hiring</t>
        </is>
      </c>
      <c r="AK21" s="15" t="inlineStr">
        <is>
          <t>high</t>
        </is>
      </c>
      <c r="AL21" s="15" t="inlineStr">
        <is>
          <t>No named contact given; sent to london@rbbecon.com, the London office inbox, which fits well. Note: the input's known_personal_fact says 'team of 190 economics consultants' while the website's about/team pages say 300+ economists firm-wide across 18 offices — 190 is likely the UK/London headcount specifically. Used the firm-wide growth story (16 to 300+) as the hook since it's clearly sourced from a page; feel free to swap in the 190 figure if that's confirmed as the London number.</t>
        </is>
      </c>
      <c r="AM21" s="18">
        <f>IF(V21&lt;&gt;"",V21,S21)</f>
        <v/>
      </c>
      <c r="AN21" s="18">
        <f>IF(AG21="","","7 minutes from Bishopsgate: weekly 5-a-side")</f>
        <v/>
      </c>
      <c r="AO21" s="19" t="inlineStr">
        <is>
          <t>Hi Rbb Economics team,
RBB grew from just 16 founding staff to over 300 economists across 18 offices — sounds like a team worth bringing together for a regular game. We've got a 5-a-side pitch at Powerleague Shoreditch, Braithwaite Street, E1 6GJ, about a 7-minute walk from your Bishopsgate office. There's a slot open Monday 28 September at 17:40, or 19:40 if that's easier, and it could become your weekly fixture. It's {PRICE} a player, and we book the pitch and handle sign-ups and payments, so someone just shares one link with the team. Shall I hold Monday for you?
Best,
Brian
FC Urban</t>
        </is>
      </c>
      <c r="AP21" s="19" t="inlineStr">
        <is>
          <t>Hi Rbb Economics team,
Following up on the 5-a-side slot at Powerleague Shoreditch, a short walk from Bishopsgate — Monday 28 September at 17:40 is still open, or Thursday 1 October at 18:20. It's {PRICE} a player; we handle the booking and payments. Let me know if you'd like it held.
Best,
Brian
FC Urban</t>
        </is>
      </c>
      <c r="AQ21" s="20">
        <f>IF(OR(AG21="",AO21=""),"",SUBSTITUTE(AO21,"{PRICE}","£"&amp;IF(AG21=INT(AG21),TEXT(AG21,"0"),TEXT(AG21,"0.00"))))</f>
        <v/>
      </c>
      <c r="AR21" s="20">
        <f>IF(OR(AG21="",AP21=""),"",SUBSTITUTE(AP21,"{PRICE}","£"&amp;IF(AG21=INT(AG21),TEXT(AG21,"0"),TEXT(AG21,"0.00"))))</f>
        <v/>
      </c>
      <c r="AS21" s="15" t="inlineStr">
        <is>
          <t>pass</t>
        </is>
      </c>
      <c r="AT21" s="15" t="inlineStr">
        <is>
          <t>MX ok · mailbox not verified</t>
        </is>
      </c>
      <c r="AU21" s="15" t="n"/>
      <c r="AV21" s="18">
        <f>IF(AU21&lt;&gt;"","No – hold: "&amp;AU21,IF(AG21="","No – no confirmed London price per player",IF(AM21="","No – no email",IF(AO21="","No – no personalised email",IF(AS21&lt;&gt;"pass","No – suppressed","Yes")))))</f>
        <v/>
      </c>
      <c r="AX21" s="21" t="n"/>
      <c r="AY21" s="21" t="n"/>
    </row>
    <row r="22">
      <c r="A22" s="15" t="n">
        <v>20</v>
      </c>
      <c r="B22" s="15" t="n">
        <v>3</v>
      </c>
      <c r="C22" s="15" t="inlineStr">
        <is>
          <t>Recruitment</t>
        </is>
      </c>
      <c r="D22" s="15" t="inlineStr">
        <is>
          <t>EC2A</t>
        </is>
      </c>
      <c r="E22" s="15" t="inlineStr">
        <is>
          <t>Montash Limited</t>
        </is>
      </c>
      <c r="F22" s="15" t="inlineStr">
        <is>
          <t>Montash</t>
        </is>
      </c>
      <c r="G22" s="16" t="inlineStr">
        <is>
          <t>https://montash.com</t>
        </is>
      </c>
      <c r="H22" s="15" t="inlineStr">
        <is>
          <t>Not stated</t>
        </is>
      </c>
      <c r="I22" s="15" t="inlineStr">
        <is>
          <t>05195273</t>
        </is>
      </c>
      <c r="J22" s="16" t="inlineStr">
        <is>
          <t>Open</t>
        </is>
      </c>
      <c r="K22" s="15" t="inlineStr">
        <is>
          <t>Group</t>
        </is>
      </c>
      <c r="L22" s="15" t="inlineStr">
        <is>
          <t>02/08/2004</t>
        </is>
      </c>
      <c r="M22" s="15" t="inlineStr">
        <is>
          <t>100 Clifton Street, London</t>
        </is>
      </c>
      <c r="N22" s="15" t="inlineStr">
        <is>
          <t>EC2A 4TP</t>
        </is>
      </c>
      <c r="O22" s="15" t="inlineStr">
        <is>
          <t>No</t>
        </is>
      </c>
      <c r="P22" s="15" t="n"/>
      <c r="Q22" s="15" t="n"/>
      <c r="R22" s="15" t="n"/>
      <c r="S22" s="15" t="inlineStr">
        <is>
          <t>info@montash.com</t>
        </is>
      </c>
      <c r="T22" s="15" t="inlineStr">
        <is>
          <t>c general inbox</t>
        </is>
      </c>
      <c r="U22" s="16" t="inlineStr">
        <is>
          <t>https://montash.com/</t>
        </is>
      </c>
      <c r="X22" s="15" t="inlineStr">
        <is>
          <t>100 Clifton Street</t>
        </is>
      </c>
      <c r="Y22" s="15" t="inlineStr">
        <is>
          <t>EC2A 4TP</t>
        </is>
      </c>
      <c r="Z22" s="15" t="inlineStr">
        <is>
          <t>Website (100 Clifton Street)</t>
        </is>
      </c>
      <c r="AA22" s="15" t="inlineStr">
        <is>
          <t>Shoreditch Powerleague</t>
        </is>
      </c>
      <c r="AB22" s="15" t="n">
        <v>8</v>
      </c>
      <c r="AC22" s="15" t="inlineStr">
        <is>
          <t>Shoreditch Powerleague</t>
        </is>
      </c>
      <c r="AD22" s="15" t="inlineStr">
        <is>
          <t>Monday 28 September at 17:40</t>
        </is>
      </c>
      <c r="AE22" s="15" t="inlineStr">
        <is>
          <t>One-off</t>
        </is>
      </c>
      <c r="AF22" s="15" t="inlineStr">
        <is>
          <t>5-a-side</t>
        </is>
      </c>
      <c r="AG22" s="17">
        <f>IF(Offer!$D$5="","",Offer!$D$5)</f>
        <v/>
      </c>
      <c r="AH22" s="15" t="inlineStr">
        <is>
          <t>Montash already runs seasonal socials, wellbeing days and a cycle-to-work scheme from its Shoreditch office</t>
        </is>
      </c>
      <c r="AI22" s="15" t="inlineStr">
        <is>
          <t>https://montash.com/join-us</t>
        </is>
      </c>
      <c r="AJ22" s="15" t="inlineStr">
        <is>
          <t>culture/sport</t>
        </is>
      </c>
      <c r="AK22" s="15" t="inlineStr">
        <is>
          <t>high</t>
        </is>
      </c>
      <c r="AL22" s="15" t="n"/>
      <c r="AM22" s="18">
        <f>IF(V22&lt;&gt;"",V22,S22)</f>
        <v/>
      </c>
      <c r="AN22" s="18">
        <f>IF(AG22="","","A 5-a-side pitch near your Shoreditch office")</f>
        <v/>
      </c>
      <c r="AO22" s="19" t="inlineStr">
        <is>
          <t>Hi Montash team,
Between the seasonal socials and wellbeing days you already run from your Shoreditch office, a regular match sounds like a natural fit for the team. We have a 5-a-side pitch at Powerleague Shoreditch, on Braithwaite Street, an 8-minute walk from 100 Clifton Street. There's a slot free Monday 28 September at 17:40, or 19:40, and it could easily become your weekly fixture. It's {PRICE} a player, and we book the pitch and handle sign-ups and payments, so someone just shares one link with the team. Shall I hold the 17:40 slot for you?
Best,
Brian
FC Urban</t>
        </is>
      </c>
      <c r="AP22" s="19" t="inlineStr">
        <is>
          <t>Hi Montash team,
Just checking back on a weekly 5-a-side near 100 Clifton Street. Monday 28 September at 19:40 at Powerleague Shoreditch is still free. It's {PRICE} a player, and we handle the pitch, sign-ups and payments end to end. Let me know if you'd like it held.
Best,
Brian
FC Urban</t>
        </is>
      </c>
      <c r="AQ22" s="20">
        <f>IF(OR(AG22="",AO22=""),"",SUBSTITUTE(AO22,"{PRICE}","£"&amp;IF(AG22=INT(AG22),TEXT(AG22,"0"),TEXT(AG22,"0.00"))))</f>
        <v/>
      </c>
      <c r="AR22" s="20">
        <f>IF(OR(AG22="",AP22=""),"",SUBSTITUTE(AP22,"{PRICE}","£"&amp;IF(AG22=INT(AG22),TEXT(AG22,"0"),TEXT(AG22,"0.00"))))</f>
        <v/>
      </c>
      <c r="AS22" s="15" t="inlineStr">
        <is>
          <t>pass</t>
        </is>
      </c>
      <c r="AT22" s="15" t="inlineStr">
        <is>
          <t>MX ok · mailbox not verified</t>
        </is>
      </c>
      <c r="AU22" s="15" t="n"/>
      <c r="AV22" s="18">
        <f>IF(AU22&lt;&gt;"","No – hold: "&amp;AU22,IF(AG22="","No – no confirmed London price per player",IF(AM22="","No – no email",IF(AO22="","No – no personalised email",IF(AS22&lt;&gt;"pass","No – suppressed","Yes")))))</f>
        <v/>
      </c>
      <c r="AX22" s="21" t="n"/>
      <c r="AY22" s="21" t="n"/>
    </row>
    <row r="23">
      <c r="A23" s="15" t="n">
        <v>21</v>
      </c>
      <c r="B23" s="15" t="n">
        <v>3</v>
      </c>
      <c r="C23" s="15" t="inlineStr">
        <is>
          <t>Architecture</t>
        </is>
      </c>
      <c r="D23" s="15" t="inlineStr">
        <is>
          <t>E2</t>
        </is>
      </c>
      <c r="E23" s="15" t="inlineStr">
        <is>
          <t>Atelier Ten Ltd</t>
        </is>
      </c>
      <c r="F23" s="15" t="inlineStr">
        <is>
          <t>Atelier Ten</t>
        </is>
      </c>
      <c r="G23" s="16" t="inlineStr">
        <is>
          <t>https://www.atelierten.com</t>
        </is>
      </c>
      <c r="H23" s="15" t="inlineStr">
        <is>
          <t>Not stated</t>
        </is>
      </c>
      <c r="I23" s="15" t="inlineStr">
        <is>
          <t>02552224</t>
        </is>
      </c>
      <c r="J23" s="16" t="inlineStr">
        <is>
          <t>Open</t>
        </is>
      </c>
      <c r="K23" s="15" t="inlineStr">
        <is>
          <t>Group</t>
        </is>
      </c>
      <c r="L23" s="15" t="inlineStr">
        <is>
          <t>25/10/1990</t>
        </is>
      </c>
      <c r="M23" s="15" t="inlineStr">
        <is>
          <t>19 Perseverance Works, 38 Kingsland Road, London</t>
        </is>
      </c>
      <c r="N23" s="15" t="inlineStr">
        <is>
          <t>E2 8DD</t>
        </is>
      </c>
      <c r="O23" s="15" t="inlineStr">
        <is>
          <t>No</t>
        </is>
      </c>
      <c r="P23" s="15" t="n"/>
      <c r="Q23" s="15" t="n"/>
      <c r="R23" s="15" t="n"/>
      <c r="S23" s="15" t="inlineStr">
        <is>
          <t>london@atelierten.com</t>
        </is>
      </c>
      <c r="T23" s="15" t="inlineStr">
        <is>
          <t>c general inbox</t>
        </is>
      </c>
      <c r="U23" s="16" t="inlineStr">
        <is>
          <t>https://www.atelierten.com/offices/london/</t>
        </is>
      </c>
      <c r="X23" s="15" t="inlineStr">
        <is>
          <t>London</t>
        </is>
      </c>
      <c r="Y23" s="15" t="inlineStr">
        <is>
          <t>E2 8DD</t>
        </is>
      </c>
      <c r="Z23" s="15" t="inlineStr">
        <is>
          <t>Website (London)</t>
        </is>
      </c>
      <c r="AA23" s="15" t="inlineStr">
        <is>
          <t>Shoreditch Powerleague</t>
        </is>
      </c>
      <c r="AB23" s="15" t="n">
        <v>9</v>
      </c>
      <c r="AC23" s="15" t="inlineStr">
        <is>
          <t>Shoreditch Powerleague</t>
        </is>
      </c>
      <c r="AD23" s="15" t="inlineStr">
        <is>
          <t>Monday 28 September at 17:40</t>
        </is>
      </c>
      <c r="AE23" s="15" t="inlineStr">
        <is>
          <t>One-off</t>
        </is>
      </c>
      <c r="AF23" s="15" t="inlineStr">
        <is>
          <t>5-a-side</t>
        </is>
      </c>
      <c r="AG23" s="17">
        <f>IF(Offer!$D$5="","",Offer!$D$5)</f>
        <v/>
      </c>
      <c r="AH23" s="15" t="inlineStr">
        <is>
          <t>Atelier Ten won the 2026 Best of Practice Award from The Architect's Newspaper</t>
        </is>
      </c>
      <c r="AI23" s="15" t="inlineStr">
        <is>
          <t>https://www.atelierten.com/</t>
        </is>
      </c>
      <c r="AJ23" s="15" t="inlineStr">
        <is>
          <t>milestone</t>
        </is>
      </c>
      <c r="AK23" s="15" t="inlineStr">
        <is>
          <t>high</t>
        </is>
      </c>
      <c r="AL23" s="15" t="inlineStr">
        <is>
          <t>Atelier Ten's real London office is 19 Perseverance Works, 38 Kingsland Road E2 8DD (found on the offices/london page) - matches the office_postcode given, good to confirm before sending.</t>
        </is>
      </c>
      <c r="AM23" s="18">
        <f>IF(V23&lt;&gt;"",V23,S23)</f>
        <v/>
      </c>
      <c r="AN23" s="18">
        <f>IF(AG23="","","A 5-a-side pitch near Perseverance Works")</f>
        <v/>
      </c>
      <c r="AO23" s="19" t="inlineStr">
        <is>
          <t>Hi Atelier Ten team,
Congratulations on the 2026 Best of Practice Award from The Architect's Newspaper, a nice moment to mark with the team. We have a 5-a-side pitch at Powerleague Shoreditch, on Braithwaite Street, a 9-minute walk from your Perseverance Works office. There's a slot free Monday 28 September at 17:40, or 19:40, and it could become your standing weekly game. It's {PRICE} a player, and we book the pitch and handle sign-ups and payments, so someone just shares one link with the team. Would your team be up for it?
Best,
Brian
FC Urban</t>
        </is>
      </c>
      <c r="AP23" s="19" t="inlineStr">
        <is>
          <t>Hi Atelier Ten team,
Just checking back on a weekly 5-a-side near Perseverance Works. Monday 28 September at 19:40 at Powerleague Shoreditch is still free. It's {PRICE} a player, and we handle the pitch, sign-ups and payments end to end. Let me know if you'd like it held.
Best,
Brian
FC Urban</t>
        </is>
      </c>
      <c r="AQ23" s="20">
        <f>IF(OR(AG23="",AO23=""),"",SUBSTITUTE(AO23,"{PRICE}","£"&amp;IF(AG23=INT(AG23),TEXT(AG23,"0"),TEXT(AG23,"0.00"))))</f>
        <v/>
      </c>
      <c r="AR23" s="20">
        <f>IF(OR(AG23="",AP23=""),"",SUBSTITUTE(AP23,"{PRICE}","£"&amp;IF(AG23=INT(AG23),TEXT(AG23,"0"),TEXT(AG23,"0.00"))))</f>
        <v/>
      </c>
      <c r="AS23" s="15" t="inlineStr">
        <is>
          <t>pass</t>
        </is>
      </c>
      <c r="AT23" s="15" t="inlineStr">
        <is>
          <t>MX ok · mailbox not verified</t>
        </is>
      </c>
      <c r="AU23" s="15" t="n"/>
      <c r="AV23" s="18">
        <f>IF(AU23&lt;&gt;"","No – hold: "&amp;AU23,IF(AG23="","No – no confirmed London price per player",IF(AM23="","No – no email",IF(AO23="","No – no personalised email",IF(AS23&lt;&gt;"pass","No – suppressed","Yes")))))</f>
        <v/>
      </c>
      <c r="AX23" s="21" t="n"/>
      <c r="AY23" s="21" t="n"/>
    </row>
    <row r="24">
      <c r="A24" s="15" t="n">
        <v>22</v>
      </c>
      <c r="B24" s="15" t="n">
        <v>3</v>
      </c>
      <c r="C24" s="15" t="inlineStr">
        <is>
          <t>Tech / software</t>
        </is>
      </c>
      <c r="D24" s="15" t="inlineStr">
        <is>
          <t>EC1V</t>
        </is>
      </c>
      <c r="E24" s="15" t="inlineStr">
        <is>
          <t>Aptem Ltd</t>
        </is>
      </c>
      <c r="F24" s="15" t="inlineStr">
        <is>
          <t>Aptem</t>
        </is>
      </c>
      <c r="G24" s="16" t="inlineStr">
        <is>
          <t>https://www.aptem.co.uk</t>
        </is>
      </c>
      <c r="H24" s="15" t="n">
        <v>100</v>
      </c>
      <c r="I24" s="15" t="inlineStr">
        <is>
          <t>06824227</t>
        </is>
      </c>
      <c r="J24" s="16" t="inlineStr">
        <is>
          <t>Open</t>
        </is>
      </c>
      <c r="K24" s="15" t="inlineStr">
        <is>
          <t>Full</t>
        </is>
      </c>
      <c r="L24" s="15" t="inlineStr">
        <is>
          <t>19/02/2009</t>
        </is>
      </c>
      <c r="M24" s="15" t="inlineStr">
        <is>
          <t>Eagle House, 167 City Road, London</t>
        </is>
      </c>
      <c r="N24" s="15" t="inlineStr">
        <is>
          <t>EC1V 1NR</t>
        </is>
      </c>
      <c r="O24" s="15" t="inlineStr">
        <is>
          <t>No</t>
        </is>
      </c>
      <c r="P24" s="15" t="n"/>
      <c r="Q24" s="15" t="n"/>
      <c r="R24" s="15" t="n"/>
      <c r="S24" s="15" t="inlineStr">
        <is>
          <t>info@aptem.co.uk</t>
        </is>
      </c>
      <c r="T24" s="15" t="inlineStr">
        <is>
          <t>c general inbox</t>
        </is>
      </c>
      <c r="U24" s="16" t="inlineStr">
        <is>
          <t>https://www.aptem.co.uk/contact-us/</t>
        </is>
      </c>
      <c r="X24" s="15" t="inlineStr">
        <is>
          <t>Eagle House, 167 City Road, London</t>
        </is>
      </c>
      <c r="Y24" s="15" t="inlineStr">
        <is>
          <t>EC1V 1NR</t>
        </is>
      </c>
      <c r="Z24" s="15" t="inlineStr">
        <is>
          <t>Website (Eagle House, 167 City Road, London)</t>
        </is>
      </c>
      <c r="AA24" s="15" t="inlineStr">
        <is>
          <t>Old St - Moreland Primary School</t>
        </is>
      </c>
      <c r="AB24" s="15" t="n">
        <v>9</v>
      </c>
      <c r="AC24" s="15" t="inlineStr">
        <is>
          <t>Old St - Moreland Primary School</t>
        </is>
      </c>
      <c r="AD24" s="15" t="inlineStr">
        <is>
          <t>Monday 12 October at 18:00</t>
        </is>
      </c>
      <c r="AE24" s="15" t="inlineStr">
        <is>
          <t>One-off</t>
        </is>
      </c>
      <c r="AF24" s="15" t="inlineStr">
        <is>
          <t>6-a-side</t>
        </is>
      </c>
      <c r="AG24" s="17">
        <f>IF(Offer!$D$5="","",Offer!$D$5)</f>
        <v/>
      </c>
      <c r="AH24" s="15" t="inlineStr">
        <is>
          <t>Aptem was named Learning Technologies Organisation of the Year (Nov 2025)</t>
        </is>
      </c>
      <c r="AI24" s="15" t="inlineStr">
        <is>
          <t>https://www.aptem.co.uk/aptem-news/aptem-named-learning-technologies-organisation-of-the-year-2025/</t>
        </is>
      </c>
      <c r="AJ24" s="15" t="inlineStr">
        <is>
          <t>milestone</t>
        </is>
      </c>
      <c r="AK24" s="15" t="inlineStr">
        <is>
          <t>high</t>
        </is>
      </c>
      <c r="AL24" s="15" t="n"/>
      <c r="AM24" s="18">
        <f>IF(V24&lt;&gt;"",V24,S24)</f>
        <v/>
      </c>
      <c r="AN24" s="18">
        <f>IF(AG24="","","Aptem's award - and a 6-a-side near City Road")</f>
        <v/>
      </c>
      <c r="AO24" s="19" t="inlineStr">
        <is>
          <t>Hi Aptem team,
Congratulations on being named Learning Technologies Organisation of the Year, a great way to mark the growth of your 100-strong team. We have a floodlit 6-a-side 3G pitch at Moreland School, Gard Street, just off Old Street, a 9-minute walk from Eagle House on City Road. There's a slot free Monday 12 October at 18:00, or 19:00, and it could easily become your weekly fixture. It's {PRICE} a player, and we book the pitch and handle sign-ups and payments, so someone just shares one link with the team. Shall I hold the 18:00 slot for you?
Best,
Brian
FC Urban</t>
        </is>
      </c>
      <c r="AP24" s="19" t="inlineStr">
        <is>
          <t>Hi Aptem team,
Following up on a weekly 6-a-side near Eagle House. Monday 12 October at 19:00 at Moreland School is still open. It's {PRICE} a player, and we handle the pitch, sign-ups and payments end to end. Let me know if that works.
Best,
Brian
FC Urban</t>
        </is>
      </c>
      <c r="AQ24" s="20">
        <f>IF(OR(AG24="",AO24=""),"",SUBSTITUTE(AO24,"{PRICE}","£"&amp;IF(AG24=INT(AG24),TEXT(AG24,"0"),TEXT(AG24,"0.00"))))</f>
        <v/>
      </c>
      <c r="AR24" s="20">
        <f>IF(OR(AG24="",AP24=""),"",SUBSTITUTE(AP24,"{PRICE}","£"&amp;IF(AG24=INT(AG24),TEXT(AG24,"0"),TEXT(AG24,"0.00"))))</f>
        <v/>
      </c>
      <c r="AS24" s="15" t="inlineStr">
        <is>
          <t>pass</t>
        </is>
      </c>
      <c r="AT24" s="15" t="inlineStr">
        <is>
          <t>MX ok · mailbox not verified</t>
        </is>
      </c>
      <c r="AU24" s="15" t="n"/>
      <c r="AV24" s="18">
        <f>IF(AU24&lt;&gt;"","No – hold: "&amp;AU24,IF(AG24="","No – no confirmed London price per player",IF(AM24="","No – no email",IF(AO24="","No – no personalised email",IF(AS24&lt;&gt;"pass","No – suppressed","Yes")))))</f>
        <v/>
      </c>
      <c r="AX24" s="21" t="n"/>
      <c r="AY24" s="21" t="n"/>
    </row>
    <row r="25">
      <c r="A25" s="15" t="n">
        <v>23</v>
      </c>
      <c r="B25" s="15" t="n">
        <v>3</v>
      </c>
      <c r="C25" s="15" t="inlineStr">
        <is>
          <t>Tech / software</t>
        </is>
      </c>
      <c r="D25" s="15" t="inlineStr">
        <is>
          <t>EC2A</t>
        </is>
      </c>
      <c r="E25" s="15" t="inlineStr">
        <is>
          <t>Elsewhen Ltd</t>
        </is>
      </c>
      <c r="F25" s="15" t="inlineStr">
        <is>
          <t>Elsewhen</t>
        </is>
      </c>
      <c r="G25" s="16" t="inlineStr">
        <is>
          <t>https://www.elsewhen.com</t>
        </is>
      </c>
      <c r="H25" s="15" t="n">
        <v>100</v>
      </c>
      <c r="I25" s="15" t="inlineStr">
        <is>
          <t>07608360</t>
        </is>
      </c>
      <c r="J25" s="16" t="inlineStr">
        <is>
          <t>Open</t>
        </is>
      </c>
      <c r="K25" s="15" t="inlineStr">
        <is>
          <t>Full</t>
        </is>
      </c>
      <c r="L25" s="15" t="inlineStr">
        <is>
          <t>19/04/2011</t>
        </is>
      </c>
      <c r="M25" s="15" t="inlineStr">
        <is>
          <t>86-90 Paul Street, London</t>
        </is>
      </c>
      <c r="N25" s="15" t="inlineStr">
        <is>
          <t>EC2A 4NE</t>
        </is>
      </c>
      <c r="O25" s="15" t="inlineStr">
        <is>
          <t>No</t>
        </is>
      </c>
      <c r="P25" s="15" t="n"/>
      <c r="Q25" s="15" t="n"/>
      <c r="R25" s="15" t="n"/>
      <c r="S25" s="15" t="inlineStr">
        <is>
          <t>hello@elsewhen.com</t>
        </is>
      </c>
      <c r="T25" s="15" t="inlineStr">
        <is>
          <t>c general inbox</t>
        </is>
      </c>
      <c r="U25" s="16" t="inlineStr">
        <is>
          <t>https://www.elsewhen.com/</t>
        </is>
      </c>
      <c r="X25" s="15" t="inlineStr">
        <is>
          <t>1 St Peter's Sq,</t>
        </is>
      </c>
      <c r="Y25" s="15" t="inlineStr">
        <is>
          <t>EC2A 4NE</t>
        </is>
      </c>
      <c r="Z25" s="15" t="inlineStr">
        <is>
          <t>Website (1 St Peter's Sq,)</t>
        </is>
      </c>
      <c r="AA25" s="15" t="inlineStr">
        <is>
          <t>Shoreditch Powerleague</t>
        </is>
      </c>
      <c r="AB25" s="15" t="n">
        <v>10</v>
      </c>
      <c r="AC25" s="15" t="inlineStr">
        <is>
          <t>Shoreditch Powerleague</t>
        </is>
      </c>
      <c r="AD25" s="15" t="inlineStr">
        <is>
          <t>Monday 28 September at 17:40</t>
        </is>
      </c>
      <c r="AE25" s="15" t="inlineStr">
        <is>
          <t>One-off</t>
        </is>
      </c>
      <c r="AF25" s="15" t="inlineStr">
        <is>
          <t>5-a-side</t>
        </is>
      </c>
      <c r="AG25" s="17">
        <f>IF(Offer!$D$5="","",Offer!$D$5)</f>
        <v/>
      </c>
      <c r="AH25" s="15" t="inlineStr">
        <is>
          <t>team of over 100 strategists, designers and engineers, 11 nationalities, based in London and across Europe</t>
        </is>
      </c>
      <c r="AI25" s="16" t="inlineStr">
        <is>
          <t>https://www.elsewhen.com/about/</t>
        </is>
      </c>
      <c r="AJ25" s="15" t="inlineStr">
        <is>
          <t>team/hiring</t>
        </is>
      </c>
      <c r="AK25" s="15" t="inlineStr">
        <is>
          <t>high</t>
        </is>
      </c>
      <c r="AL25" s="15" t="n"/>
      <c r="AM25" s="18">
        <f>IF(V25&lt;&gt;"",V25,S25)</f>
        <v/>
      </c>
      <c r="AN25" s="18">
        <f>IF(AG25="","","A weekly 5-a-side for Elsewhen, 10 min walk")</f>
        <v/>
      </c>
      <c r="AO25" s="19" t="inlineStr">
        <is>
          <t>Hi Elsewhen team,
With a team of over 100 strategists, designers and engineers across 11 nationalities, you've got more than enough for a regular five-a-side. We have a 5-a-side pitch at Powerleague Shoreditch, Braithwaite Street, E1 6GJ, a 10-minute walk from St Peter's Sq, with Monday 28 September at 17:40 open, or 19:40 if that's easier — it can become your weekly game. It's {PRICE} a player, and we book the pitch and handle sign-ups and payments, so someone just shares one link with the team. Shall I hold Monday for you?
Best,
Brian
FC Urban</t>
        </is>
      </c>
      <c r="AP25" s="19" t="inlineStr">
        <is>
          <t>Hi again,
Just checking whether a weekly 5-a-side works for Elsewhen. Monday 28 September at 19:40 is still open at Powerleague Shoreditch, 10 minutes from St Peter's Sq, or Thursday 1 October at 18:20 if that's better. It's {PRICE} a player, and we handle the pitch, sign-ups and payments. Happy to hold one.
Best,
Brian
FC Urban</t>
        </is>
      </c>
      <c r="AQ25" s="20">
        <f>IF(OR(AG25="",AO25=""),"",SUBSTITUTE(AO25,"{PRICE}","£"&amp;IF(AG25=INT(AG25),TEXT(AG25,"0"),TEXT(AG25,"0.00"))))</f>
        <v/>
      </c>
      <c r="AR25" s="20">
        <f>IF(OR(AG25="",AP25=""),"",SUBSTITUTE(AP25,"{PRICE}","£"&amp;IF(AG25=INT(AG25),TEXT(AG25,"0"),TEXT(AG25,"0.00"))))</f>
        <v/>
      </c>
      <c r="AS25" s="15" t="inlineStr">
        <is>
          <t>pass</t>
        </is>
      </c>
      <c r="AT25" s="15" t="inlineStr">
        <is>
          <t>MX ok · mailbox not verified</t>
        </is>
      </c>
      <c r="AU25" s="15" t="n"/>
      <c r="AV25" s="18">
        <f>IF(AU25&lt;&gt;"","No – hold: "&amp;AU25,IF(AG25="","No – no confirmed London price per player",IF(AM25="","No – no email",IF(AO25="","No – no personalised email",IF(AS25&lt;&gt;"pass","No – suppressed","Yes")))))</f>
        <v/>
      </c>
      <c r="AX25" s="21" t="n"/>
      <c r="AY25" s="21" t="n"/>
    </row>
    <row r="26">
      <c r="A26" s="15" t="n">
        <v>24</v>
      </c>
      <c r="B26" s="15" t="n">
        <v>3</v>
      </c>
      <c r="C26" s="15" t="inlineStr">
        <is>
          <t>Tech / software</t>
        </is>
      </c>
      <c r="D26" s="15" t="inlineStr">
        <is>
          <t>EC2A</t>
        </is>
      </c>
      <c r="E26" s="15" t="inlineStr">
        <is>
          <t>Veed Limited</t>
        </is>
      </c>
      <c r="F26" s="15" t="inlineStr">
        <is>
          <t>Veed</t>
        </is>
      </c>
      <c r="G26" s="16" t="inlineStr">
        <is>
          <t>https://www.veed.io</t>
        </is>
      </c>
      <c r="H26" s="15" t="n">
        <v>150</v>
      </c>
      <c r="I26" s="15" t="inlineStr">
        <is>
          <t>11264311</t>
        </is>
      </c>
      <c r="J26" s="16" t="inlineStr">
        <is>
          <t>Open</t>
        </is>
      </c>
      <c r="K26" s="15" t="inlineStr">
        <is>
          <t>Group</t>
        </is>
      </c>
      <c r="L26" s="15" t="inlineStr">
        <is>
          <t>20/03/2018</t>
        </is>
      </c>
      <c r="M26" s="15" t="inlineStr">
        <is>
          <t>17-18 Clere Street, London</t>
        </is>
      </c>
      <c r="N26" s="15" t="inlineStr">
        <is>
          <t>EC2A 4LJ</t>
        </is>
      </c>
      <c r="O26" s="15" t="inlineStr">
        <is>
          <t>No</t>
        </is>
      </c>
      <c r="P26" s="15" t="n"/>
      <c r="Q26" s="15" t="n"/>
      <c r="R26" s="15" t="n"/>
      <c r="S26" s="15" t="inlineStr">
        <is>
          <t>hello@veed.io</t>
        </is>
      </c>
      <c r="T26" s="15" t="inlineStr">
        <is>
          <t>c general inbox</t>
        </is>
      </c>
      <c r="U26" s="16" t="inlineStr">
        <is>
          <t>https://www.veed.io/</t>
        </is>
      </c>
      <c r="X26" s="15" t="inlineStr">
        <is>
          <t>17-18 CLERE STREET</t>
        </is>
      </c>
      <c r="Y26" s="15" t="inlineStr">
        <is>
          <t>EC2A 4LJ</t>
        </is>
      </c>
      <c r="Z26" s="15" t="inlineStr">
        <is>
          <t>Website (17-18 CLERE STREET)</t>
        </is>
      </c>
      <c r="AA26" s="15" t="inlineStr">
        <is>
          <t>Shoreditch Powerleague</t>
        </is>
      </c>
      <c r="AB26" s="15" t="n">
        <v>10</v>
      </c>
      <c r="AC26" s="15" t="inlineStr">
        <is>
          <t>Shoreditch Powerleague</t>
        </is>
      </c>
      <c r="AD26" s="15" t="inlineStr">
        <is>
          <t>Monday 28 September at 17:40</t>
        </is>
      </c>
      <c r="AE26" s="15" t="inlineStr">
        <is>
          <t>One-off</t>
        </is>
      </c>
      <c r="AF26" s="15" t="inlineStr">
        <is>
          <t>5-a-side</t>
        </is>
      </c>
      <c r="AG26" s="17">
        <f>IF(Offer!$D$5="","",Offer!$D$5)</f>
        <v/>
      </c>
      <c r="AH26" s="15" t="inlineStr">
        <is>
          <t>at their last company offsite, the VEED team danced to 'Mamma Mia'</t>
        </is>
      </c>
      <c r="AI26" s="15" t="inlineStr">
        <is>
          <t>https://www.veed.io/careers</t>
        </is>
      </c>
      <c r="AJ26" s="15" t="inlineStr">
        <is>
          <t>culture/sport</t>
        </is>
      </c>
      <c r="AK26" s="15" t="inlineStr">
        <is>
          <t>high</t>
        </is>
      </c>
      <c r="AL26" s="15" t="n"/>
      <c r="AM26" s="18">
        <f>IF(V26&lt;&gt;"",V26,S26)</f>
        <v/>
      </c>
      <c r="AN26" s="18">
        <f>IF(AG26="","","A weekly 5-a-side, 10 min from Clere Street")</f>
        <v/>
      </c>
      <c r="AO26" s="19" t="inlineStr">
        <is>
          <t>Hi Veed team,
Loved reading that the VEED team danced to 'Mamma Mia' at their last offsite — sounds like a group that would enjoy a regular five-a-side too. We have a 5-a-side pitch at Powerleague Shoreditch, Braithwaite Street, E1 6GJ, a 10-minute walk from Clere Street, with Monday 28 September at 17:40 open, or 19:40 if that's easier — it can become your weekly game. It's {PRICE} a player, and we book the pitch and handle sign-ups and payments, so someone just shares one link with the team. Shall I hold Monday for you?
Best,
Brian
FC Urban</t>
        </is>
      </c>
      <c r="AP26" s="19" t="inlineStr">
        <is>
          <t>Hi again,
Just checking whether a weekly 5-a-side appeals to the VEED team. Monday 28 September at 19:40 is still open at Powerleague Shoreditch, 10 minutes from Clere Street, or Thursday 1 October at 18:20 if that's better. It's {PRICE} a player — we handle the rest.
Best,
Brian
FC Urban</t>
        </is>
      </c>
      <c r="AQ26" s="20">
        <f>IF(OR(AG26="",AO26=""),"",SUBSTITUTE(AO26,"{PRICE}","£"&amp;IF(AG26=INT(AG26),TEXT(AG26,"0"),TEXT(AG26,"0.00"))))</f>
        <v/>
      </c>
      <c r="AR26" s="20">
        <f>IF(OR(AG26="",AP26=""),"",SUBSTITUTE(AP26,"{PRICE}","£"&amp;IF(AG26=INT(AG26),TEXT(AG26,"0"),TEXT(AG26,"0.00"))))</f>
        <v/>
      </c>
      <c r="AS26" s="15" t="inlineStr">
        <is>
          <t>pass</t>
        </is>
      </c>
      <c r="AT26" s="15" t="inlineStr">
        <is>
          <t>MX ok · mailbox not verified</t>
        </is>
      </c>
      <c r="AU26" s="15" t="n"/>
      <c r="AV26" s="18">
        <f>IF(AU26&lt;&gt;"","No – hold: "&amp;AU26,IF(AG26="","No – no confirmed London price per player",IF(AM26="","No – no email",IF(AO26="","No – no personalised email",IF(AS26&lt;&gt;"pass","No – suppressed","Yes")))))</f>
        <v/>
      </c>
      <c r="AX26" s="21" t="n"/>
      <c r="AY26" s="21" t="n"/>
    </row>
    <row r="27">
      <c r="A27" s="15" t="n">
        <v>25</v>
      </c>
      <c r="B27" s="15" t="n">
        <v>3</v>
      </c>
      <c r="C27" s="15" t="inlineStr">
        <is>
          <t>Tech / software</t>
        </is>
      </c>
      <c r="D27" s="15" t="inlineStr">
        <is>
          <t>EC2A</t>
        </is>
      </c>
      <c r="E27" s="15" t="inlineStr">
        <is>
          <t>Tryzens Global Limited</t>
        </is>
      </c>
      <c r="F27" s="15" t="inlineStr">
        <is>
          <t>Tryzens</t>
        </is>
      </c>
      <c r="G27" s="16" t="inlineStr">
        <is>
          <t>https://tryzens.com</t>
        </is>
      </c>
      <c r="H27" s="15" t="n">
        <v>350</v>
      </c>
      <c r="I27" s="15" t="inlineStr">
        <is>
          <t>08624932</t>
        </is>
      </c>
      <c r="J27" s="16" t="inlineStr">
        <is>
          <t>Open</t>
        </is>
      </c>
      <c r="K27" s="15" t="inlineStr">
        <is>
          <t>Group</t>
        </is>
      </c>
      <c r="L27" s="15" t="inlineStr">
        <is>
          <t>25/07/2013</t>
        </is>
      </c>
      <c r="M27" s="15" t="inlineStr">
        <is>
          <t>4Th Floor, 20 Appold Street, London</t>
        </is>
      </c>
      <c r="N27" s="15" t="inlineStr">
        <is>
          <t>EC2A 2AS</t>
        </is>
      </c>
      <c r="O27" s="15" t="inlineStr">
        <is>
          <t>No</t>
        </is>
      </c>
      <c r="P27" s="15" t="n"/>
      <c r="Q27" s="15" t="n"/>
      <c r="R27" s="15" t="n"/>
      <c r="S27" s="15" t="inlineStr">
        <is>
          <t>hello@tryzens.com</t>
        </is>
      </c>
      <c r="T27" s="15" t="inlineStr">
        <is>
          <t>c general inbox</t>
        </is>
      </c>
      <c r="U27" s="16" t="inlineStr">
        <is>
          <t>https://tryzens.com/contact-us/</t>
        </is>
      </c>
      <c r="X27" s="15" t="inlineStr">
        <is>
          <t>4th Floor, 20 Appold Street</t>
        </is>
      </c>
      <c r="Y27" s="15" t="inlineStr">
        <is>
          <t>EC2A 2AS</t>
        </is>
      </c>
      <c r="Z27" s="15" t="inlineStr">
        <is>
          <t>Website (4th Floor, 20 Appold Street)</t>
        </is>
      </c>
      <c r="AA27" s="15" t="inlineStr">
        <is>
          <t>Shoreditch Powerleague</t>
        </is>
      </c>
      <c r="AB27" s="15" t="n">
        <v>10</v>
      </c>
      <c r="AC27" s="15" t="inlineStr">
        <is>
          <t>Shoreditch Powerleague</t>
        </is>
      </c>
      <c r="AD27" s="15" t="inlineStr">
        <is>
          <t>Monday 28 September at 17:40</t>
        </is>
      </c>
      <c r="AE27" s="15" t="inlineStr">
        <is>
          <t>One-off</t>
        </is>
      </c>
      <c r="AF27" s="15" t="inlineStr">
        <is>
          <t>5-a-side</t>
        </is>
      </c>
      <c r="AG27" s="17">
        <f>IF(Offer!$D$5="","",Offer!$D$5)</f>
        <v/>
      </c>
      <c r="AH27" s="15" t="inlineStr">
        <is>
          <t>New CEO Phil Hoggarth took over from Andy Burton on 18 May 2026, leading Tryzens' 350+ team</t>
        </is>
      </c>
      <c r="AI27" s="15" t="inlineStr">
        <is>
          <t>https://tryzens.com/tryzens-global-expands-its-leadership-team/</t>
        </is>
      </c>
      <c r="AJ27" s="15" t="inlineStr">
        <is>
          <t>milestone</t>
        </is>
      </c>
      <c r="AK27" s="15" t="inlineStr">
        <is>
          <t>high</t>
        </is>
      </c>
      <c r="AL27" s="15" t="n"/>
      <c r="AM27" s="18">
        <f>IF(V27&lt;&gt;"",V27,S27)</f>
        <v/>
      </c>
      <c r="AN27" s="18">
        <f>IF(AG27="","","A weekly game for Tryzens, 10 min from Appold St")</f>
        <v/>
      </c>
      <c r="AO27" s="19" t="inlineStr">
        <is>
          <t>Hi Tryzens team,
Congratulations on Phil Hoggarth stepping in as CEO this year - with 350+ Tryzenauts across the business, it feels like the right moment to get the London team out together on a Monday evening.
We run 5-a-side at Powerleague Shoreditch, Braithwaite Street, a 10-minute walk from your office on Appold Street. Monday 28 September at 17:40 is open, or 19:40 the same evening, and it can become your regular weekly game.
It's {PRICE} a player, and we book the pitch and handle sign-ups and payments, so someone just shares one link with the team.
Shall I hold Monday for you?
Best,
Brian
FC Urban</t>
        </is>
      </c>
      <c r="AP27" s="19" t="inlineStr">
        <is>
          <t>Hi Tryzens team,
Following up on the Monday 28 September slot at Powerleague Shoreditch (17:40 or 19:40), or Thursday 1 October at 18:20. It's {PRICE} a player, and we handle sign-ups and payments, so it's just one link for the team.
Best,
Brian
FC Urban</t>
        </is>
      </c>
      <c r="AQ27" s="20">
        <f>IF(OR(AG27="",AO27=""),"",SUBSTITUTE(AO27,"{PRICE}","£"&amp;IF(AG27=INT(AG27),TEXT(AG27,"0"),TEXT(AG27,"0.00"))))</f>
        <v/>
      </c>
      <c r="AR27" s="20">
        <f>IF(OR(AG27="",AP27=""),"",SUBSTITUTE(AP27,"{PRICE}","£"&amp;IF(AG27=INT(AG27),TEXT(AG27,"0"),TEXT(AG27,"0.00"))))</f>
        <v/>
      </c>
      <c r="AS27" s="15" t="inlineStr">
        <is>
          <t>pass</t>
        </is>
      </c>
      <c r="AT27" s="15" t="inlineStr">
        <is>
          <t>MX ok · mailbox not verified</t>
        </is>
      </c>
      <c r="AU27" s="15" t="n"/>
      <c r="AV27" s="18">
        <f>IF(AU27&lt;&gt;"","No – hold: "&amp;AU27,IF(AG27="","No – no confirmed London price per player",IF(AM27="","No – no email",IF(AO27="","No – no personalised email",IF(AS27&lt;&gt;"pass","No – suppressed","Yes")))))</f>
        <v/>
      </c>
      <c r="AX27" s="21" t="n"/>
      <c r="AY27" s="21" t="n"/>
    </row>
    <row r="28">
      <c r="A28" s="15" t="n">
        <v>26</v>
      </c>
      <c r="B28" s="15" t="n">
        <v>3</v>
      </c>
      <c r="C28" s="15" t="inlineStr">
        <is>
          <t>Architecture</t>
        </is>
      </c>
      <c r="D28" s="15" t="inlineStr">
        <is>
          <t>E2</t>
        </is>
      </c>
      <c r="E28" s="15" t="inlineStr">
        <is>
          <t>Karakusevic Carson Architects Limited</t>
        </is>
      </c>
      <c r="F28" s="15" t="inlineStr">
        <is>
          <t>Karakusevic Carson Architects</t>
        </is>
      </c>
      <c r="G28" s="16" t="inlineStr">
        <is>
          <t>https://www.karakusevic-carson.com</t>
        </is>
      </c>
      <c r="H28" s="15" t="inlineStr">
        <is>
          <t>Not stated</t>
        </is>
      </c>
      <c r="I28" s="15" t="inlineStr">
        <is>
          <t>08720267</t>
        </is>
      </c>
      <c r="J28" s="16" t="inlineStr">
        <is>
          <t>Open</t>
        </is>
      </c>
      <c r="K28" s="15" t="inlineStr">
        <is>
          <t>Group</t>
        </is>
      </c>
      <c r="L28" s="15" t="inlineStr">
        <is>
          <t>07/10/2013</t>
        </is>
      </c>
      <c r="M28" s="15" t="inlineStr">
        <is>
          <t>Studio 501 37 Cremer Street, Hackney, London</t>
        </is>
      </c>
      <c r="N28" s="15" t="inlineStr">
        <is>
          <t>E2 8HD</t>
        </is>
      </c>
      <c r="O28" s="15" t="inlineStr">
        <is>
          <t>No</t>
        </is>
      </c>
      <c r="P28" s="15" t="n"/>
      <c r="Q28" s="15" t="n"/>
      <c r="R28" s="15" t="n"/>
      <c r="S28" s="15" t="inlineStr">
        <is>
          <t>mail@karakusevic-carson.com</t>
        </is>
      </c>
      <c r="T28" s="15" t="inlineStr">
        <is>
          <t>c general inbox</t>
        </is>
      </c>
      <c r="U28" s="16" t="inlineStr">
        <is>
          <t>https://www.karakusevic-carson.com/</t>
        </is>
      </c>
      <c r="X28" s="15" t="inlineStr">
        <is>
          <t>37 Cremer St</t>
        </is>
      </c>
      <c r="Y28" s="15" t="inlineStr">
        <is>
          <t>E2 8HD</t>
        </is>
      </c>
      <c r="Z28" s="15" t="inlineStr">
        <is>
          <t>Website (37 Cremer St)</t>
        </is>
      </c>
      <c r="AA28" s="15" t="inlineStr">
        <is>
          <t>Shoreditch Rooftop</t>
        </is>
      </c>
      <c r="AB28" s="15" t="n">
        <v>11</v>
      </c>
      <c r="AC28" s="15" t="inlineStr">
        <is>
          <t>Shoreditch Rooftop</t>
        </is>
      </c>
      <c r="AD28" s="15" t="inlineStr">
        <is>
          <t>Monday 28 September at 18:00</t>
        </is>
      </c>
      <c r="AE28" s="15" t="inlineStr">
        <is>
          <t>One-off</t>
        </is>
      </c>
      <c r="AF28" s="15" t="inlineStr">
        <is>
          <t>5-a-side</t>
        </is>
      </c>
      <c r="AG28" s="17">
        <f>IF(Offer!$D$5="","",Offer!$D$5)</f>
        <v/>
      </c>
      <c r="AH28" s="15" t="inlineStr">
        <is>
          <t>Abigail Batchelor joined the judging panel for the Inspire Future Generations Awards 2026, announced 24 Sept</t>
        </is>
      </c>
      <c r="AI28" s="15" t="inlineStr">
        <is>
          <t>https://www.karakusevic-carson.com/news</t>
        </is>
      </c>
      <c r="AJ28" s="15" t="inlineStr">
        <is>
          <t>milestone</t>
        </is>
      </c>
      <c r="AK28" s="15" t="inlineStr">
        <is>
          <t>high</t>
        </is>
      </c>
      <c r="AL28" s="15" t="n"/>
      <c r="AM28" s="18">
        <f>IF(V28&lt;&gt;"",V28,S28)</f>
        <v/>
      </c>
      <c r="AN28" s="18">
        <f>IF(AG28="","","A rooftop pitch 11 minutes from Cremer St")</f>
        <v/>
      </c>
      <c r="AO28" s="19" t="inlineStr">
        <is>
          <t>Hi Karakusevic Carson Architects team,
Congratulations to Abigail Batchelor on joining the judging panel for the Inspire Future Generations Awards 2026 - good excuse for the studio to get outside together.
We've got a rooftop 5-a-side pitch at Britannia Leisure Centre, Pitfield Street, an 11-minute walk from Cremer Street. Monday 28 September at 18:00 is open, and it could become your regular weekly game.
It's {PRICE} a player, and we book the pitch and handle sign-ups and payments, so someone just shares one link with the team.
Shall I hold Monday for you?
Best,
Brian
FC Urban</t>
        </is>
      </c>
      <c r="AP28" s="19" t="inlineStr">
        <is>
          <t>Hi Karakusevic Carson Architects team,
Following up on the rooftop pitch at Britannia Leisure Centre - Monday 28 September at 18:00 is still open. It's {PRICE} a player, and we handle sign-ups and payments, so it's one link for the studio.
Best,
Brian
FC Urban</t>
        </is>
      </c>
      <c r="AQ28" s="20">
        <f>IF(OR(AG28="",AO28=""),"",SUBSTITUTE(AO28,"{PRICE}","£"&amp;IF(AG28=INT(AG28),TEXT(AG28,"0"),TEXT(AG28,"0.00"))))</f>
        <v/>
      </c>
      <c r="AR28" s="20">
        <f>IF(OR(AG28="",AP28=""),"",SUBSTITUTE(AP28,"{PRICE}","£"&amp;IF(AG28=INT(AG28),TEXT(AG28,"0"),TEXT(AG28,"0.00"))))</f>
        <v/>
      </c>
      <c r="AS28" s="15" t="inlineStr">
        <is>
          <t>pass</t>
        </is>
      </c>
      <c r="AT28" s="15" t="inlineStr">
        <is>
          <t>MX ok · mailbox not verified</t>
        </is>
      </c>
      <c r="AU28" s="15" t="n"/>
      <c r="AV28" s="18">
        <f>IF(AU28&lt;&gt;"","No – hold: "&amp;AU28,IF(AG28="","No – no confirmed London price per player",IF(AM28="","No – no email",IF(AO28="","No – no personalised email",IF(AS28&lt;&gt;"pass","No – suppressed","Yes")))))</f>
        <v/>
      </c>
      <c r="AX28" s="21" t="n"/>
      <c r="AY28" s="21" t="n"/>
    </row>
    <row r="29">
      <c r="A29" s="15" t="n">
        <v>27</v>
      </c>
      <c r="B29" s="15" t="n">
        <v>3</v>
      </c>
      <c r="C29" s="15" t="inlineStr">
        <is>
          <t>Tech / software</t>
        </is>
      </c>
      <c r="D29" s="15" t="inlineStr">
        <is>
          <t>EC1M</t>
        </is>
      </c>
      <c r="E29" s="15" t="inlineStr">
        <is>
          <t>Permutive Limited</t>
        </is>
      </c>
      <c r="F29" s="15" t="inlineStr">
        <is>
          <t>Permutive</t>
        </is>
      </c>
      <c r="G29" s="16" t="inlineStr">
        <is>
          <t>https://permutive.com</t>
        </is>
      </c>
      <c r="H29" s="15" t="inlineStr">
        <is>
          <t>Not stated</t>
        </is>
      </c>
      <c r="I29" s="15" t="inlineStr">
        <is>
          <t>08738815</t>
        </is>
      </c>
      <c r="J29" s="16" t="inlineStr">
        <is>
          <t>Open</t>
        </is>
      </c>
      <c r="K29" s="15" t="inlineStr">
        <is>
          <t>Full</t>
        </is>
      </c>
      <c r="L29" s="15" t="inlineStr">
        <is>
          <t>18/10/2013</t>
        </is>
      </c>
      <c r="M29" s="15" t="inlineStr">
        <is>
          <t>Floor 2, 8-10 Charterhouse Buildings, Goswell Road, London</t>
        </is>
      </c>
      <c r="N29" s="15" t="inlineStr">
        <is>
          <t>EC1M 7AN</t>
        </is>
      </c>
      <c r="O29" s="15" t="inlineStr">
        <is>
          <t>No</t>
        </is>
      </c>
      <c r="P29" s="15" t="n"/>
      <c r="Q29" s="15" t="n"/>
      <c r="R29" s="15" t="n"/>
      <c r="S29" s="15" t="inlineStr">
        <is>
          <t>hello@permutive.com</t>
        </is>
      </c>
      <c r="T29" s="15" t="inlineStr">
        <is>
          <t>c general inbox</t>
        </is>
      </c>
      <c r="U29" s="16" t="inlineStr">
        <is>
          <t>https://permutive.com/</t>
        </is>
      </c>
      <c r="X29" s="15" t="inlineStr">
        <is>
          <t>FLOOR 2</t>
        </is>
      </c>
      <c r="Y29" s="15" t="inlineStr">
        <is>
          <t>EC1M 7AN</t>
        </is>
      </c>
      <c r="Z29" s="15" t="inlineStr">
        <is>
          <t>Website (FLOOR 2)</t>
        </is>
      </c>
      <c r="AA29" s="15" t="inlineStr">
        <is>
          <t>Old St - Moreland Primary School</t>
        </is>
      </c>
      <c r="AB29" s="15" t="n">
        <v>11</v>
      </c>
      <c r="AC29" s="15" t="inlineStr">
        <is>
          <t>Old St - Moreland Primary School</t>
        </is>
      </c>
      <c r="AD29" s="15" t="inlineStr">
        <is>
          <t>Monday 12 October at 18:00</t>
        </is>
      </c>
      <c r="AE29" s="15" t="inlineStr">
        <is>
          <t>One-off</t>
        </is>
      </c>
      <c r="AF29" s="15" t="inlineStr">
        <is>
          <t>6-a-side</t>
        </is>
      </c>
      <c r="AG29" s="17">
        <f>IF(Offer!$D$5="","",Offer!$D$5)</f>
        <v/>
      </c>
      <c r="AH29" s="15" t="inlineStr">
        <is>
          <t>Their 120+ person team meets in London weekly and holds a yearly offsite to celebrate together</t>
        </is>
      </c>
      <c r="AI29" s="15" t="inlineStr">
        <is>
          <t>https://permutive.com/careers</t>
        </is>
      </c>
      <c r="AJ29" s="15" t="inlineStr">
        <is>
          <t>culture/sport</t>
        </is>
      </c>
      <c r="AK29" s="15" t="inlineStr">
        <is>
          <t>high</t>
        </is>
      </c>
      <c r="AL29" s="15" t="inlineStr">
        <is>
          <t>office_street in the brief ('FLOOR 2') looks like a partial address, so the email refers to the Old Street area instead - worth adding the real street for a sharper subject line.</t>
        </is>
      </c>
      <c r="AM29" s="18">
        <f>IF(V29&lt;&gt;"",V29,S29)</f>
        <v/>
      </c>
      <c r="AN29" s="18">
        <f>IF(AG29="","","A growing team, a weekly game 11 min from EC1M")</f>
        <v/>
      </c>
      <c r="AO29" s="19" t="inlineStr">
        <is>
          <t>Hi Permutive team,
Your 120-plus team already meets in person every week and holds a yearly offsite to celebrate together - sounds like a group that would enjoy a regular match too.
We've got a floodlit 6-a-side pitch at Moreland School, Gard Street, an 11-minute walk from your office near Old Street. Monday 12 October at 18:00 is open, or 19:00 the same evening, and it can become your regular weekly game.
It's {PRICE} a player, and we book the pitch and handle sign-ups and payments, so someone just shares one link with the team.
Shall I hold Monday for you?
Best,
Brian
FC Urban</t>
        </is>
      </c>
      <c r="AP29" s="19" t="inlineStr">
        <is>
          <t>Hi Permutive team,
Following up on the 6-a-side pitch at Moreland School - Monday 12 October at 18:00, 19:00, or 20:00. It's {PRICE} a player, and we handle sign-ups and payments, so it's one link for the team.
Best,
Brian
FC Urban</t>
        </is>
      </c>
      <c r="AQ29" s="20">
        <f>IF(OR(AG29="",AO29=""),"",SUBSTITUTE(AO29,"{PRICE}","£"&amp;IF(AG29=INT(AG29),TEXT(AG29,"0"),TEXT(AG29,"0.00"))))</f>
        <v/>
      </c>
      <c r="AR29" s="20">
        <f>IF(OR(AG29="",AP29=""),"",SUBSTITUTE(AP29,"{PRICE}","£"&amp;IF(AG29=INT(AG29),TEXT(AG29,"0"),TEXT(AG29,"0.00"))))</f>
        <v/>
      </c>
      <c r="AS29" s="15" t="inlineStr">
        <is>
          <t>pass</t>
        </is>
      </c>
      <c r="AT29" s="15" t="inlineStr">
        <is>
          <t>MX ok · mailbox not verified</t>
        </is>
      </c>
      <c r="AU29" s="15" t="n"/>
      <c r="AV29" s="18">
        <f>IF(AU29&lt;&gt;"","No – hold: "&amp;AU29,IF(AG29="","No – no confirmed London price per player",IF(AM29="","No – no email",IF(AO29="","No – no personalised email",IF(AS29&lt;&gt;"pass","No – suppressed","Yes")))))</f>
        <v/>
      </c>
      <c r="AX29" s="21" t="n"/>
      <c r="AY29" s="21" t="n"/>
    </row>
    <row r="30">
      <c r="A30" s="15" t="n">
        <v>28</v>
      </c>
      <c r="B30" s="15" t="n">
        <v>3</v>
      </c>
      <c r="C30" s="15" t="inlineStr">
        <is>
          <t>Architecture</t>
        </is>
      </c>
      <c r="D30" s="15" t="inlineStr">
        <is>
          <t>EC1Y</t>
        </is>
      </c>
      <c r="E30" s="15" t="inlineStr">
        <is>
          <t>Eric Parry Architects Ltd</t>
        </is>
      </c>
      <c r="F30" s="15" t="inlineStr">
        <is>
          <t>Eric Parry Architects</t>
        </is>
      </c>
      <c r="G30" s="16" t="inlineStr">
        <is>
          <t>https://ericparryarchitects.co.uk</t>
        </is>
      </c>
      <c r="H30" s="15" t="inlineStr">
        <is>
          <t>Not stated</t>
        </is>
      </c>
      <c r="I30" s="15" t="inlineStr">
        <is>
          <t>02522093</t>
        </is>
      </c>
      <c r="J30" s="16" t="inlineStr">
        <is>
          <t>Open</t>
        </is>
      </c>
      <c r="K30" s="15" t="inlineStr">
        <is>
          <t>Group</t>
        </is>
      </c>
      <c r="L30" s="15" t="inlineStr">
        <is>
          <t>13/07/1990</t>
        </is>
      </c>
      <c r="M30" s="15" t="inlineStr">
        <is>
          <t>28-42 Banner Street, London</t>
        </is>
      </c>
      <c r="N30" s="15" t="inlineStr">
        <is>
          <t>EC1Y 8QE</t>
        </is>
      </c>
      <c r="O30" s="15" t="inlineStr">
        <is>
          <t>No</t>
        </is>
      </c>
      <c r="P30" s="15" t="n"/>
      <c r="Q30" s="15" t="n"/>
      <c r="R30" s="15" t="n"/>
      <c r="S30" s="15" t="inlineStr">
        <is>
          <t>epa@ericparryarchitects.co.uk</t>
        </is>
      </c>
      <c r="T30" s="15" t="inlineStr">
        <is>
          <t>c general inbox</t>
        </is>
      </c>
      <c r="U30" s="16" t="inlineStr">
        <is>
          <t>https://ericparryarchitects.co.uk/</t>
        </is>
      </c>
      <c r="X30" s="15" t="inlineStr">
        <is>
          <t>28-42 Banner Street</t>
        </is>
      </c>
      <c r="Y30" s="15" t="inlineStr">
        <is>
          <t>EC1Y 8QE</t>
        </is>
      </c>
      <c r="Z30" s="15" t="inlineStr">
        <is>
          <t>Website (28-42 Banner Street)</t>
        </is>
      </c>
      <c r="AA30" s="15" t="inlineStr">
        <is>
          <t>Old St - Moreland Primary School</t>
        </is>
      </c>
      <c r="AB30" s="15" t="n">
        <v>11</v>
      </c>
      <c r="AC30" s="15" t="inlineStr">
        <is>
          <t>Old St - Moreland Primary School</t>
        </is>
      </c>
      <c r="AD30" s="15" t="inlineStr">
        <is>
          <t>Monday 12 October at 18:00</t>
        </is>
      </c>
      <c r="AE30" s="15" t="inlineStr">
        <is>
          <t>One-off</t>
        </is>
      </c>
      <c r="AF30" s="15" t="inlineStr">
        <is>
          <t>6-a-side</t>
        </is>
      </c>
      <c r="AG30" s="17">
        <f>IF(Offer!$D$5="","",Offer!$D$5)</f>
        <v/>
      </c>
      <c r="AH30" s="15" t="inlineStr">
        <is>
          <t>One Liverpool Street reached Practical Completion in July 2026, after nearly 15 years on the project</t>
        </is>
      </c>
      <c r="AI30" s="15" t="inlineStr">
        <is>
          <t>https://ericparryarchitects.co.uk/news/</t>
        </is>
      </c>
      <c r="AJ30" s="15" t="inlineStr">
        <is>
          <t>milestone</t>
        </is>
      </c>
      <c r="AK30" s="15" t="inlineStr">
        <is>
          <t>high</t>
        </is>
      </c>
      <c r="AL30" s="15" t="inlineStr">
        <is>
          <t>Office address on their site (28-42 Banner Street, EC1Y 8QE) matches the record exactly. Hook confirmed via the /news/ page (One Liverpool Street practical completion, 14 July 2026). Sent to the general studio inbox as no named contact was given.</t>
        </is>
      </c>
      <c r="AM30" s="18">
        <f>IF(V30&lt;&gt;"",V30,S30)</f>
        <v/>
      </c>
      <c r="AN30" s="18">
        <f>IF(AG30="","","A weekly 6-a-side game, 11 minutes from Banner Street")</f>
        <v/>
      </c>
      <c r="AO30" s="19" t="inlineStr">
        <is>
          <t>Hi Eric Parry Architects team,
Congratulations on One Liverpool Street reaching practical completion this July, after nearly fifteen years on the project — quite a milestone for the studio.
We've got a floodlit 3G pitch at Moreland School, just off Old Street, an 11-minute walk from Banner Street. There's a 6-a-side slot free on Monday 12 October at 18:00, or 19:00, and it could become your regular weekly game.
It's {PRICE} a player, and we book the pitch and handle sign-ups and payments, so someone just shares one link with the team.
Shall I hold Monday 12 October for you?
Best,
Brian
FC Urban</t>
        </is>
      </c>
      <c r="AP30" s="19" t="inlineStr">
        <is>
          <t>Following up on the Monday 12 October slot at Moreland School (6-a-side, 18:00 or 19:00) — still open, an 11-minute walk from Banner Street. It's {PRICE} a player, and we handle the pitch booking and payments end to end. Let me know if you'd like it as your weekly game.
Best,
Brian</t>
        </is>
      </c>
      <c r="AQ30" s="20">
        <f>IF(OR(AG30="",AO30=""),"",SUBSTITUTE(AO30,"{PRICE}","£"&amp;IF(AG30=INT(AG30),TEXT(AG30,"0"),TEXT(AG30,"0.00"))))</f>
        <v/>
      </c>
      <c r="AR30" s="20">
        <f>IF(OR(AG30="",AP30=""),"",SUBSTITUTE(AP30,"{PRICE}","£"&amp;IF(AG30=INT(AG30),TEXT(AG30,"0"),TEXT(AG30,"0.00"))))</f>
        <v/>
      </c>
      <c r="AS30" s="15" t="inlineStr">
        <is>
          <t>pass</t>
        </is>
      </c>
      <c r="AT30" s="15" t="inlineStr">
        <is>
          <t>MX ok · mailbox not verified</t>
        </is>
      </c>
      <c r="AU30" s="15" t="n"/>
      <c r="AV30" s="18">
        <f>IF(AU30&lt;&gt;"","No – hold: "&amp;AU30,IF(AG30="","No – no confirmed London price per player",IF(AM30="","No – no email",IF(AO30="","No – no personalised email",IF(AS30&lt;&gt;"pass","No – suppressed","Yes")))))</f>
        <v/>
      </c>
      <c r="AX30" s="21" t="n"/>
      <c r="AY30" s="21" t="n"/>
    </row>
    <row r="31">
      <c r="A31" s="15" t="n">
        <v>29</v>
      </c>
      <c r="B31" s="15" t="n">
        <v>3</v>
      </c>
      <c r="C31" s="15" t="inlineStr">
        <is>
          <t>Tech / software</t>
        </is>
      </c>
      <c r="D31" s="15" t="inlineStr">
        <is>
          <t>N1</t>
        </is>
      </c>
      <c r="E31" s="15" t="inlineStr">
        <is>
          <t>Push Gaming Limited</t>
        </is>
      </c>
      <c r="F31" s="15" t="inlineStr">
        <is>
          <t>Push Gaming</t>
        </is>
      </c>
      <c r="G31" s="16" t="inlineStr">
        <is>
          <t>https://www.pushgaming.com</t>
        </is>
      </c>
      <c r="H31" s="15" t="inlineStr">
        <is>
          <t>Not stated</t>
        </is>
      </c>
      <c r="I31" s="15" t="inlineStr">
        <is>
          <t>07395813</t>
        </is>
      </c>
      <c r="J31" s="16" t="inlineStr">
        <is>
          <t>Open</t>
        </is>
      </c>
      <c r="K31" s="15" t="inlineStr">
        <is>
          <t>Medium</t>
        </is>
      </c>
      <c r="L31" s="15" t="inlineStr">
        <is>
          <t>04/10/2010</t>
        </is>
      </c>
      <c r="M31" s="15" t="inlineStr">
        <is>
          <t>10Th Floor, 10, East Road, London</t>
        </is>
      </c>
      <c r="N31" s="15" t="inlineStr">
        <is>
          <t>N1 6AD</t>
        </is>
      </c>
      <c r="O31" s="15" t="inlineStr">
        <is>
          <t>No</t>
        </is>
      </c>
      <c r="P31" s="15" t="n"/>
      <c r="Q31" s="15" t="n"/>
      <c r="R31" s="15" t="n"/>
      <c r="S31" s="15" t="inlineStr">
        <is>
          <t>info@pushgaming.com</t>
        </is>
      </c>
      <c r="T31" s="15" t="inlineStr">
        <is>
          <t>c general inbox</t>
        </is>
      </c>
      <c r="U31" s="16" t="inlineStr">
        <is>
          <t>https://www.pushgaming.com/</t>
        </is>
      </c>
      <c r="X31" s="15" t="inlineStr">
        <is>
          <t>10th Floor, 10 East Road</t>
        </is>
      </c>
      <c r="Y31" s="15" t="inlineStr">
        <is>
          <t>N1 6AD</t>
        </is>
      </c>
      <c r="Z31" s="15" t="inlineStr">
        <is>
          <t>Website (10th Floor, 10 East Road)</t>
        </is>
      </c>
      <c r="AA31" s="15" t="inlineStr">
        <is>
          <t>Old St - Moreland Primary School</t>
        </is>
      </c>
      <c r="AB31" s="15" t="n">
        <v>12</v>
      </c>
      <c r="AC31" s="15" t="inlineStr">
        <is>
          <t>Old St - Moreland Primary School</t>
        </is>
      </c>
      <c r="AD31" s="15" t="inlineStr">
        <is>
          <t>Monday 12 October at 18:00</t>
        </is>
      </c>
      <c r="AE31" s="15" t="inlineStr">
        <is>
          <t>One-off</t>
        </is>
      </c>
      <c r="AF31" s="15" t="inlineStr">
        <is>
          <t>6-a-side</t>
        </is>
      </c>
      <c r="AG31" s="17">
        <f>IF(Offer!$D$5="","",Offer!$D$5)</f>
        <v/>
      </c>
      <c r="AH31" s="15" t="inlineStr">
        <is>
          <t>Push Gaming launched in the Alberta market on 16 July 2026, expanding their global igaming reach</t>
        </is>
      </c>
      <c r="AI31" s="15" t="inlineStr">
        <is>
          <t>https://www.pushgaming.com/</t>
        </is>
      </c>
      <c r="AJ31" s="15" t="inlineStr">
        <is>
          <t>milestone</t>
        </is>
      </c>
      <c r="AK31" s="15" t="inlineStr">
        <is>
          <t>high</t>
        </is>
      </c>
      <c r="AL31" s="15" t="inlineStr">
        <is>
          <t>Office address (10th Floor, 10 East Road, N1 6AD) matches the record exactly, confirmed on the contact page. Hook is from the homepage 'Latest Posts' section (Alberta market launch, 16 Jul 2026). Sent to the general info inbox as no named contact was given.</t>
        </is>
      </c>
      <c r="AM31" s="18">
        <f>IF(V31&lt;&gt;"",V31,S31)</f>
        <v/>
      </c>
      <c r="AN31" s="18">
        <f>IF(AG31="","","A weekly 6-a-side pitch, 12 minutes from East Road")</f>
        <v/>
      </c>
      <c r="AO31" s="19" t="inlineStr">
        <is>
          <t>Hi Push Gaming team,
Congratulations on launching in the Alberta market this July — good momentum as the team keeps growing.
We've a floodlit 3G pitch at Moreland School, just off Old Street, a 12-minute walk from East Road. There's a 6-a-side slot free on Monday 12 October at 18:00, or 19:00, and it can become your regular weekly game.
It's {PRICE} a player, and we book the pitch and handle sign-ups and payments, so someone just shares one link with the team.
Shall I hold Monday for you?
Best,
Brian
FC Urban</t>
        </is>
      </c>
      <c r="AP31" s="19" t="inlineStr">
        <is>
          <t>Following up on Monday 12 October — the 6-a-side slot at Moreland School (18:00 or 19:00) is still free, 12 minutes from East Road. It's {PRICE} a player, and we handle the pitch booking and payments. Would this work as your weekly game?
Best,
Brian</t>
        </is>
      </c>
      <c r="AQ31" s="20">
        <f>IF(OR(AG31="",AO31=""),"",SUBSTITUTE(AO31,"{PRICE}","£"&amp;IF(AG31=INT(AG31),TEXT(AG31,"0"),TEXT(AG31,"0.00"))))</f>
        <v/>
      </c>
      <c r="AR31" s="20">
        <f>IF(OR(AG31="",AP31=""),"",SUBSTITUTE(AP31,"{PRICE}","£"&amp;IF(AG31=INT(AG31),TEXT(AG31,"0"),TEXT(AG31,"0.00"))))</f>
        <v/>
      </c>
      <c r="AS31" s="15" t="inlineStr">
        <is>
          <t>pass</t>
        </is>
      </c>
      <c r="AT31" s="15" t="inlineStr">
        <is>
          <t>MX ok · mailbox not verified</t>
        </is>
      </c>
      <c r="AU31" s="15" t="n"/>
      <c r="AV31" s="18">
        <f>IF(AU31&lt;&gt;"","No – hold: "&amp;AU31,IF(AG31="","No – no confirmed London price per player",IF(AM31="","No – no email",IF(AO31="","No – no personalised email",IF(AS31&lt;&gt;"pass","No – suppressed","Yes")))))</f>
        <v/>
      </c>
      <c r="AX31" s="21" t="n"/>
      <c r="AY31" s="21" t="n"/>
    </row>
    <row r="32">
      <c r="A32" s="15" t="n">
        <v>30</v>
      </c>
      <c r="B32" s="15" t="n">
        <v>3</v>
      </c>
      <c r="C32" s="15" t="inlineStr">
        <is>
          <t>Recruitment</t>
        </is>
      </c>
      <c r="D32" s="15" t="inlineStr">
        <is>
          <t>EC2M</t>
        </is>
      </c>
      <c r="E32" s="15" t="inlineStr">
        <is>
          <t>Oliver Bernard Limited</t>
        </is>
      </c>
      <c r="F32" s="15" t="inlineStr">
        <is>
          <t>Oliver Bernard</t>
        </is>
      </c>
      <c r="G32" s="16" t="inlineStr">
        <is>
          <t>https://www.oliverbernard.com</t>
        </is>
      </c>
      <c r="H32" s="15" t="inlineStr">
        <is>
          <t>Not stated</t>
        </is>
      </c>
      <c r="I32" s="15" t="inlineStr">
        <is>
          <t>07128139</t>
        </is>
      </c>
      <c r="J32" s="16" t="inlineStr">
        <is>
          <t>Open</t>
        </is>
      </c>
      <c r="K32" s="15" t="inlineStr">
        <is>
          <t>Full</t>
        </is>
      </c>
      <c r="L32" s="15" t="inlineStr">
        <is>
          <t>18/01/2010</t>
        </is>
      </c>
      <c r="M32" s="15" t="inlineStr">
        <is>
          <t>1 Finsbury Avenue, Wilson Street, London</t>
        </is>
      </c>
      <c r="N32" s="15" t="inlineStr">
        <is>
          <t>EC2M 2PF</t>
        </is>
      </c>
      <c r="O32" s="15" t="inlineStr">
        <is>
          <t>No</t>
        </is>
      </c>
      <c r="P32" s="15" t="n"/>
      <c r="Q32" s="15" t="n"/>
      <c r="R32" s="15" t="n"/>
      <c r="S32" s="15" t="inlineStr">
        <is>
          <t>info@oliverbernard.com</t>
        </is>
      </c>
      <c r="T32" s="15" t="inlineStr">
        <is>
          <t>c general inbox</t>
        </is>
      </c>
      <c r="U32" s="16" t="inlineStr">
        <is>
          <t>https://www.oliverbernard.com/contact</t>
        </is>
      </c>
      <c r="X32" s="15" t="inlineStr">
        <is>
          <t>0207 952 5720 Our London office in Finsbury Avenue</t>
        </is>
      </c>
      <c r="Y32" s="15" t="inlineStr">
        <is>
          <t>EC2M 2PF</t>
        </is>
      </c>
      <c r="Z32" s="15" t="inlineStr">
        <is>
          <t>Website (0207 952 5720 Our London office in Finsbury Avenue)</t>
        </is>
      </c>
      <c r="AA32" s="15" t="inlineStr">
        <is>
          <t>Shoreditch Powerleague</t>
        </is>
      </c>
      <c r="AB32" s="15" t="n">
        <v>13</v>
      </c>
      <c r="AC32" s="15" t="inlineStr">
        <is>
          <t>Shoreditch Powerleague</t>
        </is>
      </c>
      <c r="AD32" s="15" t="inlineStr">
        <is>
          <t>Monday 28 September at 17:40</t>
        </is>
      </c>
      <c r="AE32" s="15" t="inlineStr">
        <is>
          <t>One-off</t>
        </is>
      </c>
      <c r="AF32" s="15" t="inlineStr">
        <is>
          <t>5-a-side</t>
        </is>
      </c>
      <c r="AG32" s="17">
        <f>IF(Offer!$D$5="","",Offer!$D$5)</f>
        <v/>
      </c>
      <c r="AH32" s="15" t="inlineStr">
        <is>
          <t>Oliver Bernard is a 45-person team that runs regular tech meetups and roundtables</t>
        </is>
      </c>
      <c r="AI32" s="15" t="inlineStr">
        <is>
          <t>https://www.oliverbernard.com/about</t>
        </is>
      </c>
      <c r="AJ32" s="15" t="inlineStr">
        <is>
          <t>culture/sport</t>
        </is>
      </c>
      <c r="AK32" s="15" t="inlineStr">
        <is>
          <t>high</t>
        </is>
      </c>
      <c r="AL32" s="15" t="inlineStr">
        <is>
          <t>Office address (1 Finsbury Ave, London EC2M 2PF) matches the record. Headcount (45) and meetups/roundtables detail confirmed on the /about page. Sent to the general info inbox as no named contact was given.</t>
        </is>
      </c>
      <c r="AM32" s="18">
        <f>IF(V32&lt;&gt;"",V32,S32)</f>
        <v/>
      </c>
      <c r="AN32" s="18">
        <f>IF(AG32="","","A weekly 5-a-side game, 13 minutes from Finsbury Ave")</f>
        <v/>
      </c>
      <c r="AO32" s="19" t="inlineStr">
        <is>
          <t>Hi Oliver Bernard team,
Forty-five of you running regular meetups and roundtables for the tech community — sounds like a group that likes getting together.
We've a 5-a-side pitch at Powerleague Shoreditch, a 13-minute walk from Finsbury Avenue. There's a slot free on Monday 28 September at 17:40, or 19:40, and it can become your regular weekly game.
It's {PRICE} a player, and we book the pitch and handle sign-ups and payments, so someone just shares one link with the team.
Shall I hold Monday for you?
Best,
Brian
FC Urban</t>
        </is>
      </c>
      <c r="AP32" s="19" t="inlineStr">
        <is>
          <t>Checking in on Monday 28 September — the 5-a-side slot at Powerleague Shoreditch (17:40 or 19:40) is still open, or Thursday 1 October at 18:20. It's {PRICE} a player, and we handle booking and payments. Keen to get the team a regular weekly game.
Best,
Brian</t>
        </is>
      </c>
      <c r="AQ32" s="20">
        <f>IF(OR(AG32="",AO32=""),"",SUBSTITUTE(AO32,"{PRICE}","£"&amp;IF(AG32=INT(AG32),TEXT(AG32,"0"),TEXT(AG32,"0.00"))))</f>
        <v/>
      </c>
      <c r="AR32" s="20">
        <f>IF(OR(AG32="",AP32=""),"",SUBSTITUTE(AP32,"{PRICE}","£"&amp;IF(AG32=INT(AG32),TEXT(AG32,"0"),TEXT(AG32,"0.00"))))</f>
        <v/>
      </c>
      <c r="AS32" s="15" t="inlineStr">
        <is>
          <t>pass</t>
        </is>
      </c>
      <c r="AT32" s="15" t="inlineStr">
        <is>
          <t>MX ok · mailbox not verified</t>
        </is>
      </c>
      <c r="AU32" s="15" t="n"/>
      <c r="AV32" s="18">
        <f>IF(AU32&lt;&gt;"","No – hold: "&amp;AU32,IF(AG32="","No – no confirmed London price per player",IF(AM32="","No – no email",IF(AO32="","No – no personalised email",IF(AS32&lt;&gt;"pass","No – suppressed","Yes")))))</f>
        <v/>
      </c>
      <c r="AX32" s="21" t="n"/>
      <c r="AY32" s="21" t="n"/>
    </row>
    <row r="33">
      <c r="A33" s="15" t="n">
        <v>31</v>
      </c>
      <c r="B33" s="15" t="n">
        <v>1</v>
      </c>
      <c r="C33" s="15" t="inlineStr">
        <is>
          <t>Marketing / agency</t>
        </is>
      </c>
      <c r="D33" s="15" t="inlineStr">
        <is>
          <t>EC1V</t>
        </is>
      </c>
      <c r="E33" s="15" t="inlineStr">
        <is>
          <t>Wellcom London Limited</t>
        </is>
      </c>
      <c r="F33" s="15" t="inlineStr">
        <is>
          <t>Wellcom London</t>
        </is>
      </c>
      <c r="G33" s="16" t="inlineStr">
        <is>
          <t>https://www.wellcomww.com:443</t>
        </is>
      </c>
      <c r="H33" s="15" t="inlineStr">
        <is>
          <t>Not stated</t>
        </is>
      </c>
      <c r="I33" s="15" t="inlineStr">
        <is>
          <t>00979521</t>
        </is>
      </c>
      <c r="J33" s="16" t="inlineStr">
        <is>
          <t>Open</t>
        </is>
      </c>
      <c r="K33" s="15" t="inlineStr">
        <is>
          <t>Full</t>
        </is>
      </c>
      <c r="L33" s="15" t="inlineStr">
        <is>
          <t>13/05/1970</t>
        </is>
      </c>
      <c r="M33" s="15" t="inlineStr">
        <is>
          <t>1 Berry Place, London</t>
        </is>
      </c>
      <c r="N33" s="15" t="inlineStr">
        <is>
          <t>EC1V 0JD</t>
        </is>
      </c>
      <c r="O33" s="15" t="inlineStr">
        <is>
          <t>No</t>
        </is>
      </c>
      <c r="P33" s="15" t="n"/>
      <c r="Q33" s="15" t="n"/>
      <c r="R33" s="15" t="n"/>
      <c r="S33" s="15" t="inlineStr">
        <is>
          <t>hello@wellcomww.com</t>
        </is>
      </c>
      <c r="T33" s="15" t="inlineStr">
        <is>
          <t>a/b named person</t>
        </is>
      </c>
      <c r="U33" s="16" t="inlineStr">
        <is>
          <t>https://www.wellcomww.com:443/offices/new-york</t>
        </is>
      </c>
      <c r="X33" s="15" t="inlineStr">
        <is>
          <t>1 BERRY PLACE</t>
        </is>
      </c>
      <c r="Y33" s="15" t="inlineStr">
        <is>
          <t>EC1V 0JD</t>
        </is>
      </c>
      <c r="Z33" s="15" t="inlineStr">
        <is>
          <t>Website (1 BERRY PLACE)</t>
        </is>
      </c>
      <c r="AA33" s="15" t="inlineStr">
        <is>
          <t>Old St - Moreland Primary School</t>
        </is>
      </c>
      <c r="AB33" s="15" t="n">
        <v>5</v>
      </c>
      <c r="AC33" s="15" t="inlineStr">
        <is>
          <t>Old St - Moreland Primary School</t>
        </is>
      </c>
      <c r="AD33" s="15" t="inlineStr">
        <is>
          <t>Monday 12 October at 18:00</t>
        </is>
      </c>
      <c r="AE33" s="15" t="inlineStr">
        <is>
          <t>One-off</t>
        </is>
      </c>
      <c r="AF33" s="15" t="inlineStr">
        <is>
          <t>6-a-side</t>
        </is>
      </c>
      <c r="AG33" s="17">
        <f>IF(Offer!$D$5="","",Offer!$D$5)</f>
        <v/>
      </c>
      <c r="AH33" s="15" t="inlineStr">
        <is>
          <t>London studio (Clerkenwell) has shot Ben &amp; Jerry's campaigns since 2022</t>
        </is>
      </c>
      <c r="AI33" s="15" t="inlineStr">
        <is>
          <t>https://www.wellcomww.com/</t>
        </is>
      </c>
      <c r="AJ33" s="15" t="inlineStr">
        <is>
          <t>what they do</t>
        </is>
      </c>
      <c r="AK33" s="15" t="inlineStr">
        <is>
          <t>medium</t>
        </is>
      </c>
      <c r="AL33" s="15" t="inlineStr">
        <is>
          <t>No dedicated London office page was in the crawl (only New York); confirmed the Clerkenwell address and 'Ben &amp; Jerry's since 2022' detail via one extra fetch of wellcomww.com. Hook is a fun studio fact, not really about staff social life — worth a light touch.</t>
        </is>
      </c>
      <c r="AM33" s="18">
        <f>IF(V33&lt;&gt;"",V33,S33)</f>
        <v/>
      </c>
      <c r="AN33" s="18">
        <f>IF(AG33="","","5 min from Berry Place: a weekly team game")</f>
        <v/>
      </c>
      <c r="AO33" s="19" t="inlineStr">
        <is>
          <t>Hi Wellcom London team,
Your Clerkenwell studio has been the set for Ben &amp; Jerry's shoots since 2022 — proof the team knows how to turn a shared space into something fun. We've got a floodlit 3G pitch at Moreland School, Gard Street, just a 5-minute walk from Berry Place, with Monday 12 October at 18:00 open (or 19:00), and it can easily become your regular weekly slot. It's {PRICE} a player, and we book the pitch and handle sign-ups and payments, so someone just shares one link with the team. Shall I hold Monday for you?
Best,
Brian
FC Urban</t>
        </is>
      </c>
      <c r="AP33" s="19" t="inlineStr">
        <is>
          <t>Hi Wellcom London team,
Following up on Monday 12 October at 18:00 (or 19:00) at Moreland School — a 5-minute walk from Berry Place. Still {PRICE} a player, we handle the pitch, sign-ups and payments. Would you like me to hold a slot for the team's first game?
Best,
Brian</t>
        </is>
      </c>
      <c r="AQ33" s="20">
        <f>IF(OR(AG33="",AO33=""),"",SUBSTITUTE(AO33,"{PRICE}","£"&amp;IF(AG33=INT(AG33),TEXT(AG33,"0"),TEXT(AG33,"0.00"))))</f>
        <v/>
      </c>
      <c r="AR33" s="20">
        <f>IF(OR(AG33="",AP33=""),"",SUBSTITUTE(AP33,"{PRICE}","£"&amp;IF(AG33=INT(AG33),TEXT(AG33,"0"),TEXT(AG33,"0.00"))))</f>
        <v/>
      </c>
      <c r="AS33" s="15" t="inlineStr">
        <is>
          <t>pass</t>
        </is>
      </c>
      <c r="AT33" s="15" t="inlineStr">
        <is>
          <t>MX ok · mailbox not verified</t>
        </is>
      </c>
      <c r="AU33" s="15" t="n"/>
      <c r="AV33" s="18">
        <f>IF(AU33&lt;&gt;"","No – hold: "&amp;AU33,IF(AG33="","No – no confirmed London price per player",IF(AM33="","No – no email",IF(AO33="","No – no personalised email",IF(AS33&lt;&gt;"pass","No – suppressed","Yes")))))</f>
        <v/>
      </c>
      <c r="AX33" s="21" t="n"/>
      <c r="AY33" s="21" t="n"/>
    </row>
    <row r="34">
      <c r="A34" s="15" t="n">
        <v>32</v>
      </c>
      <c r="B34" s="15" t="n">
        <v>1</v>
      </c>
      <c r="C34" s="15" t="inlineStr">
        <is>
          <t>Tech / software</t>
        </is>
      </c>
      <c r="D34" s="15" t="inlineStr">
        <is>
          <t>N1</t>
        </is>
      </c>
      <c r="E34" s="15" t="inlineStr">
        <is>
          <t>Mention Me Limited</t>
        </is>
      </c>
      <c r="F34" s="15" t="inlineStr">
        <is>
          <t>Mention Me</t>
        </is>
      </c>
      <c r="G34" s="16" t="inlineStr">
        <is>
          <t>https://www.mention-me.com</t>
        </is>
      </c>
      <c r="H34" s="15" t="inlineStr">
        <is>
          <t>Not stated</t>
        </is>
      </c>
      <c r="I34" s="15" t="inlineStr">
        <is>
          <t>08382730</t>
        </is>
      </c>
      <c r="J34" s="16" t="inlineStr">
        <is>
          <t>Open</t>
        </is>
      </c>
      <c r="K34" s="15" t="inlineStr">
        <is>
          <t>Group</t>
        </is>
      </c>
      <c r="L34" s="15" t="inlineStr">
        <is>
          <t>31/01/2013</t>
        </is>
      </c>
      <c r="M34" s="15" t="inlineStr">
        <is>
          <t>20-22 Wenlock Road, London</t>
        </is>
      </c>
      <c r="N34" s="15" t="inlineStr">
        <is>
          <t>N1 7GU</t>
        </is>
      </c>
      <c r="O34" s="15" t="inlineStr">
        <is>
          <t>No</t>
        </is>
      </c>
      <c r="P34" s="15" t="n"/>
      <c r="Q34" s="15" t="n"/>
      <c r="R34" s="15" t="n"/>
      <c r="S34" s="15" t="inlineStr">
        <is>
          <t>people@mention-me.com</t>
        </is>
      </c>
      <c r="T34" s="15" t="inlineStr">
        <is>
          <t>a/b named person</t>
        </is>
      </c>
      <c r="U34" s="16" t="inlineStr">
        <is>
          <t>https://www.mention-me.com/careers</t>
        </is>
      </c>
      <c r="X34" s="15" t="n"/>
      <c r="Y34" s="15" t="inlineStr">
        <is>
          <t>N1 7GU</t>
        </is>
      </c>
      <c r="Z34" s="15" t="inlineStr">
        <is>
          <t>Website</t>
        </is>
      </c>
      <c r="AA34" s="15" t="inlineStr">
        <is>
          <t>Old St - Moreland Primary School</t>
        </is>
      </c>
      <c r="AB34" s="15" t="n">
        <v>6</v>
      </c>
      <c r="AC34" s="15" t="inlineStr">
        <is>
          <t>Old St - Moreland Primary School</t>
        </is>
      </c>
      <c r="AD34" s="15" t="inlineStr">
        <is>
          <t>Monday 12 October at 18:00</t>
        </is>
      </c>
      <c r="AE34" s="15" t="inlineStr">
        <is>
          <t>One-off</t>
        </is>
      </c>
      <c r="AF34" s="15" t="inlineStr">
        <is>
          <t>6-a-side</t>
        </is>
      </c>
      <c r="AG34" s="17">
        <f>IF(Offer!$D$5="","",Offer!$D$5)</f>
        <v/>
      </c>
      <c r="AH34" s="15" t="inlineStr">
        <is>
          <t>Mentioneers run their own clubs, from running to poker and board games, plus quarterly socials and monthly pub drinks</t>
        </is>
      </c>
      <c r="AI34" s="15" t="inlineStr">
        <is>
          <t>https://www.mention-me.com/careers</t>
        </is>
      </c>
      <c r="AJ34" s="15" t="inlineStr">
        <is>
          <t>culture/sport</t>
        </is>
      </c>
      <c r="AK34" s="15" t="inlineStr">
        <is>
          <t>medium</t>
        </is>
      </c>
      <c r="AL34" s="15" t="inlineStr">
        <is>
          <t>office_street is blank in the input; careers page lists the office as 'Vauxhall, London' while the given postcode (N1 7GU) is actually Islington/Old Street — worth confirming the correct office before quoting the walk time.</t>
        </is>
      </c>
      <c r="AM34" s="18">
        <f>IF(V34&lt;&gt;"",V34,S34)</f>
        <v/>
      </c>
      <c r="AN34" s="18">
        <f>IF(AG34="","","A new club for the Mentioneers: football")</f>
        <v/>
      </c>
      <c r="AO34" s="19" t="inlineStr">
        <is>
          <t>Hi Mention Me team,
You've already got running and poker clubs for the Mentioneers, so a weekly five-a-side felt like an easy addition. We've got the floodlit 3G pitch at Moreland School, Gard Street, a 6-minute walk from your office, with Monday 12 October at 18:00 open (or 19:00), and it can become your regular slot. It's {PRICE} a player, and we book the pitch and handle sign-ups and payments, so someone just shares one link with the team. Would your team be up for it?
Best,
Brian
FC Urban</t>
        </is>
      </c>
      <c r="AP34" s="19" t="inlineStr">
        <is>
          <t>Hi Mention Me team,
Following up on Monday 12 October at 18:00 (or 19:00) at Moreland School, 6 minutes from your office. Still {PRICE} a player, we handle the pitch, sign-ups and payments. Shall I hold a slot for the Mentioneers?
Best,
Brian</t>
        </is>
      </c>
      <c r="AQ34" s="20">
        <f>IF(OR(AG34="",AO34=""),"",SUBSTITUTE(AO34,"{PRICE}","£"&amp;IF(AG34=INT(AG34),TEXT(AG34,"0"),TEXT(AG34,"0.00"))))</f>
        <v/>
      </c>
      <c r="AR34" s="20">
        <f>IF(OR(AG34="",AP34=""),"",SUBSTITUTE(AP34,"{PRICE}","£"&amp;IF(AG34=INT(AG34),TEXT(AG34,"0"),TEXT(AG34,"0.00"))))</f>
        <v/>
      </c>
      <c r="AS34" s="15" t="inlineStr">
        <is>
          <t>pass</t>
        </is>
      </c>
      <c r="AT34" s="15" t="inlineStr">
        <is>
          <t>MX ok · mailbox not verified</t>
        </is>
      </c>
      <c r="AU34" s="15" t="n"/>
      <c r="AV34" s="18">
        <f>IF(AU34&lt;&gt;"","No – hold: "&amp;AU34,IF(AG34="","No – no confirmed London price per player",IF(AM34="","No – no email",IF(AO34="","No – no personalised email",IF(AS34&lt;&gt;"pass","No – suppressed","Yes")))))</f>
        <v/>
      </c>
      <c r="AX34" s="21" t="n"/>
      <c r="AY34" s="21" t="n"/>
    </row>
    <row r="35">
      <c r="A35" s="15" t="n">
        <v>33</v>
      </c>
      <c r="B35" s="15" t="n">
        <v>1</v>
      </c>
      <c r="C35" s="15" t="inlineStr">
        <is>
          <t>Consultancy</t>
        </is>
      </c>
      <c r="D35" s="15" t="inlineStr">
        <is>
          <t>EC2A</t>
        </is>
      </c>
      <c r="E35" s="15" t="inlineStr">
        <is>
          <t>Oakleaf Partnership Limited</t>
        </is>
      </c>
      <c r="F35" s="15" t="inlineStr">
        <is>
          <t>Oakleaf Partnership</t>
        </is>
      </c>
      <c r="G35" s="16" t="inlineStr">
        <is>
          <t>https://www.oakleafpartnership.com</t>
        </is>
      </c>
      <c r="H35" s="15" t="inlineStr">
        <is>
          <t>Not stated</t>
        </is>
      </c>
      <c r="I35" s="15" t="inlineStr">
        <is>
          <t>05396257</t>
        </is>
      </c>
      <c r="J35" s="16" t="inlineStr">
        <is>
          <t>Open</t>
        </is>
      </c>
      <c r="K35" s="15" t="inlineStr">
        <is>
          <t>Group</t>
        </is>
      </c>
      <c r="L35" s="15" t="inlineStr">
        <is>
          <t>17/03/2005</t>
        </is>
      </c>
      <c r="M35" s="15" t="inlineStr">
        <is>
          <t>10 Devonshire Square, London</t>
        </is>
      </c>
      <c r="N35" s="15" t="inlineStr">
        <is>
          <t>EC2M 4YP</t>
        </is>
      </c>
      <c r="O35" s="15" t="inlineStr">
        <is>
          <t>No</t>
        </is>
      </c>
      <c r="P35" s="15" t="inlineStr">
        <is>
          <t>Simon</t>
        </is>
      </c>
      <c r="Q35" s="15" t="inlineStr">
        <is>
          <t>Simon Hunt</t>
        </is>
      </c>
      <c r="R35" s="15" t="inlineStr">
        <is>
          <t>Director</t>
        </is>
      </c>
      <c r="S35" s="15" t="inlineStr">
        <is>
          <t>simonhunt@oakleafpartnership.com</t>
        </is>
      </c>
      <c r="T35" s="15" t="inlineStr">
        <is>
          <t>a/b named person</t>
        </is>
      </c>
      <c r="U35" s="16" t="inlineStr">
        <is>
          <t>https://www.oakleafpartnership.com/us/team</t>
        </is>
      </c>
      <c r="X35" s="15" t="inlineStr">
        <is>
          <t>Huckletree Liverpool Street, 1 Primrose Street</t>
        </is>
      </c>
      <c r="Y35" s="15" t="inlineStr">
        <is>
          <t>EC2A 2EX</t>
        </is>
      </c>
      <c r="Z35" s="15" t="inlineStr">
        <is>
          <t>Website (Huckletree Liverpool Street, 1 Primrose Street)</t>
        </is>
      </c>
      <c r="AA35" s="15" t="inlineStr">
        <is>
          <t>Shoreditch Powerleague</t>
        </is>
      </c>
      <c r="AB35" s="15" t="n">
        <v>7</v>
      </c>
      <c r="AC35" s="15" t="inlineStr">
        <is>
          <t>Shoreditch Powerleague</t>
        </is>
      </c>
      <c r="AD35" s="15" t="inlineStr">
        <is>
          <t>Monday 28 September at 17:40</t>
        </is>
      </c>
      <c r="AE35" s="15" t="inlineStr">
        <is>
          <t>One-off</t>
        </is>
      </c>
      <c r="AF35" s="15" t="inlineStr">
        <is>
          <t>5-a-side</t>
        </is>
      </c>
      <c r="AG35" s="17">
        <f>IF(Offer!$D$5="","",Offer!$D$5)</f>
        <v/>
      </c>
      <c r="AH35" s="15" t="inlineStr">
        <is>
          <t>Building teams internationally since 2005 — 21+ years, 1,400+ placements across 80+ firms in 16 countries</t>
        </is>
      </c>
      <c r="AI35" s="15" t="inlineStr">
        <is>
          <t>https://www.oakleafpartnership.com/us</t>
        </is>
      </c>
      <c r="AJ35" s="15" t="inlineStr">
        <is>
          <t>milestone</t>
        </is>
      </c>
      <c r="AK35" s="15" t="inlineStr">
        <is>
          <t>medium</t>
        </is>
      </c>
      <c r="AL35" s="15" t="inlineStr">
        <is>
          <t>The '2005 / 21+ years / 1,400+ placements' stats were on the US sub-page (oakleafpartnership.com/us) rather than a London-specific page, though the site frames them as company-wide. Confirmed Simon Hunt is a real Director based in New York and London, so he's a legitimate contact.</t>
        </is>
      </c>
      <c r="AM35" s="18">
        <f>IF(V35&lt;&gt;"",V35,S35)</f>
        <v/>
      </c>
      <c r="AN35" s="18">
        <f>IF(AG35="","","7 min from Primrose Street: a weekly 5-a-side")</f>
        <v/>
      </c>
      <c r="AO35" s="19" t="inlineStr">
        <is>
          <t>Hi Simon,
Oakleaf's been placing people internationally since 2005 — 21 years of building teams across 80+ firms, so you know what a good team looks like. We've got a 5-a-side pitch at Powerleague Shoreditch, a 7-minute walk from Primrose Street, with Monday 28 September at 17:40 open (or 19:40), and it can turn into your regular weekly slot. It's {PRICE} a player, and we book the pitch and handle sign-ups and payments, so someone just shares one link with the team. Shall I hold Monday for you?
Best,
Brian
FC Urban</t>
        </is>
      </c>
      <c r="AP35" s="19" t="inlineStr">
        <is>
          <t>Hi Simon,
Following up on Monday 28 September at 17:40 (or 19:40) at Powerleague Shoreditch — 7 minutes from Primrose Street. Still {PRICE} a player, we sort the pitch, sign-ups and payments. Want me to hold a slot for the Oakleaf team?
Best,
Brian</t>
        </is>
      </c>
      <c r="AQ35" s="20">
        <f>IF(OR(AG35="",AO35=""),"",SUBSTITUTE(AO35,"{PRICE}","£"&amp;IF(AG35=INT(AG35),TEXT(AG35,"0"),TEXT(AG35,"0.00"))))</f>
        <v/>
      </c>
      <c r="AR35" s="20">
        <f>IF(OR(AG35="",AP35=""),"",SUBSTITUTE(AP35,"{PRICE}","£"&amp;IF(AG35=INT(AG35),TEXT(AG35,"0"),TEXT(AG35,"0.00"))))</f>
        <v/>
      </c>
      <c r="AS35" s="15" t="inlineStr">
        <is>
          <t>pass</t>
        </is>
      </c>
      <c r="AT35" s="15" t="inlineStr">
        <is>
          <t>MX ok · mailbox not verified</t>
        </is>
      </c>
      <c r="AU35" s="15" t="n"/>
      <c r="AV35" s="18">
        <f>IF(AU35&lt;&gt;"","No – hold: "&amp;AU35,IF(AG35="","No – no confirmed London price per player",IF(AM35="","No – no email",IF(AO35="","No – no personalised email",IF(AS35&lt;&gt;"pass","No – suppressed","Yes")))))</f>
        <v/>
      </c>
      <c r="AX35" s="21" t="n"/>
      <c r="AY35" s="21" t="n"/>
    </row>
    <row r="36">
      <c r="A36" s="15" t="n">
        <v>34</v>
      </c>
      <c r="B36" s="15" t="n">
        <v>1</v>
      </c>
      <c r="C36" s="15" t="inlineStr">
        <is>
          <t>Tech / software</t>
        </is>
      </c>
      <c r="D36" s="15" t="inlineStr">
        <is>
          <t>EC2A</t>
        </is>
      </c>
      <c r="E36" s="15" t="inlineStr">
        <is>
          <t>Hoptroff London Limited</t>
        </is>
      </c>
      <c r="F36" s="15" t="inlineStr">
        <is>
          <t>Hoptroff London</t>
        </is>
      </c>
      <c r="G36" s="16" t="inlineStr">
        <is>
          <t>https://www.hoptroff.com</t>
        </is>
      </c>
      <c r="H36" s="15" t="inlineStr">
        <is>
          <t>Not stated</t>
        </is>
      </c>
      <c r="I36" s="15" t="inlineStr">
        <is>
          <t>09566434</t>
        </is>
      </c>
      <c r="J36" s="16" t="inlineStr">
        <is>
          <t>Open</t>
        </is>
      </c>
      <c r="K36" s="15" t="inlineStr">
        <is>
          <t>Group</t>
        </is>
      </c>
      <c r="L36" s="15" t="inlineStr">
        <is>
          <t>29/04/2015</t>
        </is>
      </c>
      <c r="M36" s="15" t="inlineStr">
        <is>
          <t>3Rd Floor, 86 - 90 Paul Street, London</t>
        </is>
      </c>
      <c r="N36" s="15" t="inlineStr">
        <is>
          <t>EC2A 4NE</t>
        </is>
      </c>
      <c r="O36" s="15" t="inlineStr">
        <is>
          <t>No</t>
        </is>
      </c>
      <c r="P36" s="15" t="inlineStr">
        <is>
          <t>Tyler</t>
        </is>
      </c>
      <c r="Q36" s="15" t="inlineStr">
        <is>
          <t>Tyler Haws</t>
        </is>
      </c>
      <c r="R36" s="15" t="n"/>
      <c r="S36" s="15" t="inlineStr">
        <is>
          <t>tylerhaws@hoptroff.com</t>
        </is>
      </c>
      <c r="T36" s="15" t="inlineStr">
        <is>
          <t>a/b named person</t>
        </is>
      </c>
      <c r="U36" s="16" t="inlineStr">
        <is>
          <t>https://www.hoptroff.com/</t>
        </is>
      </c>
      <c r="X36" s="15" t="inlineStr">
        <is>
          <t>3RD FLOOR, 86</t>
        </is>
      </c>
      <c r="Y36" s="15" t="inlineStr">
        <is>
          <t>EC2A 4NE</t>
        </is>
      </c>
      <c r="Z36" s="15" t="inlineStr">
        <is>
          <t>Website (3RD FLOOR, 86)</t>
        </is>
      </c>
      <c r="AA36" s="15" t="inlineStr">
        <is>
          <t>Shoreditch Powerleague</t>
        </is>
      </c>
      <c r="AB36" s="15" t="n">
        <v>10</v>
      </c>
      <c r="AC36" s="15" t="inlineStr">
        <is>
          <t>Shoreditch Powerleague</t>
        </is>
      </c>
      <c r="AD36" s="15" t="inlineStr">
        <is>
          <t>Monday 28 September at 17:40</t>
        </is>
      </c>
      <c r="AE36" s="15" t="inlineStr">
        <is>
          <t>One-off</t>
        </is>
      </c>
      <c r="AF36" s="15" t="inlineStr">
        <is>
          <t>5-a-side</t>
        </is>
      </c>
      <c r="AG36" s="17">
        <f>IF(Offer!$D$5="","",Offer!$D$5)</f>
        <v/>
      </c>
      <c r="AH36" s="15" t="inlineStr">
        <is>
          <t>Announced a partnership with LSEG on 2 December 2025 to deliver precision timing to financial markets</t>
        </is>
      </c>
      <c r="AI36" s="15" t="inlineStr">
        <is>
          <t>https://www.hoptroff.com/news/hoptroff-lseg-partnership-precision-timing</t>
        </is>
      </c>
      <c r="AJ36" s="15" t="inlineStr">
        <is>
          <t>milestone</t>
        </is>
      </c>
      <c r="AK36" s="15" t="inlineStr">
        <is>
          <t>medium</t>
        </is>
      </c>
      <c r="AL36" s="15" t="inlineStr">
        <is>
          <t>office_street in the input was truncated ('3RD FLOOR, 86'); confirmed full address as 86-90 Paul Street, EC2A 4NE via the site's contact footer.</t>
        </is>
      </c>
      <c r="AM36" s="18">
        <f>IF(V36&lt;&gt;"",V36,S36)</f>
        <v/>
      </c>
      <c r="AN36" s="18">
        <f>IF(AG36="","","10 min from Paul Street: a weekly five-a-side")</f>
        <v/>
      </c>
      <c r="AO36" s="19" t="inlineStr">
        <is>
          <t>Hi Tyler,
Since the LSEG partnership landed in December, it sounds like the Hoptroff team has had plenty to celebrate — a five-a-side might be a good excuse for another one. We've got a pitch at Powerleague Shoreditch, a 10-minute walk from Paul Street, with Monday 28 September at 17:40 open (or 19:40), and it can turn into your regular weekly game. It's {PRICE} a player, and we book the pitch and handle sign-ups and payments, so someone just shares one link with the team. Would your team be up for it?
Best,
Brian
FC Urban</t>
        </is>
      </c>
      <c r="AP36" s="19" t="inlineStr">
        <is>
          <t>Hi Tyler,
Following up on Monday 28 September at 17:40 (or 19:40) at Powerleague Shoreditch, 10 minutes from Paul Street. Still {PRICE} a player, we handle the pitch, sign-ups and payments. Shall I hold a slot for the team?
Best,
Brian</t>
        </is>
      </c>
      <c r="AQ36" s="20">
        <f>IF(OR(AG36="",AO36=""),"",SUBSTITUTE(AO36,"{PRICE}","£"&amp;IF(AG36=INT(AG36),TEXT(AG36,"0"),TEXT(AG36,"0.00"))))</f>
        <v/>
      </c>
      <c r="AR36" s="20">
        <f>IF(OR(AG36="",AP36=""),"",SUBSTITUTE(AP36,"{PRICE}","£"&amp;IF(AG36=INT(AG36),TEXT(AG36,"0"),TEXT(AG36,"0.00"))))</f>
        <v/>
      </c>
      <c r="AS36" s="15" t="inlineStr">
        <is>
          <t>pass</t>
        </is>
      </c>
      <c r="AT36" s="15" t="inlineStr">
        <is>
          <t>MX ok · mailbox not verified</t>
        </is>
      </c>
      <c r="AU36" s="15" t="n"/>
      <c r="AV36" s="18">
        <f>IF(AU36&lt;&gt;"","No – hold: "&amp;AU36,IF(AG36="","No – no confirmed London price per player",IF(AM36="","No – no email",IF(AO36="","No – no personalised email",IF(AS36&lt;&gt;"pass","No – suppressed","Yes")))))</f>
        <v/>
      </c>
      <c r="AX36" s="21" t="n"/>
      <c r="AY36" s="21" t="n"/>
    </row>
    <row r="37">
      <c r="A37" s="15" t="n">
        <v>35</v>
      </c>
      <c r="B37" s="15" t="n">
        <v>1</v>
      </c>
      <c r="C37" s="15" t="inlineStr">
        <is>
          <t>Recruitment</t>
        </is>
      </c>
      <c r="D37" s="15" t="inlineStr">
        <is>
          <t>EC2A</t>
        </is>
      </c>
      <c r="E37" s="15" t="inlineStr">
        <is>
          <t>Stanton House Limited</t>
        </is>
      </c>
      <c r="F37" s="15" t="inlineStr">
        <is>
          <t>Stanton House</t>
        </is>
      </c>
      <c r="G37" s="16" t="inlineStr">
        <is>
          <t>https://www.stantonhouse.com</t>
        </is>
      </c>
      <c r="H37" s="15" t="n">
        <v>50</v>
      </c>
      <c r="I37" s="15" t="inlineStr">
        <is>
          <t>07394702</t>
        </is>
      </c>
      <c r="J37" s="16" t="inlineStr">
        <is>
          <t>Open</t>
        </is>
      </c>
      <c r="K37" s="15" t="inlineStr">
        <is>
          <t>Group</t>
        </is>
      </c>
      <c r="L37" s="15" t="inlineStr">
        <is>
          <t>01/10/2010</t>
        </is>
      </c>
      <c r="M37" s="15" t="inlineStr">
        <is>
          <t>2Nd Floor,, 25 Christopher Street, London</t>
        </is>
      </c>
      <c r="N37" s="15" t="inlineStr">
        <is>
          <t>EC2A 2BS</t>
        </is>
      </c>
      <c r="O37" s="15" t="inlineStr">
        <is>
          <t>No</t>
        </is>
      </c>
      <c r="P37" s="15" t="inlineStr">
        <is>
          <t>Melanie</t>
        </is>
      </c>
      <c r="Q37" s="15" t="inlineStr">
        <is>
          <t>Melanie Reid</t>
        </is>
      </c>
      <c r="R37" s="15" t="n"/>
      <c r="S37" s="15" t="inlineStr">
        <is>
          <t>melanie.reid@stantonhouse.com</t>
        </is>
      </c>
      <c r="T37" s="15" t="inlineStr">
        <is>
          <t>a/b named person</t>
        </is>
      </c>
      <c r="U37" s="16" t="inlineStr">
        <is>
          <t>https://www.stantonhouse.com/jobs/32939-Chief-Financial-Officer</t>
        </is>
      </c>
      <c r="X37" s="15" t="inlineStr">
        <is>
          <t>2ND FLOOR</t>
        </is>
      </c>
      <c r="Y37" s="15" t="inlineStr">
        <is>
          <t>EC2A 2BS</t>
        </is>
      </c>
      <c r="Z37" s="15" t="inlineStr">
        <is>
          <t>Website (2ND FLOOR)</t>
        </is>
      </c>
      <c r="AA37" s="15" t="inlineStr">
        <is>
          <t>Shoreditch Powerleague</t>
        </is>
      </c>
      <c r="AB37" s="15" t="n">
        <v>10</v>
      </c>
      <c r="AC37" s="15" t="inlineStr">
        <is>
          <t>Shoreditch Powerleague</t>
        </is>
      </c>
      <c r="AD37" s="15" t="inlineStr">
        <is>
          <t>Monday 28 September at 17:40</t>
        </is>
      </c>
      <c r="AE37" s="15" t="inlineStr">
        <is>
          <t>One-off</t>
        </is>
      </c>
      <c r="AF37" s="15" t="inlineStr">
        <is>
          <t>5-a-side</t>
        </is>
      </c>
      <c r="AG37" s="17">
        <f>IF(Offer!$D$5="","",Offer!$D$5)</f>
        <v/>
      </c>
      <c r="AH37" s="15" t="inlineStr">
        <is>
          <t>team has grown past 50 professionals since the consultancy started in 2010</t>
        </is>
      </c>
      <c r="AI37" s="16" t="inlineStr">
        <is>
          <t>https://www.stantonhouse.com/about-us</t>
        </is>
      </c>
      <c r="AJ37" s="15" t="inlineStr">
        <is>
          <t>team/hiring</t>
        </is>
      </c>
      <c r="AK37" s="15" t="inlineStr">
        <is>
          <t>medium</t>
        </is>
      </c>
      <c r="AL37" s="15" t="inlineStr">
        <is>
          <t>office_street given as '2ND FLOOR', which isn't a street name; contact page shows the real address as 25 Christopher Street, EC2A 2BS, so I used that instead.</t>
        </is>
      </c>
      <c r="AM37" s="18">
        <f>IF(V37&lt;&gt;"",V37,S37)</f>
        <v/>
      </c>
      <c r="AN37" s="18">
        <f>IF(AG37="","","A weekly 5-a-side near Christopher Street?")</f>
        <v/>
      </c>
      <c r="AO37" s="19" t="inlineStr">
        <is>
          <t>Hi Melanie,
Stanton House's team has grown past 50 professionals since you started the consultancy in 2010, which is a good size for a weekly game.
We've a 5-a-side pitch at Powerleague Shoreditch, Braithwaite Street, E1 6GJ, a 10-minute walk from your Christopher Street office, with slots free Monday 28 September at 17:40 or 19:40. It could become your regular weekly fixture.
It's {PRICE} a player, and we book the pitch and handle sign-ups and payments, so someone just shares one link with the team.
Would your team be up for it?
Best,
Brian
FC Urban</t>
        </is>
      </c>
      <c r="AP37" s="19" t="inlineStr">
        <is>
          <t>Hi Melanie,
Following up on the 5-a-side at Powerleague Shoreditch. Monday 28 September at 17:40 or 19:40 is still open, or Thursday 1 October at 18:20. It's {PRICE} a player, one link for the team, and we sort the rest.
Best,
Brian
FC Urban</t>
        </is>
      </c>
      <c r="AQ37" s="20">
        <f>IF(OR(AG37="",AO37=""),"",SUBSTITUTE(AO37,"{PRICE}","£"&amp;IF(AG37=INT(AG37),TEXT(AG37,"0"),TEXT(AG37,"0.00"))))</f>
        <v/>
      </c>
      <c r="AR37" s="20">
        <f>IF(OR(AG37="",AP37=""),"",SUBSTITUTE(AP37,"{PRICE}","£"&amp;IF(AG37=INT(AG37),TEXT(AG37,"0"),TEXT(AG37,"0.00"))))</f>
        <v/>
      </c>
      <c r="AS37" s="15" t="inlineStr">
        <is>
          <t>pass</t>
        </is>
      </c>
      <c r="AT37" s="15" t="inlineStr">
        <is>
          <t>MX ok · mailbox not verified</t>
        </is>
      </c>
      <c r="AU37" s="15" t="n"/>
      <c r="AV37" s="18">
        <f>IF(AU37&lt;&gt;"","No – hold: "&amp;AU37,IF(AG37="","No – no confirmed London price per player",IF(AM37="","No – no email",IF(AO37="","No – no personalised email",IF(AS37&lt;&gt;"pass","No – suppressed","Yes")))))</f>
        <v/>
      </c>
      <c r="AX37" s="21" t="n"/>
      <c r="AY37" s="21" t="n"/>
    </row>
    <row r="38">
      <c r="A38" s="15" t="n">
        <v>36</v>
      </c>
      <c r="B38" s="15" t="n">
        <v>1</v>
      </c>
      <c r="C38" s="15" t="inlineStr">
        <is>
          <t>Tech / software</t>
        </is>
      </c>
      <c r="D38" s="15" t="inlineStr">
        <is>
          <t>EC3A</t>
        </is>
      </c>
      <c r="E38" s="15" t="inlineStr">
        <is>
          <t>Travelfusion Limited</t>
        </is>
      </c>
      <c r="F38" s="15" t="inlineStr">
        <is>
          <t>Travelfusion</t>
        </is>
      </c>
      <c r="G38" s="16" t="inlineStr">
        <is>
          <t>https://corporate.travelfusion.com</t>
        </is>
      </c>
      <c r="H38" s="15" t="inlineStr">
        <is>
          <t>Not stated</t>
        </is>
      </c>
      <c r="I38" s="15" t="inlineStr">
        <is>
          <t>03880175</t>
        </is>
      </c>
      <c r="J38" s="16" t="inlineStr">
        <is>
          <t>Open</t>
        </is>
      </c>
      <c r="K38" s="15" t="inlineStr">
        <is>
          <t>Full</t>
        </is>
      </c>
      <c r="L38" s="15" t="inlineStr">
        <is>
          <t>16/11/1999</t>
        </is>
      </c>
      <c r="M38" s="15" t="inlineStr">
        <is>
          <t>70 St Mary Axe, London</t>
        </is>
      </c>
      <c r="N38" s="15" t="inlineStr">
        <is>
          <t>EC3A 8BE</t>
        </is>
      </c>
      <c r="O38" s="15" t="inlineStr">
        <is>
          <t>No</t>
        </is>
      </c>
      <c r="P38" s="15" t="n"/>
      <c r="Q38" s="15" t="n"/>
      <c r="R38" s="15" t="n"/>
      <c r="S38" s="15" t="inlineStr">
        <is>
          <t>hr@travelfusion.com</t>
        </is>
      </c>
      <c r="T38" s="15" t="inlineStr">
        <is>
          <t>a/b named person</t>
        </is>
      </c>
      <c r="U38" s="16" t="inlineStr">
        <is>
          <t>https://corporate.travelfusion.com/company/contact-us</t>
        </is>
      </c>
      <c r="X38" s="15" t="inlineStr">
        <is>
          <t>70 St Mary Axe</t>
        </is>
      </c>
      <c r="Y38" s="15" t="inlineStr">
        <is>
          <t>EC3A 8BE</t>
        </is>
      </c>
      <c r="Z38" s="15" t="inlineStr">
        <is>
          <t>Website (70 St Mary Axe)</t>
        </is>
      </c>
      <c r="AA38" s="15" t="inlineStr">
        <is>
          <t>Shoreditch Powerleague</t>
        </is>
      </c>
      <c r="AB38" s="15" t="n">
        <v>15</v>
      </c>
      <c r="AC38" s="15" t="inlineStr">
        <is>
          <t>Shoreditch Powerleague</t>
        </is>
      </c>
      <c r="AD38" s="15" t="inlineStr">
        <is>
          <t>Monday 28 September at 17:40</t>
        </is>
      </c>
      <c r="AE38" s="15" t="inlineStr">
        <is>
          <t>One-off</t>
        </is>
      </c>
      <c r="AF38" s="15" t="inlineStr">
        <is>
          <t>5-a-side</t>
        </is>
      </c>
      <c r="AG38" s="17">
        <f>IF(Offer!$D$5="","",Offer!$D$5)</f>
        <v/>
      </c>
      <c r="AH38" s="15" t="inlineStr">
        <is>
          <t>careers page promises a 'comfortable and friendly work environment' with flexible hours</t>
        </is>
      </c>
      <c r="AI38" s="15" t="inlineStr">
        <is>
          <t>https://corporate.travelfusion.com/company/careers</t>
        </is>
      </c>
      <c r="AJ38" s="15" t="inlineStr">
        <is>
          <t>culture/sport</t>
        </is>
      </c>
      <c r="AK38" s="15" t="inlineStr">
        <is>
          <t>medium</t>
        </is>
      </c>
      <c r="AL38" s="15" t="inlineStr">
        <is>
          <t>No named contact was given, send_to is the generic hr@travelfusion.com inbox, so this may land with HR/recruitment rather than a decision-maker; worth checking.</t>
        </is>
      </c>
      <c r="AM38" s="18">
        <f>IF(V38&lt;&gt;"",V38,S38)</f>
        <v/>
      </c>
      <c r="AN38" s="18">
        <f>IF(AG38="","","5-a-side near St Mary Axe for Travelfusion?")</f>
        <v/>
      </c>
      <c r="AO38" s="19" t="inlineStr">
        <is>
          <t>Hi Travelfusion team,
Your careers page promises a comfortable, friendly work environment with flexible hours, which sounds like a team that would enjoy playing together after work.
We've a 5-a-side pitch at Powerleague Shoreditch, Braithwaite Street, E1 6GJ, a 15-minute walk from 70 St Mary Axe, with slots free Monday 28 September at 17:40 or 19:40. It could become your regular weekly game.
It's {PRICE} a player, and we book the pitch and handle sign-ups and payments, so someone just shares one link with the team.
Would your team be up for it?
Best,
Brian
FC Urban</t>
        </is>
      </c>
      <c r="AP38" s="19" t="inlineStr">
        <is>
          <t>Hi Travelfusion team,
Following up on the 5-a-side at Powerleague Shoreditch. Monday 28 September at 17:40 or 19:40 is still open, or Thursday 1 October at 18:20. It's {PRICE} a player, one link for the team, and we handle the rest.
Best,
Brian
FC Urban</t>
        </is>
      </c>
      <c r="AQ38" s="20">
        <f>IF(OR(AG38="",AO38=""),"",SUBSTITUTE(AO38,"{PRICE}","£"&amp;IF(AG38=INT(AG38),TEXT(AG38,"0"),TEXT(AG38,"0.00"))))</f>
        <v/>
      </c>
      <c r="AR38" s="20">
        <f>IF(OR(AG38="",AP38=""),"",SUBSTITUTE(AP38,"{PRICE}","£"&amp;IF(AG38=INT(AG38),TEXT(AG38,"0"),TEXT(AG38,"0.00"))))</f>
        <v/>
      </c>
      <c r="AS38" s="15" t="inlineStr">
        <is>
          <t>pass</t>
        </is>
      </c>
      <c r="AT38" s="15" t="inlineStr">
        <is>
          <t>MX ok · mailbox not verified</t>
        </is>
      </c>
      <c r="AU38" s="15" t="n"/>
      <c r="AV38" s="18">
        <f>IF(AU38&lt;&gt;"","No – hold: "&amp;AU38,IF(AG38="","No – no confirmed London price per player",IF(AM38="","No – no email",IF(AO38="","No – no personalised email",IF(AS38&lt;&gt;"pass","No – suppressed","Yes")))))</f>
        <v/>
      </c>
      <c r="AX38" s="21" t="n"/>
      <c r="AY38" s="21" t="n"/>
    </row>
    <row r="39">
      <c r="A39" s="15" t="n">
        <v>37</v>
      </c>
      <c r="B39" s="15" t="n">
        <v>2</v>
      </c>
      <c r="C39" s="15" t="inlineStr">
        <is>
          <t>Recruitment</t>
        </is>
      </c>
      <c r="D39" s="15" t="inlineStr">
        <is>
          <t>EC2A</t>
        </is>
      </c>
      <c r="E39" s="15" t="inlineStr">
        <is>
          <t>Simply Education Limited</t>
        </is>
      </c>
      <c r="F39" s="15" t="inlineStr">
        <is>
          <t>Simply Education</t>
        </is>
      </c>
      <c r="G39" s="16" t="inlineStr">
        <is>
          <t>https://simplyeducation.co.uk</t>
        </is>
      </c>
      <c r="H39" s="15" t="inlineStr">
        <is>
          <t>Not stated</t>
        </is>
      </c>
      <c r="I39" s="15" t="inlineStr">
        <is>
          <t>05532608</t>
        </is>
      </c>
      <c r="J39" s="16" t="inlineStr">
        <is>
          <t>Open</t>
        </is>
      </c>
      <c r="K39" s="15" t="inlineStr">
        <is>
          <t>Full</t>
        </is>
      </c>
      <c r="L39" s="15" t="inlineStr">
        <is>
          <t>10/08/2005</t>
        </is>
      </c>
      <c r="M39" s="15" t="inlineStr">
        <is>
          <t>66 Paul Street, London</t>
        </is>
      </c>
      <c r="N39" s="15" t="inlineStr">
        <is>
          <t>EC2A 4NA</t>
        </is>
      </c>
      <c r="O39" s="15" t="inlineStr">
        <is>
          <t>No</t>
        </is>
      </c>
      <c r="P39" s="15" t="inlineStr">
        <is>
          <t>Hollie</t>
        </is>
      </c>
      <c r="Q39" s="15" t="inlineStr">
        <is>
          <t>Hollie Murtagh</t>
        </is>
      </c>
      <c r="R39" s="15" t="inlineStr">
        <is>
          <t>Managing Director</t>
        </is>
      </c>
      <c r="S39" s="15" t="inlineStr">
        <is>
          <t>info@simplyeducation.co.uk</t>
        </is>
      </c>
      <c r="T39" s="15" t="inlineStr">
        <is>
          <t>a/b named person via general inbox</t>
        </is>
      </c>
      <c r="U39" s="16" t="inlineStr">
        <is>
          <t>https://simplyeducation.co.uk/</t>
        </is>
      </c>
      <c r="X39" s="15" t="inlineStr">
        <is>
          <t>66 Paul Street</t>
        </is>
      </c>
      <c r="Y39" s="15" t="inlineStr">
        <is>
          <t>EC2A 4NA</t>
        </is>
      </c>
      <c r="Z39" s="15" t="inlineStr">
        <is>
          <t>Website (66 Paul Street)</t>
        </is>
      </c>
      <c r="AA39" s="15" t="inlineStr">
        <is>
          <t>Shoreditch Powerleague</t>
        </is>
      </c>
      <c r="AB39" s="15" t="n">
        <v>10</v>
      </c>
      <c r="AC39" s="15" t="inlineStr">
        <is>
          <t>Shoreditch Powerleague</t>
        </is>
      </c>
      <c r="AD39" s="15" t="inlineStr">
        <is>
          <t>Monday 28 September at 17:40</t>
        </is>
      </c>
      <c r="AE39" s="15" t="inlineStr">
        <is>
          <t>One-off</t>
        </is>
      </c>
      <c r="AF39" s="15" t="inlineStr">
        <is>
          <t>5-a-side</t>
        </is>
      </c>
      <c r="AG39" s="17">
        <f>IF(Offer!$D$5="","",Offer!$D$5)</f>
        <v/>
      </c>
      <c r="AH39" s="15" t="inlineStr">
        <is>
          <t>over 20 years placing teaching staff from 6 offices covering 18 counties across England</t>
        </is>
      </c>
      <c r="AI39" s="15" t="inlineStr">
        <is>
          <t>https://simplyeducation.co.uk/about-us</t>
        </is>
      </c>
      <c r="AJ39" s="15" t="inlineStr">
        <is>
          <t>what they do</t>
        </is>
      </c>
      <c r="AK39" s="15" t="inlineStr">
        <is>
          <t>medium</t>
        </is>
      </c>
      <c r="AL39" s="15" t="n"/>
      <c r="AM39" s="18">
        <f>IF(V39&lt;&gt;"",V39,S39)</f>
        <v/>
      </c>
      <c r="AN39" s="18">
        <f>IF(AG39="","","Weekly football, 10 minutes from Paul Street")</f>
        <v/>
      </c>
      <c r="AO39" s="19" t="inlineStr">
        <is>
          <t>Hi Hollie,
Running recruitment across 18 counties from 6 offices takes a lot of running around -- a weekly game near base might be a nice change of pace.
We've a 5-a-side pitch at Powerleague Shoreditch, Braithwaite Street, a 10-minute walk from Paul Street. There's a slot free Monday 28 September at 17:40, or 19:40, and it could become your regular weekly game.
It's {PRICE} a player, and we book the pitch and handle sign-ups and payments, so someone just shares one link with the team.
Would your team be up for it?
Best,
Brian
FC Urban</t>
        </is>
      </c>
      <c r="AP39" s="19" t="inlineStr">
        <is>
          <t>Hi Hollie,
Following up on the five-a-side slot at Powerleague Shoreditch, 10 minutes from Paul Street. Thursday 1 October at 18:20 is still open. It's {PRICE} a player, and we handle the booking and payments, so it's one link for the team. Worth a try?
Best,
Brian
FC Urban</t>
        </is>
      </c>
      <c r="AQ39" s="20">
        <f>IF(OR(AG39="",AO39=""),"",SUBSTITUTE(AO39,"{PRICE}","£"&amp;IF(AG39=INT(AG39),TEXT(AG39,"0"),TEXT(AG39,"0.00"))))</f>
        <v/>
      </c>
      <c r="AR39" s="20">
        <f>IF(OR(AG39="",AP39=""),"",SUBSTITUTE(AP39,"{PRICE}","£"&amp;IF(AG39=INT(AG39),TEXT(AG39,"0"),TEXT(AG39,"0.00"))))</f>
        <v/>
      </c>
      <c r="AS39" s="15" t="inlineStr">
        <is>
          <t>pass</t>
        </is>
      </c>
      <c r="AT39" s="15" t="inlineStr">
        <is>
          <t>MX ok · mailbox not verified</t>
        </is>
      </c>
      <c r="AU39" s="15" t="n"/>
      <c r="AV39" s="18">
        <f>IF(AU39&lt;&gt;"","No – hold: "&amp;AU39,IF(AG39="","No – no confirmed London price per player",IF(AM39="","No – no email",IF(AO39="","No – no personalised email",IF(AS39&lt;&gt;"pass","No – suppressed","Yes")))))</f>
        <v/>
      </c>
      <c r="AX39" s="21" t="n"/>
      <c r="AY39" s="21" t="n"/>
    </row>
    <row r="40">
      <c r="A40" s="15" t="n">
        <v>38</v>
      </c>
      <c r="B40" s="15" t="n">
        <v>2</v>
      </c>
      <c r="C40" s="15" t="inlineStr">
        <is>
          <t>Tech / software</t>
        </is>
      </c>
      <c r="D40" s="15" t="inlineStr">
        <is>
          <t>EC2A</t>
        </is>
      </c>
      <c r="E40" s="15" t="inlineStr">
        <is>
          <t>Ecodriver Ltd</t>
        </is>
      </c>
      <c r="F40" s="15" t="inlineStr">
        <is>
          <t>Ecodriver</t>
        </is>
      </c>
      <c r="G40" s="16" t="inlineStr">
        <is>
          <t>https://ecodriver.co.uk</t>
        </is>
      </c>
      <c r="H40" s="15" t="inlineStr">
        <is>
          <t>Not stated</t>
        </is>
      </c>
      <c r="I40" s="15" t="inlineStr">
        <is>
          <t>05258662</t>
        </is>
      </c>
      <c r="J40" s="16" t="inlineStr">
        <is>
          <t>Open</t>
        </is>
      </c>
      <c r="K40" s="15" t="inlineStr">
        <is>
          <t>Full</t>
        </is>
      </c>
      <c r="L40" s="15" t="inlineStr">
        <is>
          <t>13/10/2004</t>
        </is>
      </c>
      <c r="M40" s="15" t="inlineStr">
        <is>
          <t>10 Bonhill Street, London</t>
        </is>
      </c>
      <c r="N40" s="15" t="inlineStr">
        <is>
          <t>EC2A 4PE</t>
        </is>
      </c>
      <c r="O40" s="15" t="inlineStr">
        <is>
          <t>No</t>
        </is>
      </c>
      <c r="P40" s="15" t="inlineStr">
        <is>
          <t>Jamie</t>
        </is>
      </c>
      <c r="Q40" s="15" t="inlineStr">
        <is>
          <t>Jamie Finnan</t>
        </is>
      </c>
      <c r="R40" s="15" t="inlineStr">
        <is>
          <t>Managing Director</t>
        </is>
      </c>
      <c r="S40" s="15" t="inlineStr">
        <is>
          <t>info@ecodriver.co.uk</t>
        </is>
      </c>
      <c r="T40" s="15" t="inlineStr">
        <is>
          <t>a/b named person via general inbox</t>
        </is>
      </c>
      <c r="U40" s="16" t="inlineStr">
        <is>
          <t>https://ecodriver.co.uk/</t>
        </is>
      </c>
      <c r="X40" s="15" t="inlineStr">
        <is>
          <t>10 Bonhill Street</t>
        </is>
      </c>
      <c r="Y40" s="15" t="inlineStr">
        <is>
          <t>EC2A 4PE</t>
        </is>
      </c>
      <c r="Z40" s="15" t="inlineStr">
        <is>
          <t>Website (10 Bonhill Street)</t>
        </is>
      </c>
      <c r="AA40" s="15" t="inlineStr">
        <is>
          <t>Shoreditch Powerleague</t>
        </is>
      </c>
      <c r="AB40" s="15" t="n">
        <v>10</v>
      </c>
      <c r="AC40" s="15" t="inlineStr">
        <is>
          <t>Shoreditch Powerleague</t>
        </is>
      </c>
      <c r="AD40" s="15" t="inlineStr">
        <is>
          <t>Monday 28 September at 17:40</t>
        </is>
      </c>
      <c r="AE40" s="15" t="inlineStr">
        <is>
          <t>One-off</t>
        </is>
      </c>
      <c r="AF40" s="15" t="inlineStr">
        <is>
          <t>5-a-side</t>
        </is>
      </c>
      <c r="AG40" s="17">
        <f>IF(Offer!$D$5="","",Offer!$D$5)</f>
        <v/>
      </c>
      <c r="AH40" s="15" t="inlineStr">
        <is>
          <t>you built the first version of ecoDriver back in 2007 and won a Microsoft award for it</t>
        </is>
      </c>
      <c r="AI40" s="15" t="inlineStr">
        <is>
          <t>https://ecodriver.co.uk/about-us/</t>
        </is>
      </c>
      <c r="AJ40" s="15" t="inlineStr">
        <is>
          <t>milestone</t>
        </is>
      </c>
      <c r="AK40" s="15" t="inlineStr">
        <is>
          <t>medium</t>
        </is>
      </c>
      <c r="AL40" s="15" t="n"/>
      <c r="AM40" s="18">
        <f>IF(V40&lt;&gt;"",V40,S40)</f>
        <v/>
      </c>
      <c r="AN40" s="18">
        <f>IF(AG40="","","Football 10 minutes from Bonhill Street")</f>
        <v/>
      </c>
      <c r="AO40" s="19" t="inlineStr">
        <is>
          <t>Hi Jamie,
You've spent years helping organisations cut their carbon output, since building the first ecoDriver in 2007. A weekly game is a much simpler way to cut down on screen time.
We've a 5-a-side pitch at Powerleague Shoreditch, Braithwaite Street, a 10-minute walk from Bonhill Street. There's a slot free Monday 28 September at 17:40, or 19:40, and it could become your regular weekly game.
It's {PRICE} a player, and we book the pitch and handle sign-ups and payments, so someone just shares one link with the team.
Shall I hold Monday for you?
Best,
Brian
FC Urban</t>
        </is>
      </c>
      <c r="AP40" s="19" t="inlineStr">
        <is>
          <t>Hi Jamie,
Still holding the five-a-side slot at Powerleague Shoreditch, 10 minutes from Bonhill Street. Thursday 1 October at 18:20 is free. It's {PRICE} a player, and we handle the booking and payments, so it's one link for the team. Worth a go?
Best,
Brian
FC Urban</t>
        </is>
      </c>
      <c r="AQ40" s="20">
        <f>IF(OR(AG40="",AO40=""),"",SUBSTITUTE(AO40,"{PRICE}","£"&amp;IF(AG40=INT(AG40),TEXT(AG40,"0"),TEXT(AG40,"0.00"))))</f>
        <v/>
      </c>
      <c r="AR40" s="20">
        <f>IF(OR(AG40="",AP40=""),"",SUBSTITUTE(AP40,"{PRICE}","£"&amp;IF(AG40=INT(AG40),TEXT(AG40,"0"),TEXT(AG40,"0.00"))))</f>
        <v/>
      </c>
      <c r="AS40" s="15" t="inlineStr">
        <is>
          <t>pass</t>
        </is>
      </c>
      <c r="AT40" s="15" t="inlineStr">
        <is>
          <t>MX ok · mailbox not verified</t>
        </is>
      </c>
      <c r="AU40" s="15" t="n"/>
      <c r="AV40" s="18">
        <f>IF(AU40&lt;&gt;"","No – hold: "&amp;AU40,IF(AG40="","No – no confirmed London price per player",IF(AM40="","No – no email",IF(AO40="","No – no personalised email",IF(AS40&lt;&gt;"pass","No – suppressed","Yes")))))</f>
        <v/>
      </c>
      <c r="AX40" s="21" t="n"/>
      <c r="AY40" s="21" t="n"/>
    </row>
    <row r="41">
      <c r="A41" s="15" t="n">
        <v>39</v>
      </c>
      <c r="B41" s="15" t="n">
        <v>2</v>
      </c>
      <c r="C41" s="15" t="inlineStr">
        <is>
          <t>Tech / software</t>
        </is>
      </c>
      <c r="D41" s="15" t="inlineStr">
        <is>
          <t>E2</t>
        </is>
      </c>
      <c r="E41" s="15" t="inlineStr">
        <is>
          <t>Testingxperts Limited</t>
        </is>
      </c>
      <c r="F41" s="15" t="inlineStr">
        <is>
          <t>Testingxperts</t>
        </is>
      </c>
      <c r="G41" s="16" t="inlineStr">
        <is>
          <t>https://www.testingxperts.com</t>
        </is>
      </c>
      <c r="H41" s="15" t="inlineStr">
        <is>
          <t>Not stated</t>
        </is>
      </c>
      <c r="I41" s="15" t="inlineStr">
        <is>
          <t>10491678</t>
        </is>
      </c>
      <c r="J41" s="16" t="inlineStr">
        <is>
          <t>Open</t>
        </is>
      </c>
      <c r="K41" s="15" t="inlineStr">
        <is>
          <t>Group</t>
        </is>
      </c>
      <c r="L41" s="15" t="inlineStr">
        <is>
          <t>22/11/2016</t>
        </is>
      </c>
      <c r="M41" s="15" t="inlineStr">
        <is>
          <t>299A Bethnal Green Road, London</t>
        </is>
      </c>
      <c r="N41" s="15" t="inlineStr">
        <is>
          <t>E2 6AH</t>
        </is>
      </c>
      <c r="O41" s="15" t="inlineStr">
        <is>
          <t>No</t>
        </is>
      </c>
      <c r="P41" s="15" t="inlineStr">
        <is>
          <t>Manish</t>
        </is>
      </c>
      <c r="Q41" s="15" t="inlineStr">
        <is>
          <t>Manish Gupta</t>
        </is>
      </c>
      <c r="R41" s="15" t="inlineStr">
        <is>
          <t>CEO</t>
        </is>
      </c>
      <c r="S41" s="15" t="inlineStr">
        <is>
          <t>info@testingxperts.com</t>
        </is>
      </c>
      <c r="T41" s="15" t="inlineStr">
        <is>
          <t>a/b named person via general inbox</t>
        </is>
      </c>
      <c r="U41" s="16" t="inlineStr">
        <is>
          <t>https://www.testingxperts.com/</t>
        </is>
      </c>
      <c r="X41" s="15" t="n"/>
      <c r="Y41" s="15" t="inlineStr">
        <is>
          <t>E2 6AH</t>
        </is>
      </c>
      <c r="Z41" s="15" t="inlineStr">
        <is>
          <t>Website</t>
        </is>
      </c>
      <c r="AA41" s="15" t="inlineStr">
        <is>
          <t>Shoreditch Powerleague</t>
        </is>
      </c>
      <c r="AB41" s="15" t="n">
        <v>13</v>
      </c>
      <c r="AC41" s="15" t="inlineStr">
        <is>
          <t>Shoreditch Powerleague</t>
        </is>
      </c>
      <c r="AD41" s="15" t="inlineStr">
        <is>
          <t>Monday 28 September at 17:40</t>
        </is>
      </c>
      <c r="AE41" s="15" t="inlineStr">
        <is>
          <t>One-off</t>
        </is>
      </c>
      <c r="AF41" s="15" t="inlineStr">
        <is>
          <t>5-a-side</t>
        </is>
      </c>
      <c r="AG41" s="17">
        <f>IF(Offer!$D$5="","",Offer!$D$5)</f>
        <v/>
      </c>
      <c r="AH41" s="15" t="inlineStr">
        <is>
          <t>TestingXperts runs customised wellness programmes, saying staff well-being is core to who they are</t>
        </is>
      </c>
      <c r="AI41" s="16" t="inlineStr">
        <is>
          <t>https://www.testingxperts.com/careers/life-at-tx/</t>
        </is>
      </c>
      <c r="AJ41" s="15" t="inlineStr">
        <is>
          <t>culture/sport</t>
        </is>
      </c>
      <c r="AK41" s="15" t="inlineStr">
        <is>
          <t>medium</t>
        </is>
      </c>
      <c r="AL41" s="15" t="inlineStr">
        <is>
          <t>office_street was blank in the input, so subject/body use the E2 6AH postcode area instead of a street name. Hook found via the Life at Tx careers page, not in the supplied pages. Contact matches Manish Gupta, Founder &amp; CEO.</t>
        </is>
      </c>
      <c r="AM41" s="18">
        <f>IF(V41&lt;&gt;"",V41,S41)</f>
        <v/>
      </c>
      <c r="AN41" s="18">
        <f>IF(AG41="","","5-a-side near E2 6AH, good for team wellbeing")</f>
        <v/>
      </c>
      <c r="AO41" s="19" t="inlineStr">
        <is>
          <t>Hi Manish,
We noticed TestingXperts runs customised wellness programmes for the team, a weekly game is a nice way to put that into practice together. We've got a 5-a-side pitch at Powerleague Shoreditch, a 13-minute walk from your E2 6AH office, with a slot free Monday 28 September at 17:40, or 19:40 if evenings suit better. It could easily become a regular weekly fixture.
It's {PRICE} a player, and we book the pitch and handle sign-ups and payments, so someone just shares one link with the team.
Would your team be up for it?
Best,
Brian
FC Urban</t>
        </is>
      </c>
      <c r="AP41" s="19" t="inlineStr">
        <is>
          <t>Hi Manish,
Following up on the Shoreditch pitch. Monday's slot has gone, but Thursday 1 October at 18:20 is still open, 13 minutes from your E2 6AH office. It's {PRICE} a player, and we handle booking and payments. Good fit alongside your wellness programmes, shall I hold it?
Best,
Brian
FC Urban</t>
        </is>
      </c>
      <c r="AQ41" s="20">
        <f>IF(OR(AG41="",AO41=""),"",SUBSTITUTE(AO41,"{PRICE}","£"&amp;IF(AG41=INT(AG41),TEXT(AG41,"0"),TEXT(AG41,"0.00"))))</f>
        <v/>
      </c>
      <c r="AR41" s="20">
        <f>IF(OR(AG41="",AP41=""),"",SUBSTITUTE(AP41,"{PRICE}","£"&amp;IF(AG41=INT(AG41),TEXT(AG41,"0"),TEXT(AG41,"0.00"))))</f>
        <v/>
      </c>
      <c r="AS41" s="15" t="inlineStr">
        <is>
          <t>pass</t>
        </is>
      </c>
      <c r="AT41" s="15" t="inlineStr">
        <is>
          <t>MX ok · mailbox not verified</t>
        </is>
      </c>
      <c r="AU41" s="15" t="n"/>
      <c r="AV41" s="18">
        <f>IF(AU41&lt;&gt;"","No – hold: "&amp;AU41,IF(AG41="","No – no confirmed London price per player",IF(AM41="","No – no email",IF(AO41="","No – no personalised email",IF(AS41&lt;&gt;"pass","No – suppressed","Yes")))))</f>
        <v/>
      </c>
      <c r="AX41" s="21" t="n"/>
      <c r="AY41" s="21" t="n"/>
    </row>
    <row r="42">
      <c r="A42" s="15" t="n">
        <v>40</v>
      </c>
      <c r="B42" s="15" t="n">
        <v>2</v>
      </c>
      <c r="C42" s="15" t="inlineStr">
        <is>
          <t>Tech / software</t>
        </is>
      </c>
      <c r="D42" s="15" t="inlineStr">
        <is>
          <t>EC2M</t>
        </is>
      </c>
      <c r="E42" s="15" t="inlineStr">
        <is>
          <t>Fenergo UK Limited</t>
        </is>
      </c>
      <c r="F42" s="15" t="inlineStr">
        <is>
          <t>Fenergo</t>
        </is>
      </c>
      <c r="G42" s="16" t="inlineStr">
        <is>
          <t>https://www.fenergo.com</t>
        </is>
      </c>
      <c r="H42" s="15" t="inlineStr">
        <is>
          <t>Not stated</t>
        </is>
      </c>
      <c r="I42" s="15" t="inlineStr">
        <is>
          <t>10267569</t>
        </is>
      </c>
      <c r="J42" s="16" t="inlineStr">
        <is>
          <t>Open</t>
        </is>
      </c>
      <c r="K42" s="15" t="inlineStr">
        <is>
          <t>Full</t>
        </is>
      </c>
      <c r="L42" s="15" t="inlineStr">
        <is>
          <t>07/07/2016</t>
        </is>
      </c>
      <c r="M42" s="15" t="inlineStr">
        <is>
          <t>Floor One, 24 King William Street, London</t>
        </is>
      </c>
      <c r="N42" s="15" t="inlineStr">
        <is>
          <t>EC4R 9AT</t>
        </is>
      </c>
      <c r="O42" s="15" t="inlineStr">
        <is>
          <t>No</t>
        </is>
      </c>
      <c r="P42" s="15" t="inlineStr">
        <is>
          <t>Marc</t>
        </is>
      </c>
      <c r="Q42" s="15" t="inlineStr">
        <is>
          <t>Marc Murphy</t>
        </is>
      </c>
      <c r="R42" s="15" t="inlineStr">
        <is>
          <t>CEO &amp; Founder</t>
        </is>
      </c>
      <c r="S42" s="15" t="inlineStr">
        <is>
          <t>hello@fenergo.com</t>
        </is>
      </c>
      <c r="T42" s="15" t="inlineStr">
        <is>
          <t>a/b named person via general inbox</t>
        </is>
      </c>
      <c r="U42" s="16" t="inlineStr">
        <is>
          <t>https://www.fenergo.com/</t>
        </is>
      </c>
      <c r="X42" s="15" t="n"/>
      <c r="Y42" s="15" t="inlineStr">
        <is>
          <t>EC2M 7LS</t>
        </is>
      </c>
      <c r="Z42" s="15" t="inlineStr">
        <is>
          <t>Website</t>
        </is>
      </c>
      <c r="AA42" s="15" t="inlineStr">
        <is>
          <t>Shoreditch Powerleague</t>
        </is>
      </c>
      <c r="AB42" s="15" t="n">
        <v>14</v>
      </c>
      <c r="AC42" s="15" t="inlineStr">
        <is>
          <t>Shoreditch Powerleague</t>
        </is>
      </c>
      <c r="AD42" s="15" t="inlineStr">
        <is>
          <t>Monday 28 September at 17:40</t>
        </is>
      </c>
      <c r="AE42" s="15" t="inlineStr">
        <is>
          <t>One-off</t>
        </is>
      </c>
      <c r="AF42" s="15" t="inlineStr">
        <is>
          <t>5-a-side</t>
        </is>
      </c>
      <c r="AG42" s="17">
        <f>IF(Offer!$D$5="","",Offer!$D$5)</f>
        <v/>
      </c>
      <c r="AH42" s="15" t="inlineStr">
        <is>
          <t>Fenergo won three category awards in the Chartis RiskTech100 2027 rankings</t>
        </is>
      </c>
      <c r="AI42" s="15" t="inlineStr">
        <is>
          <t>https://www.fenergo.com/newsroom</t>
        </is>
      </c>
      <c r="AJ42" s="15" t="inlineStr">
        <is>
          <t>milestone</t>
        </is>
      </c>
      <c r="AK42" s="15" t="inlineStr">
        <is>
          <t>medium</t>
        </is>
      </c>
      <c r="AL42" s="15" t="inlineStr">
        <is>
          <t>office_street was blank in the input, so subject/body use the EC2M 7LS postcode area. Award found via the newsroom page, not in the supplied pages. Contact matches Marc Murphy, CEO &amp; Founder, from the supplied leadership page.</t>
        </is>
      </c>
      <c r="AM42" s="18">
        <f>IF(V42&lt;&gt;"",V42,S42)</f>
        <v/>
      </c>
      <c r="AN42" s="18">
        <f>IF(AG42="","","Fenergo's RiskTech100 win, and a 5-a-side pitch")</f>
        <v/>
      </c>
      <c r="AO42" s="19" t="inlineStr">
        <is>
          <t>Hi Marc,
Congratulations on the three category wins in the Chartis RiskTech100 2027 rankings, good moment to get the team together. We've got a 5-a-side pitch at Powerleague Shoreditch, a 14-minute walk from your EC2M 7LS office, with a slot free Monday 28 September at 17:40, or 19:40 if evenings suit better. It could become a regular weekly fixture for Fenergo.
It's {PRICE} a player, and we book the pitch and handle sign-ups and payments, so someone just shares one link with the team.
Would your team be up for it?
Best,
Brian
FC Urban</t>
        </is>
      </c>
      <c r="AP42" s="19" t="inlineStr">
        <is>
          <t>Hi Marc,
Following up on the Shoreditch pitch. Monday's slot has gone, but Thursday 1 October at 18:20 is still free, 14 minutes from EC2M 7LS. It's {PRICE} a player, and we handle booking and payments. Good way to celebrate the RiskTech100 wins, shall I hold it?
Best,
Brian
FC Urban</t>
        </is>
      </c>
      <c r="AQ42" s="20">
        <f>IF(OR(AG42="",AO42=""),"",SUBSTITUTE(AO42,"{PRICE}","£"&amp;IF(AG42=INT(AG42),TEXT(AG42,"0"),TEXT(AG42,"0.00"))))</f>
        <v/>
      </c>
      <c r="AR42" s="20">
        <f>IF(OR(AG42="",AP42=""),"",SUBSTITUTE(AP42,"{PRICE}","£"&amp;IF(AG42=INT(AG42),TEXT(AG42,"0"),TEXT(AG42,"0.00"))))</f>
        <v/>
      </c>
      <c r="AS42" s="15" t="inlineStr">
        <is>
          <t>pass</t>
        </is>
      </c>
      <c r="AT42" s="15" t="inlineStr">
        <is>
          <t>MX ok · mailbox not verified</t>
        </is>
      </c>
      <c r="AU42" s="15" t="n"/>
      <c r="AV42" s="18">
        <f>IF(AU42&lt;&gt;"","No – hold: "&amp;AU42,IF(AG42="","No – no confirmed London price per player",IF(AM42="","No – no email",IF(AO42="","No – no personalised email",IF(AS42&lt;&gt;"pass","No – suppressed","Yes")))))</f>
        <v/>
      </c>
      <c r="AX42" s="21" t="n"/>
      <c r="AY42" s="21" t="n"/>
    </row>
    <row r="43">
      <c r="A43" s="15" t="n">
        <v>41</v>
      </c>
      <c r="B43" s="15" t="n">
        <v>2</v>
      </c>
      <c r="C43" s="15" t="inlineStr">
        <is>
          <t>Architecture</t>
        </is>
      </c>
      <c r="D43" s="15" t="inlineStr">
        <is>
          <t>EC1R</t>
        </is>
      </c>
      <c r="E43" s="15" t="inlineStr">
        <is>
          <t>Fluence Energy UK Limited</t>
        </is>
      </c>
      <c r="F43" s="15" t="inlineStr">
        <is>
          <t>Fluence Energy</t>
        </is>
      </c>
      <c r="G43" s="16" t="inlineStr">
        <is>
          <t>https://fluenceenergy.com</t>
        </is>
      </c>
      <c r="H43" s="15" t="inlineStr">
        <is>
          <t>Not stated</t>
        </is>
      </c>
      <c r="I43" s="15" t="inlineStr">
        <is>
          <t>14401806</t>
        </is>
      </c>
      <c r="J43" s="16" t="inlineStr">
        <is>
          <t>Open</t>
        </is>
      </c>
      <c r="K43" s="15" t="inlineStr">
        <is>
          <t>Full</t>
        </is>
      </c>
      <c r="L43" s="15" t="inlineStr">
        <is>
          <t>06/10/2022</t>
        </is>
      </c>
      <c r="M43" s="15" t="inlineStr">
        <is>
          <t>Unit 180, 3Rd Floor Exmouth House 3/11 Pine Street, Farringdon, London</t>
        </is>
      </c>
      <c r="N43" s="15" t="inlineStr">
        <is>
          <t>EC1R 0JH</t>
        </is>
      </c>
      <c r="O43" s="15" t="inlineStr">
        <is>
          <t>No</t>
        </is>
      </c>
      <c r="P43" s="15" t="inlineStr">
        <is>
          <t>Julian</t>
        </is>
      </c>
      <c r="Q43" s="15" t="inlineStr">
        <is>
          <t>Julian Nebreda</t>
        </is>
      </c>
      <c r="R43" s="15" t="inlineStr">
        <is>
          <t>Chief Executive Officer</t>
        </is>
      </c>
      <c r="S43" s="15" t="inlineStr">
        <is>
          <t>branding@fluenceenergy.com</t>
        </is>
      </c>
      <c r="T43" s="15" t="inlineStr">
        <is>
          <t>a/b named person via general inbox</t>
        </is>
      </c>
      <c r="U43" s="16" t="inlineStr">
        <is>
          <t>https://fluenceenergy.com/about/media-room/</t>
        </is>
      </c>
      <c r="X43" s="15" t="inlineStr">
        <is>
          <t>Unit 180, 3rd Floor Exmouth House 3/11 Pine Street</t>
        </is>
      </c>
      <c r="Y43" s="15" t="inlineStr">
        <is>
          <t>EC1R 0JH</t>
        </is>
      </c>
      <c r="Z43" s="15" t="inlineStr">
        <is>
          <t>Website (Unit 180, 3rd Floor Exmouth House 3/11 Pine Street)</t>
        </is>
      </c>
      <c r="AA43" s="15" t="inlineStr">
        <is>
          <t>Old St - Moreland Primary School</t>
        </is>
      </c>
      <c r="AB43" s="15" t="n">
        <v>14</v>
      </c>
      <c r="AC43" s="15" t="inlineStr">
        <is>
          <t>Old St - Moreland Primary School</t>
        </is>
      </c>
      <c r="AD43" s="15" t="inlineStr">
        <is>
          <t>Monday 12 October at 18:00</t>
        </is>
      </c>
      <c r="AE43" s="15" t="inlineStr">
        <is>
          <t>One-off</t>
        </is>
      </c>
      <c r="AF43" s="15" t="inlineStr">
        <is>
          <t>6-a-side</t>
        </is>
      </c>
      <c r="AG43" s="17">
        <f>IF(Offer!$D$5="","",Offer!$D$5)</f>
        <v/>
      </c>
      <c r="AH43" s="15" t="inlineStr">
        <is>
          <t>builds battery storage technology powering the clean energy transition</t>
        </is>
      </c>
      <c r="AI43" s="15" t="inlineStr">
        <is>
          <t>https://fluenceenergy.com/about/our-story/</t>
        </is>
      </c>
      <c r="AJ43" s="15" t="inlineStr">
        <is>
          <t>what they do</t>
        </is>
      </c>
      <c r="AK43" s="15" t="inlineStr">
        <is>
          <t>medium</t>
        </is>
      </c>
      <c r="AL43" s="15" t="inlineStr">
        <is>
          <t>No genuinely personal/team-specific news found on the pages read (media room only had global financial/corporate press releases, e.g. revised FY2026 guidance — avoided as too formal/sensitive for a cold email). Used the plain 'what they do' hook instead. Also: contact is Julian Nebreda, the GLOBAL CEO of Fluence (not a London-office contact), but send_to is branding@fluenceenergy.com (a brand marketing inbox) — worth checking this is really the right person/inbox before sending.</t>
        </is>
      </c>
      <c r="AM43" s="18">
        <f>IF(V43&lt;&gt;"",V43,S43)</f>
        <v/>
      </c>
      <c r="AN43" s="18">
        <f>IF(AG43="","","A weekly 6-a-side, 14 min from Pine Street")</f>
        <v/>
      </c>
      <c r="AO43" s="19" t="inlineStr">
        <is>
          <t>Hi Julian,
Building the battery storage technology that's helping power the clean energy transition is demanding work — the kind of team that could use a regular outlet together. We've got a floodlit 3G pitch at Moreland School, Gard Street, EC1V 8DW, about a 14-minute walk from your Pine Street office. There's a slot open Monday 12 October at 18:00 (6-a-side), or 19:00 if that suits better, and it could easily become your weekly game. It's {PRICE} a player, and we book the pitch and handle sign-ups and payments, so someone just shares one link with the team. Shall I hold the Monday slot for you?
Best,
Brian
FC Urban</t>
        </is>
      </c>
      <c r="AP43" s="19" t="inlineStr">
        <is>
          <t>Hi Julian,
Just following up on the 6-a-side slot at Moreland School — Monday 12 October at 18:00 is still open, or 19:00 works too. It's {PRICE} a player and easy to set up as a regular fixture; we handle the booking and payments. Let me know if you'd like it held.
Best,
Brian
FC Urban</t>
        </is>
      </c>
      <c r="AQ43" s="20">
        <f>IF(OR(AG43="",AO43=""),"",SUBSTITUTE(AO43,"{PRICE}","£"&amp;IF(AG43=INT(AG43),TEXT(AG43,"0"),TEXT(AG43,"0.00"))))</f>
        <v/>
      </c>
      <c r="AR43" s="20">
        <f>IF(OR(AG43="",AP43=""),"",SUBSTITUTE(AP43,"{PRICE}","£"&amp;IF(AG43=INT(AG43),TEXT(AG43,"0"),TEXT(AG43,"0.00"))))</f>
        <v/>
      </c>
      <c r="AS43" s="15" t="inlineStr">
        <is>
          <t>pass</t>
        </is>
      </c>
      <c r="AT43" s="15" t="inlineStr">
        <is>
          <t>MX ok · mailbox not verified</t>
        </is>
      </c>
      <c r="AU43" s="15" t="n"/>
      <c r="AV43" s="18">
        <f>IF(AU43&lt;&gt;"","No – hold: "&amp;AU43,IF(AG43="","No – no confirmed London price per player",IF(AM43="","No – no email",IF(AO43="","No – no personalised email",IF(AS43&lt;&gt;"pass","No – suppressed","Yes")))))</f>
        <v/>
      </c>
      <c r="AX43" s="21" t="n"/>
      <c r="AY43" s="21" t="n"/>
    </row>
    <row r="44">
      <c r="A44" s="15" t="n">
        <v>42</v>
      </c>
      <c r="B44" s="15" t="n">
        <v>3</v>
      </c>
      <c r="C44" s="15" t="inlineStr">
        <is>
          <t>Tech / software</t>
        </is>
      </c>
      <c r="D44" s="15" t="inlineStr">
        <is>
          <t>E1</t>
        </is>
      </c>
      <c r="E44" s="15" t="inlineStr">
        <is>
          <t>Vendavo UK Limited</t>
        </is>
      </c>
      <c r="F44" s="15" t="inlineStr">
        <is>
          <t>Vendavo</t>
        </is>
      </c>
      <c r="G44" s="16" t="inlineStr">
        <is>
          <t>https://www.vendavo.com</t>
        </is>
      </c>
      <c r="H44" s="15" t="inlineStr">
        <is>
          <t>Not stated</t>
        </is>
      </c>
      <c r="I44" s="15" t="inlineStr">
        <is>
          <t>05724979</t>
        </is>
      </c>
      <c r="J44" s="16" t="inlineStr">
        <is>
          <t>Open</t>
        </is>
      </c>
      <c r="K44" s="15" t="inlineStr">
        <is>
          <t>Group</t>
        </is>
      </c>
      <c r="L44" s="15" t="inlineStr">
        <is>
          <t>28/02/2006</t>
        </is>
      </c>
      <c r="M44" s="15" t="inlineStr">
        <is>
          <t>2Nd Floor, 168 Shoreditch High Street, London</t>
        </is>
      </c>
      <c r="N44" s="15" t="inlineStr">
        <is>
          <t>E1 6RA</t>
        </is>
      </c>
      <c r="O44" s="15" t="inlineStr">
        <is>
          <t>No</t>
        </is>
      </c>
      <c r="P44" s="15" t="n"/>
      <c r="Q44" s="15" t="n"/>
      <c r="R44" s="15" t="n"/>
      <c r="S44" s="15" t="inlineStr">
        <is>
          <t>info@vendavo.com</t>
        </is>
      </c>
      <c r="T44" s="15" t="inlineStr">
        <is>
          <t>c general inbox</t>
        </is>
      </c>
      <c r="U44" s="16" t="inlineStr">
        <is>
          <t>https://www.vendavo.com/company/contact/</t>
        </is>
      </c>
      <c r="X44" s="15" t="n"/>
      <c r="Y44" s="15" t="inlineStr">
        <is>
          <t>E1 6RA</t>
        </is>
      </c>
      <c r="Z44" s="15" t="inlineStr">
        <is>
          <t>Registered office (no address on website)</t>
        </is>
      </c>
      <c r="AA44" s="15" t="inlineStr">
        <is>
          <t>Shoreditch Powerleague</t>
        </is>
      </c>
      <c r="AB44" s="15" t="n">
        <v>3</v>
      </c>
      <c r="AC44" s="15" t="inlineStr">
        <is>
          <t>Shoreditch Powerleague</t>
        </is>
      </c>
      <c r="AD44" s="15" t="inlineStr">
        <is>
          <t>Monday 28 September at 17:40</t>
        </is>
      </c>
      <c r="AE44" s="15" t="inlineStr">
        <is>
          <t>One-off</t>
        </is>
      </c>
      <c r="AF44" s="15" t="inlineStr">
        <is>
          <t>5-a-side</t>
        </is>
      </c>
      <c r="AG44" s="17">
        <f>IF(Offer!$D$5="","",Offer!$D$5)</f>
        <v/>
      </c>
      <c r="AH44" s="15" t="inlineStr">
        <is>
          <t>Vendavo agreed to acquire Model N's high-tech business unit in July 2026</t>
        </is>
      </c>
      <c r="AI44" s="15" t="inlineStr">
        <is>
          <t>https://www.vendavo.com/company/press/</t>
        </is>
      </c>
      <c r="AJ44" s="15" t="inlineStr">
        <is>
          <t>milestone</t>
        </is>
      </c>
      <c r="AK44" s="15" t="inlineStr">
        <is>
          <t>medium</t>
        </is>
      </c>
      <c r="AL44" s="15" t="inlineStr">
        <is>
          <t>No named contact given; sent to info@vendavo.com, which may be a general/support inbox — worth checking it reaches someone in the London office rather than the US HQ. The vendavo.com contact page lists Denver HQ plus Czech Republic and India offices only (no UK office mentioned), though office_postcode E1 6RA was given, so the London presence isn't confirmed on the website itself.</t>
        </is>
      </c>
      <c r="AM44" s="18">
        <f>IF(V44&lt;&gt;"",V44,S44)</f>
        <v/>
      </c>
      <c r="AN44" s="18">
        <f>IF(AG44="","","3 minutes from your office: weekly 5-a-side")</f>
        <v/>
      </c>
      <c r="AO44" s="19" t="inlineStr">
        <is>
          <t>Hi Vendavo team,
Saw the news about Vendavo's July acquisition of Model N's high-tech business unit — sounds like a busy stretch, and a regular game could be a good way for the team to unwind. We've got a 5-a-side pitch at Powerleague Shoreditch, Braithwaite Street, E1 6GJ, just a 3-minute walk from your office. There's a slot open Monday 28 September at 17:40, or 19:40 if that's easier, and it could become your weekly fixture. It's {PRICE} a player, and we book the pitch and handle sign-ups and payments, so someone just shares one link with the team. Would your team be up for it?
Best,
Brian
FC Urban</t>
        </is>
      </c>
      <c r="AP44" s="19" t="inlineStr">
        <is>
          <t>Hi Vendavo team,
Following up on the 5-a-side slot at Powerleague Shoreditch, just round the corner from you — Monday 28 September at 17:40 is still open, or Thursday 1 October at 18:20. It's {PRICE} a player; we handle the booking and payments. Let me know if you'd like it held.
Best,
Brian
FC Urban</t>
        </is>
      </c>
      <c r="AQ44" s="20">
        <f>IF(OR(AG44="",AO44=""),"",SUBSTITUTE(AO44,"{PRICE}","£"&amp;IF(AG44=INT(AG44),TEXT(AG44,"0"),TEXT(AG44,"0.00"))))</f>
        <v/>
      </c>
      <c r="AR44" s="20">
        <f>IF(OR(AG44="",AP44=""),"",SUBSTITUTE(AP44,"{PRICE}","£"&amp;IF(AG44=INT(AG44),TEXT(AG44,"0"),TEXT(AG44,"0.00"))))</f>
        <v/>
      </c>
      <c r="AS44" s="15" t="inlineStr">
        <is>
          <t>pass</t>
        </is>
      </c>
      <c r="AT44" s="15" t="inlineStr">
        <is>
          <t>MX ok · mailbox not verified</t>
        </is>
      </c>
      <c r="AU44" s="15" t="n"/>
      <c r="AV44" s="18">
        <f>IF(AU44&lt;&gt;"","No – hold: "&amp;AU44,IF(AG44="","No – no confirmed London price per player",IF(AM44="","No – no email",IF(AO44="","No – no personalised email",IF(AS44&lt;&gt;"pass","No – suppressed","Yes")))))</f>
        <v/>
      </c>
      <c r="AX44" s="21" t="n"/>
      <c r="AY44" s="21" t="n"/>
    </row>
    <row r="45">
      <c r="A45" s="15" t="n">
        <v>43</v>
      </c>
      <c r="B45" s="15" t="n">
        <v>3</v>
      </c>
      <c r="C45" s="15" t="inlineStr">
        <is>
          <t>Marketing / agency</t>
        </is>
      </c>
      <c r="D45" s="15" t="inlineStr">
        <is>
          <t>E1</t>
        </is>
      </c>
      <c r="E45" s="15" t="inlineStr">
        <is>
          <t>Whitepaperco Limited</t>
        </is>
      </c>
      <c r="F45" s="15" t="inlineStr">
        <is>
          <t>Whitepaperco</t>
        </is>
      </c>
      <c r="G45" s="16" t="inlineStr">
        <is>
          <t>https://www.whitepaperco.com</t>
        </is>
      </c>
      <c r="H45" s="15" t="inlineStr">
        <is>
          <t>Not stated</t>
        </is>
      </c>
      <c r="I45" s="15" t="inlineStr">
        <is>
          <t>09980890</t>
        </is>
      </c>
      <c r="J45" s="16" t="inlineStr">
        <is>
          <t>Open</t>
        </is>
      </c>
      <c r="K45" s="15" t="inlineStr">
        <is>
          <t>Medium</t>
        </is>
      </c>
      <c r="L45" s="15" t="inlineStr">
        <is>
          <t>01/02/2016</t>
        </is>
      </c>
      <c r="M45" s="15" t="inlineStr">
        <is>
          <t>Elder Studios, 4-6 Elder Street, London</t>
        </is>
      </c>
      <c r="N45" s="15" t="inlineStr">
        <is>
          <t>E1 6BT</t>
        </is>
      </c>
      <c r="O45" s="15" t="inlineStr">
        <is>
          <t>No</t>
        </is>
      </c>
      <c r="P45" s="15" t="n"/>
      <c r="Q45" s="15" t="n"/>
      <c r="R45" s="15" t="n"/>
      <c r="S45" s="15" t="inlineStr">
        <is>
          <t>hello@whitepaperco.com</t>
        </is>
      </c>
      <c r="T45" s="15" t="inlineStr">
        <is>
          <t>c general inbox</t>
        </is>
      </c>
      <c r="U45" s="16" t="inlineStr">
        <is>
          <t>https://www.whitepaperco.com/</t>
        </is>
      </c>
      <c r="X45" s="15" t="inlineStr">
        <is>
          <t>Elder Studios, 4-6 Elder Street</t>
        </is>
      </c>
      <c r="Y45" s="15" t="inlineStr">
        <is>
          <t>E1 6BT</t>
        </is>
      </c>
      <c r="Z45" s="15" t="inlineStr">
        <is>
          <t>Website (Elder Studios, 4-6 Elder Street)</t>
        </is>
      </c>
      <c r="AA45" s="15" t="inlineStr">
        <is>
          <t>Shoreditch Powerleague</t>
        </is>
      </c>
      <c r="AB45" s="15" t="n">
        <v>4</v>
      </c>
      <c r="AC45" s="15" t="inlineStr">
        <is>
          <t>Shoreditch Powerleague</t>
        </is>
      </c>
      <c r="AD45" s="15" t="inlineStr">
        <is>
          <t>Monday 28 September at 17:40</t>
        </is>
      </c>
      <c r="AE45" s="15" t="inlineStr">
        <is>
          <t>One-off</t>
        </is>
      </c>
      <c r="AF45" s="15" t="inlineStr">
        <is>
          <t>5-a-side</t>
        </is>
      </c>
      <c r="AG45" s="17">
        <f>IF(Offer!$D$5="","",Offer!$D$5)</f>
        <v/>
      </c>
      <c r="AH45" s="15" t="inlineStr">
        <is>
          <t>recently delivered projects across London including the Scalpel, EC3, and Fusion Group, W1</t>
        </is>
      </c>
      <c r="AI45" s="15" t="inlineStr">
        <is>
          <t>https://www.whitepaperco.com/</t>
        </is>
      </c>
      <c r="AJ45" s="15" t="inlineStr">
        <is>
          <t>what they do</t>
        </is>
      </c>
      <c r="AK45" s="15" t="inlineStr">
        <is>
          <t>medium</t>
        </is>
      </c>
      <c r="AL45" s="15" t="inlineStr">
        <is>
          <t>No named contact given; sent to hello@whitepaperco.com, a general inbox. Office address on the website (Elder Studios, 4-6 Elder Street, Norton Folgate, E1 6BT) matches the given office_street/postcode exactly.</t>
        </is>
      </c>
      <c r="AM45" s="18">
        <f>IF(V45&lt;&gt;"",V45,S45)</f>
        <v/>
      </c>
      <c r="AN45" s="18">
        <f>IF(AG45="","","4 minutes from Elder Street: weekly 5-a-side")</f>
        <v/>
      </c>
      <c r="AO45" s="19" t="inlineStr">
        <is>
          <t>Hi Whitepaperco team,
Between projects like the Scalpel and Fusion Group, your team clearly knows how to deliver under pressure — a weekly game could be a good release. We've got a 5-a-side pitch at Powerleague Shoreditch, Braithwaite Street, E1 6GJ, just a 4-minute walk from Elder Street. There's a slot open Monday 28 September at 17:40, or 19:40 if that's easier, and it could become your regular weekly fixture. It's {PRICE} a player, and we book the pitch and handle sign-ups and payments, so someone just shares one link with the team. Would your team be up for it?
Best,
Brian
FC Urban</t>
        </is>
      </c>
      <c r="AP45" s="19" t="inlineStr">
        <is>
          <t>Hi Whitepaperco team,
Following up on the 5-a-side slot at Powerleague Shoreditch, just down the road from Elder Street — Monday 28 September at 17:40 is still open, or Thursday 1 October at 18:20. It's {PRICE} a player; we handle the booking and payments. Let me know if you'd like it held.
Best,
Brian
FC Urban</t>
        </is>
      </c>
      <c r="AQ45" s="20">
        <f>IF(OR(AG45="",AO45=""),"",SUBSTITUTE(AO45,"{PRICE}","£"&amp;IF(AG45=INT(AG45),TEXT(AG45,"0"),TEXT(AG45,"0.00"))))</f>
        <v/>
      </c>
      <c r="AR45" s="20">
        <f>IF(OR(AG45="",AP45=""),"",SUBSTITUTE(AP45,"{PRICE}","£"&amp;IF(AG45=INT(AG45),TEXT(AG45,"0"),TEXT(AG45,"0.00"))))</f>
        <v/>
      </c>
      <c r="AS45" s="15" t="inlineStr">
        <is>
          <t>pass</t>
        </is>
      </c>
      <c r="AT45" s="15" t="inlineStr">
        <is>
          <t>MX ok · mailbox not verified</t>
        </is>
      </c>
      <c r="AU45" s="15" t="n"/>
      <c r="AV45" s="18">
        <f>IF(AU45&lt;&gt;"","No – hold: "&amp;AU45,IF(AG45="","No – no confirmed London price per player",IF(AM45="","No – no email",IF(AO45="","No – no personalised email",IF(AS45&lt;&gt;"pass","No – suppressed","Yes")))))</f>
        <v/>
      </c>
      <c r="AX45" s="21" t="n"/>
      <c r="AY45" s="21" t="n"/>
    </row>
    <row r="46">
      <c r="A46" s="15" t="n">
        <v>44</v>
      </c>
      <c r="B46" s="15" t="n">
        <v>3</v>
      </c>
      <c r="C46" s="15" t="inlineStr">
        <is>
          <t>Tech / software</t>
        </is>
      </c>
      <c r="D46" s="15" t="inlineStr">
        <is>
          <t>EC2A</t>
        </is>
      </c>
      <c r="E46" s="15" t="inlineStr">
        <is>
          <t>Hadean Supercomputing Ltd</t>
        </is>
      </c>
      <c r="F46" s="15" t="inlineStr">
        <is>
          <t>Hadean Supercomputing</t>
        </is>
      </c>
      <c r="G46" s="16" t="inlineStr">
        <is>
          <t>https://hadean.com</t>
        </is>
      </c>
      <c r="H46" s="15" t="inlineStr">
        <is>
          <t>Not stated</t>
        </is>
      </c>
      <c r="I46" s="15" t="inlineStr">
        <is>
          <t>09808169</t>
        </is>
      </c>
      <c r="J46" s="16" t="inlineStr">
        <is>
          <t>Open</t>
        </is>
      </c>
      <c r="K46" s="15" t="inlineStr">
        <is>
          <t>Group</t>
        </is>
      </c>
      <c r="L46" s="15" t="inlineStr">
        <is>
          <t>03/10/2015</t>
        </is>
      </c>
      <c r="M46" s="15" t="inlineStr">
        <is>
          <t>9 Appold Street, London</t>
        </is>
      </c>
      <c r="N46" s="15" t="inlineStr">
        <is>
          <t>EC2A 2AP</t>
        </is>
      </c>
      <c r="O46" s="15" t="inlineStr">
        <is>
          <t>No</t>
        </is>
      </c>
      <c r="P46" s="15" t="n"/>
      <c r="Q46" s="15" t="n"/>
      <c r="R46" s="15" t="n"/>
      <c r="S46" s="15" t="inlineStr">
        <is>
          <t>people@hadean.com</t>
        </is>
      </c>
      <c r="T46" s="15" t="inlineStr">
        <is>
          <t>c general inbox</t>
        </is>
      </c>
      <c r="U46" s="16" t="inlineStr">
        <is>
          <t>https://hadean.com/careers/</t>
        </is>
      </c>
      <c r="X46" s="15" t="n"/>
      <c r="Y46" s="15" t="inlineStr">
        <is>
          <t>EC2A 2AP</t>
        </is>
      </c>
      <c r="Z46" s="15" t="inlineStr">
        <is>
          <t>Website</t>
        </is>
      </c>
      <c r="AA46" s="15" t="inlineStr">
        <is>
          <t>Shoreditch Powerleague</t>
        </is>
      </c>
      <c r="AB46" s="15" t="n">
        <v>7</v>
      </c>
      <c r="AC46" s="15" t="inlineStr">
        <is>
          <t>Shoreditch Powerleague</t>
        </is>
      </c>
      <c r="AD46" s="15" t="inlineStr">
        <is>
          <t>Monday 28 September at 17:40</t>
        </is>
      </c>
      <c r="AE46" s="15" t="inlineStr">
        <is>
          <t>One-off</t>
        </is>
      </c>
      <c r="AF46" s="15" t="inlineStr">
        <is>
          <t>5-a-side</t>
        </is>
      </c>
      <c r="AG46" s="17">
        <f>IF(Offer!$D$5="","",Offer!$D$5)</f>
        <v/>
      </c>
      <c r="AH46" s="15" t="inlineStr">
        <is>
          <t>Hadean secured acceleration funding in March 2026 to fuel its push to become the UK's next defence tech unicorn</t>
        </is>
      </c>
      <c r="AI46" s="15" t="inlineStr">
        <is>
          <t>https://hadean.com/news/</t>
        </is>
      </c>
      <c r="AJ46" s="15" t="inlineStr">
        <is>
          <t>milestone</t>
        </is>
      </c>
      <c r="AK46" s="15" t="inlineStr">
        <is>
          <t>medium</t>
        </is>
      </c>
      <c r="AL46" s="15" t="inlineStr">
        <is>
          <t>Hook is drawn from a news-listing headline and date on the /news/ index page (full article not fetched, so wording of the headline is paraphrased); worth a quick sanity check before sending. Sole generic inbox is people@hadean.com.</t>
        </is>
      </c>
      <c r="AM46" s="18">
        <f>IF(V46&lt;&gt;"",V46,S46)</f>
        <v/>
      </c>
      <c r="AN46" s="18">
        <f>IF(AG46="","","A 5-a-side pitch 7 minutes from EC2A 2AP")</f>
        <v/>
      </c>
      <c r="AO46" s="19" t="inlineStr">
        <is>
          <t>Hi Hadean Supercomputing team,
Good to see Hadean's recent funding round, backing the push to become the UK's next defence tech unicorn. Teams growing that fast tend to need a regular way to switch off together. We have a 5-a-side pitch at Powerleague Shoreditch, on Braithwaite Street, a 7-minute walk from your EC2A 2AP office. There's a slot free Monday 28 September at 17:40, or 19:40, and it could become your standing weekly game. It's {PRICE} a player, and we book the pitch and handle sign-ups and payments, so someone just shares one link with the team. Would your team be up for it?
Best,
Brian
FC Urban</t>
        </is>
      </c>
      <c r="AP46" s="19" t="inlineStr">
        <is>
          <t>Hi Hadean Supercomputing team,
Circling back on a weekly 5-a-side near your EC2A 2AP office. Monday 28 September at 19:40 at Powerleague Shoreditch is still open. It's {PRICE} a player, and we handle the pitch, sign-ups and payments end to end. Let me know if that suits.
Best,
Brian
FC Urban</t>
        </is>
      </c>
      <c r="AQ46" s="20">
        <f>IF(OR(AG46="",AO46=""),"",SUBSTITUTE(AO46,"{PRICE}","£"&amp;IF(AG46=INT(AG46),TEXT(AG46,"0"),TEXT(AG46,"0.00"))))</f>
        <v/>
      </c>
      <c r="AR46" s="20">
        <f>IF(OR(AG46="",AP46=""),"",SUBSTITUTE(AP46,"{PRICE}","£"&amp;IF(AG46=INT(AG46),TEXT(AG46,"0"),TEXT(AG46,"0.00"))))</f>
        <v/>
      </c>
      <c r="AS46" s="15" t="inlineStr">
        <is>
          <t>pass</t>
        </is>
      </c>
      <c r="AT46" s="15" t="inlineStr">
        <is>
          <t>MX ok · mailbox not verified</t>
        </is>
      </c>
      <c r="AU46" s="15" t="n"/>
      <c r="AV46" s="18">
        <f>IF(AU46&lt;&gt;"","No – hold: "&amp;AU46,IF(AG46="","No – no confirmed London price per player",IF(AM46="","No – no email",IF(AO46="","No – no personalised email",IF(AS46&lt;&gt;"pass","No – suppressed","Yes")))))</f>
        <v/>
      </c>
      <c r="AX46" s="21" t="n"/>
      <c r="AY46" s="21" t="n"/>
    </row>
    <row r="47">
      <c r="A47" s="15" t="n">
        <v>45</v>
      </c>
      <c r="B47" s="15" t="n">
        <v>3</v>
      </c>
      <c r="C47" s="15" t="inlineStr">
        <is>
          <t>Tech / software</t>
        </is>
      </c>
      <c r="D47" s="15" t="inlineStr">
        <is>
          <t>N1</t>
        </is>
      </c>
      <c r="E47" s="15" t="inlineStr">
        <is>
          <t>Vivacity Labs Limited</t>
        </is>
      </c>
      <c r="F47" s="15" t="inlineStr">
        <is>
          <t>Vivacity Labs</t>
        </is>
      </c>
      <c r="G47" s="16" t="inlineStr">
        <is>
          <t>https://vivacitylabs.com</t>
        </is>
      </c>
      <c r="H47" s="15" t="inlineStr">
        <is>
          <t>Not stated</t>
        </is>
      </c>
      <c r="I47" s="15" t="inlineStr">
        <is>
          <t>09924516</t>
        </is>
      </c>
      <c r="J47" s="16" t="inlineStr">
        <is>
          <t>Open</t>
        </is>
      </c>
      <c r="K47" s="15" t="inlineStr">
        <is>
          <t>Group</t>
        </is>
      </c>
      <c r="L47" s="15" t="inlineStr">
        <is>
          <t>21/12/2015</t>
        </is>
      </c>
      <c r="M47" s="15" t="inlineStr">
        <is>
          <t>3 Haberdasher Street, London</t>
        </is>
      </c>
      <c r="N47" s="15" t="inlineStr">
        <is>
          <t>N1 6ED</t>
        </is>
      </c>
      <c r="O47" s="15" t="inlineStr">
        <is>
          <t>No</t>
        </is>
      </c>
      <c r="P47" s="15" t="n"/>
      <c r="Q47" s="15" t="n"/>
      <c r="R47" s="15" t="n"/>
      <c r="S47" s="15" t="inlineStr">
        <is>
          <t>contact@vivacitylabs.com</t>
        </is>
      </c>
      <c r="T47" s="15" t="inlineStr">
        <is>
          <t>c general inbox</t>
        </is>
      </c>
      <c r="U47" s="16" t="inlineStr">
        <is>
          <t>https://vivacitylabs.com/north-america/about-us/contact/</t>
        </is>
      </c>
      <c r="X47" s="15" t="inlineStr">
        <is>
          <t>3 HABERDASHER STREET, LONDON</t>
        </is>
      </c>
      <c r="Y47" s="15" t="inlineStr">
        <is>
          <t>N1 6ED</t>
        </is>
      </c>
      <c r="Z47" s="15" t="inlineStr">
        <is>
          <t>Website (3 HABERDASHER STREET, LONDON)</t>
        </is>
      </c>
      <c r="AA47" s="15" t="inlineStr">
        <is>
          <t>Shoreditch Rooftop</t>
        </is>
      </c>
      <c r="AB47" s="15" t="n">
        <v>9</v>
      </c>
      <c r="AC47" s="15" t="inlineStr">
        <is>
          <t>Shoreditch Rooftop</t>
        </is>
      </c>
      <c r="AD47" s="15" t="inlineStr">
        <is>
          <t>Monday 28 September at 18:00</t>
        </is>
      </c>
      <c r="AE47" s="15" t="inlineStr">
        <is>
          <t>One-off</t>
        </is>
      </c>
      <c r="AF47" s="15" t="inlineStr">
        <is>
          <t>5-a-side</t>
        </is>
      </c>
      <c r="AG47" s="17">
        <f>IF(Offer!$D$5="","",Offer!$D$5)</f>
        <v/>
      </c>
      <c r="AH47" s="15" t="inlineStr">
        <is>
          <t>on an upward growth trajectory, expanding internationally, doubled headcount to 100+</t>
        </is>
      </c>
      <c r="AI47" s="16" t="inlineStr">
        <is>
          <t>https://vivacitylabs.com/about-us/join-us/</t>
        </is>
      </c>
      <c r="AJ47" s="15" t="inlineStr">
        <is>
          <t>team/hiring</t>
        </is>
      </c>
      <c r="AK47" s="15" t="inlineStr">
        <is>
          <t>medium</t>
        </is>
      </c>
      <c r="AL47" s="15" t="inlineStr">
        <is>
          <t>Provided pages are mostly the vivacitylabs.com/north-america subsite; confirmed same growth/culture text also lives on the main UK domain (vivacitylabs.com/about-us/join-us/). Growth stats (doubled headcount, £5m Series A) are dated 2021/2022 but still the best available hook.</t>
        </is>
      </c>
      <c r="AM47" s="18">
        <f>IF(V47&lt;&gt;"",V47,S47)</f>
        <v/>
      </c>
      <c r="AN47" s="18">
        <f>IF(AG47="","","A weekly 5-a-side, 9 min from Haberdasher St")</f>
        <v/>
      </c>
      <c r="AO47" s="19" t="inlineStr">
        <is>
          <t>Hi Vivacity Labs team,
Vivacity is on an upward growth trajectory, expanding internationally and adding new people all the time, and a weekly game is a good way to get new starters mixing outside the office. We have a 5-a-side game at the rooftop pitch at Britannia Leisure Centre, Pitfield Street, N1 5FT, a 9-minute walk from Haberdasher Street, with Monday 28 September at 18:00 open — it can become your regular weekly slot. It's {PRICE} a player, and we book the pitch and handle sign-ups and payments, so someone just shares one link with the team. Shall I hold Monday for you?
Best,
Brian
FC Urban</t>
        </is>
      </c>
      <c r="AP47" s="19" t="inlineStr">
        <is>
          <t>Hi again,
Just checking whether a weekly 5-a-side still appeals. Monday 28 September at 18:00 is still open at Britannia Leisure Centre, N1 5FT, 9 minutes from Haberdasher Street. It's {PRICE} a player, and we handle the pitch, sign-ups and payments — someone just shares one link. Happy to hold it if useful.
Best,
Brian
FC Urban</t>
        </is>
      </c>
      <c r="AQ47" s="20">
        <f>IF(OR(AG47="",AO47=""),"",SUBSTITUTE(AO47,"{PRICE}","£"&amp;IF(AG47=INT(AG47),TEXT(AG47,"0"),TEXT(AG47,"0.00"))))</f>
        <v/>
      </c>
      <c r="AR47" s="20">
        <f>IF(OR(AG47="",AP47=""),"",SUBSTITUTE(AP47,"{PRICE}","£"&amp;IF(AG47=INT(AG47),TEXT(AG47,"0"),TEXT(AG47,"0.00"))))</f>
        <v/>
      </c>
      <c r="AS47" s="15" t="inlineStr">
        <is>
          <t>pass</t>
        </is>
      </c>
      <c r="AT47" s="15" t="inlineStr">
        <is>
          <t>MX ok · mailbox not verified</t>
        </is>
      </c>
      <c r="AU47" s="15" t="n"/>
      <c r="AV47" s="18">
        <f>IF(AU47&lt;&gt;"","No – hold: "&amp;AU47,IF(AG47="","No – no confirmed London price per player",IF(AM47="","No – no email",IF(AO47="","No – no personalised email",IF(AS47&lt;&gt;"pass","No – suppressed","Yes")))))</f>
        <v/>
      </c>
      <c r="AX47" s="21" t="n"/>
      <c r="AY47" s="21" t="n"/>
    </row>
    <row r="48">
      <c r="A48" s="15" t="n">
        <v>46</v>
      </c>
      <c r="B48" s="15" t="n">
        <v>3</v>
      </c>
      <c r="C48" s="15" t="inlineStr">
        <is>
          <t>Architecture</t>
        </is>
      </c>
      <c r="D48" s="15" t="inlineStr">
        <is>
          <t>EC1V</t>
        </is>
      </c>
      <c r="E48" s="15" t="inlineStr">
        <is>
          <t>Allford Hall Monaghan Morris Limited</t>
        </is>
      </c>
      <c r="F48" s="15" t="inlineStr">
        <is>
          <t>Allford Hall Monaghan Morris</t>
        </is>
      </c>
      <c r="G48" s="16" t="inlineStr">
        <is>
          <t>https://www.ahmm.co.uk</t>
        </is>
      </c>
      <c r="H48" s="15" t="inlineStr">
        <is>
          <t>Not stated</t>
        </is>
      </c>
      <c r="I48" s="15" t="inlineStr">
        <is>
          <t>07155322</t>
        </is>
      </c>
      <c r="J48" s="16" t="inlineStr">
        <is>
          <t>Open</t>
        </is>
      </c>
      <c r="K48" s="15" t="inlineStr">
        <is>
          <t>Group</t>
        </is>
      </c>
      <c r="L48" s="15" t="inlineStr">
        <is>
          <t>11/02/2010</t>
        </is>
      </c>
      <c r="M48" s="15" t="inlineStr">
        <is>
          <t>Morelands, 5 - 23 Old Street, London</t>
        </is>
      </c>
      <c r="N48" s="15" t="inlineStr">
        <is>
          <t>EC1V 9HL</t>
        </is>
      </c>
      <c r="O48" s="15" t="inlineStr">
        <is>
          <t>No</t>
        </is>
      </c>
      <c r="P48" s="15" t="n"/>
      <c r="Q48" s="15" t="n"/>
      <c r="R48" s="15" t="n"/>
      <c r="S48" s="15" t="inlineStr">
        <is>
          <t>info@ahmm.co.uk</t>
        </is>
      </c>
      <c r="T48" s="15" t="inlineStr">
        <is>
          <t>c general inbox</t>
        </is>
      </c>
      <c r="U48" s="16" t="inlineStr">
        <is>
          <t>https://www.ahmm.co.uk/contact/</t>
        </is>
      </c>
      <c r="X48" s="15" t="inlineStr">
        <is>
          <t>5-23 Old Street</t>
        </is>
      </c>
      <c r="Y48" s="15" t="inlineStr">
        <is>
          <t>EC1V 9HL</t>
        </is>
      </c>
      <c r="Z48" s="15" t="inlineStr">
        <is>
          <t>Website (5-23 Old Street)</t>
        </is>
      </c>
      <c r="AA48" s="15" t="inlineStr">
        <is>
          <t>Old St - Moreland Primary School</t>
        </is>
      </c>
      <c r="AB48" s="15" t="n">
        <v>10</v>
      </c>
      <c r="AC48" s="15" t="inlineStr">
        <is>
          <t>Old St - Moreland Primary School</t>
        </is>
      </c>
      <c r="AD48" s="15" t="inlineStr">
        <is>
          <t>Monday 12 October at 18:00</t>
        </is>
      </c>
      <c r="AE48" s="15" t="inlineStr">
        <is>
          <t>One-off</t>
        </is>
      </c>
      <c r="AF48" s="15" t="inlineStr">
        <is>
          <t>6-a-side</t>
        </is>
      </c>
      <c r="AG48" s="17">
        <f>IF(Offer!$D$5="","",Offer!$D$5)</f>
        <v/>
      </c>
      <c r="AH48" s="15" t="inlineStr">
        <is>
          <t>their office, Morelands on Old Street, is one of AHMM's own projects (built 1999)</t>
        </is>
      </c>
      <c r="AI48" s="15" t="inlineStr">
        <is>
          <t>https://www.ahmm.co.uk/projects/office/</t>
        </is>
      </c>
      <c r="AJ48" s="15" t="inlineStr">
        <is>
          <t>what they do</t>
        </is>
      </c>
      <c r="AK48" s="15" t="inlineStr">
        <is>
          <t>medium</t>
        </is>
      </c>
      <c r="AL48" s="15" t="inlineStr">
        <is>
          <t>Contact pages only list general enquiries (info@ahmm.co.uk) and press (press@ahmm.co.uk) — no named HR/social contact found; inbox may route to reception/practice management rather than someone who organises staff socials.</t>
        </is>
      </c>
      <c r="AM48" s="18">
        <f>IF(V48&lt;&gt;"",V48,S48)</f>
        <v/>
      </c>
      <c r="AN48" s="18">
        <f>IF(AG48="","","AHMM's own office, Old Street — a weekly 6-a-side?")</f>
        <v/>
      </c>
      <c r="AO48" s="19" t="inlineStr">
        <is>
          <t>Hi Allford Hall Monaghan Morris team,
Morelands, your own office on Old Street, is actually one of AHMM's own projects — nice to design the building you then work in. We have a 6-a-side pitch at the floodlit 3G pitch at Moreland School, Gard Street, EC1V 8DW, a 10-minute walk from Old Street, with Monday 12 October at 18:00 open, or 19:00 if that suits better — it can become your regular weekly game. It's {PRICE} a player, and we book the pitch and handle sign-ups and payments, so someone just shares one link with the team. Would your team be up for it?
Best,
Brian
FC Urban</t>
        </is>
      </c>
      <c r="AP48" s="19" t="inlineStr">
        <is>
          <t>Hi again,
Following up on a weekly game for the AHMM team. Monday 12 October at 19:00 is still open at Moreland School, 10 minutes from Old Street, or 18:00 if easier. It's {PRICE} a player, and we handle the pitch, sign-ups and payments — one link for the team. Let me know if you'd like it held.
Best,
Brian
FC Urban</t>
        </is>
      </c>
      <c r="AQ48" s="20">
        <f>IF(OR(AG48="",AO48=""),"",SUBSTITUTE(AO48,"{PRICE}","£"&amp;IF(AG48=INT(AG48),TEXT(AG48,"0"),TEXT(AG48,"0.00"))))</f>
        <v/>
      </c>
      <c r="AR48" s="20">
        <f>IF(OR(AG48="",AP48=""),"",SUBSTITUTE(AP48,"{PRICE}","£"&amp;IF(AG48=INT(AG48),TEXT(AG48,"0"),TEXT(AG48,"0.00"))))</f>
        <v/>
      </c>
      <c r="AS48" s="15" t="inlineStr">
        <is>
          <t>pass</t>
        </is>
      </c>
      <c r="AT48" s="15" t="inlineStr">
        <is>
          <t>MX ok · mailbox not verified</t>
        </is>
      </c>
      <c r="AU48" s="15" t="n"/>
      <c r="AV48" s="18">
        <f>IF(AU48&lt;&gt;"","No – hold: "&amp;AU48,IF(AG48="","No – no confirmed London price per player",IF(AM48="","No – no email",IF(AO48="","No – no personalised email",IF(AS48&lt;&gt;"pass","No – suppressed","Yes")))))</f>
        <v/>
      </c>
      <c r="AX48" s="21" t="n"/>
      <c r="AY48" s="21" t="n"/>
    </row>
    <row r="49">
      <c r="A49" s="15" t="n">
        <v>47</v>
      </c>
      <c r="B49" s="15" t="n">
        <v>3</v>
      </c>
      <c r="C49" s="15" t="inlineStr">
        <is>
          <t>Marketing / agency</t>
        </is>
      </c>
      <c r="D49" s="15" t="inlineStr">
        <is>
          <t>EC1V</t>
        </is>
      </c>
      <c r="E49" s="15" t="inlineStr">
        <is>
          <t>Censuswide Limited</t>
        </is>
      </c>
      <c r="F49" s="15" t="inlineStr">
        <is>
          <t>Censuswide</t>
        </is>
      </c>
      <c r="G49" s="16" t="inlineStr">
        <is>
          <t>https://censuswide.com</t>
        </is>
      </c>
      <c r="H49" s="15" t="n">
        <v>29</v>
      </c>
      <c r="I49" s="15" t="inlineStr">
        <is>
          <t>07924059</t>
        </is>
      </c>
      <c r="J49" s="16" t="inlineStr">
        <is>
          <t>Open</t>
        </is>
      </c>
      <c r="K49" s="15" t="inlineStr">
        <is>
          <t>Full</t>
        </is>
      </c>
      <c r="L49" s="15" t="inlineStr">
        <is>
          <t>25/01/2012</t>
        </is>
      </c>
      <c r="M49" s="15" t="inlineStr">
        <is>
          <t>12-14 Berry Street, London</t>
        </is>
      </c>
      <c r="N49" s="15" t="inlineStr">
        <is>
          <t>EC1V 0AU</t>
        </is>
      </c>
      <c r="O49" s="15" t="inlineStr">
        <is>
          <t>No</t>
        </is>
      </c>
      <c r="P49" s="15" t="n"/>
      <c r="Q49" s="15" t="n"/>
      <c r="R49" s="15" t="n"/>
      <c r="S49" s="15" t="inlineStr">
        <is>
          <t>info@censuswide.com</t>
        </is>
      </c>
      <c r="T49" s="15" t="inlineStr">
        <is>
          <t>c general inbox</t>
        </is>
      </c>
      <c r="U49" s="16" t="inlineStr">
        <is>
          <t>https://censuswide.com/</t>
        </is>
      </c>
      <c r="X49" s="15" t="inlineStr">
        <is>
          <t>12-14 Berry Street, London</t>
        </is>
      </c>
      <c r="Y49" s="15" t="inlineStr">
        <is>
          <t>EC1V 0AU</t>
        </is>
      </c>
      <c r="Z49" s="15" t="inlineStr">
        <is>
          <t>Website (12-14 Berry Street, London)</t>
        </is>
      </c>
      <c r="AA49" s="15" t="inlineStr">
        <is>
          <t>Old St - Moreland Primary School</t>
        </is>
      </c>
      <c r="AB49" s="15" t="n">
        <v>10</v>
      </c>
      <c r="AC49" s="15" t="inlineStr">
        <is>
          <t>Old St - Moreland Primary School</t>
        </is>
      </c>
      <c r="AD49" s="15" t="inlineStr">
        <is>
          <t>Monday 12 October at 18:00</t>
        </is>
      </c>
      <c r="AE49" s="15" t="inlineStr">
        <is>
          <t>One-off</t>
        </is>
      </c>
      <c r="AF49" s="15" t="inlineStr">
        <is>
          <t>6-a-side</t>
        </is>
      </c>
      <c r="AG49" s="17">
        <f>IF(Offer!$D$5="","",Offer!$D$5)</f>
        <v/>
      </c>
      <c r="AH49" s="15" t="inlineStr">
        <is>
          <t>research for the Mayor of London's 'Have A Word' campaign appeared on Piccadilly Circus billboards</t>
        </is>
      </c>
      <c r="AI49" s="15" t="inlineStr">
        <is>
          <t>https://censuswide.com/case-study/mayor-of-london-ogilvy/</t>
        </is>
      </c>
      <c r="AJ49" s="15" t="inlineStr">
        <is>
          <t>what they do</t>
        </is>
      </c>
      <c r="AK49" s="15" t="inlineStr">
        <is>
          <t>medium</t>
        </is>
      </c>
      <c r="AL49" s="15" t="inlineStr">
        <is>
          <t>No team/culture/office-move content found on the pages provided; two extra fetches to /news-insights/ and /about/ both 404'd, so used a client case study as the hook instead. Headcount (29) was given in the input data but not confirmed on any page read, so not used as the hook.</t>
        </is>
      </c>
      <c r="AM49" s="18">
        <f>IF(V49&lt;&gt;"",V49,S49)</f>
        <v/>
      </c>
      <c r="AN49" s="18">
        <f>IF(AG49="","","A weekly 6-a-side, 10 min from Berry Street")</f>
        <v/>
      </c>
      <c r="AO49" s="19" t="inlineStr">
        <is>
          <t>Hi Censuswide team,
Your research for the Mayor of London's 'Have A Word' campaign ended up on billboards in Piccadilly Circus — good proof research travels, and a weekly game is an easy way to get the office out together too. We have a 6-a-side pitch at the floodlit 3G pitch at Moreland School, Gard Street, EC1V 8DW, a 10-minute walk from Berry Street, with Monday 12 October at 18:00 open, or 20:00 if that's easier — it can become your regular weekly slot. It's {PRICE} a player, and we book the pitch and handle sign-ups and payments, so someone just shares one link with the team. Shall I hold Monday for you?
Best,
Brian
FC Urban</t>
        </is>
      </c>
      <c r="AP49" s="19" t="inlineStr">
        <is>
          <t>Hi again,
Just checking on a weekly game for Censuswide. Monday 12 October at 18:00 is still open at Moreland School, 10 minutes from Berry Street, or 20:00 works too. It's {PRICE} a player, and we handle the pitch, sign-ups and payments — one link for the team. Happy to hold a slot.
Best,
Brian
FC Urban</t>
        </is>
      </c>
      <c r="AQ49" s="20">
        <f>IF(OR(AG49="",AO49=""),"",SUBSTITUTE(AO49,"{PRICE}","£"&amp;IF(AG49=INT(AG49),TEXT(AG49,"0"),TEXT(AG49,"0.00"))))</f>
        <v/>
      </c>
      <c r="AR49" s="20">
        <f>IF(OR(AG49="",AP49=""),"",SUBSTITUTE(AP49,"{PRICE}","£"&amp;IF(AG49=INT(AG49),TEXT(AG49,"0"),TEXT(AG49,"0.00"))))</f>
        <v/>
      </c>
      <c r="AS49" s="15" t="inlineStr">
        <is>
          <t>pass</t>
        </is>
      </c>
      <c r="AT49" s="15" t="inlineStr">
        <is>
          <t>MX ok · mailbox not verified</t>
        </is>
      </c>
      <c r="AU49" s="15" t="n"/>
      <c r="AV49" s="18">
        <f>IF(AU49&lt;&gt;"","No – hold: "&amp;AU49,IF(AG49="","No – no confirmed London price per player",IF(AM49="","No – no email",IF(AO49="","No – no personalised email",IF(AS49&lt;&gt;"pass","No – suppressed","Yes")))))</f>
        <v/>
      </c>
      <c r="AX49" s="21" t="n"/>
      <c r="AY49" s="21" t="n"/>
    </row>
    <row r="50">
      <c r="A50" s="15" t="n">
        <v>48</v>
      </c>
      <c r="B50" s="15" t="n">
        <v>3</v>
      </c>
      <c r="C50" s="15" t="inlineStr">
        <is>
          <t>Tech / software</t>
        </is>
      </c>
      <c r="D50" s="15" t="inlineStr">
        <is>
          <t>EC2A</t>
        </is>
      </c>
      <c r="E50" s="15" t="inlineStr">
        <is>
          <t>Atech Support Limited</t>
        </is>
      </c>
      <c r="F50" s="15" t="inlineStr">
        <is>
          <t>Atech Support</t>
        </is>
      </c>
      <c r="G50" s="16" t="inlineStr">
        <is>
          <t>https://www.atech.co.uk</t>
        </is>
      </c>
      <c r="H50" s="15" t="inlineStr">
        <is>
          <t>Not stated</t>
        </is>
      </c>
      <c r="I50" s="15" t="inlineStr">
        <is>
          <t>06021756</t>
        </is>
      </c>
      <c r="J50" s="16" t="inlineStr">
        <is>
          <t>Open</t>
        </is>
      </c>
      <c r="K50" s="15" t="inlineStr">
        <is>
          <t>Full</t>
        </is>
      </c>
      <c r="L50" s="15" t="inlineStr">
        <is>
          <t>07/12/2006</t>
        </is>
      </c>
      <c r="M50" s="15" t="inlineStr">
        <is>
          <t>11-21 Paul Street, Shoreditch, London</t>
        </is>
      </c>
      <c r="N50" s="15" t="inlineStr">
        <is>
          <t>EC2A 4JU</t>
        </is>
      </c>
      <c r="O50" s="15" t="inlineStr">
        <is>
          <t>No</t>
        </is>
      </c>
      <c r="P50" s="15" t="n"/>
      <c r="Q50" s="15" t="n"/>
      <c r="R50" s="15" t="n"/>
      <c r="S50" s="15" t="inlineStr">
        <is>
          <t>enquiries@atech.co.uk</t>
        </is>
      </c>
      <c r="T50" s="15" t="inlineStr">
        <is>
          <t>c general inbox</t>
        </is>
      </c>
      <c r="U50" s="16" t="inlineStr">
        <is>
          <t>https://www.atech.co.uk/</t>
        </is>
      </c>
      <c r="X50" s="15" t="n"/>
      <c r="Y50" s="15" t="inlineStr">
        <is>
          <t>EC2A 4JU</t>
        </is>
      </c>
      <c r="Z50" s="15" t="inlineStr">
        <is>
          <t>Website</t>
        </is>
      </c>
      <c r="AA50" s="15" t="inlineStr">
        <is>
          <t>Shoreditch Powerleague</t>
        </is>
      </c>
      <c r="AB50" s="15" t="n">
        <v>10</v>
      </c>
      <c r="AC50" s="15" t="inlineStr">
        <is>
          <t>Shoreditch Powerleague</t>
        </is>
      </c>
      <c r="AD50" s="15" t="inlineStr">
        <is>
          <t>Monday 28 September at 17:40</t>
        </is>
      </c>
      <c r="AE50" s="15" t="inlineStr">
        <is>
          <t>One-off</t>
        </is>
      </c>
      <c r="AF50" s="15" t="inlineStr">
        <is>
          <t>5-a-side</t>
        </is>
      </c>
      <c r="AG50" s="17">
        <f>IF(Offer!$D$5="","",Offer!$D$5)</f>
        <v/>
      </c>
      <c r="AH50" s="15" t="n"/>
      <c r="AI50" s="15" t="n"/>
      <c r="AJ50" s="15" t="inlineStr">
        <is>
          <t>none</t>
        </is>
      </c>
      <c r="AK50" s="15" t="inlineStr">
        <is>
          <t>medium</t>
        </is>
      </c>
      <c r="AL50" s="15" t="inlineStr">
        <is>
          <t>No hook found: site is a B2B equipment catalogue, news.php returns a 404, and there is no careers/culture page. enquiries@atech.co.uk looks like a general sales inbox rather than a named contact - worth checking it reaches someone relevant.</t>
        </is>
      </c>
      <c r="AM50" s="18">
        <f>IF(V50&lt;&gt;"",V50,S50)</f>
        <v/>
      </c>
      <c r="AN50" s="18">
        <f>IF(AG50="","","5-a-side, 10 minutes from your EC2A office")</f>
        <v/>
      </c>
      <c r="AO50" s="19" t="inlineStr">
        <is>
          <t>Hi Atech Support team,
We run 5-a-side football at Powerleague Shoreditch, Braithwaite Street, a 10-minute walk from your office. Monday 28 September at 17:40 is open, or 19:40 the same evening, and it can easily become a weekly fixture for your team.
It's {PRICE} a player, and we book the pitch and handle sign-ups and payments, so someone just shares one link with the team.
Would your team be up for it?
Best,
Brian
FC Urban</t>
        </is>
      </c>
      <c r="AP50" s="19" t="inlineStr">
        <is>
          <t>Hi Atech Support team,
Following up on the 5-a-side slot at Powerleague Shoreditch - Monday 28 September at 17:40, or Thursday 1 October at 18:20 if that suits better. It's {PRICE} a player, and we handle sign-ups and payments so it's one link for the team.
Best,
Brian
FC Urban</t>
        </is>
      </c>
      <c r="AQ50" s="20">
        <f>IF(OR(AG50="",AO50=""),"",SUBSTITUTE(AO50,"{PRICE}","£"&amp;IF(AG50=INT(AG50),TEXT(AG50,"0"),TEXT(AG50,"0.00"))))</f>
        <v/>
      </c>
      <c r="AR50" s="20">
        <f>IF(OR(AG50="",AP50=""),"",SUBSTITUTE(AP50,"{PRICE}","£"&amp;IF(AG50=INT(AG50),TEXT(AG50,"0"),TEXT(AG50,"0.00"))))</f>
        <v/>
      </c>
      <c r="AS50" s="15" t="inlineStr">
        <is>
          <t>pass</t>
        </is>
      </c>
      <c r="AT50" s="15" t="inlineStr">
        <is>
          <t>MX ok · mailbox not verified</t>
        </is>
      </c>
      <c r="AU50" s="15" t="n"/>
      <c r="AV50" s="18">
        <f>IF(AU50&lt;&gt;"","No – hold: "&amp;AU50,IF(AG50="","No – no confirmed London price per player",IF(AM50="","No – no email",IF(AO50="","No – no personalised email",IF(AS50&lt;&gt;"pass","No – suppressed","Yes")))))</f>
        <v/>
      </c>
      <c r="AX50" s="21" t="n"/>
      <c r="AY50" s="21" t="n"/>
    </row>
    <row r="51">
      <c r="A51" s="15" t="n">
        <v>49</v>
      </c>
      <c r="B51" s="15" t="n">
        <v>3</v>
      </c>
      <c r="C51" s="15" t="inlineStr">
        <is>
          <t>Architecture</t>
        </is>
      </c>
      <c r="D51" s="15" t="inlineStr">
        <is>
          <t>EC2A</t>
        </is>
      </c>
      <c r="E51" s="15" t="inlineStr">
        <is>
          <t>McBains Ltd</t>
        </is>
      </c>
      <c r="F51" s="15" t="inlineStr">
        <is>
          <t>McBains</t>
        </is>
      </c>
      <c r="G51" s="16" t="inlineStr">
        <is>
          <t>https://mcbains.co.uk</t>
        </is>
      </c>
      <c r="H51" s="15" t="inlineStr">
        <is>
          <t>Not stated</t>
        </is>
      </c>
      <c r="I51" s="15" t="inlineStr">
        <is>
          <t>03094139</t>
        </is>
      </c>
      <c r="J51" s="16" t="inlineStr">
        <is>
          <t>Open</t>
        </is>
      </c>
      <c r="K51" s="15" t="inlineStr">
        <is>
          <t>Full</t>
        </is>
      </c>
      <c r="L51" s="15" t="inlineStr">
        <is>
          <t>23/08/1995</t>
        </is>
      </c>
      <c r="M51" s="15" t="inlineStr">
        <is>
          <t>5Th Floor, 26 Finsbury Square, London</t>
        </is>
      </c>
      <c r="N51" s="15" t="inlineStr">
        <is>
          <t>EC2A 1DS</t>
        </is>
      </c>
      <c r="O51" s="15" t="inlineStr">
        <is>
          <t>No</t>
        </is>
      </c>
      <c r="P51" s="15" t="n"/>
      <c r="Q51" s="15" t="n"/>
      <c r="R51" s="15" t="n"/>
      <c r="S51" s="15" t="inlineStr">
        <is>
          <t>info@mcbains.co.uk</t>
        </is>
      </c>
      <c r="T51" s="15" t="inlineStr">
        <is>
          <t>c general inbox</t>
        </is>
      </c>
      <c r="U51" s="16" t="inlineStr">
        <is>
          <t>https://mcbains.co.uk/</t>
        </is>
      </c>
      <c r="X51" s="15" t="n"/>
      <c r="Y51" s="15" t="inlineStr">
        <is>
          <t>EC2A 1DS</t>
        </is>
      </c>
      <c r="Z51" s="15" t="inlineStr">
        <is>
          <t>Website</t>
        </is>
      </c>
      <c r="AA51" s="15" t="inlineStr">
        <is>
          <t>Shoreditch Powerleague</t>
        </is>
      </c>
      <c r="AB51" s="15" t="n">
        <v>11</v>
      </c>
      <c r="AC51" s="15" t="inlineStr">
        <is>
          <t>Shoreditch Powerleague</t>
        </is>
      </c>
      <c r="AD51" s="15" t="inlineStr">
        <is>
          <t>Monday 28 September at 17:40</t>
        </is>
      </c>
      <c r="AE51" s="15" t="inlineStr">
        <is>
          <t>One-off</t>
        </is>
      </c>
      <c r="AF51" s="15" t="inlineStr">
        <is>
          <t>5-a-side</t>
        </is>
      </c>
      <c r="AG51" s="17">
        <f>IF(Offer!$D$5="","",Offer!$D$5)</f>
        <v/>
      </c>
      <c r="AH51" s="15" t="n"/>
      <c r="AI51" s="15" t="n"/>
      <c r="AJ51" s="15" t="inlineStr">
        <is>
          <t>none</t>
        </is>
      </c>
      <c r="AK51" s="15" t="inlineStr">
        <is>
          <t>medium</t>
        </is>
      </c>
      <c r="AL51" s="15" t="inlineStr">
        <is>
          <t>Website is almost entirely navigation/menu markup in the downloaded pages, so no specific recent news was found. No office street on file, only postcode EC2A 1DS, so the email references the postcode area. Careers page redirects off mcbains.co.uk to pinpointhq.com, which was not fetched per the own-site-only rule.</t>
        </is>
      </c>
      <c r="AM51" s="18">
        <f>IF(V51&lt;&gt;"",V51,S51)</f>
        <v/>
      </c>
      <c r="AN51" s="18">
        <f>IF(AG51="","","A weekly 5-a-side pitch 11 minutes from your EC2A office")</f>
        <v/>
      </c>
      <c r="AO51" s="19" t="inlineStr">
        <is>
          <t>Hi McBains team,
We've a 5-a-side pitch at Powerleague Shoreditch, an 11-minute walk from your EC2A office. There's a slot free on Monday 28 September at 17:40, or 19:40 if evenings suit better, and it can become a regular weekly fixture for the team.
It's {PRICE} a player, and we book the pitch and handle sign-ups and payments, so someone just shares one link with the team.
Shall I hold the Monday slot for you?
Best,
Brian
FC Urban</t>
        </is>
      </c>
      <c r="AP51" s="19" t="inlineStr">
        <is>
          <t>Just checking — the Monday 28 September 5-a-side slot at Powerleague Shoreditch is still open, or Thursday 1 October at 18:20 if that's easier. It's {PRICE} a player, and we handle the booking and payments. Keen to get McBains a regular weekly game.
Best,
Brian</t>
        </is>
      </c>
      <c r="AQ51" s="20">
        <f>IF(OR(AG51="",AO51=""),"",SUBSTITUTE(AO51,"{PRICE}","£"&amp;IF(AG51=INT(AG51),TEXT(AG51,"0"),TEXT(AG51,"0.00"))))</f>
        <v/>
      </c>
      <c r="AR51" s="20">
        <f>IF(OR(AG51="",AP51=""),"",SUBSTITUTE(AP51,"{PRICE}","£"&amp;IF(AG51=INT(AG51),TEXT(AG51,"0"),TEXT(AG51,"0.00"))))</f>
        <v/>
      </c>
      <c r="AS51" s="15" t="inlineStr">
        <is>
          <t>pass</t>
        </is>
      </c>
      <c r="AT51" s="15" t="inlineStr">
        <is>
          <t>MX ok · mailbox not verified</t>
        </is>
      </c>
      <c r="AU51" s="15" t="n"/>
      <c r="AV51" s="18">
        <f>IF(AU51&lt;&gt;"","No – hold: "&amp;AU51,IF(AG51="","No – no confirmed London price per player",IF(AM51="","No – no email",IF(AO51="","No – no personalised email",IF(AS51&lt;&gt;"pass","No – suppressed","Yes")))))</f>
        <v/>
      </c>
      <c r="AX51" s="21" t="n"/>
      <c r="AY51" s="21" t="n"/>
    </row>
    <row r="52">
      <c r="A52" s="15" t="n">
        <v>50</v>
      </c>
      <c r="B52" s="15" t="n">
        <v>3</v>
      </c>
      <c r="C52" s="15" t="inlineStr">
        <is>
          <t>Tech / software</t>
        </is>
      </c>
      <c r="D52" s="15" t="inlineStr">
        <is>
          <t>EC2M</t>
        </is>
      </c>
      <c r="E52" s="15" t="inlineStr">
        <is>
          <t>Fincore Limited</t>
        </is>
      </c>
      <c r="F52" s="15" t="inlineStr">
        <is>
          <t>Fincore</t>
        </is>
      </c>
      <c r="G52" s="16" t="inlineStr">
        <is>
          <t>https://fincore.ai</t>
        </is>
      </c>
      <c r="H52" s="15" t="n">
        <v>24</v>
      </c>
      <c r="I52" s="15" t="inlineStr">
        <is>
          <t>05998321</t>
        </is>
      </c>
      <c r="J52" s="16" t="inlineStr">
        <is>
          <t>Open</t>
        </is>
      </c>
      <c r="K52" s="15" t="inlineStr">
        <is>
          <t>Full</t>
        </is>
      </c>
      <c r="L52" s="15" t="inlineStr">
        <is>
          <t>14/11/2006</t>
        </is>
      </c>
      <c r="M52" s="15" t="inlineStr">
        <is>
          <t>Wilson'S Corner 23 Wilson Street, 3Rd Floor, London</t>
        </is>
      </c>
      <c r="N52" s="15" t="inlineStr">
        <is>
          <t>EC2M 2TE</t>
        </is>
      </c>
      <c r="O52" s="15" t="inlineStr">
        <is>
          <t>No</t>
        </is>
      </c>
      <c r="P52" s="15" t="n"/>
      <c r="Q52" s="15" t="n"/>
      <c r="R52" s="15" t="n"/>
      <c r="S52" s="15" t="inlineStr">
        <is>
          <t>hello@fincore.ai</t>
        </is>
      </c>
      <c r="T52" s="15" t="inlineStr">
        <is>
          <t>c general inbox</t>
        </is>
      </c>
      <c r="U52" s="16" t="inlineStr">
        <is>
          <t>https://fincore.ai/</t>
        </is>
      </c>
      <c r="X52" s="15" t="n"/>
      <c r="Y52" s="15" t="inlineStr">
        <is>
          <t>EC2M 2TE</t>
        </is>
      </c>
      <c r="Z52" s="15" t="inlineStr">
        <is>
          <t>Website</t>
        </is>
      </c>
      <c r="AA52" s="15" t="inlineStr">
        <is>
          <t>Shoreditch Powerleague</t>
        </is>
      </c>
      <c r="AB52" s="15" t="n">
        <v>14</v>
      </c>
      <c r="AC52" s="15" t="inlineStr">
        <is>
          <t>Shoreditch Powerleague</t>
        </is>
      </c>
      <c r="AD52" s="15" t="inlineStr">
        <is>
          <t>Monday 28 September at 17:40</t>
        </is>
      </c>
      <c r="AE52" s="15" t="inlineStr">
        <is>
          <t>One-off</t>
        </is>
      </c>
      <c r="AF52" s="15" t="inlineStr">
        <is>
          <t>5-a-side</t>
        </is>
      </c>
      <c r="AG52" s="17">
        <f>IF(Offer!$D$5="","",Offer!$D$5)</f>
        <v/>
      </c>
      <c r="AH52" s="15" t="inlineStr">
        <is>
          <t>24-person team, built by CFO-turned-founder Hitesh Gupta</t>
        </is>
      </c>
      <c r="AI52" s="16" t="inlineStr">
        <is>
          <t>https://fincore.ai/about/</t>
        </is>
      </c>
      <c r="AJ52" s="15" t="inlineStr">
        <is>
          <t>team/hiring</t>
        </is>
      </c>
      <c r="AK52" s="15" t="inlineStr">
        <is>
          <t>medium</t>
        </is>
      </c>
      <c r="AL52" s="15" t="inlineStr">
        <is>
          <t>24-person headcount is from the provided data field, not stated verbatim on the about page (which lists ~9 named team members/advisors, not a total count). /careers and /news both 404'd, so no fresher hook was available.</t>
        </is>
      </c>
      <c r="AM52" s="18">
        <f>IF(V52&lt;&gt;"",V52,S52)</f>
        <v/>
      </c>
      <c r="AN52" s="18">
        <f>IF(AG52="","","A weekly 5-a-side for Fincore's 24-person team")</f>
        <v/>
      </c>
      <c r="AO52" s="19" t="inlineStr">
        <is>
          <t>Hi Fincore team,
With a team of 24, you've got more than enough for a proper weekly five-a-side. We have a pitch at Powerleague Shoreditch, Braithwaite Street, a 14-minute walk from your EC2M office. There's a slot on Monday 28 September at 17:40, or 19:40 if that's easier, and it can become your regular weekly game. It's {PRICE} a player, and we book the pitch and handle sign-ups and payments, so someone just shares one link with the team. Shall I hold Monday for you?
Best,
Brian
FC Urban</t>
        </is>
      </c>
      <c r="AP52" s="19" t="inlineStr">
        <is>
          <t>Hi again, still keen to get Fincore's weekly five-a-side going? Powerleague Shoreditch has a slot free on Thursday 1 October at 18:20, 14 minutes from your office. It's {PRICE} a player, we handle the booking, one link for the team. Worth a go?
Best,
Brian
FC Urban</t>
        </is>
      </c>
      <c r="AQ52" s="20">
        <f>IF(OR(AG52="",AO52=""),"",SUBSTITUTE(AO52,"{PRICE}","£"&amp;IF(AG52=INT(AG52),TEXT(AG52,"0"),TEXT(AG52,"0.00"))))</f>
        <v/>
      </c>
      <c r="AR52" s="20">
        <f>IF(OR(AG52="",AP52=""),"",SUBSTITUTE(AP52,"{PRICE}","£"&amp;IF(AG52=INT(AG52),TEXT(AG52,"0"),TEXT(AG52,"0.00"))))</f>
        <v/>
      </c>
      <c r="AS52" s="15" t="inlineStr">
        <is>
          <t>pass</t>
        </is>
      </c>
      <c r="AT52" s="15" t="inlineStr">
        <is>
          <t>MX ok · mailbox not verified</t>
        </is>
      </c>
      <c r="AU52" s="15" t="n"/>
      <c r="AV52" s="18">
        <f>IF(AU52&lt;&gt;"","No – hold: "&amp;AU52,IF(AG52="","No – no confirmed London price per player",IF(AM52="","No – no email",IF(AO52="","No – no personalised email",IF(AS52&lt;&gt;"pass","No – suppressed","Yes")))))</f>
        <v/>
      </c>
      <c r="AX52" s="21" t="n"/>
      <c r="AY52" s="21" t="n"/>
    </row>
    <row r="53">
      <c r="A53" s="15" t="n">
        <v>51</v>
      </c>
      <c r="B53" s="15" t="n">
        <v>3</v>
      </c>
      <c r="C53" s="15" t="inlineStr">
        <is>
          <t>Finance / accounting</t>
        </is>
      </c>
      <c r="D53" s="15" t="inlineStr">
        <is>
          <t>EC1M</t>
        </is>
      </c>
      <c r="E53" s="15" t="inlineStr">
        <is>
          <t>Gtn Europe Financial Services Limited</t>
        </is>
      </c>
      <c r="F53" s="15" t="inlineStr">
        <is>
          <t>Gtn Europe Financial</t>
        </is>
      </c>
      <c r="G53" s="16" t="inlineStr">
        <is>
          <t>https://www.gtn.com</t>
        </is>
      </c>
      <c r="H53" s="15" t="inlineStr">
        <is>
          <t>Not stated</t>
        </is>
      </c>
      <c r="I53" s="15" t="inlineStr">
        <is>
          <t>14150611</t>
        </is>
      </c>
      <c r="J53" s="16" t="inlineStr">
        <is>
          <t>Open</t>
        </is>
      </c>
      <c r="K53" s="15" t="inlineStr">
        <is>
          <t>Full</t>
        </is>
      </c>
      <c r="L53" s="15" t="inlineStr">
        <is>
          <t>06/06/2022</t>
        </is>
      </c>
      <c r="M53" s="15" t="inlineStr">
        <is>
          <t>1-2 Charterhouse Mews, London</t>
        </is>
      </c>
      <c r="N53" s="15" t="inlineStr">
        <is>
          <t>EC1M 6BB</t>
        </is>
      </c>
      <c r="O53" s="15" t="inlineStr">
        <is>
          <t>No</t>
        </is>
      </c>
      <c r="P53" s="15" t="n"/>
      <c r="Q53" s="15" t="n"/>
      <c r="R53" s="15" t="n"/>
      <c r="S53" s="15" t="inlineStr">
        <is>
          <t>info@gtn.com</t>
        </is>
      </c>
      <c r="T53" s="15" t="inlineStr">
        <is>
          <t>c general inbox</t>
        </is>
      </c>
      <c r="U53" s="16" t="inlineStr">
        <is>
          <t>https://www.gtn.com/</t>
        </is>
      </c>
      <c r="X53" s="15" t="inlineStr">
        <is>
          <t>1-2 Charterhouse Mews</t>
        </is>
      </c>
      <c r="Y53" s="15" t="inlineStr">
        <is>
          <t>EC1M 6BB</t>
        </is>
      </c>
      <c r="Z53" s="15" t="inlineStr">
        <is>
          <t>Website (1-2 Charterhouse Mews)</t>
        </is>
      </c>
      <c r="AA53" s="15" t="inlineStr">
        <is>
          <t>Old St - Moreland Primary School</t>
        </is>
      </c>
      <c r="AB53" s="15" t="n">
        <v>14</v>
      </c>
      <c r="AC53" s="15" t="inlineStr">
        <is>
          <t>Old St - Moreland Primary School</t>
        </is>
      </c>
      <c r="AD53" s="15" t="inlineStr">
        <is>
          <t>Monday 12 October at 18:00</t>
        </is>
      </c>
      <c r="AE53" s="15" t="inlineStr">
        <is>
          <t>One-off</t>
        </is>
      </c>
      <c r="AF53" s="15" t="inlineStr">
        <is>
          <t>6-a-side</t>
        </is>
      </c>
      <c r="AG53" s="17">
        <f>IF(Offer!$D$5="","",Offer!$D$5)</f>
        <v/>
      </c>
      <c r="AH53" s="15" t="inlineStr">
        <is>
          <t>GTN named a Best Accounting Firm to Work For, 7th year running (Aug 18, 2026)</t>
        </is>
      </c>
      <c r="AI53" s="15" t="inlineStr">
        <is>
          <t>https://www.gtn.com/about/press-room</t>
        </is>
      </c>
      <c r="AJ53" s="15" t="inlineStr">
        <is>
          <t>milestone</t>
        </is>
      </c>
      <c r="AK53" s="15" t="inlineStr">
        <is>
          <t>medium</t>
        </is>
      </c>
      <c r="AL53" s="15" t="inlineStr">
        <is>
          <t>Pages read (gtn.com) are the global GTN site, HQ in Minneapolis, and info@gtn.com/phone number are US contact details. This entity is the UK arm (Gtn Europe Financial Services Ltd, Charterhouse Mews) - the award/CEO news is company-wide, not confirmed London-specific. Worth checking the message actually reaches the London office before sending.</t>
        </is>
      </c>
      <c r="AM53" s="18">
        <f>IF(V53&lt;&gt;"",V53,S53)</f>
        <v/>
      </c>
      <c r="AN53" s="18">
        <f>IF(AG53="","","GTN's 7th Best Firm to Work For win, a weekly game?")</f>
        <v/>
      </c>
      <c r="AO53" s="19" t="inlineStr">
        <is>
          <t>Hi Gtn Europe Financial team,
Congratulations on GTN being named a Best Accounting Firm to Work For for the seventh year running. Sounds like a team worth getting together outside the office. We have a floodlit 6-a-side pitch at Moreland School, Gard Street, a 14-minute walk from Charterhouse Mews. There's a slot free on Monday 12 October at 18:00, or 19:00 if that suits, and it can become your regular weekly game. It's {PRICE} a player, and we book the pitch and handle sign-ups and payments, so someone just shares one link with the team. Shall I hold Monday for you?
Best,
Brian
FC Urban</t>
        </is>
      </c>
      <c r="AP53" s="19" t="inlineStr">
        <is>
          <t>Hi again, following up on a weekly six-a-side for the GTN team near Charterhouse Mews. Moreland School still has Monday 12 October at 19:00 or 20:00 free. It's {PRICE} a player, we handle the booking, one link for everyone. Would that work?
Best,
Brian
FC Urban</t>
        </is>
      </c>
      <c r="AQ53" s="20">
        <f>IF(OR(AG53="",AO53=""),"",SUBSTITUTE(AO53,"{PRICE}","£"&amp;IF(AG53=INT(AG53),TEXT(AG53,"0"),TEXT(AG53,"0.00"))))</f>
        <v/>
      </c>
      <c r="AR53" s="20">
        <f>IF(OR(AG53="",AP53=""),"",SUBSTITUTE(AP53,"{PRICE}","£"&amp;IF(AG53=INT(AG53),TEXT(AG53,"0"),TEXT(AG53,"0.00"))))</f>
        <v/>
      </c>
      <c r="AS53" s="15" t="inlineStr">
        <is>
          <t>pass</t>
        </is>
      </c>
      <c r="AT53" s="15" t="inlineStr">
        <is>
          <t>MX ok · mailbox not verified</t>
        </is>
      </c>
      <c r="AU53" s="15" t="n"/>
      <c r="AV53" s="18">
        <f>IF(AU53&lt;&gt;"","No – hold: "&amp;AU53,IF(AG53="","No – no confirmed London price per player",IF(AM53="","No – no email",IF(AO53="","No – no personalised email",IF(AS53&lt;&gt;"pass","No – suppressed","Yes")))))</f>
        <v/>
      </c>
      <c r="AX53" s="21" t="n"/>
      <c r="AY53" s="21" t="n"/>
    </row>
    <row r="54">
      <c r="A54" s="15" t="n">
        <v>52</v>
      </c>
      <c r="B54" s="15" t="n">
        <v>1</v>
      </c>
      <c r="C54" s="15" t="inlineStr">
        <is>
          <t>Tech / software</t>
        </is>
      </c>
      <c r="D54" s="15" t="inlineStr">
        <is>
          <t>EC1Y</t>
        </is>
      </c>
      <c r="E54" s="15" t="inlineStr">
        <is>
          <t>Yu Life Ltd</t>
        </is>
      </c>
      <c r="F54" s="15" t="inlineStr">
        <is>
          <t>Yu Life</t>
        </is>
      </c>
      <c r="G54" s="16" t="inlineStr">
        <is>
          <t>https://yulife.com</t>
        </is>
      </c>
      <c r="H54" s="15" t="inlineStr">
        <is>
          <t>Not stated</t>
        </is>
      </c>
      <c r="I54" s="15" t="inlineStr">
        <is>
          <t>10308260</t>
        </is>
      </c>
      <c r="J54" s="16" t="inlineStr">
        <is>
          <t>Open</t>
        </is>
      </c>
      <c r="K54" s="15" t="inlineStr">
        <is>
          <t>Full</t>
        </is>
      </c>
      <c r="L54" s="15" t="inlineStr">
        <is>
          <t>02/08/2016</t>
        </is>
      </c>
      <c r="M54" s="15" t="inlineStr">
        <is>
          <t>12 Mallow Street, London</t>
        </is>
      </c>
      <c r="N54" s="15" t="inlineStr">
        <is>
          <t>EC1Y 8RQ</t>
        </is>
      </c>
      <c r="O54" s="15" t="inlineStr">
        <is>
          <t>No</t>
        </is>
      </c>
      <c r="P54" s="15" t="inlineStr">
        <is>
          <t>Esme</t>
        </is>
      </c>
      <c r="Q54" s="15" t="inlineStr">
        <is>
          <t>Esme Muduroglu</t>
        </is>
      </c>
      <c r="R54" s="15" t="n"/>
      <c r="S54" s="15" t="inlineStr">
        <is>
          <t>esme.muduroglu@yulife.com</t>
        </is>
      </c>
      <c r="T54" s="15" t="inlineStr">
        <is>
          <t>a/b named person</t>
        </is>
      </c>
      <c r="U54" s="16" t="inlineStr">
        <is>
          <t>https://yulife.com/team/</t>
        </is>
      </c>
      <c r="X54" s="15" t="inlineStr">
        <is>
          <t>12 Mallow Street</t>
        </is>
      </c>
      <c r="Y54" s="15" t="inlineStr">
        <is>
          <t>EC1Y 8RQ</t>
        </is>
      </c>
      <c r="Z54" s="15" t="inlineStr">
        <is>
          <t>Website (12 Mallow Street)</t>
        </is>
      </c>
      <c r="AA54" s="15" t="inlineStr">
        <is>
          <t>Old St - Moreland Primary School</t>
        </is>
      </c>
      <c r="AB54" s="15" t="n">
        <v>13</v>
      </c>
      <c r="AC54" s="15" t="inlineStr">
        <is>
          <t>Old St - Moreland Primary School</t>
        </is>
      </c>
      <c r="AD54" s="15" t="inlineStr">
        <is>
          <t>Monday 12 October at 18:00</t>
        </is>
      </c>
      <c r="AE54" s="15" t="inlineStr">
        <is>
          <t>One-off</t>
        </is>
      </c>
      <c r="AF54" s="15" t="inlineStr">
        <is>
          <t>6-a-side</t>
        </is>
      </c>
      <c r="AG54" s="17">
        <f>IF(Offer!$D$5="","",Offer!$D$5)</f>
        <v/>
      </c>
      <c r="AH54" s="15" t="n"/>
      <c r="AI54" s="15" t="n"/>
      <c r="AJ54" s="15" t="inlineStr">
        <is>
          <t>none</t>
        </is>
      </c>
      <c r="AK54" s="15" t="inlineStr">
        <is>
          <t>low</t>
        </is>
      </c>
      <c r="AL54" s="15" t="inlineStr">
        <is>
          <t>The provided pages and two WebFetch attempts (about-us, team) only returned page titles, no body text (likely a JS-rendered site), so no real hook was found. Written without a personal opener.</t>
        </is>
      </c>
      <c r="AM54" s="18">
        <f>IF(V54&lt;&gt;"",V54,S54)</f>
        <v/>
      </c>
      <c r="AN54" s="18">
        <f>IF(AG54="","","A weekly 6-a-side near Mallow Street for Yu Life?")</f>
        <v/>
      </c>
      <c r="AO54" s="19" t="inlineStr">
        <is>
          <t>Hi Esme,
We've a 6-a-side pitch at the floodlit 3G pitch at Moreland School, Gard Street, EC1V 8DW, a 13-minute walk from 12 Mallow Street, with slots free Monday 12 October at 18:00 or 19:00.
It's {PRICE} a player, and we book the pitch and handle sign-ups and payments, so someone just shares one link with the team. It could easily become your regular weekly game, a good excuse to get the team outside after work.
Would your team be up for it?
Best,
Brian
FC Urban</t>
        </is>
      </c>
      <c r="AP54" s="19" t="inlineStr">
        <is>
          <t>Hi Esme,
Following up on the 6-a-side near Mallow Street. Monday 12 October still has slots at 18:00 and 19:00, or 20:00 if that's easier. It's {PRICE} a player, one link for the team, and we sort the rest.
Best,
Brian
FC Urban</t>
        </is>
      </c>
      <c r="AQ54" s="20">
        <f>IF(OR(AG54="",AO54=""),"",SUBSTITUTE(AO54,"{PRICE}","£"&amp;IF(AG54=INT(AG54),TEXT(AG54,"0"),TEXT(AG54,"0.00"))))</f>
        <v/>
      </c>
      <c r="AR54" s="20">
        <f>IF(OR(AG54="",AP54=""),"",SUBSTITUTE(AP54,"{PRICE}","£"&amp;IF(AG54=INT(AG54),TEXT(AG54,"0"),TEXT(AG54,"0.00"))))</f>
        <v/>
      </c>
      <c r="AS54" s="15" t="inlineStr">
        <is>
          <t>pass</t>
        </is>
      </c>
      <c r="AT54" s="15" t="inlineStr">
        <is>
          <t>MX ok · mailbox not verified</t>
        </is>
      </c>
      <c r="AU54" s="15" t="n"/>
      <c r="AV54" s="18">
        <f>IF(AU54&lt;&gt;"","No – hold: "&amp;AU54,IF(AG54="","No – no confirmed London price per player",IF(AM54="","No – no email",IF(AO54="","No – no personalised email",IF(AS54&lt;&gt;"pass","No – suppressed","Yes")))))</f>
        <v/>
      </c>
      <c r="AX54" s="21" t="n"/>
      <c r="AY54" s="21" t="n"/>
    </row>
    <row r="55">
      <c r="A55" s="15" t="n">
        <v>53</v>
      </c>
      <c r="B55" s="15" t="n">
        <v>2</v>
      </c>
      <c r="C55" s="15" t="inlineStr">
        <is>
          <t>Professional services (LLP)</t>
        </is>
      </c>
      <c r="D55" s="15" t="inlineStr">
        <is>
          <t>EC1V</t>
        </is>
      </c>
      <c r="E55" s="15" t="inlineStr">
        <is>
          <t>Creditex Brokerage LLP</t>
        </is>
      </c>
      <c r="F55" s="15" t="inlineStr">
        <is>
          <t>Creditex Brokerage</t>
        </is>
      </c>
      <c r="G55" s="16" t="inlineStr">
        <is>
          <t>https://creditexbrokeragellp.com</t>
        </is>
      </c>
      <c r="H55" s="15" t="n">
        <v>25</v>
      </c>
      <c r="I55" s="15" t="inlineStr">
        <is>
          <t>OC315800</t>
        </is>
      </c>
      <c r="J55" s="16" t="inlineStr">
        <is>
          <t>Open</t>
        </is>
      </c>
      <c r="K55" s="15" t="inlineStr">
        <is>
          <t>Full</t>
        </is>
      </c>
      <c r="L55" s="15" t="inlineStr">
        <is>
          <t>25/10/2005</t>
        </is>
      </c>
      <c r="M55" s="15" t="inlineStr">
        <is>
          <t>2Nd Floor, Sancroft Rose Street, Paternoster Square, London</t>
        </is>
      </c>
      <c r="N55" s="15" t="inlineStr">
        <is>
          <t>EC4M 7DQ</t>
        </is>
      </c>
      <c r="O55" s="15" t="inlineStr">
        <is>
          <t>No</t>
        </is>
      </c>
      <c r="P55" s="15" t="inlineStr">
        <is>
          <t>Emma</t>
        </is>
      </c>
      <c r="Q55" s="15" t="inlineStr">
        <is>
          <t>Emma Schneider</t>
        </is>
      </c>
      <c r="R55" s="15" t="inlineStr">
        <is>
          <t>PARTNER | UK &amp; EUROPE</t>
        </is>
      </c>
      <c r="S55" s="15" t="inlineStr">
        <is>
          <t>contact@creditexbrokeragellp.com</t>
        </is>
      </c>
      <c r="T55" s="15" t="inlineStr">
        <is>
          <t>a/b named person via general inbox</t>
        </is>
      </c>
      <c r="U55" s="16" t="inlineStr">
        <is>
          <t>https://creditexbrokeragellp.com/</t>
        </is>
      </c>
      <c r="X55" s="15" t="inlineStr">
        <is>
          <t>Kemp House, 160 City Road</t>
        </is>
      </c>
      <c r="Y55" s="15" t="inlineStr">
        <is>
          <t>EC1V 2NX</t>
        </is>
      </c>
      <c r="Z55" s="15" t="inlineStr">
        <is>
          <t>Website (Kemp House, 160 City Road)</t>
        </is>
      </c>
      <c r="AA55" s="15" t="inlineStr">
        <is>
          <t>Old St - Moreland Primary School</t>
        </is>
      </c>
      <c r="AB55" s="15" t="n">
        <v>11</v>
      </c>
      <c r="AC55" s="15" t="inlineStr">
        <is>
          <t>Old St - Moreland Primary School</t>
        </is>
      </c>
      <c r="AD55" s="15" t="inlineStr">
        <is>
          <t>Monday 12 October at 18:00</t>
        </is>
      </c>
      <c r="AE55" s="15" t="inlineStr">
        <is>
          <t>One-off</t>
        </is>
      </c>
      <c r="AF55" s="15" t="inlineStr">
        <is>
          <t>6-a-side</t>
        </is>
      </c>
      <c r="AG55" s="17">
        <f>IF(Offer!$D$5="","",Offer!$D$5)</f>
        <v/>
      </c>
      <c r="AH55" s="15" t="inlineStr">
        <is>
          <t>office at Kemp House, 160 City Road</t>
        </is>
      </c>
      <c r="AI55" s="16" t="inlineStr">
        <is>
          <t>https://creditexbrokeragellp.com/about/</t>
        </is>
      </c>
      <c r="AJ55" s="15" t="inlineStr">
        <is>
          <t>none</t>
        </is>
      </c>
      <c r="AK55" s="15" t="inlineStr">
        <is>
          <t>low</t>
        </is>
      </c>
      <c r="AL55" s="15" t="inlineStr">
        <is>
          <t>Site content looks templated/generic (US-style asset-protection boilerplate under an 'Insurance Brokerage' tagline) and reused across similarly branded sites; found no genuine, specific hook. contact@ looks like a general enquiry inbox, not Emma directly - worth checking it reaches her.</t>
        </is>
      </c>
      <c r="AM55" s="18">
        <f>IF(V55&lt;&gt;"",V55,S55)</f>
        <v/>
      </c>
      <c r="AN55" s="18">
        <f>IF(AG55="","","6-a-side, 11 minutes from Kemp House")</f>
        <v/>
      </c>
      <c r="AO55" s="19" t="inlineStr">
        <is>
          <t>Hi Emma,
We've got a floodlit 6-a-side pitch at Moreland School, just off Old Street, an 11-minute walk from Kemp House. There's a slot free Monday 12 October at 18:00, or 19:00 if that suits better, and it could become your team's regular weekly game.
It's {PRICE} a player, and we book the pitch and handle sign-ups and payments, so someone just shares one link with the team.
Shall I hold Monday for you?
Best,
Brian
FC Urban</t>
        </is>
      </c>
      <c r="AP55" s="19" t="inlineStr">
        <is>
          <t>Hi Emma,
Following up on the 6-a-side slot near Kemp House. Monday 12 October at 18:00 is still open, or 19:00 works too. It's {PRICE} a player, and we handle the booking and payments end to end. Keen to get your team on the pitch?
Best,
Brian
FC Urban</t>
        </is>
      </c>
      <c r="AQ55" s="20">
        <f>IF(OR(AG55="",AO55=""),"",SUBSTITUTE(AO55,"{PRICE}","£"&amp;IF(AG55=INT(AG55),TEXT(AG55,"0"),TEXT(AG55,"0.00"))))</f>
        <v/>
      </c>
      <c r="AR55" s="20">
        <f>IF(OR(AG55="",AP55=""),"",SUBSTITUTE(AP55,"{PRICE}","£"&amp;IF(AG55=INT(AG55),TEXT(AG55,"0"),TEXT(AG55,"0.00"))))</f>
        <v/>
      </c>
      <c r="AS55" s="15" t="inlineStr">
        <is>
          <t>pass</t>
        </is>
      </c>
      <c r="AT55" s="15" t="inlineStr">
        <is>
          <t>MX ok · mailbox not verified</t>
        </is>
      </c>
      <c r="AU55" s="15" t="n"/>
      <c r="AV55" s="18">
        <f>IF(AU55&lt;&gt;"","No – hold: "&amp;AU55,IF(AG55="","No – no confirmed London price per player",IF(AM55="","No – no email",IF(AO55="","No – no personalised email",IF(AS55&lt;&gt;"pass","No – suppressed","Yes")))))</f>
        <v/>
      </c>
      <c r="AX55" s="21" t="n"/>
      <c r="AY55" s="21" t="n"/>
    </row>
    <row r="56">
      <c r="A56" s="15" t="n">
        <v>54</v>
      </c>
      <c r="B56" s="15" t="n">
        <v>3</v>
      </c>
      <c r="C56" s="15" t="inlineStr">
        <is>
          <t>Tech / software</t>
        </is>
      </c>
      <c r="D56" s="15" t="inlineStr">
        <is>
          <t>E1</t>
        </is>
      </c>
      <c r="E56" s="15" t="inlineStr">
        <is>
          <t>Made Tech Limited</t>
        </is>
      </c>
      <c r="F56" s="15" t="inlineStr">
        <is>
          <t>Made Tech</t>
        </is>
      </c>
      <c r="G56" s="16" t="inlineStr">
        <is>
          <t>https://made.studio</t>
        </is>
      </c>
      <c r="H56" s="15" t="inlineStr">
        <is>
          <t>Not stated</t>
        </is>
      </c>
      <c r="I56" s="15" t="inlineStr">
        <is>
          <t>06591591</t>
        </is>
      </c>
      <c r="J56" s="16" t="inlineStr">
        <is>
          <t>Open</t>
        </is>
      </c>
      <c r="K56" s="15" t="inlineStr">
        <is>
          <t>Full</t>
        </is>
      </c>
      <c r="L56" s="15" t="inlineStr">
        <is>
          <t>13/05/2008</t>
        </is>
      </c>
      <c r="M56" s="15" t="inlineStr">
        <is>
          <t>Fora, 35-41 Folgate Street, London</t>
        </is>
      </c>
      <c r="N56" s="15" t="inlineStr">
        <is>
          <t>E1 6BX</t>
        </is>
      </c>
      <c r="O56" s="15" t="inlineStr">
        <is>
          <t>No</t>
        </is>
      </c>
      <c r="P56" s="15" t="n"/>
      <c r="Q56" s="15" t="n"/>
      <c r="R56" s="15" t="n"/>
      <c r="S56" s="15" t="inlineStr">
        <is>
          <t>hello@made.studio</t>
        </is>
      </c>
      <c r="T56" s="15" t="inlineStr">
        <is>
          <t>c general inbox</t>
        </is>
      </c>
      <c r="U56" s="16" t="inlineStr">
        <is>
          <t>https://made.studio/</t>
        </is>
      </c>
      <c r="X56" s="15" t="inlineStr">
        <is>
          <t>FORA, 35-41 FOLGATE STREET</t>
        </is>
      </c>
      <c r="Y56" s="15" t="inlineStr">
        <is>
          <t>E1 6BX</t>
        </is>
      </c>
      <c r="Z56" s="15" t="inlineStr">
        <is>
          <t>Website (FORA, 35-41 FOLGATE STREET)</t>
        </is>
      </c>
      <c r="AA56" s="15" t="inlineStr">
        <is>
          <t>Shoreditch Powerleague</t>
        </is>
      </c>
      <c r="AB56" s="15" t="n">
        <v>5</v>
      </c>
      <c r="AC56" s="15" t="inlineStr">
        <is>
          <t>Shoreditch Powerleague</t>
        </is>
      </c>
      <c r="AD56" s="15" t="inlineStr">
        <is>
          <t>Monday 28 September at 17:40</t>
        </is>
      </c>
      <c r="AE56" s="15" t="inlineStr">
        <is>
          <t>One-off</t>
        </is>
      </c>
      <c r="AF56" s="15" t="inlineStr">
        <is>
          <t>5-a-side</t>
        </is>
      </c>
      <c r="AG56" s="17">
        <f>IF(Offer!$D$5="","",Offer!$D$5)</f>
        <v/>
      </c>
      <c r="AH56" s="15" t="n"/>
      <c r="AI56" s="15" t="n"/>
      <c r="AJ56" s="15" t="inlineStr">
        <is>
          <t>none</t>
        </is>
      </c>
      <c r="AK56" s="15" t="inlineStr">
        <is>
          <t>low</t>
        </is>
      </c>
      <c r="AL56" s="15" t="inlineStr">
        <is>
          <t>IMPORTANT — likely wrong website on file: the website given (made.studio) is MADE STUDIO, a hardware/IoT product engineering firm based in Taipei, Taiwan, with no mention of London or the company name 'Made Tech'. This does not look like the same business as Made Tech Limited (UK, FORA, 35-41 Folgate Street, E1 6BX). No personal hook was used because the pages read are almost certainly the wrong company. Please verify the correct website/company before sending — hello@made.studio may not be the right inbox either.</t>
        </is>
      </c>
      <c r="AM56" s="18">
        <f>IF(V56&lt;&gt;"",V56,S56)</f>
        <v/>
      </c>
      <c r="AN56" s="18">
        <f>IF(AG56="","","5 minutes from Folgate Street: weekly 5-a-side")</f>
        <v/>
      </c>
      <c r="AO56" s="19" t="inlineStr">
        <is>
          <t>Hi Made Tech team,
We've got a 5-a-side pitch at Powerleague Shoreditch, Braithwaite Street, E1 6GJ, just a 5-minute walk from your Folgate Street office. There's a slot open Monday 28 September at 17:40, or 19:40 if that's easier, and it could become your weekly game. It's {PRICE} a player, and we book the pitch and handle sign-ups and payments, so someone just shares one link with the team. Would your team be up for it?
Best,
Brian
FC Urban</t>
        </is>
      </c>
      <c r="AP56" s="19" t="inlineStr">
        <is>
          <t>Hi Made Tech team,
Following up on the 5-a-side slot at Powerleague Shoreditch, a short walk from Folgate Street — Monday 28 September at 17:40 is still open, or Thursday 1 October at 18:20. It's {PRICE} a player; we handle the booking and payments. Let me know if you'd like it held.
Best,
Brian
FC Urban</t>
        </is>
      </c>
      <c r="AQ56" s="20">
        <f>IF(OR(AG56="",AO56=""),"",SUBSTITUTE(AO56,"{PRICE}","£"&amp;IF(AG56=INT(AG56),TEXT(AG56,"0"),TEXT(AG56,"0.00"))))</f>
        <v/>
      </c>
      <c r="AR56" s="20">
        <f>IF(OR(AG56="",AP56=""),"",SUBSTITUTE(AP56,"{PRICE}","£"&amp;IF(AG56=INT(AG56),TEXT(AG56,"0"),TEXT(AG56,"0.00"))))</f>
        <v/>
      </c>
      <c r="AS56" s="15" t="inlineStr">
        <is>
          <t>pass</t>
        </is>
      </c>
      <c r="AT56" s="15" t="inlineStr">
        <is>
          <t>MX ok · mailbox not verified</t>
        </is>
      </c>
      <c r="AU56" s="15" t="n"/>
      <c r="AV56" s="18">
        <f>IF(AU56&lt;&gt;"","No – hold: "&amp;AU56,IF(AG56="","No – no confirmed London price per player",IF(AM56="","No – no email",IF(AO56="","No – no personalised email",IF(AS56&lt;&gt;"pass","No – suppressed","Yes")))))</f>
        <v/>
      </c>
      <c r="AX56" s="21" t="n"/>
      <c r="AY56" s="21" t="n"/>
    </row>
    <row r="57">
      <c r="A57" s="15" t="n">
        <v>55</v>
      </c>
      <c r="B57" s="15" t="n">
        <v>3</v>
      </c>
      <c r="C57" s="15" t="inlineStr">
        <is>
          <t>Tech / software</t>
        </is>
      </c>
      <c r="D57" s="15" t="inlineStr">
        <is>
          <t>EC2A</t>
        </is>
      </c>
      <c r="E57" s="15" t="inlineStr">
        <is>
          <t>Clover Technology Ltd</t>
        </is>
      </c>
      <c r="F57" s="15" t="inlineStr">
        <is>
          <t>Clover Technology</t>
        </is>
      </c>
      <c r="G57" s="16" t="inlineStr">
        <is>
          <t>https://www.clovertechnology.co.uk</t>
        </is>
      </c>
      <c r="H57" s="15" t="inlineStr">
        <is>
          <t>Not stated</t>
        </is>
      </c>
      <c r="I57" s="15" t="inlineStr">
        <is>
          <t>13206820</t>
        </is>
      </c>
      <c r="J57" s="16" t="inlineStr">
        <is>
          <t>Open</t>
        </is>
      </c>
      <c r="K57" s="15" t="inlineStr">
        <is>
          <t>Full</t>
        </is>
      </c>
      <c r="L57" s="15" t="inlineStr">
        <is>
          <t>17/02/2021</t>
        </is>
      </c>
      <c r="M57" s="15" t="inlineStr">
        <is>
          <t>86-90 Paul Street, London</t>
        </is>
      </c>
      <c r="N57" s="15" t="inlineStr">
        <is>
          <t>EC2A 4NE</t>
        </is>
      </c>
      <c r="O57" s="15" t="inlineStr">
        <is>
          <t>No</t>
        </is>
      </c>
      <c r="P57" s="15" t="n"/>
      <c r="Q57" s="15" t="n"/>
      <c r="R57" s="15" t="n"/>
      <c r="S57" s="15" t="inlineStr">
        <is>
          <t>info@clovertechnology.co.uk</t>
        </is>
      </c>
      <c r="T57" s="15" t="inlineStr">
        <is>
          <t>c general inbox</t>
        </is>
      </c>
      <c r="U57" s="16" t="inlineStr">
        <is>
          <t>https://www.clovertechnology.co.uk/</t>
        </is>
      </c>
      <c r="X57" s="15" t="inlineStr">
        <is>
          <t>86-90 Paul Street</t>
        </is>
      </c>
      <c r="Y57" s="15" t="inlineStr">
        <is>
          <t>EC2A 4NE</t>
        </is>
      </c>
      <c r="Z57" s="15" t="inlineStr">
        <is>
          <t>Website (86-90 Paul Street)</t>
        </is>
      </c>
      <c r="AA57" s="15" t="inlineStr">
        <is>
          <t>Shoreditch Powerleague</t>
        </is>
      </c>
      <c r="AB57" s="15" t="n">
        <v>10</v>
      </c>
      <c r="AC57" s="15" t="inlineStr">
        <is>
          <t>Shoreditch Powerleague</t>
        </is>
      </c>
      <c r="AD57" s="15" t="inlineStr">
        <is>
          <t>Monday 28 September at 17:40</t>
        </is>
      </c>
      <c r="AE57" s="15" t="inlineStr">
        <is>
          <t>One-off</t>
        </is>
      </c>
      <c r="AF57" s="15" t="inlineStr">
        <is>
          <t>5-a-side</t>
        </is>
      </c>
      <c r="AG57" s="17">
        <f>IF(Offer!$D$5="","",Offer!$D$5)</f>
        <v/>
      </c>
      <c r="AH57" s="15" t="n"/>
      <c r="AI57" s="15" t="n"/>
      <c r="AJ57" s="15" t="inlineStr">
        <is>
          <t>none</t>
        </is>
      </c>
      <c r="AK57" s="15" t="inlineStr">
        <is>
          <t>low</t>
        </is>
      </c>
      <c r="AL57" s="15" t="inlineStr">
        <is>
          <t>Website is largely broken — /contact, /contact-us, /about and /team all return an in-app error page; only the homepage loaded, giving a generic 2021 launch blurb and no team/culture content. Two extra fetches (to /about and /news) confirmed the same. Inbox is a generic info@ address — verify it reaches a real person before relying on this send.</t>
        </is>
      </c>
      <c r="AM57" s="18">
        <f>IF(V57&lt;&gt;"",V57,S57)</f>
        <v/>
      </c>
      <c r="AN57" s="18">
        <f>IF(AG57="","","A weekly 5-a-side, 10 min from Paul Street")</f>
        <v/>
      </c>
      <c r="AO57" s="19" t="inlineStr">
        <is>
          <t>Hi Clover Technology team,
We have a 5-a-side pitch at Powerleague Shoreditch, Braithwaite Street, E1 6GJ, a 10-minute walk from Paul Street, with Monday 28 September at 17:40 open, or 19:40 if that's easier — it can become your regular weekly game. It's {PRICE} a player, and we book the pitch and handle sign-ups and payments, so someone just shares one link with the team. Would your team be up for it?
Best,
Brian
FC Urban</t>
        </is>
      </c>
      <c r="AP57" s="19" t="inlineStr">
        <is>
          <t>Hi again,
Just checking whether a weekly 5-a-side would suit Clover Technology. Monday 28 September at 19:40 is still open at Powerleague Shoreditch, 10 minutes from Paul Street, or Thursday 1 October at 18:20 if better. It's {PRICE} a player, and we handle the pitch, sign-ups and payments. Let me know.
Best,
Brian
FC Urban</t>
        </is>
      </c>
      <c r="AQ57" s="20">
        <f>IF(OR(AG57="",AO57=""),"",SUBSTITUTE(AO57,"{PRICE}","£"&amp;IF(AG57=INT(AG57),TEXT(AG57,"0"),TEXT(AG57,"0.00"))))</f>
        <v/>
      </c>
      <c r="AR57" s="20">
        <f>IF(OR(AG57="",AP57=""),"",SUBSTITUTE(AP57,"{PRICE}","£"&amp;IF(AG57=INT(AG57),TEXT(AG57,"0"),TEXT(AG57,"0.00"))))</f>
        <v/>
      </c>
      <c r="AS57" s="15" t="inlineStr">
        <is>
          <t>pass</t>
        </is>
      </c>
      <c r="AT57" s="15" t="inlineStr">
        <is>
          <t>MX ok · mailbox not verified</t>
        </is>
      </c>
      <c r="AU57" s="15" t="n"/>
      <c r="AV57" s="18">
        <f>IF(AU57&lt;&gt;"","No – hold: "&amp;AU57,IF(AG57="","No – no confirmed London price per player",IF(AM57="","No – no email",IF(AO57="","No – no personalised email",IF(AS57&lt;&gt;"pass","No – suppressed","Yes")))))</f>
        <v/>
      </c>
      <c r="AX57" s="21" t="n"/>
      <c r="AY57" s="21" t="n"/>
    </row>
    <row r="58">
      <c r="A58" s="15" t="n">
        <v>56</v>
      </c>
      <c r="B58" s="15" t="n">
        <v>3</v>
      </c>
      <c r="C58" s="15" t="inlineStr">
        <is>
          <t>Marketing / agency</t>
        </is>
      </c>
      <c r="D58" s="15" t="inlineStr">
        <is>
          <t>EC2A</t>
        </is>
      </c>
      <c r="E58" s="15" t="inlineStr">
        <is>
          <t>Louder Productions Limited</t>
        </is>
      </c>
      <c r="F58" s="15" t="inlineStr">
        <is>
          <t>Louder Productions</t>
        </is>
      </c>
      <c r="G58" s="16" t="inlineStr">
        <is>
          <t>https://www.louderproductions.com</t>
        </is>
      </c>
      <c r="H58" s="15" t="inlineStr">
        <is>
          <t>Not stated</t>
        </is>
      </c>
      <c r="I58" s="15" t="inlineStr">
        <is>
          <t>06459817</t>
        </is>
      </c>
      <c r="J58" s="16" t="inlineStr">
        <is>
          <t>Open</t>
        </is>
      </c>
      <c r="K58" s="15" t="inlineStr">
        <is>
          <t>Group</t>
        </is>
      </c>
      <c r="L58" s="15" t="inlineStr">
        <is>
          <t>27/12/2007</t>
        </is>
      </c>
      <c r="M58" s="15" t="inlineStr">
        <is>
          <t>27 Paul Street, London</t>
        </is>
      </c>
      <c r="N58" s="15" t="inlineStr">
        <is>
          <t>EC2A 4JU</t>
        </is>
      </c>
      <c r="O58" s="15" t="inlineStr">
        <is>
          <t>No</t>
        </is>
      </c>
      <c r="P58" s="15" t="n"/>
      <c r="Q58" s="15" t="n"/>
      <c r="R58" s="15" t="n"/>
      <c r="S58" s="15" t="inlineStr">
        <is>
          <t>info@louderproductions.com</t>
        </is>
      </c>
      <c r="T58" s="15" t="inlineStr">
        <is>
          <t>c general inbox</t>
        </is>
      </c>
      <c r="U58" s="16" t="inlineStr">
        <is>
          <t>https://louderproductions.com/contact-us/</t>
        </is>
      </c>
      <c r="X58" s="15" t="n"/>
      <c r="Y58" s="15" t="inlineStr">
        <is>
          <t>EC2A 4JU</t>
        </is>
      </c>
      <c r="Z58" s="15" t="inlineStr">
        <is>
          <t>Registered office (no address on website)</t>
        </is>
      </c>
      <c r="AA58" s="15" t="inlineStr">
        <is>
          <t>Shoreditch Powerleague</t>
        </is>
      </c>
      <c r="AB58" s="15" t="n">
        <v>10</v>
      </c>
      <c r="AC58" s="15" t="inlineStr">
        <is>
          <t>Shoreditch Powerleague</t>
        </is>
      </c>
      <c r="AD58" s="15" t="inlineStr">
        <is>
          <t>Monday 28 September at 17:40</t>
        </is>
      </c>
      <c r="AE58" s="15" t="inlineStr">
        <is>
          <t>One-off</t>
        </is>
      </c>
      <c r="AF58" s="15" t="inlineStr">
        <is>
          <t>5-a-side</t>
        </is>
      </c>
      <c r="AG58" s="17">
        <f>IF(Offer!$D$5="","",Offer!$D$5)</f>
        <v/>
      </c>
      <c r="AH58" s="15" t="n"/>
      <c r="AI58" s="15" t="n"/>
      <c r="AJ58" s="15" t="inlineStr">
        <is>
          <t>none</t>
        </is>
      </c>
      <c r="AK58" s="15" t="inlineStr">
        <is>
          <t>low</t>
        </is>
      </c>
      <c r="AL58" s="15" t="inlineStr">
        <is>
          <t>Website content (louderproductions.com) is entirely about a Los Angeles-based music-for-film/TV production house at 17412 Ventura Blvd, LA — no mention of a London team, office life or culture. The UK company number's registered office (EC2A 4JU) may just be a formal/accountant's address with no staff on site. Flag for Brian to confirm there's actually a London team before sending.</t>
        </is>
      </c>
      <c r="AM58" s="18">
        <f>IF(V58&lt;&gt;"",V58,S58)</f>
        <v/>
      </c>
      <c r="AN58" s="18">
        <f>IF(AG58="","","A weekly 5-a-side, 10 min from your EC2A office")</f>
        <v/>
      </c>
      <c r="AO58" s="19" t="inlineStr">
        <is>
          <t>Hi Louder Productions team,
We have a 5-a-side pitch at Powerleague Shoreditch, Braithwaite Street, E1 6GJ, a 10-minute walk from your EC2A 4JU office, with Monday 28 September at 17:40 open, or 19:40 if that's easier — it can become your regular weekly game. It's {PRICE} a player, and we book the pitch and handle sign-ups and payments, so someone just shares one link with the team. Would your team be up for it?
Best,
Brian
FC Urban</t>
        </is>
      </c>
      <c r="AP58" s="19" t="inlineStr">
        <is>
          <t>Hi again,
Just checking whether a weekly 5-a-side would suit the Louder Productions team. Monday 28 September at 19:40 is still open at Powerleague Shoreditch, 10 minutes from your office, or Thursday 1 October at 18:20 works too. It's {PRICE} a player, and we handle everything else.
Best,
Brian
FC Urban</t>
        </is>
      </c>
      <c r="AQ58" s="20">
        <f>IF(OR(AG58="",AO58=""),"",SUBSTITUTE(AO58,"{PRICE}","£"&amp;IF(AG58=INT(AG58),TEXT(AG58,"0"),TEXT(AG58,"0.00"))))</f>
        <v/>
      </c>
      <c r="AR58" s="20">
        <f>IF(OR(AG58="",AP58=""),"",SUBSTITUTE(AP58,"{PRICE}","£"&amp;IF(AG58=INT(AG58),TEXT(AG58,"0"),TEXT(AG58,"0.00"))))</f>
        <v/>
      </c>
      <c r="AS58" s="15" t="inlineStr">
        <is>
          <t>pass</t>
        </is>
      </c>
      <c r="AT58" s="15" t="inlineStr">
        <is>
          <t>MX ok · mailbox not verified</t>
        </is>
      </c>
      <c r="AU58" s="15" t="n"/>
      <c r="AV58" s="18">
        <f>IF(AU58&lt;&gt;"","No – hold: "&amp;AU58,IF(AG58="","No – no confirmed London price per player",IF(AM58="","No – no email",IF(AO58="","No – no personalised email",IF(AS58&lt;&gt;"pass","No – suppressed","Yes")))))</f>
        <v/>
      </c>
      <c r="AX58" s="21" t="n"/>
      <c r="AY58" s="21" t="n"/>
    </row>
    <row r="59">
      <c r="A59" s="15" t="n">
        <v>57</v>
      </c>
      <c r="B59" s="15" t="n">
        <v>3</v>
      </c>
      <c r="C59" s="15" t="inlineStr">
        <is>
          <t>Tech / software</t>
        </is>
      </c>
      <c r="D59" s="15" t="inlineStr">
        <is>
          <t>EC2A</t>
        </is>
      </c>
      <c r="E59" s="15" t="inlineStr">
        <is>
          <t>Arcontech Group PLC</t>
        </is>
      </c>
      <c r="F59" s="15" t="inlineStr">
        <is>
          <t>Arcontech</t>
        </is>
      </c>
      <c r="G59" s="16" t="inlineStr">
        <is>
          <t>https://www.arcontech.com</t>
        </is>
      </c>
      <c r="H59" s="15" t="inlineStr">
        <is>
          <t>Not stated</t>
        </is>
      </c>
      <c r="I59" s="15" t="inlineStr">
        <is>
          <t>04062416</t>
        </is>
      </c>
      <c r="J59" s="16" t="inlineStr">
        <is>
          <t>Open</t>
        </is>
      </c>
      <c r="K59" s="15" t="inlineStr">
        <is>
          <t>Group</t>
        </is>
      </c>
      <c r="L59" s="15" t="inlineStr">
        <is>
          <t>24/08/2000</t>
        </is>
      </c>
      <c r="M59" s="15" t="inlineStr">
        <is>
          <t>1St Floor, 11-21 Paul Street, London</t>
        </is>
      </c>
      <c r="N59" s="15" t="inlineStr">
        <is>
          <t>EC2A 4JU</t>
        </is>
      </c>
      <c r="O59" s="15" t="inlineStr">
        <is>
          <t>No</t>
        </is>
      </c>
      <c r="P59" s="15" t="n"/>
      <c r="Q59" s="15" t="n"/>
      <c r="R59" s="15" t="n"/>
      <c r="S59" s="15" t="inlineStr">
        <is>
          <t>mail@arcontech.com</t>
        </is>
      </c>
      <c r="T59" s="15" t="inlineStr">
        <is>
          <t>c general inbox</t>
        </is>
      </c>
      <c r="U59" s="16" t="inlineStr">
        <is>
          <t>https://www.arcontech.com/</t>
        </is>
      </c>
      <c r="X59" s="15" t="inlineStr">
        <is>
          <t>1st Floor, 11-21 Paul Street</t>
        </is>
      </c>
      <c r="Y59" s="15" t="inlineStr">
        <is>
          <t>EC2A 4JU</t>
        </is>
      </c>
      <c r="Z59" s="15" t="inlineStr">
        <is>
          <t>Website (1st Floor, 11-21 Paul Street)</t>
        </is>
      </c>
      <c r="AA59" s="15" t="inlineStr">
        <is>
          <t>Shoreditch Powerleague</t>
        </is>
      </c>
      <c r="AB59" s="15" t="n">
        <v>10</v>
      </c>
      <c r="AC59" s="15" t="inlineStr">
        <is>
          <t>Shoreditch Powerleague</t>
        </is>
      </c>
      <c r="AD59" s="15" t="inlineStr">
        <is>
          <t>Monday 28 September at 17:40</t>
        </is>
      </c>
      <c r="AE59" s="15" t="inlineStr">
        <is>
          <t>One-off</t>
        </is>
      </c>
      <c r="AF59" s="15" t="inlineStr">
        <is>
          <t>5-a-side</t>
        </is>
      </c>
      <c r="AG59" s="17">
        <f>IF(Offer!$D$5="","",Offer!$D$5)</f>
        <v/>
      </c>
      <c r="AH59" s="15" t="n"/>
      <c r="AI59" s="15" t="n"/>
      <c r="AJ59" s="15" t="inlineStr">
        <is>
          <t>none</t>
        </is>
      </c>
      <c r="AK59" s="15" t="inlineStr">
        <is>
          <t>low</t>
        </is>
      </c>
      <c r="AL59" s="15" t="inlineStr">
        <is>
          <t>Site (arcontech.com) is a small AIM-listed market-data software firm (founded 1979) — pages read are corporate/investor-relations content (directors, compliance, product) with no team, culture or office-life content. Two extra fetches to likely press-release URLs both 404'd. The send-to address (mail@arcontech.com) is listed for 'Shareholder or General Enquiries', so may route to finance/company secretary rather than someone who'd organise a five-a-side.</t>
        </is>
      </c>
      <c r="AM59" s="18">
        <f>IF(V59&lt;&gt;"",V59,S59)</f>
        <v/>
      </c>
      <c r="AN59" s="18">
        <f>IF(AG59="","","A weekly 5-a-side, 10 min from Paul Street")</f>
        <v/>
      </c>
      <c r="AO59" s="19" t="inlineStr">
        <is>
          <t>Hi Arcontech team,
We have a 5-a-side pitch at Powerleague Shoreditch, Braithwaite Street, E1 6GJ, a 10-minute walk from Paul Street, with Monday 28 September at 17:40 open, or 19:40 if that's easier — it can become your regular weekly game. It's {PRICE} a player, and we book the pitch and handle sign-ups and payments, so someone just shares one link with the team. Would your team be up for it?
Best,
Brian
FC Urban</t>
        </is>
      </c>
      <c r="AP59" s="19" t="inlineStr">
        <is>
          <t>Hi again,
Just checking whether a weekly 5-a-side would suit Arcontech. Monday 28 September at 19:40 is still open at Powerleague Shoreditch, 10 minutes from Paul Street, or Thursday 1 October at 18:20 if better. It's {PRICE} a player, and we handle the pitch, sign-ups and payments. Let me know.
Best,
Brian
FC Urban</t>
        </is>
      </c>
      <c r="AQ59" s="20">
        <f>IF(OR(AG59="",AO59=""),"",SUBSTITUTE(AO59,"{PRICE}","£"&amp;IF(AG59=INT(AG59),TEXT(AG59,"0"),TEXT(AG59,"0.00"))))</f>
        <v/>
      </c>
      <c r="AR59" s="20">
        <f>IF(OR(AG59="",AP59=""),"",SUBSTITUTE(AP59,"{PRICE}","£"&amp;IF(AG59=INT(AG59),TEXT(AG59,"0"),TEXT(AG59,"0.00"))))</f>
        <v/>
      </c>
      <c r="AS59" s="15" t="inlineStr">
        <is>
          <t>pass</t>
        </is>
      </c>
      <c r="AT59" s="15" t="inlineStr">
        <is>
          <t>MX ok · mailbox not verified</t>
        </is>
      </c>
      <c r="AU59" s="15" t="n"/>
      <c r="AV59" s="18">
        <f>IF(AU59&lt;&gt;"","No – hold: "&amp;AU59,IF(AG59="","No – no confirmed London price per player",IF(AM59="","No – no email",IF(AO59="","No – no personalised email",IF(AS59&lt;&gt;"pass","No – suppressed","Yes")))))</f>
        <v/>
      </c>
      <c r="AX59" s="21" t="n"/>
      <c r="AY59" s="21" t="n"/>
    </row>
    <row r="60">
      <c r="A60" s="15" t="n">
        <v>58</v>
      </c>
      <c r="B60" s="15" t="n">
        <v>3</v>
      </c>
      <c r="C60" s="15" t="inlineStr">
        <is>
          <t>Marketing / agency</t>
        </is>
      </c>
      <c r="D60" s="15" t="inlineStr">
        <is>
          <t>N1</t>
        </is>
      </c>
      <c r="E60" s="15" t="inlineStr">
        <is>
          <t>Blue Square Marketing Limited</t>
        </is>
      </c>
      <c r="F60" s="15" t="inlineStr">
        <is>
          <t>Blue Square Marketing</t>
        </is>
      </c>
      <c r="G60" s="16" t="inlineStr">
        <is>
          <t>https://bluesquare.io</t>
        </is>
      </c>
      <c r="H60" s="15" t="inlineStr">
        <is>
          <t>Not stated</t>
        </is>
      </c>
      <c r="I60" s="15" t="inlineStr">
        <is>
          <t>06797461</t>
        </is>
      </c>
      <c r="J60" s="16" t="inlineStr">
        <is>
          <t>Open</t>
        </is>
      </c>
      <c r="K60" s="15" t="inlineStr">
        <is>
          <t>Medium</t>
        </is>
      </c>
      <c r="L60" s="15" t="inlineStr">
        <is>
          <t>21/01/2009</t>
        </is>
      </c>
      <c r="M60" s="15" t="inlineStr">
        <is>
          <t>10 East Road, London</t>
        </is>
      </c>
      <c r="N60" s="15" t="inlineStr">
        <is>
          <t>N1 6AD</t>
        </is>
      </c>
      <c r="O60" s="15" t="inlineStr">
        <is>
          <t>No</t>
        </is>
      </c>
      <c r="P60" s="15" t="n"/>
      <c r="Q60" s="15" t="n"/>
      <c r="R60" s="15" t="n"/>
      <c r="S60" s="15" t="inlineStr">
        <is>
          <t>contact@bluesquare.io</t>
        </is>
      </c>
      <c r="T60" s="15" t="inlineStr">
        <is>
          <t>c general inbox</t>
        </is>
      </c>
      <c r="U60" s="16" t="inlineStr">
        <is>
          <t>https://bluesquare.io/</t>
        </is>
      </c>
      <c r="X60" s="15" t="n"/>
      <c r="Y60" s="15" t="inlineStr">
        <is>
          <t>N1 6AD</t>
        </is>
      </c>
      <c r="Z60" s="15" t="inlineStr">
        <is>
          <t>Website</t>
        </is>
      </c>
      <c r="AA60" s="15" t="inlineStr">
        <is>
          <t>Old St - Moreland Primary School</t>
        </is>
      </c>
      <c r="AB60" s="15" t="n">
        <v>12</v>
      </c>
      <c r="AC60" s="15" t="inlineStr">
        <is>
          <t>Old St - Moreland Primary School</t>
        </is>
      </c>
      <c r="AD60" s="15" t="inlineStr">
        <is>
          <t>Monday 12 October at 18:00</t>
        </is>
      </c>
      <c r="AE60" s="15" t="inlineStr">
        <is>
          <t>One-off</t>
        </is>
      </c>
      <c r="AF60" s="15" t="inlineStr">
        <is>
          <t>6-a-side</t>
        </is>
      </c>
      <c r="AG60" s="17">
        <f>IF(Offer!$D$5="","",Offer!$D$5)</f>
        <v/>
      </c>
      <c r="AH60" s="15" t="n"/>
      <c r="AI60" s="15" t="n"/>
      <c r="AJ60" s="15" t="inlineStr">
        <is>
          <t>none</t>
        </is>
      </c>
      <c r="AK60" s="15" t="inlineStr">
        <is>
          <t>low</t>
        </is>
      </c>
      <c r="AL60" s="15" t="inlineStr">
        <is>
          <t>bluesquare.io pages returned almost no content (just the word 'Bluesquare' on contact/team/home), and /about and /careers both 404'd — likely a JS-rendered site the crawler couldn't read. No hook found; email is generic and based only on the postcode.</t>
        </is>
      </c>
      <c r="AM60" s="18">
        <f>IF(V60&lt;&gt;"",V60,S60)</f>
        <v/>
      </c>
      <c r="AN60" s="18">
        <f>IF(AG60="","","A weekly 6-a-side pitch, 12 minutes from your N1 office")</f>
        <v/>
      </c>
      <c r="AO60" s="19" t="inlineStr">
        <is>
          <t>Hi Blue Square Marketing team,
We've a floodlit 3G pitch at Moreland School, just off Old Street, a 12-minute walk from your N1 office. There's a 6-a-side slot free on Monday 12 October at 18:00, or 19:00 if that suits better, and it can easily become a weekly fixture for the team.
It's {PRICE} a player, and we book the pitch and handle sign-ups and payments, so someone just shares one link with the team.
Would your team be up for it?
Best,
Brian
FC Urban</t>
        </is>
      </c>
      <c r="AP60" s="19" t="inlineStr">
        <is>
          <t>Following up on Monday 12 October — the 6-a-side slot at Moreland School (18:00 or 19:00) is still free, 12 minutes from your N1 office. It's {PRICE} a player, and we handle the pitch booking and payments end to end. Would this suit as a weekly game?
Best,
Brian</t>
        </is>
      </c>
      <c r="AQ60" s="20">
        <f>IF(OR(AG60="",AO60=""),"",SUBSTITUTE(AO60,"{PRICE}","£"&amp;IF(AG60=INT(AG60),TEXT(AG60,"0"),TEXT(AG60,"0.00"))))</f>
        <v/>
      </c>
      <c r="AR60" s="20">
        <f>IF(OR(AG60="",AP60=""),"",SUBSTITUTE(AP60,"{PRICE}","£"&amp;IF(AG60=INT(AG60),TEXT(AG60,"0"),TEXT(AG60,"0.00"))))</f>
        <v/>
      </c>
      <c r="AS60" s="15" t="inlineStr">
        <is>
          <t>pass</t>
        </is>
      </c>
      <c r="AT60" s="15" t="inlineStr">
        <is>
          <t>MX ok · mailbox not verified</t>
        </is>
      </c>
      <c r="AU60" s="15" t="n"/>
      <c r="AV60" s="18">
        <f>IF(AU60&lt;&gt;"","No – hold: "&amp;AU60,IF(AG60="","No – no confirmed London price per player",IF(AM60="","No – no email",IF(AO60="","No – no personalised email",IF(AS60&lt;&gt;"pass","No – suppressed","Yes")))))</f>
        <v/>
      </c>
      <c r="AX60" s="21" t="n"/>
      <c r="AY60" s="21" t="n"/>
    </row>
    <row r="61">
      <c r="A61" s="15" t="n">
        <v>59</v>
      </c>
      <c r="B61" s="15" t="n">
        <v>3</v>
      </c>
      <c r="C61" s="15" t="inlineStr">
        <is>
          <t>Tech / software</t>
        </is>
      </c>
      <c r="D61" s="15" t="inlineStr">
        <is>
          <t>EC1M</t>
        </is>
      </c>
      <c r="E61" s="15" t="inlineStr">
        <is>
          <t>Container Solutions Software Group Ltd</t>
        </is>
      </c>
      <c r="F61" s="15" t="inlineStr">
        <is>
          <t>Container Solutions Software</t>
        </is>
      </c>
      <c r="G61" s="16" t="inlineStr">
        <is>
          <t>https://www.container-solutions.com</t>
        </is>
      </c>
      <c r="H61" s="15" t="inlineStr">
        <is>
          <t>Not stated</t>
        </is>
      </c>
      <c r="I61" s="15" t="inlineStr">
        <is>
          <t>14061734</t>
        </is>
      </c>
      <c r="J61" s="16" t="inlineStr">
        <is>
          <t>Open</t>
        </is>
      </c>
      <c r="K61" s="15" t="inlineStr">
        <is>
          <t>Full</t>
        </is>
      </c>
      <c r="L61" s="15" t="inlineStr">
        <is>
          <t>22/04/2022</t>
        </is>
      </c>
      <c r="M61" s="15" t="inlineStr">
        <is>
          <t>29 Clerkenwell Road, London</t>
        </is>
      </c>
      <c r="N61" s="15" t="inlineStr">
        <is>
          <t>EC1M 5RN</t>
        </is>
      </c>
      <c r="O61" s="15" t="inlineStr">
        <is>
          <t>No</t>
        </is>
      </c>
      <c r="P61" s="15" t="n"/>
      <c r="Q61" s="15" t="n"/>
      <c r="R61" s="15" t="n"/>
      <c r="S61" s="15" t="inlineStr">
        <is>
          <t>info@container-solutions.com</t>
        </is>
      </c>
      <c r="T61" s="15" t="inlineStr">
        <is>
          <t>c general inbox</t>
        </is>
      </c>
      <c r="U61" s="16" t="inlineStr">
        <is>
          <t>https://www.container-solutions.com/</t>
        </is>
      </c>
      <c r="X61" s="15" t="inlineStr">
        <is>
          <t>29 CLERKENWELL ROAD</t>
        </is>
      </c>
      <c r="Y61" s="15" t="inlineStr">
        <is>
          <t>EC1M 5RN</t>
        </is>
      </c>
      <c r="Z61" s="15" t="inlineStr">
        <is>
          <t>Website (29 CLERKENWELL ROAD)</t>
        </is>
      </c>
      <c r="AA61" s="15" t="inlineStr">
        <is>
          <t>Old St - Moreland Primary School</t>
        </is>
      </c>
      <c r="AB61" s="15" t="n">
        <v>13</v>
      </c>
      <c r="AC61" s="15" t="inlineStr">
        <is>
          <t>Old St - Moreland Primary School</t>
        </is>
      </c>
      <c r="AD61" s="15" t="inlineStr">
        <is>
          <t>Monday 12 October at 18:00</t>
        </is>
      </c>
      <c r="AE61" s="15" t="inlineStr">
        <is>
          <t>One-off</t>
        </is>
      </c>
      <c r="AF61" s="15" t="inlineStr">
        <is>
          <t>6-a-side</t>
        </is>
      </c>
      <c r="AG61" s="17">
        <f>IF(Offer!$D$5="","",Offer!$D$5)</f>
        <v/>
      </c>
      <c r="AH61" s="15" t="n"/>
      <c r="AI61" s="15" t="n"/>
      <c r="AJ61" s="15" t="inlineStr">
        <is>
          <t>none</t>
        </is>
      </c>
      <c r="AK61" s="15" t="inlineStr">
        <is>
          <t>low</t>
        </is>
      </c>
      <c r="AL61" s="15" t="inlineStr">
        <is>
          <t>send_to is a generic info@ inbox, no named contact found. Only the homepage had real content; /careers and /blog both returned 404, so no personal hook was found.</t>
        </is>
      </c>
      <c r="AM61" s="18">
        <f>IF(V61&lt;&gt;"",V61,S61)</f>
        <v/>
      </c>
      <c r="AN61" s="18">
        <f>IF(AG61="","","Weekly 6-a-side, 13 min from Clerkenwell Road")</f>
        <v/>
      </c>
      <c r="AO61" s="19" t="inlineStr">
        <is>
          <t>Hi Container Solutions Software team,
We have a floodlit 6-a-side pitch at Moreland School, Gard Street, just off Old Street, a 13-minute walk from Clerkenwell Road. There's an open slot on Monday 12 October at 18:00, or 19:00 if that suits better, and it could easily become your regular weekly game. It's {PRICE} a player, and we book the pitch and handle sign-ups and payments, so someone just shares one link with the team. Shall I hold Monday for you?
Best,
Brian
FC Urban</t>
        </is>
      </c>
      <c r="AP61" s="19" t="inlineStr">
        <is>
          <t>Hi again, just checking whether Monday 12 October still works for a game at Moreland School, 13 minutes from Clerkenwell Road. The 18:00 or 19:00 slot is still open. It's {PRICE} a player, and we handle the booking and sign-ups, so it's one link for your team. Worth a try?
Best,
Brian
FC Urban</t>
        </is>
      </c>
      <c r="AQ61" s="20">
        <f>IF(OR(AG61="",AO61=""),"",SUBSTITUTE(AO61,"{PRICE}","£"&amp;IF(AG61=INT(AG61),TEXT(AG61,"0"),TEXT(AG61,"0.00"))))</f>
        <v/>
      </c>
      <c r="AR61" s="20">
        <f>IF(OR(AG61="",AP61=""),"",SUBSTITUTE(AP61,"{PRICE}","£"&amp;IF(AG61=INT(AG61),TEXT(AG61,"0"),TEXT(AG61,"0.00"))))</f>
        <v/>
      </c>
      <c r="AS61" s="15" t="inlineStr">
        <is>
          <t>pass</t>
        </is>
      </c>
      <c r="AT61" s="15" t="inlineStr">
        <is>
          <t>MX ok · mailbox not verified</t>
        </is>
      </c>
      <c r="AU61" s="15" t="n"/>
      <c r="AV61" s="18">
        <f>IF(AU61&lt;&gt;"","No – hold: "&amp;AU61,IF(AG61="","No – no confirmed London price per player",IF(AM61="","No – no email",IF(AO61="","No – no personalised email",IF(AS61&lt;&gt;"pass","No – suppressed","Yes")))))</f>
        <v/>
      </c>
      <c r="AX61" s="21" t="n"/>
      <c r="AY61" s="21" t="n"/>
    </row>
    <row r="62">
      <c r="A62" s="15" t="n">
        <v>60</v>
      </c>
      <c r="B62" s="15" t="n">
        <v>3</v>
      </c>
      <c r="C62" s="15" t="inlineStr">
        <is>
          <t>Tech / software</t>
        </is>
      </c>
      <c r="D62" s="15" t="inlineStr">
        <is>
          <t>EC2M</t>
        </is>
      </c>
      <c r="E62" s="15" t="inlineStr">
        <is>
          <t>Parseq Limited</t>
        </is>
      </c>
      <c r="F62" s="15" t="inlineStr">
        <is>
          <t>Parseq</t>
        </is>
      </c>
      <c r="G62" s="16" t="inlineStr">
        <is>
          <t>https://www.parseq.com</t>
        </is>
      </c>
      <c r="H62" s="15" t="inlineStr">
        <is>
          <t>Not stated</t>
        </is>
      </c>
      <c r="I62" s="15" t="inlineStr">
        <is>
          <t>05815806</t>
        </is>
      </c>
      <c r="J62" s="16" t="inlineStr">
        <is>
          <t>Open</t>
        </is>
      </c>
      <c r="K62" s="15" t="inlineStr">
        <is>
          <t>Group</t>
        </is>
      </c>
      <c r="L62" s="15" t="inlineStr">
        <is>
          <t>12/05/2006</t>
        </is>
      </c>
      <c r="M62" s="15" t="inlineStr">
        <is>
          <t>Lower Ground Floor, Park House, 16/18, Finsbury Circus, London</t>
        </is>
      </c>
      <c r="N62" s="15" t="inlineStr">
        <is>
          <t>EC2M 7EB</t>
        </is>
      </c>
      <c r="O62" s="15" t="inlineStr">
        <is>
          <t>No</t>
        </is>
      </c>
      <c r="P62" s="15" t="n"/>
      <c r="Q62" s="15" t="n"/>
      <c r="R62" s="15" t="n"/>
      <c r="S62" s="15" t="inlineStr">
        <is>
          <t>info@parseq.com</t>
        </is>
      </c>
      <c r="T62" s="15" t="inlineStr">
        <is>
          <t>c general inbox</t>
        </is>
      </c>
      <c r="U62" s="16" t="inlineStr">
        <is>
          <t>https://www.parseq.com/</t>
        </is>
      </c>
      <c r="X62" s="15" t="inlineStr">
        <is>
          <t>LOWER GROUND FLOOR, PARK HOUSE, 16/18, FINSBURY CIRCUS</t>
        </is>
      </c>
      <c r="Y62" s="15" t="inlineStr">
        <is>
          <t>EC2M 7EB</t>
        </is>
      </c>
      <c r="Z62" s="15" t="inlineStr">
        <is>
          <t>Website (LOWER GROUND FLOOR, PARK HOUSE, 16/18, FINSBURY CIRCUS)</t>
        </is>
      </c>
      <c r="AA62" s="15" t="inlineStr">
        <is>
          <t>Shoreditch Powerleague</t>
        </is>
      </c>
      <c r="AB62" s="15" t="n">
        <v>15</v>
      </c>
      <c r="AC62" s="15" t="inlineStr">
        <is>
          <t>Shoreditch Powerleague</t>
        </is>
      </c>
      <c r="AD62" s="15" t="inlineStr">
        <is>
          <t>Monday 28 September at 17:40</t>
        </is>
      </c>
      <c r="AE62" s="15" t="inlineStr">
        <is>
          <t>One-off</t>
        </is>
      </c>
      <c r="AF62" s="15" t="inlineStr">
        <is>
          <t>5-a-side</t>
        </is>
      </c>
      <c r="AG62" s="17">
        <f>IF(Offer!$D$5="","",Offer!$D$5)</f>
        <v/>
      </c>
      <c r="AH62" s="15" t="n"/>
      <c r="AI62" s="15" t="n"/>
      <c r="AJ62" s="15" t="inlineStr">
        <is>
          <t>none</t>
        </is>
      </c>
      <c r="AK62" s="15" t="inlineStr">
        <is>
          <t>low</t>
        </is>
      </c>
      <c r="AL62" s="15" t="inlineStr">
        <is>
          <t>send_to is a generic info@ inbox. Only the homepage had real content; /careers and /careers/life-at-parseq returned no extractable text (likely JS-rendered), so no personal hook was found.</t>
        </is>
      </c>
      <c r="AM62" s="18">
        <f>IF(V62&lt;&gt;"",V62,S62)</f>
        <v/>
      </c>
      <c r="AN62" s="18">
        <f>IF(AG62="","","Weekly 5-a-side, 15 min from Finsbury Circus")</f>
        <v/>
      </c>
      <c r="AO62" s="19" t="inlineStr">
        <is>
          <t>Hi Parseq team,
We have a five-a-side pitch at Powerleague Shoreditch, Braithwaite Street, a 15-minute walk from Finsbury Circus. There's an open slot on Monday 28 September at 17:40, or 19:40 if that works better, and it can easily become your regular weekly game. It's {PRICE} a player, and we book the pitch and handle sign-ups and payments, so someone just shares one link with the team. Shall I hold Monday for you?
Best,
Brian
FC Urban</t>
        </is>
      </c>
      <c r="AP62" s="19" t="inlineStr">
        <is>
          <t>Hi again, checking whether a weekly five-a-side still appeals to the Parseq team. Powerleague Shoreditch has Thursday 1 October at 18:20 open, 15 minutes from Finsbury Circus. It's {PRICE} a player, we handle the booking and sign-ups, one link for the team. Worth a try?
Best,
Brian
FC Urban</t>
        </is>
      </c>
      <c r="AQ62" s="20">
        <f>IF(OR(AG62="",AO62=""),"",SUBSTITUTE(AO62,"{PRICE}","£"&amp;IF(AG62=INT(AG62),TEXT(AG62,"0"),TEXT(AG62,"0.00"))))</f>
        <v/>
      </c>
      <c r="AR62" s="20">
        <f>IF(OR(AG62="",AP62=""),"",SUBSTITUTE(AP62,"{PRICE}","£"&amp;IF(AG62=INT(AG62),TEXT(AG62,"0"),TEXT(AG62,"0.00"))))</f>
        <v/>
      </c>
      <c r="AS62" s="15" t="inlineStr">
        <is>
          <t>pass</t>
        </is>
      </c>
      <c r="AT62" s="15" t="inlineStr">
        <is>
          <t>MX ok · mailbox not verified</t>
        </is>
      </c>
      <c r="AU62" s="15" t="n"/>
      <c r="AV62" s="18">
        <f>IF(AU62&lt;&gt;"","No – hold: "&amp;AU62,IF(AG62="","No – no confirmed London price per player",IF(AM62="","No – no email",IF(AO62="","No – no personalised email",IF(AS62&lt;&gt;"pass","No – suppressed","Yes")))))</f>
        <v/>
      </c>
      <c r="AX62" s="21" t="n"/>
      <c r="AY62" s="21" t="n"/>
    </row>
    <row r="63">
      <c r="A63" s="15" t="n">
        <v>61</v>
      </c>
      <c r="B63" s="15" t="n">
        <v>3</v>
      </c>
      <c r="C63" s="15" t="inlineStr">
        <is>
          <t>Tech / software</t>
        </is>
      </c>
      <c r="D63" s="15" t="inlineStr">
        <is>
          <t>EC2M</t>
        </is>
      </c>
      <c r="E63" s="15" t="inlineStr">
        <is>
          <t>Quantexa Limited</t>
        </is>
      </c>
      <c r="F63" s="15" t="inlineStr">
        <is>
          <t>Quantexa</t>
        </is>
      </c>
      <c r="G63" s="16" t="inlineStr">
        <is>
          <t>https://www.quantexa.com</t>
        </is>
      </c>
      <c r="H63" s="15" t="inlineStr">
        <is>
          <t>Not stated</t>
        </is>
      </c>
      <c r="I63" s="15" t="inlineStr">
        <is>
          <t>10045407</t>
        </is>
      </c>
      <c r="J63" s="16" t="inlineStr">
        <is>
          <t>Open</t>
        </is>
      </c>
      <c r="K63" s="15" t="inlineStr">
        <is>
          <t>Group</t>
        </is>
      </c>
      <c r="L63" s="15" t="inlineStr">
        <is>
          <t>07/03/2016</t>
        </is>
      </c>
      <c r="M63" s="15" t="inlineStr">
        <is>
          <t>C/O Company Secretarial Department, 280 Bishopsgate, London</t>
        </is>
      </c>
      <c r="N63" s="15" t="inlineStr">
        <is>
          <t>EC2M 4AG</t>
        </is>
      </c>
      <c r="O63" s="15" t="inlineStr">
        <is>
          <t>No</t>
        </is>
      </c>
      <c r="P63" s="15" t="n"/>
      <c r="Q63" s="15" t="n"/>
      <c r="R63" s="15" t="n"/>
      <c r="S63" s="15" t="inlineStr">
        <is>
          <t>info@quantexa.com</t>
        </is>
      </c>
      <c r="T63" s="15" t="inlineStr">
        <is>
          <t>c general inbox</t>
        </is>
      </c>
      <c r="U63" s="16" t="inlineStr">
        <is>
          <t>https://www.quantexa.com/</t>
        </is>
      </c>
      <c r="X63" s="15" t="n"/>
      <c r="Y63" s="15" t="inlineStr">
        <is>
          <t>EC2M 4AG</t>
        </is>
      </c>
      <c r="Z63" s="15" t="inlineStr">
        <is>
          <t>Website (other page)</t>
        </is>
      </c>
      <c r="AA63" s="15" t="inlineStr">
        <is>
          <t>Shoreditch Powerleague</t>
        </is>
      </c>
      <c r="AB63" s="15" t="n">
        <v>7</v>
      </c>
      <c r="AC63" s="15" t="inlineStr">
        <is>
          <t>Shoreditch Powerleague</t>
        </is>
      </c>
      <c r="AD63" s="15" t="inlineStr">
        <is>
          <t>Monday 28 September at 17:40</t>
        </is>
      </c>
      <c r="AE63" s="15" t="inlineStr">
        <is>
          <t>One-off</t>
        </is>
      </c>
      <c r="AF63" s="15" t="inlineStr">
        <is>
          <t>5-a-side</t>
        </is>
      </c>
      <c r="AG63" s="17">
        <f>IF(Offer!$D$5="","",Offer!$D$5)</f>
        <v/>
      </c>
      <c r="AH63" s="15" t="inlineStr">
        <is>
          <t>Quantexa is celebrating its 10th anniversary, opening a new office in Malaga</t>
        </is>
      </c>
      <c r="AI63" s="15" t="inlineStr">
        <is>
          <t>https://www.quantexa.com/events/register/opening-of-quantexa-new-malaga-office/</t>
        </is>
      </c>
      <c r="AJ63" s="15" t="inlineStr">
        <is>
          <t>milestone</t>
        </is>
      </c>
      <c r="AK63" s="15" t="inlineStr">
        <is>
          <t>high</t>
        </is>
      </c>
      <c r="AL63" s="15" t="inlineStr">
        <is>
          <t>Registered office (EC2M 4AG, 280 Bishopsgate) is used per office_postcode; actual HQ listed elsewhere as 10 York Road SE1 7ND, so worth confirming which site the team sits at before sending.</t>
        </is>
      </c>
      <c r="AM63" s="18">
        <f>IF(V63&lt;&gt;"",V63,S63)</f>
        <v/>
      </c>
      <c r="AN63" s="18">
        <f>IF(AG63="","","Ten years in - fancy a weekly 5-a-side?")</f>
        <v/>
      </c>
      <c r="AO63" s="19" t="inlineStr">
        <is>
          <t>Hi Quantexa team,
Congratulations on ten years in business, especially with a new office just opening in Malaga. A growing team like yours is exactly the sort that ends up loving a regular game. We have a 5-a-side pitch at Powerleague Shoreditch, on Braithwaite Street, a 7-minute walk from your EC2M 4AG office. There's a slot free Monday 28 September at 17:40, or 19:40, and it could easily become your weekly fixture. It's {PRICE} a player, and we book the pitch and handle sign-ups and payments, so someone just shares one link with the team. Shall I hold the 17:40 slot for you?
Best,
Brian
FC Urban</t>
        </is>
      </c>
      <c r="AP63" s="19" t="inlineStr">
        <is>
          <t>Hi Quantexa team,
Just following up on a weekly 5-a-side near your EC2M 4AG office. Monday 28 September at 19:40 at Powerleague Shoreditch is still free. It's {PRICE} a player, and we handle the pitch, sign-ups and payments end to end. Let me know if you'd like it held.
Best,
Brian
FC Urban</t>
        </is>
      </c>
      <c r="AQ63" s="20">
        <f>IF(OR(AG63="",AO63=""),"",SUBSTITUTE(AO63,"{PRICE}","£"&amp;IF(AG63=INT(AG63),TEXT(AG63,"0"),TEXT(AG63,"0.00"))))</f>
        <v/>
      </c>
      <c r="AR63" s="20">
        <f>IF(OR(AG63="",AP63=""),"",SUBSTITUTE(AP63,"{PRICE}","£"&amp;IF(AG63=INT(AG63),TEXT(AG63,"0"),TEXT(AG63,"0.00"))))</f>
        <v/>
      </c>
      <c r="AS63" s="15" t="inlineStr">
        <is>
          <t>pass</t>
        </is>
      </c>
      <c r="AT63" s="15" t="inlineStr">
        <is>
          <t>MX ok · mailbox not verified</t>
        </is>
      </c>
      <c r="AU63" s="15" t="inlineStr">
        <is>
          <t>check headcount (likely over 500)</t>
        </is>
      </c>
      <c r="AV63" s="18">
        <f>IF(AU63&lt;&gt;"","No – hold: "&amp;AU63,IF(AG63="","No – no confirmed London price per player",IF(AM63="","No – no email",IF(AO63="","No – no personalised email",IF(AS63&lt;&gt;"pass","No – suppressed","Yes")))))</f>
        <v/>
      </c>
      <c r="AX63" s="21" t="n"/>
      <c r="AY63" s="21" t="n"/>
    </row>
    <row r="64">
      <c r="A64" s="15" t="n">
        <v>62</v>
      </c>
      <c r="B64" s="15" t="n">
        <v>3</v>
      </c>
      <c r="C64" s="15" t="inlineStr">
        <is>
          <t>Architecture</t>
        </is>
      </c>
      <c r="D64" s="15" t="inlineStr">
        <is>
          <t>EC1V</t>
        </is>
      </c>
      <c r="E64" s="15" t="inlineStr">
        <is>
          <t>Maccreanor Lavington Limited</t>
        </is>
      </c>
      <c r="F64" s="15" t="inlineStr">
        <is>
          <t>Maccreanor Lavington</t>
        </is>
      </c>
      <c r="G64" s="16" t="inlineStr">
        <is>
          <t>https://www.maccreanorlavington.com</t>
        </is>
      </c>
      <c r="H64" s="15" t="n">
        <v>80</v>
      </c>
      <c r="I64" s="15" t="inlineStr">
        <is>
          <t>04944069</t>
        </is>
      </c>
      <c r="J64" s="16" t="inlineStr">
        <is>
          <t>Open</t>
        </is>
      </c>
      <c r="K64" s="15" t="inlineStr">
        <is>
          <t>Group</t>
        </is>
      </c>
      <c r="L64" s="15" t="inlineStr">
        <is>
          <t>27/10/2003</t>
        </is>
      </c>
      <c r="M64" s="15" t="inlineStr">
        <is>
          <t>4Th Floor, 63 -71 Gee Street, London</t>
        </is>
      </c>
      <c r="N64" s="15" t="inlineStr">
        <is>
          <t>EC1V 3RS</t>
        </is>
      </c>
      <c r="O64" s="15" t="inlineStr">
        <is>
          <t>No</t>
        </is>
      </c>
      <c r="P64" s="15" t="n"/>
      <c r="Q64" s="15" t="n"/>
      <c r="R64" s="15" t="n"/>
      <c r="S64" s="15" t="inlineStr">
        <is>
          <t>nl@maccreanorlavington.com</t>
        </is>
      </c>
      <c r="T64" s="15" t="inlineStr">
        <is>
          <t>c general inbox</t>
        </is>
      </c>
      <c r="U64" s="16" t="inlineStr">
        <is>
          <t>https://www.maccreanorlavington.com/</t>
        </is>
      </c>
      <c r="X64" s="15" t="inlineStr">
        <is>
          <t>63 Gee Street</t>
        </is>
      </c>
      <c r="Y64" s="15" t="inlineStr">
        <is>
          <t>EC1V 3RS</t>
        </is>
      </c>
      <c r="Z64" s="15" t="inlineStr">
        <is>
          <t>Website (63 Gee Street)</t>
        </is>
      </c>
      <c r="AA64" s="15" t="inlineStr">
        <is>
          <t>Old St - Moreland Primary School</t>
        </is>
      </c>
      <c r="AB64" s="15" t="n">
        <v>7</v>
      </c>
      <c r="AC64" s="15" t="inlineStr">
        <is>
          <t>Old St - Moreland Primary School</t>
        </is>
      </c>
      <c r="AD64" s="15" t="inlineStr">
        <is>
          <t>Monday 12 October at 18:00</t>
        </is>
      </c>
      <c r="AE64" s="15" t="inlineStr">
        <is>
          <t>One-off</t>
        </is>
      </c>
      <c r="AF64" s="15" t="inlineStr">
        <is>
          <t>6-a-side</t>
        </is>
      </c>
      <c r="AG64" s="17">
        <f>IF(Offer!$D$5="","",Offer!$D$5)</f>
        <v/>
      </c>
      <c r="AH64" s="15" t="inlineStr">
        <is>
          <t>An 80-person practice recognised with the RIBA Stirling Prize</t>
        </is>
      </c>
      <c r="AI64" s="16" t="inlineStr">
        <is>
          <t>https://www.maccreanorlavington.com/practice/about-us/</t>
        </is>
      </c>
      <c r="AJ64" s="15" t="inlineStr">
        <is>
          <t>milestone</t>
        </is>
      </c>
      <c r="AK64" s="15" t="inlineStr">
        <is>
          <t>high</t>
        </is>
      </c>
      <c r="AL64" s="15" t="inlineStr">
        <is>
          <t>Send-to address is the Rotterdam inbox (nl@maccreanorlavington.com) even though office_street/postcode given are the London (Gee Street) office - worth checking this reaches the London team.</t>
        </is>
      </c>
      <c r="AM64" s="18">
        <f>IF(V64&lt;&gt;"",V64,S64)</f>
        <v/>
      </c>
      <c r="AN64" s="18">
        <f>IF(AG64="","","A 6-a-side pitch 7 minutes from Gee Street")</f>
        <v/>
      </c>
      <c r="AO64" s="19" t="inlineStr">
        <is>
          <t>Hi Maccreanor Lavington team,
Congratulations on the RIBA Stirling Prize recognition, quite the achievement for a practice of around 80 people. A close-knit team like yours often takes well to a regular match together. We have a floodlit 6-a-side 3G pitch at Moreland School, Gard Street, just off Old Street, a 7-minute walk from Gee Street. There's a slot free Monday 12 October at 18:00, or 19:00, and it could easily become your weekly fixture. It's {PRICE} a player, and we book the pitch and handle sign-ups and payments, so someone just shares one link with the team. Shall I hold the 18:00 slot for you?
Best,
Brian
FC Urban</t>
        </is>
      </c>
      <c r="AP64" s="19" t="inlineStr">
        <is>
          <t>Hi Maccreanor Lavington team,
Just checking back on a weekly 6-a-side near Gee Street. Monday 12 October at 19:00 at Moreland School is still free. It's {PRICE} a player, and we handle the pitch, sign-ups and payments end to end. Let me know if you'd like it held.
Best,
Brian
FC Urban</t>
        </is>
      </c>
      <c r="AQ64" s="20">
        <f>IF(OR(AG64="",AO64=""),"",SUBSTITUTE(AO64,"{PRICE}","£"&amp;IF(AG64=INT(AG64),TEXT(AG64,"0"),TEXT(AG64,"0.00"))))</f>
        <v/>
      </c>
      <c r="AR64" s="20">
        <f>IF(OR(AG64="",AP64=""),"",SUBSTITUTE(AP64,"{PRICE}","£"&amp;IF(AG64=INT(AG64),TEXT(AG64,"0"),TEXT(AG64,"0.00"))))</f>
        <v/>
      </c>
      <c r="AS64" s="15" t="inlineStr">
        <is>
          <t>pass</t>
        </is>
      </c>
      <c r="AT64" s="15" t="inlineStr">
        <is>
          <t>MX ok · mailbox not verified</t>
        </is>
      </c>
      <c r="AU64" s="15" t="inlineStr">
        <is>
          <t>inbox is another country or CV/careers inbox</t>
        </is>
      </c>
      <c r="AV64" s="18">
        <f>IF(AU64&lt;&gt;"","No – hold: "&amp;AU64,IF(AG64="","No – no confirmed London price per player",IF(AM64="","No – no email",IF(AO64="","No – no personalised email",IF(AS64&lt;&gt;"pass","No – suppressed","Yes")))))</f>
        <v/>
      </c>
      <c r="AX64" s="21" t="n"/>
      <c r="AY64" s="21" t="n"/>
    </row>
    <row r="65">
      <c r="A65" s="15" t="n">
        <v>63</v>
      </c>
      <c r="B65" s="15" t="n">
        <v>3</v>
      </c>
      <c r="C65" s="15" t="inlineStr">
        <is>
          <t>Professional services (LLP)</t>
        </is>
      </c>
      <c r="D65" s="15" t="inlineStr">
        <is>
          <t>E2</t>
        </is>
      </c>
      <c r="E65" s="15" t="inlineStr">
        <is>
          <t>Valeo Foods (Group) UK LLP</t>
        </is>
      </c>
      <c r="F65" s="15" t="inlineStr">
        <is>
          <t>Valeo Foods</t>
        </is>
      </c>
      <c r="G65" s="16" t="inlineStr">
        <is>
          <t>https://www.valeofoods.co.uk</t>
        </is>
      </c>
      <c r="H65" s="15" t="inlineStr">
        <is>
          <t>Not stated</t>
        </is>
      </c>
      <c r="I65" s="15" t="inlineStr">
        <is>
          <t>OC391111</t>
        </is>
      </c>
      <c r="J65" s="16" t="inlineStr">
        <is>
          <t>Open</t>
        </is>
      </c>
      <c r="K65" s="15" t="inlineStr">
        <is>
          <t>Full</t>
        </is>
      </c>
      <c r="L65" s="15" t="inlineStr">
        <is>
          <t>13/02/2014</t>
        </is>
      </c>
      <c r="M65" s="15" t="inlineStr">
        <is>
          <t>9 Perseverance Works, Kingsland Road, London</t>
        </is>
      </c>
      <c r="N65" s="15" t="inlineStr">
        <is>
          <t>E2 8DD</t>
        </is>
      </c>
      <c r="O65" s="15" t="inlineStr">
        <is>
          <t>No</t>
        </is>
      </c>
      <c r="P65" s="15" t="n"/>
      <c r="Q65" s="15" t="n"/>
      <c r="R65" s="15" t="n"/>
      <c r="S65" s="15" t="inlineStr">
        <is>
          <t>consumers@valeofoods.co.uk</t>
        </is>
      </c>
      <c r="T65" s="15" t="inlineStr">
        <is>
          <t>c general inbox</t>
        </is>
      </c>
      <c r="U65" s="16" t="inlineStr">
        <is>
          <t>https://www.valeofoods.co.uk/contact</t>
        </is>
      </c>
      <c r="X65" s="15" t="inlineStr">
        <is>
          <t>9 Perseverance Works, Kingsland Road, London</t>
        </is>
      </c>
      <c r="Y65" s="15" t="inlineStr">
        <is>
          <t>E2 8DD</t>
        </is>
      </c>
      <c r="Z65" s="15" t="inlineStr">
        <is>
          <t>Website (9 Perseverance Works, Kingsland Road, London)</t>
        </is>
      </c>
      <c r="AA65" s="15" t="inlineStr">
        <is>
          <t>Shoreditch Powerleague</t>
        </is>
      </c>
      <c r="AB65" s="15" t="n">
        <v>9</v>
      </c>
      <c r="AC65" s="15" t="inlineStr">
        <is>
          <t>Shoreditch Powerleague</t>
        </is>
      </c>
      <c r="AD65" s="15" t="inlineStr">
        <is>
          <t>Monday 28 September at 17:40</t>
        </is>
      </c>
      <c r="AE65" s="15" t="inlineStr">
        <is>
          <t>One-off</t>
        </is>
      </c>
      <c r="AF65" s="15" t="inlineStr">
        <is>
          <t>5-a-side</t>
        </is>
      </c>
      <c r="AG65" s="17">
        <f>IF(Offer!$D$5="","",Offer!$D$5)</f>
        <v/>
      </c>
      <c r="AH65" s="15" t="inlineStr">
        <is>
          <t>Valeo Foods' KETTLE Chips brand is Official Partner of the ICC Women's T20 World Cup 2026</t>
        </is>
      </c>
      <c r="AI65" s="15" t="inlineStr">
        <is>
          <t>https://www.valeofoods.co.uk/news</t>
        </is>
      </c>
      <c r="AJ65" s="15" t="inlineStr">
        <is>
          <t>culture/sport</t>
        </is>
      </c>
      <c r="AK65" s="15" t="inlineStr">
        <is>
          <t>high</t>
        </is>
      </c>
      <c r="AL65" s="15" t="inlineStr">
        <is>
          <t>Office_street given (9 Perseverance Works, Kingsland Road) is actually Rowse Honey/Bakery Foods' registered address; Valeo Foods UK is a large multi-brand group (13 UK manufacturing sites) so this small London office may just be a registered/admin address rather than where the team sits.</t>
        </is>
      </c>
      <c r="AM65" s="18">
        <f>IF(V65&lt;&gt;"",V65,S65)</f>
        <v/>
      </c>
      <c r="AN65" s="18">
        <f>IF(AG65="","","KETTLE Chips sponsor cricket - fancy football?")</f>
        <v/>
      </c>
      <c r="AO65" s="19" t="inlineStr">
        <is>
          <t>Hi Valeo Foods team,
Great to see your KETTLE Chips brand named Official Partner of the ICC Women's T20 World Cup 2026, proof the team backs sport as much as snacks. In that spirit, we have a 5-a-side pitch at Powerleague Shoreditch, on Braithwaite Street, a 9-minute walk from your Perseverance Works office. There's a slot free Monday 28 September at 17:40, or 19:40, and it could become your regular weekly game. It's {PRICE} a player, and we book the pitch and handle sign-ups and payments, so someone just shares one link with the team. Shall I hold the 17:40 slot for you?
Best,
Brian
FC Urban</t>
        </is>
      </c>
      <c r="AP65" s="19" t="inlineStr">
        <is>
          <t>Hi Valeo Foods team,
Following up on a weekly 5-a-side near Perseverance Works. Monday 28 September at 19:40 at Powerleague Shoreditch is still open. It's {PRICE} a player, and we handle the pitch, sign-ups and payments end to end. Let me know if that suits.
Best,
Brian
FC Urban</t>
        </is>
      </c>
      <c r="AQ65" s="20">
        <f>IF(OR(AG65="",AO65=""),"",SUBSTITUTE(AO65,"{PRICE}","£"&amp;IF(AG65=INT(AG65),TEXT(AG65,"0"),TEXT(AG65,"0.00"))))</f>
        <v/>
      </c>
      <c r="AR65" s="20">
        <f>IF(OR(AG65="",AP65=""),"",SUBSTITUTE(AP65,"{PRICE}","£"&amp;IF(AG65=INT(AG65),TEXT(AG65,"0"),TEXT(AG65,"0.00"))))</f>
        <v/>
      </c>
      <c r="AS65" s="15" t="inlineStr">
        <is>
          <t>pass</t>
        </is>
      </c>
      <c r="AT65" s="15" t="inlineStr">
        <is>
          <t>MX ok · mailbox not verified</t>
        </is>
      </c>
      <c r="AU65" s="15" t="inlineStr">
        <is>
          <t>check headcount (likely over 500)</t>
        </is>
      </c>
      <c r="AV65" s="18">
        <f>IF(AU65&lt;&gt;"","No – hold: "&amp;AU65,IF(AG65="","No – no confirmed London price per player",IF(AM65="","No – no email",IF(AO65="","No – no personalised email",IF(AS65&lt;&gt;"pass","No – suppressed","Yes")))))</f>
        <v/>
      </c>
      <c r="AX65" s="21" t="n"/>
      <c r="AY65" s="21" t="n"/>
    </row>
    <row r="66">
      <c r="A66" s="15" t="n">
        <v>64</v>
      </c>
      <c r="B66" s="15" t="n">
        <v>3</v>
      </c>
      <c r="C66" s="15" t="inlineStr">
        <is>
          <t>Recruitment</t>
        </is>
      </c>
      <c r="D66" s="15" t="inlineStr">
        <is>
          <t>EC2A</t>
        </is>
      </c>
      <c r="E66" s="15" t="inlineStr">
        <is>
          <t>Your World Recruitment Limited</t>
        </is>
      </c>
      <c r="F66" s="15" t="inlineStr">
        <is>
          <t>Your World Recruitment</t>
        </is>
      </c>
      <c r="G66" s="16" t="inlineStr">
        <is>
          <t>https://www.yourworld.com</t>
        </is>
      </c>
      <c r="H66" s="15" t="inlineStr">
        <is>
          <t>Not stated</t>
        </is>
      </c>
      <c r="I66" s="15" t="inlineStr">
        <is>
          <t>05460751</t>
        </is>
      </c>
      <c r="J66" s="16" t="inlineStr">
        <is>
          <t>Open</t>
        </is>
      </c>
      <c r="K66" s="15" t="inlineStr">
        <is>
          <t>Full</t>
        </is>
      </c>
      <c r="L66" s="15" t="inlineStr">
        <is>
          <t>23/05/2005</t>
        </is>
      </c>
      <c r="M66" s="15" t="inlineStr">
        <is>
          <t>4Th Floor, 69 Wilson Street, London</t>
        </is>
      </c>
      <c r="N66" s="15" t="inlineStr">
        <is>
          <t>EC2A 2BB</t>
        </is>
      </c>
      <c r="O66" s="15" t="inlineStr">
        <is>
          <t>No</t>
        </is>
      </c>
      <c r="P66" s="15" t="n"/>
      <c r="Q66" s="15" t="n"/>
      <c r="R66" s="15" t="n"/>
      <c r="S66" s="15" t="inlineStr">
        <is>
          <t>info@yourworld.com</t>
        </is>
      </c>
      <c r="T66" s="15" t="inlineStr">
        <is>
          <t>c general inbox</t>
        </is>
      </c>
      <c r="U66" s="16" t="inlineStr">
        <is>
          <t>https://www.yourworld.com/uk/contact</t>
        </is>
      </c>
      <c r="X66" s="15" t="inlineStr">
        <is>
          <t>4th Floor, 69 Wilson Street</t>
        </is>
      </c>
      <c r="Y66" s="15" t="inlineStr">
        <is>
          <t>EC2A 2BB</t>
        </is>
      </c>
      <c r="Z66" s="15" t="inlineStr">
        <is>
          <t>Website (4th Floor, 69 Wilson Street)</t>
        </is>
      </c>
      <c r="AA66" s="15" t="inlineStr">
        <is>
          <t>Shoreditch Powerleague</t>
        </is>
      </c>
      <c r="AB66" s="15" t="n">
        <v>11</v>
      </c>
      <c r="AC66" s="15" t="inlineStr">
        <is>
          <t>Shoreditch Powerleague</t>
        </is>
      </c>
      <c r="AD66" s="15" t="inlineStr">
        <is>
          <t>Monday 28 September at 17:40</t>
        </is>
      </c>
      <c r="AE66" s="15" t="inlineStr">
        <is>
          <t>One-off</t>
        </is>
      </c>
      <c r="AF66" s="15" t="inlineStr">
        <is>
          <t>5-a-side</t>
        </is>
      </c>
      <c r="AG66" s="17">
        <f>IF(Offer!$D$5="","",Offer!$D$5)</f>
        <v/>
      </c>
      <c r="AH66" s="15" t="inlineStr">
        <is>
          <t>In 2025 they supplied 5,565 staff to healthcare providers and worked with 770 organisations</t>
        </is>
      </c>
      <c r="AI66" s="15" t="inlineStr">
        <is>
          <t>https://www.yourworld.com/uk/about-us</t>
        </is>
      </c>
      <c r="AJ66" s="15" t="inlineStr">
        <is>
          <t>milestone</t>
        </is>
      </c>
      <c r="AK66" s="15" t="inlineStr">
        <is>
          <t>high</t>
        </is>
      </c>
      <c r="AL66" s="15" t="n"/>
      <c r="AM66" s="18">
        <f>IF(V66&lt;&gt;"",V66,S66)</f>
        <v/>
      </c>
      <c r="AN66" s="18">
        <f>IF(AG66="","","A weekly game 11 minutes from Wilson Street")</f>
        <v/>
      </c>
      <c r="AO66" s="19" t="inlineStr">
        <is>
          <t>Hi Your World Recruitment team,
Great to see Your World supplied 5,565 staff to healthcare providers and worked with 770 organisations in 2025 - quite a year for the team.
We run 5-a-side at Powerleague Shoreditch, Braithwaite Street, an 11-minute walk from your office on Wilson Street. Monday 28 September at 17:40 is open, or 19:40 the same evening, and it can become your regular weekly game.
It's {PRICE} a player, and we book the pitch and handle sign-ups and payments, so someone just shares one link with the team.
Would your team be up for it?
Best,
Brian
FC Urban</t>
        </is>
      </c>
      <c r="AP66" s="19" t="inlineStr">
        <is>
          <t>Hi Your World Recruitment team,
Following up on the 5-a-side slot at Powerleague Shoreditch - Monday 28 September at 17:40, or Thursday 1 October at 18:20 if easier. It's {PRICE} a player, and we handle sign-ups and payments, so it's one link for the team.
Best,
Brian
FC Urban</t>
        </is>
      </c>
      <c r="AQ66" s="20">
        <f>IF(OR(AG66="",AO66=""),"",SUBSTITUTE(AO66,"{PRICE}","£"&amp;IF(AG66=INT(AG66),TEXT(AG66,"0"),TEXT(AG66,"0.00"))))</f>
        <v/>
      </c>
      <c r="AR66" s="20">
        <f>IF(OR(AG66="",AP66=""),"",SUBSTITUTE(AP66,"{PRICE}","£"&amp;IF(AG66=INT(AG66),TEXT(AG66,"0"),TEXT(AG66,"0.00"))))</f>
        <v/>
      </c>
      <c r="AS66" s="15" t="inlineStr">
        <is>
          <t>pass</t>
        </is>
      </c>
      <c r="AT66" s="15" t="inlineStr">
        <is>
          <t>MX ok · mailbox not verified</t>
        </is>
      </c>
      <c r="AU66" s="15" t="inlineStr">
        <is>
          <t>check headcount (likely over 500)</t>
        </is>
      </c>
      <c r="AV66" s="18">
        <f>IF(AU66&lt;&gt;"","No – hold: "&amp;AU66,IF(AG66="","No – no confirmed London price per player",IF(AM66="","No – no email",IF(AO66="","No – no personalised email",IF(AS66&lt;&gt;"pass","No – suppressed","Yes")))))</f>
        <v/>
      </c>
      <c r="AX66" s="21" t="n"/>
      <c r="AY66" s="21" t="n"/>
    </row>
    <row r="67">
      <c r="A67" s="15" t="n">
        <v>65</v>
      </c>
      <c r="B67" s="15" t="n">
        <v>3</v>
      </c>
      <c r="C67" s="15" t="inlineStr">
        <is>
          <t>Consultancy</t>
        </is>
      </c>
      <c r="D67" s="15" t="inlineStr">
        <is>
          <t>EC1V</t>
        </is>
      </c>
      <c r="E67" s="15" t="inlineStr">
        <is>
          <t>Beeline.Com Limited</t>
        </is>
      </c>
      <c r="F67" s="15" t="inlineStr">
        <is>
          <t>Beeline.Com</t>
        </is>
      </c>
      <c r="G67" s="16" t="inlineStr">
        <is>
          <t>https://www.beeline.com</t>
        </is>
      </c>
      <c r="H67" s="15" t="inlineStr">
        <is>
          <t>Not stated</t>
        </is>
      </c>
      <c r="I67" s="15" t="inlineStr">
        <is>
          <t>04993515</t>
        </is>
      </c>
      <c r="J67" s="16" t="inlineStr">
        <is>
          <t>Open</t>
        </is>
      </c>
      <c r="K67" s="15" t="inlineStr">
        <is>
          <t>Medium</t>
        </is>
      </c>
      <c r="L67" s="15" t="inlineStr">
        <is>
          <t>12/12/2003</t>
        </is>
      </c>
      <c r="M67" s="15" t="inlineStr">
        <is>
          <t>124 City Road, London</t>
        </is>
      </c>
      <c r="N67" s="15" t="inlineStr">
        <is>
          <t>EC1V 2NX</t>
        </is>
      </c>
      <c r="O67" s="15" t="inlineStr">
        <is>
          <t>No</t>
        </is>
      </c>
      <c r="P67" s="15" t="n"/>
      <c r="Q67" s="15" t="n"/>
      <c r="R67" s="15" t="n"/>
      <c r="S67" s="15" t="inlineStr">
        <is>
          <t>beelinecommunity@beeline.com</t>
        </is>
      </c>
      <c r="T67" s="15" t="inlineStr">
        <is>
          <t>c general inbox</t>
        </is>
      </c>
      <c r="U67" s="16" t="inlineStr">
        <is>
          <t>https://www.beeline.com/contact/support</t>
        </is>
      </c>
      <c r="X67" s="15" t="inlineStr">
        <is>
          <t>124 City Road</t>
        </is>
      </c>
      <c r="Y67" s="15" t="inlineStr">
        <is>
          <t>EC1V 2NX</t>
        </is>
      </c>
      <c r="Z67" s="15" t="inlineStr">
        <is>
          <t>Website (124 City Road)</t>
        </is>
      </c>
      <c r="AA67" s="15" t="inlineStr">
        <is>
          <t>Old St - Moreland Primary School</t>
        </is>
      </c>
      <c r="AB67" s="15" t="n">
        <v>11</v>
      </c>
      <c r="AC67" s="15" t="inlineStr">
        <is>
          <t>Old St - Moreland Primary School</t>
        </is>
      </c>
      <c r="AD67" s="15" t="inlineStr">
        <is>
          <t>Monday 12 October at 18:00</t>
        </is>
      </c>
      <c r="AE67" s="15" t="inlineStr">
        <is>
          <t>One-off</t>
        </is>
      </c>
      <c r="AF67" s="15" t="inlineStr">
        <is>
          <t>6-a-side</t>
        </is>
      </c>
      <c r="AG67" s="17">
        <f>IF(Offer!$D$5="","",Offer!$D$5)</f>
        <v/>
      </c>
      <c r="AH67" s="15" t="inlineStr">
        <is>
          <t>Beeline is marking 25 years of leading the extended workforce industry</t>
        </is>
      </c>
      <c r="AI67" s="15" t="inlineStr">
        <is>
          <t>https://www.beeline.com/about-us</t>
        </is>
      </c>
      <c r="AJ67" s="15" t="inlineStr">
        <is>
          <t>milestone</t>
        </is>
      </c>
      <c r="AK67" s="15" t="inlineStr">
        <is>
          <t>high</t>
        </is>
      </c>
      <c r="AL67" s="15" t="n"/>
      <c r="AM67" s="18">
        <f>IF(V67&lt;&gt;"",V67,S67)</f>
        <v/>
      </c>
      <c r="AN67" s="18">
        <f>IF(AG67="","","25 years in, a weekly game 11 min from City Rd")</f>
        <v/>
      </c>
      <c r="AO67" s="19" t="inlineStr">
        <is>
          <t>Hi Beeline.Com team,
Congratulations on 25 years of leading the extended workforce industry - a good year to get the team together on the pitch.
We've got a floodlit 6-a-side pitch at Moreland School, Gard Street, an 11-minute walk from your office on City Road. Monday 12 October at 18:00 is open, or 19:00 the same evening, and it can become your regular weekly game.
It's {PRICE} a player, and we book the pitch and handle sign-ups and payments, so someone just shares one link with the team.
Shall I hold Monday for you?
Best,
Brian
FC Urban</t>
        </is>
      </c>
      <c r="AP67" s="19" t="inlineStr">
        <is>
          <t>Hi Beeline.Com team,
Following up on the 6-a-side pitch at Moreland School - Monday 12 October at 18:00, 19:00, or 20:00, whichever suits. It's {PRICE} a player, and we handle sign-ups and payments, so it's one link for the team.
Best,
Brian
FC Urban</t>
        </is>
      </c>
      <c r="AQ67" s="20">
        <f>IF(OR(AG67="",AO67=""),"",SUBSTITUTE(AO67,"{PRICE}","£"&amp;IF(AG67=INT(AG67),TEXT(AG67,"0"),TEXT(AG67,"0.00"))))</f>
        <v/>
      </c>
      <c r="AR67" s="20">
        <f>IF(OR(AG67="",AP67=""),"",SUBSTITUTE(AP67,"{PRICE}","£"&amp;IF(AG67=INT(AG67),TEXT(AG67,"0"),TEXT(AG67,"0.00"))))</f>
        <v/>
      </c>
      <c r="AS67" s="15" t="inlineStr">
        <is>
          <t>pass</t>
        </is>
      </c>
      <c r="AT67" s="15" t="inlineStr">
        <is>
          <t>MX ok · mailbox not verified</t>
        </is>
      </c>
      <c r="AU67" s="15" t="inlineStr">
        <is>
          <t>check headcount (likely over 500)</t>
        </is>
      </c>
      <c r="AV67" s="18">
        <f>IF(AU67&lt;&gt;"","No – hold: "&amp;AU67,IF(AG67="","No – no confirmed London price per player",IF(AM67="","No – no email",IF(AO67="","No – no personalised email",IF(AS67&lt;&gt;"pass","No – suppressed","Yes")))))</f>
        <v/>
      </c>
      <c r="AX67" s="21" t="n"/>
      <c r="AY67" s="21" t="n"/>
    </row>
    <row r="68">
      <c r="A68" s="15" t="n">
        <v>66</v>
      </c>
      <c r="B68" s="15" t="n">
        <v>3</v>
      </c>
      <c r="C68" s="15" t="inlineStr">
        <is>
          <t>Tech / software</t>
        </is>
      </c>
      <c r="D68" s="15" t="inlineStr">
        <is>
          <t>EC2A</t>
        </is>
      </c>
      <c r="E68" s="15" t="inlineStr">
        <is>
          <t>Optimove UK Limited</t>
        </is>
      </c>
      <c r="F68" s="15" t="inlineStr">
        <is>
          <t>Optimove</t>
        </is>
      </c>
      <c r="G68" s="16" t="inlineStr">
        <is>
          <t>https://www.optimove.com</t>
        </is>
      </c>
      <c r="H68" s="15" t="inlineStr">
        <is>
          <t>Not stated</t>
        </is>
      </c>
      <c r="I68" s="15" t="inlineStr">
        <is>
          <t>10443820</t>
        </is>
      </c>
      <c r="J68" s="16" t="inlineStr">
        <is>
          <t>Open</t>
        </is>
      </c>
      <c r="K68" s="15" t="inlineStr">
        <is>
          <t>Full</t>
        </is>
      </c>
      <c r="L68" s="15" t="inlineStr">
        <is>
          <t>25/10/2016</t>
        </is>
      </c>
      <c r="M68" s="15" t="inlineStr">
        <is>
          <t>14 Bonhill Street, London</t>
        </is>
      </c>
      <c r="N68" s="15" t="inlineStr">
        <is>
          <t>EC2A 4BX</t>
        </is>
      </c>
      <c r="O68" s="15" t="inlineStr">
        <is>
          <t>No</t>
        </is>
      </c>
      <c r="P68" s="15" t="n"/>
      <c r="Q68" s="15" t="n"/>
      <c r="R68" s="15" t="n"/>
      <c r="S68" s="15" t="inlineStr">
        <is>
          <t>info@optimove.com</t>
        </is>
      </c>
      <c r="T68" s="15" t="inlineStr">
        <is>
          <t>c general inbox</t>
        </is>
      </c>
      <c r="U68" s="16" t="inlineStr">
        <is>
          <t>https://www.optimove.com/contact</t>
        </is>
      </c>
      <c r="X68" s="15" t="inlineStr">
        <is>
          <t>14 Bonhill Street</t>
        </is>
      </c>
      <c r="Y68" s="15" t="inlineStr">
        <is>
          <t>EC2A 4BX</t>
        </is>
      </c>
      <c r="Z68" s="15" t="inlineStr">
        <is>
          <t>Website (14 Bonhill Street)</t>
        </is>
      </c>
      <c r="AA68" s="15" t="inlineStr">
        <is>
          <t>Shoreditch Powerleague</t>
        </is>
      </c>
      <c r="AB68" s="15" t="n">
        <v>11</v>
      </c>
      <c r="AC68" s="15" t="inlineStr">
        <is>
          <t>Shoreditch Powerleague</t>
        </is>
      </c>
      <c r="AD68" s="15" t="inlineStr">
        <is>
          <t>Monday 28 September at 17:40</t>
        </is>
      </c>
      <c r="AE68" s="15" t="inlineStr">
        <is>
          <t>One-off</t>
        </is>
      </c>
      <c r="AF68" s="15" t="inlineStr">
        <is>
          <t>5-a-side</t>
        </is>
      </c>
      <c r="AG68" s="17">
        <f>IF(Offer!$D$5="","",Offer!$D$5)</f>
        <v/>
      </c>
      <c r="AH68" s="15" t="inlineStr">
        <is>
          <t>Their careers page names Comradery as a core value, with wellness support and team events</t>
        </is>
      </c>
      <c r="AI68" s="15" t="inlineStr">
        <is>
          <t>https://www.optimove.com/careers</t>
        </is>
      </c>
      <c r="AJ68" s="15" t="inlineStr">
        <is>
          <t>culture/sport</t>
        </is>
      </c>
      <c r="AK68" s="15" t="inlineStr">
        <is>
          <t>high</t>
        </is>
      </c>
      <c r="AL68" s="15" t="n"/>
      <c r="AM68" s="18">
        <f>IF(V68&lt;&gt;"",V68,S68)</f>
        <v/>
      </c>
      <c r="AN68" s="18">
        <f>IF(AG68="","","5-a-side + Comradery, 11 min from Bonhill St")</f>
        <v/>
      </c>
      <c r="AO68" s="19" t="inlineStr">
        <is>
          <t>Hi Optimove team,
Comradery is one of your core values, and wellness and team events are built into life at Optimove - a five-a-side game would fit right in.
We run 5-a-side at Powerleague Shoreditch, Braithwaite Street, an 11-minute walk from your office on Bonhill Street. Monday 28 September at 17:40 is open, or 19:40 the same evening, and it can become your regular weekly game.
It's {PRICE} a player, and we book the pitch and handle sign-ups and payments, so someone just shares one link with the team.
Would your team be up for it?
Best,
Brian
FC Urban</t>
        </is>
      </c>
      <c r="AP68" s="19" t="inlineStr">
        <is>
          <t>Hi Optimove team,
Following up on the 5-a-side slot at Powerleague Shoreditch - Monday 28 September at 17:40, or Thursday 1 October at 18:20. It's {PRICE} a player, and we handle sign-ups and payments, so it's one link for the team.
Best,
Brian
FC Urban</t>
        </is>
      </c>
      <c r="AQ68" s="20">
        <f>IF(OR(AG68="",AO68=""),"",SUBSTITUTE(AO68,"{PRICE}","£"&amp;IF(AG68=INT(AG68),TEXT(AG68,"0"),TEXT(AG68,"0.00"))))</f>
        <v/>
      </c>
      <c r="AR68" s="20">
        <f>IF(OR(AG68="",AP68=""),"",SUBSTITUTE(AP68,"{PRICE}","£"&amp;IF(AG68=INT(AG68),TEXT(AG68,"0"),TEXT(AG68,"0.00"))))</f>
        <v/>
      </c>
      <c r="AS68" s="15" t="inlineStr">
        <is>
          <t>pass</t>
        </is>
      </c>
      <c r="AT68" s="15" t="inlineStr">
        <is>
          <t>MX ok · mailbox not verified</t>
        </is>
      </c>
      <c r="AU68" s="15" t="inlineStr">
        <is>
          <t>check headcount (likely over 500)</t>
        </is>
      </c>
      <c r="AV68" s="18">
        <f>IF(AU68&lt;&gt;"","No – hold: "&amp;AU68,IF(AG68="","No – no confirmed London price per player",IF(AM68="","No – no email",IF(AO68="","No – no personalised email",IF(AS68&lt;&gt;"pass","No – suppressed","Yes")))))</f>
        <v/>
      </c>
      <c r="AX68" s="21" t="n"/>
      <c r="AY68" s="21" t="n"/>
    </row>
    <row r="69">
      <c r="A69" s="15" t="n">
        <v>67</v>
      </c>
      <c r="B69" s="15" t="n">
        <v>1</v>
      </c>
      <c r="C69" s="15" t="inlineStr">
        <is>
          <t>Tech / software</t>
        </is>
      </c>
      <c r="D69" s="15" t="inlineStr">
        <is>
          <t>N1</t>
        </is>
      </c>
      <c r="E69" s="15" t="inlineStr">
        <is>
          <t>Moonpay (UK) Limited</t>
        </is>
      </c>
      <c r="F69" s="15" t="inlineStr">
        <is>
          <t>Moonpay</t>
        </is>
      </c>
      <c r="G69" s="16" t="inlineStr">
        <is>
          <t>https://www.moonpay.com</t>
        </is>
      </c>
      <c r="H69" s="15" t="inlineStr">
        <is>
          <t>Not stated</t>
        </is>
      </c>
      <c r="I69" s="15" t="inlineStr">
        <is>
          <t>12055543</t>
        </is>
      </c>
      <c r="J69" s="16" t="inlineStr">
        <is>
          <t>Open</t>
        </is>
      </c>
      <c r="K69" s="15" t="inlineStr">
        <is>
          <t>Full</t>
        </is>
      </c>
      <c r="L69" s="15" t="inlineStr">
        <is>
          <t>17/06/2019</t>
        </is>
      </c>
      <c r="M69" s="15" t="inlineStr">
        <is>
          <t>20-22 Wenlock Road, London</t>
        </is>
      </c>
      <c r="N69" s="15" t="inlineStr">
        <is>
          <t>N1 7GU</t>
        </is>
      </c>
      <c r="O69" s="15" t="inlineStr">
        <is>
          <t>No</t>
        </is>
      </c>
      <c r="P69" s="15" t="inlineStr">
        <is>
          <t>Ivan</t>
        </is>
      </c>
      <c r="Q69" s="15" t="inlineStr">
        <is>
          <t>Ivan Soto-Wright</t>
        </is>
      </c>
      <c r="R69" s="15" t="inlineStr">
        <is>
          <t>Co-Founder &amp; Chief Executive Officer</t>
        </is>
      </c>
      <c r="S69" s="15" t="inlineStr">
        <is>
          <t>anders@moonpay.com</t>
        </is>
      </c>
      <c r="T69" s="15" t="inlineStr">
        <is>
          <t>a/b named person</t>
        </is>
      </c>
      <c r="U69" s="16" t="inlineStr">
        <is>
          <t>https://www.moonpay.com/newsroom/changelog</t>
        </is>
      </c>
      <c r="X69" s="15" t="inlineStr">
        <is>
          <t>20-22 WENLOCK ROAD</t>
        </is>
      </c>
      <c r="Y69" s="15" t="inlineStr">
        <is>
          <t>N1 7GU</t>
        </is>
      </c>
      <c r="Z69" s="15" t="inlineStr">
        <is>
          <t>Website (20-22 WENLOCK ROAD)</t>
        </is>
      </c>
      <c r="AA69" s="15" t="inlineStr">
        <is>
          <t>Old St - Moreland Primary School</t>
        </is>
      </c>
      <c r="AB69" s="15" t="n">
        <v>6</v>
      </c>
      <c r="AC69" s="15" t="inlineStr">
        <is>
          <t>Old St - Moreland Primary School</t>
        </is>
      </c>
      <c r="AD69" s="15" t="inlineStr">
        <is>
          <t>Monday 12 October at 18:00</t>
        </is>
      </c>
      <c r="AE69" s="15" t="inlineStr">
        <is>
          <t>One-off</t>
        </is>
      </c>
      <c r="AF69" s="15" t="inlineStr">
        <is>
          <t>6-a-side</t>
        </is>
      </c>
      <c r="AG69" s="17">
        <f>IF(Offer!$D$5="","",Offer!$D$5)</f>
        <v/>
      </c>
      <c r="AH69" s="15" t="inlineStr">
        <is>
          <t>Announced the North Capital acquisition on 23 September 2026, expanding into onchain capital markets</t>
        </is>
      </c>
      <c r="AI69" s="15" t="inlineStr">
        <is>
          <t>https://www.moonpay.com/newsroom</t>
        </is>
      </c>
      <c r="AJ69" s="15" t="inlineStr">
        <is>
          <t>milestone</t>
        </is>
      </c>
      <c r="AK69" s="15" t="inlineStr">
        <is>
          <t>medium</t>
        </is>
      </c>
      <c r="AL69" s="15" t="inlineStr">
        <is>
          <t>send_to is anders@moonpay.com but the named contact is Ivan (Ivan Soto-Wright, Co-Founder &amp; CEO) — worth checking this is the right inbox/person, and that a CEO-level cold email is the intended target, before sending.</t>
        </is>
      </c>
      <c r="AM69" s="18">
        <f>IF(V69&lt;&gt;"",V69,S69)</f>
        <v/>
      </c>
      <c r="AN69" s="18">
        <f>IF(AG69="","","After the North Capital news — a weekly game?")</f>
        <v/>
      </c>
      <c r="AO69" s="19" t="inlineStr">
        <is>
          <t>Hi Ivan,
With MoonPay announcing the North Capital acquisition this week, it feels like a good moment for the team to blow off some steam together. We've got a 6-a-side pitch at Moreland School, Gard Street, a 6-minute walk from Wenlock Road, with Monday 12 October at 18:00 open (or 19:00), and it can become your regular weekly game. It's {PRICE} a player, and we book the pitch and handle sign-ups and payments, so someone just shares one link with the team. Shall I hold Monday for you?
Best,
Brian
FC Urban</t>
        </is>
      </c>
      <c r="AP69" s="19" t="inlineStr">
        <is>
          <t>Hi Ivan,
Following up on Monday 12 October at 18:00 (or 19:00) at Moreland School, 6 minutes from Wenlock Road. Still {PRICE} a player, we handle the pitch, sign-ups and payments. Shall I hold a slot for the MoonPay team?
Best,
Brian</t>
        </is>
      </c>
      <c r="AQ69" s="20">
        <f>IF(OR(AG69="",AO69=""),"",SUBSTITUTE(AO69,"{PRICE}","£"&amp;IF(AG69=INT(AG69),TEXT(AG69,"0"),TEXT(AG69,"0.00"))))</f>
        <v/>
      </c>
      <c r="AR69" s="20">
        <f>IF(OR(AG69="",AP69=""),"",SUBSTITUTE(AP69,"{PRICE}","£"&amp;IF(AG69=INT(AG69),TEXT(AG69,"0"),TEXT(AG69,"0.00"))))</f>
        <v/>
      </c>
      <c r="AS69" s="15" t="inlineStr">
        <is>
          <t>pass</t>
        </is>
      </c>
      <c r="AT69" s="15" t="inlineStr">
        <is>
          <t>MX ok · mailbox not verified</t>
        </is>
      </c>
      <c r="AU69" s="15" t="inlineStr">
        <is>
          <t>check headcount (likely over 500)</t>
        </is>
      </c>
      <c r="AV69" s="18">
        <f>IF(AU69&lt;&gt;"","No – hold: "&amp;AU69,IF(AG69="","No – no confirmed London price per player",IF(AM69="","No – no email",IF(AO69="","No – no personalised email",IF(AS69&lt;&gt;"pass","No – suppressed","Yes")))))</f>
        <v/>
      </c>
      <c r="AX69" s="21" t="n"/>
      <c r="AY69" s="21" t="n"/>
    </row>
    <row r="70">
      <c r="A70" s="15" t="n">
        <v>68</v>
      </c>
      <c r="B70" s="15" t="n">
        <v>3</v>
      </c>
      <c r="C70" s="15" t="inlineStr">
        <is>
          <t>Tech / software</t>
        </is>
      </c>
      <c r="D70" s="15" t="inlineStr">
        <is>
          <t>EC1V</t>
        </is>
      </c>
      <c r="E70" s="15" t="inlineStr">
        <is>
          <t>Tvf Limited</t>
        </is>
      </c>
      <c r="F70" s="15" t="inlineStr">
        <is>
          <t>Tvf</t>
        </is>
      </c>
      <c r="G70" s="16" t="inlineStr">
        <is>
          <t>https://tvf.co.uk</t>
        </is>
      </c>
      <c r="H70" s="15" t="inlineStr">
        <is>
          <t>Not stated</t>
        </is>
      </c>
      <c r="I70" s="15" t="inlineStr">
        <is>
          <t>02830019</t>
        </is>
      </c>
      <c r="J70" s="16" t="inlineStr">
        <is>
          <t>Open</t>
        </is>
      </c>
      <c r="K70" s="15" t="inlineStr">
        <is>
          <t>Medium</t>
        </is>
      </c>
      <c r="L70" s="15" t="inlineStr">
        <is>
          <t>24/06/1993</t>
        </is>
      </c>
      <c r="M70" s="15" t="inlineStr">
        <is>
          <t>375 City Road, London</t>
        </is>
      </c>
      <c r="N70" s="15" t="inlineStr">
        <is>
          <t>EC1V 1NB</t>
        </is>
      </c>
      <c r="O70" s="15" t="inlineStr">
        <is>
          <t>No</t>
        </is>
      </c>
      <c r="P70" s="15" t="n"/>
      <c r="Q70" s="15" t="n"/>
      <c r="R70" s="15" t="n"/>
      <c r="S70" s="15" t="inlineStr">
        <is>
          <t>cvs@tvf.co.uk</t>
        </is>
      </c>
      <c r="T70" s="15" t="inlineStr">
        <is>
          <t>c general inbox</t>
        </is>
      </c>
      <c r="U70" s="16" t="inlineStr">
        <is>
          <t>https://tvf.co.uk/contact</t>
        </is>
      </c>
      <c r="X70" s="15" t="inlineStr">
        <is>
          <t>375 City Road</t>
        </is>
      </c>
      <c r="Y70" s="15" t="inlineStr">
        <is>
          <t>EC1V 1NB</t>
        </is>
      </c>
      <c r="Z70" s="15" t="inlineStr">
        <is>
          <t>Website (375 City Road)</t>
        </is>
      </c>
      <c r="AA70" s="15" t="inlineStr">
        <is>
          <t>Old St - Moreland Primary School</t>
        </is>
      </c>
      <c r="AB70" s="15" t="n">
        <v>8</v>
      </c>
      <c r="AC70" s="15" t="inlineStr">
        <is>
          <t>Old St - Moreland Primary School</t>
        </is>
      </c>
      <c r="AD70" s="15" t="inlineStr">
        <is>
          <t>Monday 12 October at 18:00</t>
        </is>
      </c>
      <c r="AE70" s="15" t="inlineStr">
        <is>
          <t>One-off</t>
        </is>
      </c>
      <c r="AF70" s="15" t="inlineStr">
        <is>
          <t>6-a-side</t>
        </is>
      </c>
      <c r="AG70" s="17">
        <f>IF(Offer!$D$5="","",Offer!$D$5)</f>
        <v/>
      </c>
      <c r="AH70" s="15" t="inlineStr">
        <is>
          <t>TVF Communications has spent 30+ years on healthcare comms for pharma and biotech clients</t>
        </is>
      </c>
      <c r="AI70" s="16" t="inlineStr">
        <is>
          <t>https://tvf.co.uk/explore-tvf/tvf-communications</t>
        </is>
      </c>
      <c r="AJ70" s="15" t="inlineStr">
        <is>
          <t>what they do</t>
        </is>
      </c>
      <c r="AK70" s="15" t="inlineStr">
        <is>
          <t>medium</t>
        </is>
      </c>
      <c r="AL70" s="15" t="inlineStr">
        <is>
          <t>Send-to (cvs@tvf.co.uk) is the speculative-applications/recruitment inbox, not a general enquiries address - likely to be screened by HR/recruitment rather than reach a team organiser.</t>
        </is>
      </c>
      <c r="AM70" s="18">
        <f>IF(V70&lt;&gt;"",V70,S70)</f>
        <v/>
      </c>
      <c r="AN70" s="18">
        <f>IF(AG70="","","A 6-a-side pitch near 375 City Road")</f>
        <v/>
      </c>
      <c r="AO70" s="19" t="inlineStr">
        <is>
          <t>Hi Tvf team,
Your TVF Communications team has spent over 30 years helping pharma and biotech clients explain complex science clearly, which takes a good team spirit to sustain. That's exactly what a regular match builds. We have a floodlit 6-a-side 3G pitch at Moreland School, Gard Street, just off Old Street, an 8-minute walk from 375 City Road. There's a slot free Monday 12 October at 18:00, or 19:00, and it could become your standing weekly game. It's {PRICE} a player, and we book the pitch and handle sign-ups and payments, so someone just shares one link with the team. Would your team be up for it?
Best,
Brian
FC Urban</t>
        </is>
      </c>
      <c r="AP70" s="19" t="inlineStr">
        <is>
          <t>Hi Tvf team,
Following up on a weekly 6-a-side near 375 City Road. Monday 12 October at 19:00 at Moreland School is still open. It's {PRICE} a player, and we handle the pitch, sign-ups and payments end to end. Let me know if that works.
Best,
Brian
FC Urban</t>
        </is>
      </c>
      <c r="AQ70" s="20">
        <f>IF(OR(AG70="",AO70=""),"",SUBSTITUTE(AO70,"{PRICE}","£"&amp;IF(AG70=INT(AG70),TEXT(AG70,"0"),TEXT(AG70,"0.00"))))</f>
        <v/>
      </c>
      <c r="AR70" s="20">
        <f>IF(OR(AG70="",AP70=""),"",SUBSTITUTE(AP70,"{PRICE}","£"&amp;IF(AG70=INT(AG70),TEXT(AG70,"0"),TEXT(AG70,"0.00"))))</f>
        <v/>
      </c>
      <c r="AS70" s="15" t="inlineStr">
        <is>
          <t>pass</t>
        </is>
      </c>
      <c r="AT70" s="15" t="inlineStr">
        <is>
          <t>MX ok · mailbox not verified</t>
        </is>
      </c>
      <c r="AU70" s="15" t="inlineStr">
        <is>
          <t>inbox is another country or CV/careers inbox</t>
        </is>
      </c>
      <c r="AV70" s="18">
        <f>IF(AU70&lt;&gt;"","No – hold: "&amp;AU70,IF(AG70="","No – no confirmed London price per player",IF(AM70="","No – no email",IF(AO70="","No – no personalised email",IF(AS70&lt;&gt;"pass","No – suppressed","Yes")))))</f>
        <v/>
      </c>
      <c r="AX70" s="21" t="n"/>
      <c r="AY70" s="21" t="n"/>
    </row>
    <row r="71">
      <c r="A71" s="15" t="n">
        <v>69</v>
      </c>
      <c r="B71" s="15" t="n">
        <v>3</v>
      </c>
      <c r="C71" s="15" t="inlineStr">
        <is>
          <t>Tech / software</t>
        </is>
      </c>
      <c r="D71" s="15" t="inlineStr">
        <is>
          <t>EC2A</t>
        </is>
      </c>
      <c r="E71" s="15" t="inlineStr">
        <is>
          <t>Datasite UK Ltd.</t>
        </is>
      </c>
      <c r="F71" s="15" t="inlineStr">
        <is>
          <t>Datasite</t>
        </is>
      </c>
      <c r="G71" s="16" t="inlineStr">
        <is>
          <t>https://www.datasite.com</t>
        </is>
      </c>
      <c r="H71" s="15" t="n">
        <v>44</v>
      </c>
      <c r="I71" s="15" t="inlineStr">
        <is>
          <t>03829230</t>
        </is>
      </c>
      <c r="J71" s="16" t="inlineStr">
        <is>
          <t>Open</t>
        </is>
      </c>
      <c r="K71" s="15" t="inlineStr">
        <is>
          <t>Full</t>
        </is>
      </c>
      <c r="L71" s="15" t="inlineStr">
        <is>
          <t>17/08/1999</t>
        </is>
      </c>
      <c r="M71" s="15" t="inlineStr">
        <is>
          <t>15 Bonhill Street, London</t>
        </is>
      </c>
      <c r="N71" s="15" t="inlineStr">
        <is>
          <t>EC2A 4DN</t>
        </is>
      </c>
      <c r="O71" s="15" t="inlineStr">
        <is>
          <t>No</t>
        </is>
      </c>
      <c r="P71" s="15" t="n"/>
      <c r="Q71" s="15" t="n"/>
      <c r="R71" s="15" t="n"/>
      <c r="S71" s="15" t="inlineStr">
        <is>
          <t>hr@datasite.com</t>
        </is>
      </c>
      <c r="T71" s="15" t="inlineStr">
        <is>
          <t>c general inbox</t>
        </is>
      </c>
      <c r="U71" s="16" t="inlineStr">
        <is>
          <t>https://www.datasite.com/en/company/careers</t>
        </is>
      </c>
      <c r="X71" s="15" t="n"/>
      <c r="Y71" s="15" t="inlineStr">
        <is>
          <t>EC2A 4DN</t>
        </is>
      </c>
      <c r="Z71" s="15" t="inlineStr">
        <is>
          <t>Website</t>
        </is>
      </c>
      <c r="AA71" s="15" t="inlineStr">
        <is>
          <t>Shoreditch Powerleague</t>
        </is>
      </c>
      <c r="AB71" s="15" t="n">
        <v>11</v>
      </c>
      <c r="AC71" s="15" t="inlineStr">
        <is>
          <t>Shoreditch Powerleague</t>
        </is>
      </c>
      <c r="AD71" s="15" t="inlineStr">
        <is>
          <t>Monday 28 September at 17:40</t>
        </is>
      </c>
      <c r="AE71" s="15" t="inlineStr">
        <is>
          <t>One-off</t>
        </is>
      </c>
      <c r="AF71" s="15" t="inlineStr">
        <is>
          <t>5-a-side</t>
        </is>
      </c>
      <c r="AG71" s="17">
        <f>IF(Offer!$D$5="","",Offer!$D$5)</f>
        <v/>
      </c>
      <c r="AH71" s="15" t="inlineStr">
        <is>
          <t>team of 44 people</t>
        </is>
      </c>
      <c r="AI71" s="16" t="inlineStr">
        <is>
          <t>https://www.datasite.com/en/company/about</t>
        </is>
      </c>
      <c r="AJ71" s="15" t="inlineStr">
        <is>
          <t>none</t>
        </is>
      </c>
      <c r="AK71" s="15" t="inlineStr">
        <is>
          <t>medium</t>
        </is>
      </c>
      <c r="AL71" s="15" t="inlineStr">
        <is>
          <t>No specific/recent hook: the given pages and a fetch of /en/company/careers and /en/company/news turned up only global content and a 2022 Manchester office opening, nothing London-specific or recent. office_street was blank in the brief - '15 Bonhill Street' came from their own careers page, so worth double-checking before sending. hr@datasite.com may be a generic HR inbox rather than someone who owns team socials.</t>
        </is>
      </c>
      <c r="AM71" s="18">
        <f>IF(V71&lt;&gt;"",V71,S71)</f>
        <v/>
      </c>
      <c r="AN71" s="18">
        <f>IF(AG71="","","5-a-side, 11 minutes from Bonhill Street")</f>
        <v/>
      </c>
      <c r="AO71" s="19" t="inlineStr">
        <is>
          <t>Hi Datasite team,
We run 5-a-side at Powerleague Shoreditch, Braithwaite Street, an 11-minute walk from your office on Bonhill Street. Monday 28 September at 17:40 is open, or 19:40 the same evening, and it can become a regular weekly fixture for your team of 44.
It's {PRICE} a player, and we book the pitch and handle sign-ups and payments, so someone just shares one link with the team.
Would your team be up for it?
Best,
Brian
FC Urban</t>
        </is>
      </c>
      <c r="AP71" s="19" t="inlineStr">
        <is>
          <t>Hi Datasite team,
Following up on the 5-a-side slot at Powerleague Shoreditch - Monday 28 September at 17:40, or Thursday 1 October at 18:20. It's {PRICE} a player, and we handle sign-ups and payments, so it's one link for the team.
Best,
Brian
FC Urban</t>
        </is>
      </c>
      <c r="AQ71" s="20">
        <f>IF(OR(AG71="",AO71=""),"",SUBSTITUTE(AO71,"{PRICE}","£"&amp;IF(AG71=INT(AG71),TEXT(AG71,"0"),TEXT(AG71,"0.00"))))</f>
        <v/>
      </c>
      <c r="AR71" s="20">
        <f>IF(OR(AG71="",AP71=""),"",SUBSTITUTE(AP71,"{PRICE}","£"&amp;IF(AG71=INT(AG71),TEXT(AG71,"0"),TEXT(AG71,"0.00"))))</f>
        <v/>
      </c>
      <c r="AS71" s="15" t="inlineStr">
        <is>
          <t>pass</t>
        </is>
      </c>
      <c r="AT71" s="15" t="inlineStr">
        <is>
          <t>MX ok · mailbox not verified</t>
        </is>
      </c>
      <c r="AU71" s="15" t="inlineStr">
        <is>
          <t>check headcount (likely over 500)</t>
        </is>
      </c>
      <c r="AV71" s="18">
        <f>IF(AU71&lt;&gt;"","No – hold: "&amp;AU71,IF(AG71="","No – no confirmed London price per player",IF(AM71="","No – no email",IF(AO71="","No – no personalised email",IF(AS71&lt;&gt;"pass","No – suppressed","Yes")))))</f>
        <v/>
      </c>
      <c r="AX71" s="21" t="n"/>
      <c r="AY71" s="21" t="n"/>
    </row>
    <row r="72">
      <c r="A72" s="15" t="n">
        <v>70</v>
      </c>
      <c r="B72" s="15" t="n">
        <v>1</v>
      </c>
      <c r="C72" s="15" t="inlineStr">
        <is>
          <t>Marketing / agency</t>
        </is>
      </c>
      <c r="D72" s="15" t="inlineStr">
        <is>
          <t>N7</t>
        </is>
      </c>
      <c r="E72" s="15" t="inlineStr">
        <is>
          <t>Side UK Limited</t>
        </is>
      </c>
      <c r="F72" s="15" t="inlineStr">
        <is>
          <t>Side</t>
        </is>
      </c>
      <c r="G72" s="16" t="inlineStr">
        <is>
          <t>https://www.side.com</t>
        </is>
      </c>
      <c r="H72" s="15" t="inlineStr">
        <is>
          <t>Not stated</t>
        </is>
      </c>
      <c r="I72" s="15" t="inlineStr">
        <is>
          <t>03134517</t>
        </is>
      </c>
      <c r="J72" s="16" t="inlineStr">
        <is>
          <t>Open</t>
        </is>
      </c>
      <c r="K72" s="15" t="inlineStr">
        <is>
          <t>Full</t>
        </is>
      </c>
      <c r="L72" s="15" t="inlineStr">
        <is>
          <t>05/12/1995</t>
        </is>
      </c>
      <c r="M72" s="15" t="inlineStr">
        <is>
          <t>Unit A12 Tileyard London 105, Blundell Street, Kings Cross, London</t>
        </is>
      </c>
      <c r="N72" s="15" t="inlineStr">
        <is>
          <t>N7 9BN</t>
        </is>
      </c>
      <c r="O72" s="15" t="inlineStr">
        <is>
          <t>No</t>
        </is>
      </c>
      <c r="P72" s="15" t="n"/>
      <c r="Q72" s="15" t="n"/>
      <c r="R72" s="15" t="n"/>
      <c r="S72" s="15" t="inlineStr">
        <is>
          <t>jw@side.com</t>
        </is>
      </c>
      <c r="T72" s="15" t="inlineStr">
        <is>
          <t>a/b named person</t>
        </is>
      </c>
      <c r="U72" s="16" t="inlineStr">
        <is>
          <t>https://www.side.com/locations/</t>
        </is>
      </c>
      <c r="X72" s="15" t="inlineStr">
        <is>
          <t>BLUNDELL STREET</t>
        </is>
      </c>
      <c r="Y72" s="15" t="inlineStr">
        <is>
          <t>N7 9BN</t>
        </is>
      </c>
      <c r="Z72" s="15" t="inlineStr">
        <is>
          <t>Website (BLUNDELL STREET)</t>
        </is>
      </c>
      <c r="AA72" s="15" t="inlineStr">
        <is>
          <t>Market Road</t>
        </is>
      </c>
      <c r="AB72" s="15" t="n">
        <v>6</v>
      </c>
      <c r="AC72" s="15" t="inlineStr">
        <is>
          <t>Market Road</t>
        </is>
      </c>
      <c r="AD72" s="15" t="inlineStr">
        <is>
          <t>Monday 28 September at 18:00</t>
        </is>
      </c>
      <c r="AE72" s="15" t="inlineStr">
        <is>
          <t>One-off</t>
        </is>
      </c>
      <c r="AF72" s="15" t="inlineStr">
        <is>
          <t>5-a-side</t>
        </is>
      </c>
      <c r="AG72" s="17">
        <f>IF(Offer!$D$5="","",Offer!$D$5)</f>
        <v/>
      </c>
      <c r="AH72" s="15" t="n"/>
      <c r="AI72" s="15" t="n"/>
      <c r="AJ72" s="15" t="inlineStr">
        <is>
          <t>none</t>
        </is>
      </c>
      <c r="AK72" s="15" t="inlineStr">
        <is>
          <t>low</t>
        </is>
      </c>
      <c r="AL72" s="15" t="inlineStr">
        <is>
          <t>All crawled pages (and two extra fetches) are for the US real-estate brokerage side.com, with no mention of a London/UK office, team, or culture — nothing true and specific to hook on. send_to is jw@side.com, a personal-looking alias; worth double-checking this is really 'Side UK Limited' at Blundell Street before sending.</t>
        </is>
      </c>
      <c r="AM72" s="18">
        <f>IF(V72&lt;&gt;"",V72,S72)</f>
        <v/>
      </c>
      <c r="AN72" s="18">
        <f>IF(AG72="","","6 min from Blundell Street — a weekly game")</f>
        <v/>
      </c>
      <c r="AO72" s="19" t="inlineStr">
        <is>
          <t>Hi Side team,
We've got a 5-a-side pitch at Market Road Pitches, Market Road, a 6-minute walk from Blundell Street, with Monday 28 September at 18:00 open, and it's an easy way to start a regular weekly game for the team. It's {PRICE} a player, and we book the pitch and handle sign-ups and payments, so someone just shares one link with everyone. Would your team be up for it?
Best,
Brian
FC Urban</t>
        </is>
      </c>
      <c r="AP72" s="19" t="inlineStr">
        <is>
          <t>Hi Side team,
Following up on Monday 28 September at 18:00 at Market Road Pitches, 6 minutes from Blundell Street. Still {PRICE} a player, we handle the pitch, sign-ups and payments. Shall I hold the slot for you?
Best,
Brian</t>
        </is>
      </c>
      <c r="AQ72" s="20">
        <f>IF(OR(AG72="",AO72=""),"",SUBSTITUTE(AO72,"{PRICE}","£"&amp;IF(AG72=INT(AG72),TEXT(AG72,"0"),TEXT(AG72,"0.00"))))</f>
        <v/>
      </c>
      <c r="AR72" s="20">
        <f>IF(OR(AG72="",AP72=""),"",SUBSTITUTE(AP72,"{PRICE}","£"&amp;IF(AG72=INT(AG72),TEXT(AG72,"0"),TEXT(AG72,"0.00"))))</f>
        <v/>
      </c>
      <c r="AS72" s="15" t="inlineStr">
        <is>
          <t>pass</t>
        </is>
      </c>
      <c r="AT72" s="15" t="inlineStr">
        <is>
          <t>MX ok · mailbox not verified</t>
        </is>
      </c>
      <c r="AU72" s="15" t="inlineStr">
        <is>
          <t>website may be a different company</t>
        </is>
      </c>
      <c r="AV72" s="18">
        <f>IF(AU72&lt;&gt;"","No – hold: "&amp;AU72,IF(AG72="","No – no confirmed London price per player",IF(AM72="","No – no email",IF(AO72="","No – no personalised email",IF(AS72&lt;&gt;"pass","No – suppressed","Yes")))))</f>
        <v/>
      </c>
      <c r="AX72" s="21" t="n"/>
      <c r="AY72" s="21" t="n"/>
    </row>
    <row r="73">
      <c r="A73" s="15" t="n">
        <v>71</v>
      </c>
      <c r="B73" s="15" t="n">
        <v>2</v>
      </c>
      <c r="C73" s="15" t="inlineStr">
        <is>
          <t>Marketing / agency</t>
        </is>
      </c>
      <c r="D73" s="15" t="inlineStr">
        <is>
          <t>E2</t>
        </is>
      </c>
      <c r="E73" s="15" t="inlineStr">
        <is>
          <t>Mother London Limited</t>
        </is>
      </c>
      <c r="F73" s="15" t="inlineStr">
        <is>
          <t>Mother London</t>
        </is>
      </c>
      <c r="G73" s="16" t="inlineStr">
        <is>
          <t>https://mother.com</t>
        </is>
      </c>
      <c r="H73" s="15" t="inlineStr">
        <is>
          <t>Not stated</t>
        </is>
      </c>
      <c r="I73" s="15" t="inlineStr">
        <is>
          <t>04983564</t>
        </is>
      </c>
      <c r="J73" s="16" t="inlineStr">
        <is>
          <t>Open</t>
        </is>
      </c>
      <c r="K73" s="15" t="inlineStr">
        <is>
          <t>Group</t>
        </is>
      </c>
      <c r="L73" s="15" t="inlineStr">
        <is>
          <t>03/12/2003</t>
        </is>
      </c>
      <c r="M73" s="15" t="inlineStr">
        <is>
          <t>Biscuit Building, 10 Redchurch Street, London</t>
        </is>
      </c>
      <c r="N73" s="15" t="inlineStr">
        <is>
          <t>E2 7DD</t>
        </is>
      </c>
      <c r="O73" s="15" t="inlineStr">
        <is>
          <t>No</t>
        </is>
      </c>
      <c r="P73" s="15" t="inlineStr">
        <is>
          <t>Home</t>
        </is>
      </c>
      <c r="Q73" s="15" t="inlineStr">
        <is>
          <t>Home Courses</t>
        </is>
      </c>
      <c r="R73" s="15" t="n"/>
      <c r="S73" s="15" t="inlineStr">
        <is>
          <t>hello@mother.com</t>
        </is>
      </c>
      <c r="T73" s="15" t="inlineStr">
        <is>
          <t>a/b named person via general inbox</t>
        </is>
      </c>
      <c r="U73" s="16" t="inlineStr">
        <is>
          <t>https://mother.com/contact/</t>
        </is>
      </c>
      <c r="X73" s="15" t="inlineStr">
        <is>
          <t>BISCUIT BUILDING, 10 REDCHURCH STREET</t>
        </is>
      </c>
      <c r="Y73" s="15" t="inlineStr">
        <is>
          <t>E2 7DD</t>
        </is>
      </c>
      <c r="Z73" s="15" t="inlineStr">
        <is>
          <t>Website (BISCUIT BUILDING, 10 REDCHURCH STREET)</t>
        </is>
      </c>
      <c r="AA73" s="15" t="inlineStr">
        <is>
          <t>Shoreditch Powerleague</t>
        </is>
      </c>
      <c r="AB73" s="15" t="n">
        <v>2</v>
      </c>
      <c r="AC73" s="15" t="inlineStr">
        <is>
          <t>Shoreditch Powerleague</t>
        </is>
      </c>
      <c r="AD73" s="15" t="inlineStr">
        <is>
          <t>Monday 28 September at 17:40</t>
        </is>
      </c>
      <c r="AE73" s="15" t="inlineStr">
        <is>
          <t>One-off</t>
        </is>
      </c>
      <c r="AF73" s="15" t="inlineStr">
        <is>
          <t>5-a-side</t>
        </is>
      </c>
      <c r="AG73" s="17">
        <f>IF(Offer!$D$5="","",Offer!$D$5)</f>
        <v/>
      </c>
      <c r="AH73" s="15" t="n"/>
      <c r="AI73" s="15" t="n"/>
      <c r="AJ73" s="15" t="inlineStr">
        <is>
          <t>none</t>
        </is>
      </c>
      <c r="AK73" s="15" t="inlineStr">
        <is>
          <t>low</t>
        </is>
      </c>
      <c r="AL73" s="15" t="inlineStr">
        <is>
          <t>contact_first_name is 'Home', which reads like a scraped nav-menu artifact, not a real name -- greeted the team instead. The downloaded pages for mother.com are a pregnancy/parenting content site, not the well-known ad agency 'Mother London' (whose real office is the Biscuit Building on Redchurch Street). This looks like a website mismatch in the source data; worth checking the send-to address and website before sending.</t>
        </is>
      </c>
      <c r="AM73" s="18">
        <f>IF(V73&lt;&gt;"",V73,S73)</f>
        <v/>
      </c>
      <c r="AN73" s="18">
        <f>IF(AG73="","","A 2-minute pitch from Redchurch Street")</f>
        <v/>
      </c>
      <c r="AO73" s="19" t="inlineStr">
        <is>
          <t>Hi Mother London team,
We run a 5-a-side pitch at Powerleague Shoreditch, Braithwaite Street, a 2-minute walk from Redchurch Street. There's a slot free Monday 28 September at 17:40, or Monday 28 September at 19:40, and it could easily become your regular weekly game.
It's {PRICE} a player, and we book the pitch and handle sign-ups and payments, so someone just shares one link with the team.
Would your team be up for it?
Best,
Brian
FC Urban</t>
        </is>
      </c>
      <c r="AP73" s="19" t="inlineStr">
        <is>
          <t>Hi again,
Still holding that 5-a-side slot at Powerleague Shoreditch on Monday 28 September at 17:40, 2 minutes from Redchurch Street. It's {PRICE} a player, and we handle the booking and payments, so it's one link for the team. Worth a go?
Best,
Brian
FC Urban</t>
        </is>
      </c>
      <c r="AQ73" s="20">
        <f>IF(OR(AG73="",AO73=""),"",SUBSTITUTE(AO73,"{PRICE}","£"&amp;IF(AG73=INT(AG73),TEXT(AG73,"0"),TEXT(AG73,"0.00"))))</f>
        <v/>
      </c>
      <c r="AR73" s="20">
        <f>IF(OR(AG73="",AP73=""),"",SUBSTITUTE(AP73,"{PRICE}","£"&amp;IF(AG73=INT(AG73),TEXT(AG73,"0"),TEXT(AG73,"0.00"))))</f>
        <v/>
      </c>
      <c r="AS73" s="15" t="inlineStr">
        <is>
          <t>pass</t>
        </is>
      </c>
      <c r="AT73" s="15" t="inlineStr">
        <is>
          <t>MX ok · mailbox not verified</t>
        </is>
      </c>
      <c r="AU73" s="15" t="inlineStr">
        <is>
          <t>website may be a different company</t>
        </is>
      </c>
      <c r="AV73" s="18">
        <f>IF(AU73&lt;&gt;"","No – hold: "&amp;AU73,IF(AG73="","No – no confirmed London price per player",IF(AM73="","No – no email",IF(AO73="","No – no personalised email",IF(AS73&lt;&gt;"pass","No – suppressed","Yes")))))</f>
        <v/>
      </c>
      <c r="AX73" s="21" t="n"/>
      <c r="AY73" s="21" t="n"/>
    </row>
    <row r="74">
      <c r="A74" s="15" t="n">
        <v>72</v>
      </c>
      <c r="B74" s="15" t="n">
        <v>2</v>
      </c>
      <c r="C74" s="15" t="inlineStr">
        <is>
          <t>Professional services (LLP)</t>
        </is>
      </c>
      <c r="D74" s="15" t="inlineStr">
        <is>
          <t>EC2A</t>
        </is>
      </c>
      <c r="E74" s="15" t="inlineStr">
        <is>
          <t>Paloma II (Industrial) I LLP</t>
        </is>
      </c>
      <c r="F74" s="15" t="inlineStr">
        <is>
          <t>Paloma II I</t>
        </is>
      </c>
      <c r="G74" s="16" t="inlineStr">
        <is>
          <t>https://www.paloma.com</t>
        </is>
      </c>
      <c r="H74" s="15" t="inlineStr">
        <is>
          <t>Not stated</t>
        </is>
      </c>
      <c r="I74" s="15" t="inlineStr">
        <is>
          <t>OC423581</t>
        </is>
      </c>
      <c r="J74" s="16" t="inlineStr">
        <is>
          <t>Open</t>
        </is>
      </c>
      <c r="K74" s="15" t="inlineStr">
        <is>
          <t>Full</t>
        </is>
      </c>
      <c r="L74" s="15" t="inlineStr">
        <is>
          <t>31/07/2018</t>
        </is>
      </c>
      <c r="M74" s="15" t="inlineStr">
        <is>
          <t>Broadwalk House 5 Appold Street, Broadgate, London</t>
        </is>
      </c>
      <c r="N74" s="15" t="inlineStr">
        <is>
          <t>EC2A 2DA</t>
        </is>
      </c>
      <c r="O74" s="15" t="inlineStr">
        <is>
          <t>No</t>
        </is>
      </c>
      <c r="P74" s="15" t="inlineStr">
        <is>
          <t>Donald</t>
        </is>
      </c>
      <c r="Q74" s="15" t="inlineStr">
        <is>
          <t>Donald Sussman</t>
        </is>
      </c>
      <c r="R74" s="15" t="inlineStr">
        <is>
          <t>Founder</t>
        </is>
      </c>
      <c r="S74" s="15" t="inlineStr">
        <is>
          <t>info@paloma.com</t>
        </is>
      </c>
      <c r="T74" s="15" t="inlineStr">
        <is>
          <t>a/b named person via general inbox</t>
        </is>
      </c>
      <c r="U74" s="16" t="inlineStr">
        <is>
          <t>https://www.paloma.com/contact</t>
        </is>
      </c>
      <c r="X74" s="15" t="n"/>
      <c r="Y74" s="15" t="inlineStr">
        <is>
          <t>EC2A 2DA</t>
        </is>
      </c>
      <c r="Z74" s="15" t="inlineStr">
        <is>
          <t>Website</t>
        </is>
      </c>
      <c r="AA74" s="15" t="inlineStr">
        <is>
          <t>Shoreditch Powerleague</t>
        </is>
      </c>
      <c r="AB74" s="15" t="n">
        <v>7</v>
      </c>
      <c r="AC74" s="15" t="inlineStr">
        <is>
          <t>Shoreditch Powerleague</t>
        </is>
      </c>
      <c r="AD74" s="15" t="inlineStr">
        <is>
          <t>Monday 28 September at 17:40</t>
        </is>
      </c>
      <c r="AE74" s="15" t="inlineStr">
        <is>
          <t>One-off</t>
        </is>
      </c>
      <c r="AF74" s="15" t="inlineStr">
        <is>
          <t>5-a-side</t>
        </is>
      </c>
      <c r="AG74" s="17">
        <f>IF(Offer!$D$5="","",Offer!$D$5)</f>
        <v/>
      </c>
      <c r="AH74" s="15" t="inlineStr">
        <is>
          <t>Paloma backs emerging hedge fund managers with capital and infrastructure so they can focus on performance</t>
        </is>
      </c>
      <c r="AI74" s="15" t="inlineStr">
        <is>
          <t>https://www.paloma.com/</t>
        </is>
      </c>
      <c r="AJ74" s="15" t="inlineStr">
        <is>
          <t>what they do</t>
        </is>
      </c>
      <c r="AK74" s="15" t="inlineStr">
        <is>
          <t>low</t>
        </is>
      </c>
      <c r="AL74" s="15" t="inlineStr">
        <is>
          <t>The website www.paloma.com is Paloma Partners, a hedge fund business headquartered in Greenwich CT and New York -- no London office is mentioned anywhere on the pages read. The office_postcode given (EC2A 2DA) wasn't confirmed on the site, though contact_first_name Donald does match Paloma's founder Donald Sussman. Worth double-checking this LLP is genuinely based at that London address before sending.</t>
        </is>
      </c>
      <c r="AM74" s="18">
        <f>IF(V74&lt;&gt;"",V74,S74)</f>
        <v/>
      </c>
      <c r="AN74" s="18">
        <f>IF(AG74="","","Five-a-side, 7 minutes from your office")</f>
        <v/>
      </c>
      <c r="AO74" s="19" t="inlineStr">
        <is>
          <t>Hi Donald,
You spend your days backing fund managers with the infrastructure to perform. A weekly five-a-side could do the same for your own team.
We've a 5-a-side pitch at Powerleague Shoreditch, Braithwaite Street, a 7-minute walk from your office. There's a slot free Monday 28 September at 17:40, or Thursday 1 October at 18:20, and it could become your regular weekly game.
It's {PRICE} a player, and we book the pitch and handle sign-ups and payments, so someone just shares one link with the team.
Shall I hold Monday for you?
Best,
Brian
FC Urban</t>
        </is>
      </c>
      <c r="AP74" s="19" t="inlineStr">
        <is>
          <t>Hi Donald,
Following up on the five-a-side slot at Powerleague Shoreditch, 7 minutes from your office. Thursday 1 October at 18:20 is still open. It's {PRICE} a player, and we handle the booking and payments, so it's one link for the team. Worth trying?
Best,
Brian
FC Urban</t>
        </is>
      </c>
      <c r="AQ74" s="20">
        <f>IF(OR(AG74="",AO74=""),"",SUBSTITUTE(AO74,"{PRICE}","£"&amp;IF(AG74=INT(AG74),TEXT(AG74,"0"),TEXT(AG74,"0.00"))))</f>
        <v/>
      </c>
      <c r="AR74" s="20">
        <f>IF(OR(AG74="",AP74=""),"",SUBSTITUTE(AP74,"{PRICE}","£"&amp;IF(AG74=INT(AG74),TEXT(AG74,"0"),TEXT(AG74,"0.00"))))</f>
        <v/>
      </c>
      <c r="AS74" s="15" t="inlineStr">
        <is>
          <t>pass</t>
        </is>
      </c>
      <c r="AT74" s="15" t="inlineStr">
        <is>
          <t>MX ok · mailbox not verified</t>
        </is>
      </c>
      <c r="AU74" s="15" t="inlineStr">
        <is>
          <t>website may be a different company</t>
        </is>
      </c>
      <c r="AV74" s="18">
        <f>IF(AU74&lt;&gt;"","No – hold: "&amp;AU74,IF(AG74="","No – no confirmed London price per player",IF(AM74="","No – no email",IF(AO74="","No – no personalised email",IF(AS74&lt;&gt;"pass","No – suppressed","Yes")))))</f>
        <v/>
      </c>
      <c r="AX74" s="21" t="n"/>
      <c r="AY74" s="21" t="n"/>
    </row>
    <row r="75">
      <c r="A75" s="15" t="n">
        <v>73</v>
      </c>
      <c r="B75" s="15" t="n">
        <v>3</v>
      </c>
      <c r="C75" s="15" t="inlineStr">
        <is>
          <t>Professional services (LLP)</t>
        </is>
      </c>
      <c r="D75" s="15" t="inlineStr">
        <is>
          <t>E1</t>
        </is>
      </c>
      <c r="E75" s="15" t="inlineStr">
        <is>
          <t>Squadron LLP</t>
        </is>
      </c>
      <c r="F75" s="15" t="inlineStr">
        <is>
          <t>Squadron</t>
        </is>
      </c>
      <c r="G75" s="16" t="inlineStr">
        <is>
          <t>https://squadron.com</t>
        </is>
      </c>
      <c r="H75" s="15" t="inlineStr">
        <is>
          <t>Not stated</t>
        </is>
      </c>
      <c r="I75" s="15" t="inlineStr">
        <is>
          <t>OC449650</t>
        </is>
      </c>
      <c r="J75" s="16" t="inlineStr">
        <is>
          <t>Open</t>
        </is>
      </c>
      <c r="K75" s="15" t="inlineStr">
        <is>
          <t>Full</t>
        </is>
      </c>
      <c r="L75" s="15" t="inlineStr">
        <is>
          <t>25/10/2023</t>
        </is>
      </c>
      <c r="M75" s="15" t="inlineStr">
        <is>
          <t>One Bishops Square, London</t>
        </is>
      </c>
      <c r="N75" s="15" t="inlineStr">
        <is>
          <t>E1 6AD</t>
        </is>
      </c>
      <c r="O75" s="15" t="inlineStr">
        <is>
          <t>No</t>
        </is>
      </c>
      <c r="P75" s="15" t="n"/>
      <c r="Q75" s="15" t="n"/>
      <c r="R75" s="15" t="n"/>
      <c r="S75" s="15" t="inlineStr">
        <is>
          <t>info@squadron.com</t>
        </is>
      </c>
      <c r="T75" s="15" t="inlineStr">
        <is>
          <t>c general inbox</t>
        </is>
      </c>
      <c r="U75" s="16" t="inlineStr">
        <is>
          <t>https://squadron.com/</t>
        </is>
      </c>
      <c r="X75" s="15" t="n"/>
      <c r="Y75" s="15" t="inlineStr">
        <is>
          <t>E1 6AD</t>
        </is>
      </c>
      <c r="Z75" s="15" t="inlineStr">
        <is>
          <t>Registered office (no address on website)</t>
        </is>
      </c>
      <c r="AA75" s="15" t="inlineStr">
        <is>
          <t>Shoreditch Powerleague</t>
        </is>
      </c>
      <c r="AB75" s="15" t="n">
        <v>6</v>
      </c>
      <c r="AC75" s="15" t="inlineStr">
        <is>
          <t>Shoreditch Powerleague</t>
        </is>
      </c>
      <c r="AD75" s="15" t="inlineStr">
        <is>
          <t>Monday 28 September at 17:40</t>
        </is>
      </c>
      <c r="AE75" s="15" t="inlineStr">
        <is>
          <t>One-off</t>
        </is>
      </c>
      <c r="AF75" s="15" t="inlineStr">
        <is>
          <t>5-a-side</t>
        </is>
      </c>
      <c r="AG75" s="17">
        <f>IF(Offer!$D$5="","",Offer!$D$5)</f>
        <v/>
      </c>
      <c r="AH75" s="15" t="n"/>
      <c r="AI75" s="15" t="n"/>
      <c r="AJ75" s="15" t="inlineStr">
        <is>
          <t>none</t>
        </is>
      </c>
      <c r="AK75" s="15" t="inlineStr">
        <is>
          <t>low</t>
        </is>
      </c>
      <c r="AL75" s="15" t="inlineStr">
        <is>
          <t>IMPORTANT — wrong website on file: squadron.com is a US model-kit/hobby retailer (Squadron Mail Order, Ringgold, GA, 'Adding to the Stash Since 1968'), not Squadron LLP, the London professional services firm at E1 6AD. No personal hook used since the pages read are for a completely different business. Please verify the correct website and that info@squadron.com is really Squadron LLP's inbox before sending.</t>
        </is>
      </c>
      <c r="AM75" s="18">
        <f>IF(V75&lt;&gt;"",V75,S75)</f>
        <v/>
      </c>
      <c r="AN75" s="18">
        <f>IF(AG75="","","6 minutes from your office: weekly 5-a-side")</f>
        <v/>
      </c>
      <c r="AO75" s="19" t="inlineStr">
        <is>
          <t>Hi Squadron team,
We've got a 5-a-side pitch at Powerleague Shoreditch, Braithwaite Street, E1 6GJ, about a 6-minute walk from your office. There's a slot open Monday 28 September at 17:40, or 19:40 if that's easier, and it could become your weekly game. It's {PRICE} a player, and we book the pitch and handle sign-ups and payments, so someone just shares one link with the team. Would your team be up for it?
Best,
Brian
FC Urban</t>
        </is>
      </c>
      <c r="AP75" s="19" t="inlineStr">
        <is>
          <t>Hi Squadron team,
Following up on the 5-a-side slot at Powerleague Shoreditch, a short walk from your office — Monday 28 September at 17:40 is still open, or Thursday 1 October at 18:20. It's {PRICE} a player; we handle the booking and payments. Let me know if you'd like it held.
Best,
Brian
FC Urban</t>
        </is>
      </c>
      <c r="AQ75" s="20">
        <f>IF(OR(AG75="",AO75=""),"",SUBSTITUTE(AO75,"{PRICE}","£"&amp;IF(AG75=INT(AG75),TEXT(AG75,"0"),TEXT(AG75,"0.00"))))</f>
        <v/>
      </c>
      <c r="AR75" s="20">
        <f>IF(OR(AG75="",AP75=""),"",SUBSTITUTE(AP75,"{PRICE}","£"&amp;IF(AG75=INT(AG75),TEXT(AG75,"0"),TEXT(AG75,"0.00"))))</f>
        <v/>
      </c>
      <c r="AS75" s="15" t="inlineStr">
        <is>
          <t>pass</t>
        </is>
      </c>
      <c r="AT75" s="15" t="inlineStr">
        <is>
          <t>MX ok · mailbox not verified</t>
        </is>
      </c>
      <c r="AU75" s="15" t="inlineStr">
        <is>
          <t>website may be a different company</t>
        </is>
      </c>
      <c r="AV75" s="18">
        <f>IF(AU75&lt;&gt;"","No – hold: "&amp;AU75,IF(AG75="","No – no confirmed London price per player",IF(AM75="","No – no email",IF(AO75="","No – no personalised email",IF(AS75&lt;&gt;"pass","No – suppressed","Yes")))))</f>
        <v/>
      </c>
      <c r="AX75" s="21" t="n"/>
      <c r="AY75" s="21" t="n"/>
    </row>
    <row r="76">
      <c r="A76" s="15" t="n">
        <v>74</v>
      </c>
      <c r="B76" s="15" t="n">
        <v>3</v>
      </c>
      <c r="C76" s="15" t="inlineStr">
        <is>
          <t>Tech / software</t>
        </is>
      </c>
      <c r="D76" s="15" t="inlineStr">
        <is>
          <t>EC1V</t>
        </is>
      </c>
      <c r="E76" s="15" t="inlineStr">
        <is>
          <t>Northdoor PLC</t>
        </is>
      </c>
      <c r="F76" s="15" t="inlineStr">
        <is>
          <t>Northdoor</t>
        </is>
      </c>
      <c r="G76" s="16" t="inlineStr">
        <is>
          <t>https://northdoor.co</t>
        </is>
      </c>
      <c r="H76" s="15" t="inlineStr">
        <is>
          <t>Not stated</t>
        </is>
      </c>
      <c r="I76" s="15" t="inlineStr">
        <is>
          <t>02192480</t>
        </is>
      </c>
      <c r="J76" s="16" t="inlineStr">
        <is>
          <t>Open</t>
        </is>
      </c>
      <c r="K76" s="15" t="inlineStr">
        <is>
          <t>Group</t>
        </is>
      </c>
      <c r="L76" s="15" t="inlineStr">
        <is>
          <t>11/11/1987</t>
        </is>
      </c>
      <c r="M76" s="15" t="inlineStr">
        <is>
          <t>Third Floor, Bentima House, 168-172 Old Street, London</t>
        </is>
      </c>
      <c r="N76" s="15" t="inlineStr">
        <is>
          <t>EC1V 9BP</t>
        </is>
      </c>
      <c r="O76" s="15" t="inlineStr">
        <is>
          <t>No</t>
        </is>
      </c>
      <c r="P76" s="15" t="n"/>
      <c r="Q76" s="15" t="n"/>
      <c r="R76" s="15" t="n"/>
      <c r="S76" s="15" t="inlineStr">
        <is>
          <t>eli@northdoor.co</t>
        </is>
      </c>
      <c r="T76" s="15" t="inlineStr">
        <is>
          <t>c general inbox</t>
        </is>
      </c>
      <c r="U76" s="16" t="inlineStr">
        <is>
          <t>https://northdoor.co/</t>
        </is>
      </c>
      <c r="X76" s="15" t="inlineStr">
        <is>
          <t>Third Floor, Bentima House, 168-172 Old Street</t>
        </is>
      </c>
      <c r="Y76" s="15" t="inlineStr">
        <is>
          <t>EC1V 9BP</t>
        </is>
      </c>
      <c r="Z76" s="15" t="inlineStr">
        <is>
          <t>Website (Third Floor, Bentima House, 168-172 Old Street)</t>
        </is>
      </c>
      <c r="AA76" s="15" t="inlineStr">
        <is>
          <t>Old St - Moreland Primary School</t>
        </is>
      </c>
      <c r="AB76" s="15" t="n">
        <v>11</v>
      </c>
      <c r="AC76" s="15" t="inlineStr">
        <is>
          <t>Old St - Moreland Primary School</t>
        </is>
      </c>
      <c r="AD76" s="15" t="inlineStr">
        <is>
          <t>Monday 12 October at 18:00</t>
        </is>
      </c>
      <c r="AE76" s="15" t="inlineStr">
        <is>
          <t>One-off</t>
        </is>
      </c>
      <c r="AF76" s="15" t="inlineStr">
        <is>
          <t>6-a-side</t>
        </is>
      </c>
      <c r="AG76" s="17">
        <f>IF(Offer!$D$5="","",Offer!$D$5)</f>
        <v/>
      </c>
      <c r="AH76" s="15" t="n"/>
      <c r="AI76" s="15" t="n"/>
      <c r="AJ76" s="15" t="inlineStr">
        <is>
          <t>none</t>
        </is>
      </c>
      <c r="AK76" s="15" t="inlineStr">
        <is>
          <t>low</t>
        </is>
      </c>
      <c r="AL76" s="15" t="inlineStr">
        <is>
          <t>The downloaded pages for northdoor.co are for an unrelated US company (North Door Property Management, San Jose CA, contact Eli) — not a UK tech/software firm. Worth double-checking this is the right website/inbox before relying on any personal detail from it. No hook used; email is generic.</t>
        </is>
      </c>
      <c r="AM76" s="18">
        <f>IF(V76&lt;&gt;"",V76,S76)</f>
        <v/>
      </c>
      <c r="AN76" s="18">
        <f>IF(AG76="","","A weekly 6-a-side pitch 11 minutes from Old Street")</f>
        <v/>
      </c>
      <c r="AO76" s="19" t="inlineStr">
        <is>
          <t>Hi Northdoor team,
We've got a floodlit 3G pitch at Moreland School, just off Old Street, an 11-minute walk from your office on Old Street. There's a 6-a-side slot free on Monday 12 October at 18:00, or 19:00 if that suits better, and it can easily become a regular weekly game for your team.
It's {PRICE} a player, and we book the pitch and handle sign-ups and payments, so someone just shares one link with the team.
Would your team be up for it?
Best,
Brian
FC Urban</t>
        </is>
      </c>
      <c r="AP76" s="19" t="inlineStr">
        <is>
          <t>Following up on Monday 12 October — the 6-a-side slot at Moreland School (18:00 or 19:00) is still free, an 11-minute walk from your office. It's {PRICE} a player, and we handle the pitch booking and payments end to end. Keen to get Northdoor a regular weekly game.
Best,
Brian</t>
        </is>
      </c>
      <c r="AQ76" s="20">
        <f>IF(OR(AG76="",AO76=""),"",SUBSTITUTE(AO76,"{PRICE}","£"&amp;IF(AG76=INT(AG76),TEXT(AG76,"0"),TEXT(AG76,"0.00"))))</f>
        <v/>
      </c>
      <c r="AR76" s="20">
        <f>IF(OR(AG76="",AP76=""),"",SUBSTITUTE(AP76,"{PRICE}","£"&amp;IF(AG76=INT(AG76),TEXT(AG76,"0"),TEXT(AG76,"0.00"))))</f>
        <v/>
      </c>
      <c r="AS76" s="15" t="inlineStr">
        <is>
          <t>pass</t>
        </is>
      </c>
      <c r="AT76" s="15" t="inlineStr">
        <is>
          <t>MX ok · mailbox not verified</t>
        </is>
      </c>
      <c r="AU76" s="15" t="inlineStr">
        <is>
          <t>website may be a different company</t>
        </is>
      </c>
      <c r="AV76" s="18">
        <f>IF(AU76&lt;&gt;"","No – hold: "&amp;AU76,IF(AG76="","No – no confirmed London price per player",IF(AM76="","No – no email",IF(AO76="","No – no personalised email",IF(AS76&lt;&gt;"pass","No – suppressed","Yes")))))</f>
        <v/>
      </c>
      <c r="AX76" s="21" t="n"/>
      <c r="AY76" s="21" t="n"/>
    </row>
    <row r="77">
      <c r="A77" s="15" t="n">
        <v>75</v>
      </c>
      <c r="B77" s="15" t="n">
        <v>3</v>
      </c>
      <c r="C77" s="15" t="inlineStr">
        <is>
          <t>Marketing / agency</t>
        </is>
      </c>
      <c r="D77" s="15" t="inlineStr">
        <is>
          <t>EC1R</t>
        </is>
      </c>
      <c r="E77" s="15" t="inlineStr">
        <is>
          <t>Lightbox Media Limited</t>
        </is>
      </c>
      <c r="F77" s="15" t="inlineStr">
        <is>
          <t>Lightbox Media</t>
        </is>
      </c>
      <c r="G77" s="16" t="inlineStr">
        <is>
          <t>https://lightboxmedia.co</t>
        </is>
      </c>
      <c r="H77" s="15" t="inlineStr">
        <is>
          <t>Not stated</t>
        </is>
      </c>
      <c r="I77" s="15" t="inlineStr">
        <is>
          <t>08768677</t>
        </is>
      </c>
      <c r="J77" s="16" t="inlineStr">
        <is>
          <t>Open</t>
        </is>
      </c>
      <c r="K77" s="15" t="inlineStr">
        <is>
          <t>Group</t>
        </is>
      </c>
      <c r="L77" s="15" t="inlineStr">
        <is>
          <t>11/11/2013</t>
        </is>
      </c>
      <c r="M77" s="15" t="inlineStr">
        <is>
          <t>10 Amwell Street, London</t>
        </is>
      </c>
      <c r="N77" s="15" t="inlineStr">
        <is>
          <t>EC1R 1UQ</t>
        </is>
      </c>
      <c r="O77" s="15" t="inlineStr">
        <is>
          <t>No</t>
        </is>
      </c>
      <c r="P77" s="15" t="n"/>
      <c r="Q77" s="15" t="n"/>
      <c r="R77" s="15" t="n"/>
      <c r="S77" s="15" t="inlineStr">
        <is>
          <t>studio@lightboxmedia.co</t>
        </is>
      </c>
      <c r="T77" s="15" t="inlineStr">
        <is>
          <t>c general inbox</t>
        </is>
      </c>
      <c r="U77" s="16" t="inlineStr">
        <is>
          <t>https://lightboxmedia.co/</t>
        </is>
      </c>
      <c r="X77" s="15" t="inlineStr">
        <is>
          <t>10 AMWELL STREET</t>
        </is>
      </c>
      <c r="Y77" s="15" t="inlineStr">
        <is>
          <t>EC1R 1UQ</t>
        </is>
      </c>
      <c r="Z77" s="15" t="inlineStr">
        <is>
          <t>Website (10 AMWELL STREET)</t>
        </is>
      </c>
      <c r="AA77" s="15" t="inlineStr">
        <is>
          <t>Old St - Moreland Primary School</t>
        </is>
      </c>
      <c r="AB77" s="15" t="n">
        <v>12</v>
      </c>
      <c r="AC77" s="15" t="inlineStr">
        <is>
          <t>Old St - Moreland Primary School</t>
        </is>
      </c>
      <c r="AD77" s="15" t="inlineStr">
        <is>
          <t>Monday 12 October at 18:00</t>
        </is>
      </c>
      <c r="AE77" s="15" t="inlineStr">
        <is>
          <t>One-off</t>
        </is>
      </c>
      <c r="AF77" s="15" t="inlineStr">
        <is>
          <t>6-a-side</t>
        </is>
      </c>
      <c r="AG77" s="17">
        <f>IF(Offer!$D$5="","",Offer!$D$5)</f>
        <v/>
      </c>
      <c r="AH77" s="15" t="n"/>
      <c r="AI77" s="15" t="n"/>
      <c r="AJ77" s="15" t="inlineStr">
        <is>
          <t>none</t>
        </is>
      </c>
      <c r="AK77" s="15" t="inlineStr">
        <is>
          <t>low</t>
        </is>
      </c>
      <c r="AL77" s="15" t="inlineStr">
        <is>
          <t>The downloaded page for lightboxmedia.co is for an unrelated US photography business (corporate headshots/school pictures, contact Heather Crowder, Maryland phone number), not a London marketing/agency company. Worth checking this is the right website/inbox. No hook used; email is generic.</t>
        </is>
      </c>
      <c r="AM77" s="18">
        <f>IF(V77&lt;&gt;"",V77,S77)</f>
        <v/>
      </c>
      <c r="AN77" s="18">
        <f>IF(AG77="","","A weekly 6-a-side game, 12 minutes from Amwell Street")</f>
        <v/>
      </c>
      <c r="AO77" s="19" t="inlineStr">
        <is>
          <t>Hi Lightbox Media team,
We've a floodlit 3G pitch at Moreland School, just off Old Street, a 12-minute walk from Amwell Street. There's a 6-a-side slot free on Monday 12 October at 18:00, or 19:00 if that works better, and it can become your regular weekly game.
It's {PRICE} a player, and we book the pitch and handle sign-ups and payments, so someone just shares one link with the team.
Would your team be up for it?
Best,
Brian
FC Urban</t>
        </is>
      </c>
      <c r="AP77" s="19" t="inlineStr">
        <is>
          <t>Following up on Monday 12 October — the 6-a-side slot at Moreland School (18:00 or 19:00) is still free, 12 minutes from Amwell Street. It's {PRICE} a player, and we handle the pitch booking and payments end to end. Would this work as your weekly game?
Best,
Brian</t>
        </is>
      </c>
      <c r="AQ77" s="20">
        <f>IF(OR(AG77="",AO77=""),"",SUBSTITUTE(AO77,"{PRICE}","£"&amp;IF(AG77=INT(AG77),TEXT(AG77,"0"),TEXT(AG77,"0.00"))))</f>
        <v/>
      </c>
      <c r="AR77" s="20">
        <f>IF(OR(AG77="",AP77=""),"",SUBSTITUTE(AP77,"{PRICE}","£"&amp;IF(AG77=INT(AG77),TEXT(AG77,"0"),TEXT(AG77,"0.00"))))</f>
        <v/>
      </c>
      <c r="AS77" s="15" t="inlineStr">
        <is>
          <t>pass</t>
        </is>
      </c>
      <c r="AT77" s="15" t="inlineStr">
        <is>
          <t>MX ok · mailbox not verified</t>
        </is>
      </c>
      <c r="AU77" s="15" t="inlineStr">
        <is>
          <t>website may be a different company</t>
        </is>
      </c>
      <c r="AV77" s="18">
        <f>IF(AU77&lt;&gt;"","No – hold: "&amp;AU77,IF(AG77="","No – no confirmed London price per player",IF(AM77="","No – no email",IF(AO77="","No – no personalised email",IF(AS77&lt;&gt;"pass","No – suppressed","Yes")))))</f>
        <v/>
      </c>
      <c r="AX77" s="21" t="n"/>
      <c r="AY77" s="21" t="n"/>
    </row>
    <row r="78">
      <c r="A78" s="15" t="n">
        <v>76</v>
      </c>
      <c r="B78" s="15" t="n">
        <v>3</v>
      </c>
      <c r="C78" s="15" t="inlineStr">
        <is>
          <t>Marketing / agency</t>
        </is>
      </c>
      <c r="D78" s="15" t="inlineStr">
        <is>
          <t>N1</t>
        </is>
      </c>
      <c r="E78" s="15" t="inlineStr">
        <is>
          <t>Creative Monster Limited</t>
        </is>
      </c>
      <c r="F78" s="15" t="inlineStr">
        <is>
          <t>Creative Monster</t>
        </is>
      </c>
      <c r="G78" s="16" t="inlineStr">
        <is>
          <t>https://www.creativemonster.com</t>
        </is>
      </c>
      <c r="H78" s="15" t="inlineStr">
        <is>
          <t>Not stated</t>
        </is>
      </c>
      <c r="I78" s="15" t="inlineStr">
        <is>
          <t>10806730</t>
        </is>
      </c>
      <c r="J78" s="16" t="inlineStr">
        <is>
          <t>Open</t>
        </is>
      </c>
      <c r="K78" s="15" t="inlineStr">
        <is>
          <t>Medium</t>
        </is>
      </c>
      <c r="L78" s="15" t="inlineStr">
        <is>
          <t>07/06/2017</t>
        </is>
      </c>
      <c r="M78" s="15" t="inlineStr">
        <is>
          <t>10 East Road, London</t>
        </is>
      </c>
      <c r="N78" s="15" t="inlineStr">
        <is>
          <t>N1 6AD</t>
        </is>
      </c>
      <c r="O78" s="15" t="inlineStr">
        <is>
          <t>No</t>
        </is>
      </c>
      <c r="P78" s="15" t="n"/>
      <c r="Q78" s="15" t="n"/>
      <c r="R78" s="15" t="n"/>
      <c r="S78" s="15" t="inlineStr">
        <is>
          <t>info@creativemonster.com</t>
        </is>
      </c>
      <c r="T78" s="15" t="inlineStr">
        <is>
          <t>c general inbox</t>
        </is>
      </c>
      <c r="U78" s="16" t="inlineStr">
        <is>
          <t>https://www.creativemonster.com/</t>
        </is>
      </c>
      <c r="X78" s="15" t="n"/>
      <c r="Y78" s="15" t="inlineStr">
        <is>
          <t>N1 6AD</t>
        </is>
      </c>
      <c r="Z78" s="15" t="inlineStr">
        <is>
          <t>Website</t>
        </is>
      </c>
      <c r="AA78" s="15" t="inlineStr">
        <is>
          <t>Old St - Moreland Primary School</t>
        </is>
      </c>
      <c r="AB78" s="15" t="n">
        <v>12</v>
      </c>
      <c r="AC78" s="15" t="inlineStr">
        <is>
          <t>Old St - Moreland Primary School</t>
        </is>
      </c>
      <c r="AD78" s="15" t="inlineStr">
        <is>
          <t>Monday 12 October at 18:00</t>
        </is>
      </c>
      <c r="AE78" s="15" t="inlineStr">
        <is>
          <t>One-off</t>
        </is>
      </c>
      <c r="AF78" s="15" t="inlineStr">
        <is>
          <t>6-a-side</t>
        </is>
      </c>
      <c r="AG78" s="17">
        <f>IF(Offer!$D$5="","",Offer!$D$5)</f>
        <v/>
      </c>
      <c r="AH78" s="15" t="n"/>
      <c r="AI78" s="15" t="n"/>
      <c r="AJ78" s="15" t="inlineStr">
        <is>
          <t>none</t>
        </is>
      </c>
      <c r="AK78" s="15" t="inlineStr">
        <is>
          <t>low</t>
        </is>
      </c>
      <c r="AL78" s="15" t="inlineStr">
        <is>
          <t>The only downloaded page (creativemonster.com homepage) is for an unrelated Toronto, Canada design studio (broadcast/print/web, phone with 647 area code), not the UK Creative Monster Limited. Worth checking this is the right website/inbox before further outreach. No hook used; email is generic.</t>
        </is>
      </c>
      <c r="AM78" s="18">
        <f>IF(V78&lt;&gt;"",V78,S78)</f>
        <v/>
      </c>
      <c r="AN78" s="18">
        <f>IF(AG78="","","A weekly 6-a-side pitch, 12 minutes from your N1 office")</f>
        <v/>
      </c>
      <c r="AO78" s="19" t="inlineStr">
        <is>
          <t>Hi Creative Monster team,
We've a floodlit 3G pitch at Moreland School, just off Old Street, a 12-minute walk from your N1 office. There's a 6-a-side slot free on Monday 12 October at 18:00, or 19:00 if that suits better, and it can become a regular weekly fixture for the team.
It's {PRICE} a player, and we book the pitch and handle sign-ups and payments, so someone just shares one link with the team.
Would your team be up for it?
Best,
Brian
FC Urban</t>
        </is>
      </c>
      <c r="AP78" s="19" t="inlineStr">
        <is>
          <t>Following up on Monday 12 October — the 6-a-side slot at Moreland School (18:00 or 19:00) is still free, 12 minutes from your N1 office. It's {PRICE} a player, and we handle the pitch booking and payments end to end. Would this suit as a weekly game?
Best,
Brian</t>
        </is>
      </c>
      <c r="AQ78" s="20">
        <f>IF(OR(AG78="",AO78=""),"",SUBSTITUTE(AO78,"{PRICE}","£"&amp;IF(AG78=INT(AG78),TEXT(AG78,"0"),TEXT(AG78,"0.00"))))</f>
        <v/>
      </c>
      <c r="AR78" s="20">
        <f>IF(OR(AG78="",AP78=""),"",SUBSTITUTE(AP78,"{PRICE}","£"&amp;IF(AG78=INT(AG78),TEXT(AG78,"0"),TEXT(AG78,"0.00"))))</f>
        <v/>
      </c>
      <c r="AS78" s="15" t="inlineStr">
        <is>
          <t>pass</t>
        </is>
      </c>
      <c r="AT78" s="15" t="inlineStr">
        <is>
          <t>MX ok · mailbox not verified</t>
        </is>
      </c>
      <c r="AU78" s="15" t="inlineStr">
        <is>
          <t>website may be a different company</t>
        </is>
      </c>
      <c r="AV78" s="18">
        <f>IF(AU78&lt;&gt;"","No – hold: "&amp;AU78,IF(AG78="","No – no confirmed London price per player",IF(AM78="","No – no email",IF(AO78="","No – no personalised email",IF(AS78&lt;&gt;"pass","No – suppressed","Yes")))))</f>
        <v/>
      </c>
      <c r="AX78" s="21" t="n"/>
      <c r="AY78" s="21" t="n"/>
    </row>
    <row r="79">
      <c r="A79" s="15" t="n">
        <v>77</v>
      </c>
      <c r="B79" s="15" t="n">
        <v>3</v>
      </c>
      <c r="C79" s="15" t="inlineStr">
        <is>
          <t>Consultancy</t>
        </is>
      </c>
      <c r="D79" s="15" t="inlineStr">
        <is>
          <t>EC3A</t>
        </is>
      </c>
      <c r="E79" s="15" t="inlineStr">
        <is>
          <t>Sigmatic Limited</t>
        </is>
      </c>
      <c r="F79" s="15" t="inlineStr">
        <is>
          <t>Sigmatic</t>
        </is>
      </c>
      <c r="G79" s="16" t="inlineStr">
        <is>
          <t>https://sigmatic.io</t>
        </is>
      </c>
      <c r="H79" s="15" t="inlineStr">
        <is>
          <t>Not stated</t>
        </is>
      </c>
      <c r="I79" s="15" t="inlineStr">
        <is>
          <t>03034965</t>
        </is>
      </c>
      <c r="J79" s="16" t="inlineStr">
        <is>
          <t>Open</t>
        </is>
      </c>
      <c r="K79" s="15" t="inlineStr">
        <is>
          <t>Full</t>
        </is>
      </c>
      <c r="L79" s="15" t="inlineStr">
        <is>
          <t>20/03/1995</t>
        </is>
      </c>
      <c r="M79" s="15" t="inlineStr">
        <is>
          <t>70 St. Mary Axe, London</t>
        </is>
      </c>
      <c r="N79" s="15" t="inlineStr">
        <is>
          <t>EC3A 8BE</t>
        </is>
      </c>
      <c r="O79" s="15" t="inlineStr">
        <is>
          <t>No</t>
        </is>
      </c>
      <c r="P79" s="15" t="n"/>
      <c r="Q79" s="15" t="n"/>
      <c r="R79" s="15" t="n"/>
      <c r="S79" s="15" t="inlineStr">
        <is>
          <t>contact@sigmatic.io</t>
        </is>
      </c>
      <c r="T79" s="15" t="inlineStr">
        <is>
          <t>c general inbox</t>
        </is>
      </c>
      <c r="U79" s="16" t="inlineStr">
        <is>
          <t>https://sigmatic.io/</t>
        </is>
      </c>
      <c r="X79" s="15" t="n"/>
      <c r="Y79" s="15" t="inlineStr">
        <is>
          <t>EC3A 8BE</t>
        </is>
      </c>
      <c r="Z79" s="15" t="inlineStr">
        <is>
          <t>Registered office (no address on website)</t>
        </is>
      </c>
      <c r="AA79" s="15" t="inlineStr">
        <is>
          <t>Shoreditch Powerleague</t>
        </is>
      </c>
      <c r="AB79" s="15" t="n">
        <v>15</v>
      </c>
      <c r="AC79" s="15" t="inlineStr">
        <is>
          <t>Shoreditch Powerleague</t>
        </is>
      </c>
      <c r="AD79" s="15" t="inlineStr">
        <is>
          <t>Monday 28 September at 17:40</t>
        </is>
      </c>
      <c r="AE79" s="15" t="inlineStr">
        <is>
          <t>One-off</t>
        </is>
      </c>
      <c r="AF79" s="15" t="inlineStr">
        <is>
          <t>5-a-side</t>
        </is>
      </c>
      <c r="AG79" s="17">
        <f>IF(Offer!$D$5="","",Offer!$D$5)</f>
        <v/>
      </c>
      <c r="AH79" s="15" t="inlineStr">
        <is>
          <t>Built Stakingverse, a liquid staking platform that reached $14M peak TVL</t>
        </is>
      </c>
      <c r="AI79" s="15" t="inlineStr">
        <is>
          <t>https://sigmatic.io/about</t>
        </is>
      </c>
      <c r="AJ79" s="15" t="inlineStr">
        <is>
          <t>milestone</t>
        </is>
      </c>
      <c r="AK79" s="15" t="inlineStr">
        <is>
          <t>low</t>
        </is>
      </c>
      <c r="AL79" s="15" t="inlineStr">
        <is>
          <t>Sigmatic's own site describes a solo, founder-led company (Jordy) based in Maastricht, Netherlands - no mention of a London office or team. The EC3A 8BE postcode on file doesn't match anything on the website. Verify this UK entity actually has a team in London before sending a team-game pitch.</t>
        </is>
      </c>
      <c r="AM79" s="18">
        <f>IF(V79&lt;&gt;"",V79,S79)</f>
        <v/>
      </c>
      <c r="AN79" s="18">
        <f>IF(AG79="","","Stakingverse's $14M TVL and a weekly kickabout")</f>
        <v/>
      </c>
      <c r="AO79" s="19" t="inlineStr">
        <is>
          <t>Hi Sigmatic team,
Great to see what you've built with Stakingverse, reaching $14M in peak TVL, sounds like a team that could use a regular break from the screens. We have a five-a-side pitch at Powerleague Shoreditch, Braithwaite Street, a 15-minute walk from EC3A. There's a slot on Monday 28 September at 17:40, or 19:40 if that suits, and it can become your regular weekly game. It's {PRICE} a player, and we book the pitch and handle sign-ups and payments, so someone just shares one link with the team. Would your team be up for it?
Best,
Brian
FC Urban</t>
        </is>
      </c>
      <c r="AP79" s="19" t="inlineStr">
        <is>
          <t>Hi again, still fancy a weekly five-a-side for the Sigmatic team? Powerleague Shoreditch has Thursday 1 October at 18:20 free, 15 minutes from EC3A. It's {PRICE} a player, we handle the booking, one link for everyone. Worth a try?
Best,
Brian
FC Urban</t>
        </is>
      </c>
      <c r="AQ79" s="20">
        <f>IF(OR(AG79="",AO79=""),"",SUBSTITUTE(AO79,"{PRICE}","£"&amp;IF(AG79=INT(AG79),TEXT(AG79,"0"),TEXT(AG79,"0.00"))))</f>
        <v/>
      </c>
      <c r="AR79" s="20">
        <f>IF(OR(AG79="",AP79=""),"",SUBSTITUTE(AP79,"{PRICE}","£"&amp;IF(AG79=INT(AG79),TEXT(AG79,"0"),TEXT(AG79,"0.00"))))</f>
        <v/>
      </c>
      <c r="AS79" s="15" t="inlineStr">
        <is>
          <t>pass</t>
        </is>
      </c>
      <c r="AT79" s="15" t="inlineStr">
        <is>
          <t>MX ok · mailbox not verified</t>
        </is>
      </c>
      <c r="AU79" s="15" t="inlineStr">
        <is>
          <t>website may be a different company</t>
        </is>
      </c>
      <c r="AV79" s="18">
        <f>IF(AU79&lt;&gt;"","No – hold: "&amp;AU79,IF(AG79="","No – no confirmed London price per player",IF(AM79="","No – no email",IF(AO79="","No – no personalised email",IF(AS79&lt;&gt;"pass","No – suppressed","Yes")))))</f>
        <v/>
      </c>
      <c r="AX79" s="21" t="n"/>
      <c r="AY79" s="21" t="n"/>
    </row>
  </sheetData>
  <autoFilter ref="A2:BE79"/>
  <mergeCells count="6">
    <mergeCell ref="AC1:AR1"/>
    <mergeCell ref="X1:AB1"/>
    <mergeCell ref="AW1:BE1"/>
    <mergeCell ref="A1:O1"/>
    <mergeCell ref="P1:W1"/>
    <mergeCell ref="AS1:AV1"/>
  </mergeCells>
  <dataValidations count="6">
    <dataValidation sqref="AW3:AW1000" showDropDown="0" showInputMessage="0" showErrorMessage="0" allowBlank="1" type="list">
      <formula1>"Brian"</formula1>
    </dataValidation>
    <dataValidation sqref="AZ3:AZ1000" showDropDown="0" showInputMessage="0" showErrorMessage="0" allowBlank="1" type="list">
      <formula1>"Yes,No"</formula1>
    </dataValidation>
    <dataValidation sqref="BB3:BB1000" showDropDown="0" showInputMessage="0" showErrorMessage="0" allowBlank="1" type="list">
      <formula1>"Yes,No"</formula1>
    </dataValidation>
    <dataValidation sqref="BC3:BC1000" showDropDown="0" showInputMessage="0" showErrorMessage="0" allowBlank="1" type="list">
      <formula1>"Yes,No"</formula1>
    </dataValidation>
    <dataValidation sqref="BD3:BD1000" showDropDown="0" showInputMessage="0" showErrorMessage="0" allowBlank="1" type="list">
      <formula1>"Yes,No"</formula1>
    </dataValidation>
    <dataValidation sqref="BA3:BA1000" showDropDown="0" showInputMessage="0" showErrorMessage="0" allowBlank="1" type="list">
      <formula1>"Interested,Call requested,Not now,Not interested,Wrong person,Opt-out,Bounce,Out of office"</formula1>
    </dataValidation>
  </dataValidations>
  <hyperlinks>
    <hyperlink xmlns:r="http://schemas.openxmlformats.org/officeDocument/2006/relationships" ref="G3" r:id="rId1"/>
    <hyperlink xmlns:r="http://schemas.openxmlformats.org/officeDocument/2006/relationships" ref="J3" r:id="rId2"/>
    <hyperlink xmlns:r="http://schemas.openxmlformats.org/officeDocument/2006/relationships" ref="U3" r:id="rId3"/>
    <hyperlink xmlns:r="http://schemas.openxmlformats.org/officeDocument/2006/relationships" ref="AI3" r:id="rId4"/>
    <hyperlink xmlns:r="http://schemas.openxmlformats.org/officeDocument/2006/relationships" ref="G4" r:id="rId5"/>
    <hyperlink xmlns:r="http://schemas.openxmlformats.org/officeDocument/2006/relationships" ref="J4" r:id="rId6"/>
    <hyperlink xmlns:r="http://schemas.openxmlformats.org/officeDocument/2006/relationships" ref="U4" r:id="rId7"/>
    <hyperlink xmlns:r="http://schemas.openxmlformats.org/officeDocument/2006/relationships" ref="G5" r:id="rId8"/>
    <hyperlink xmlns:r="http://schemas.openxmlformats.org/officeDocument/2006/relationships" ref="J5" r:id="rId9"/>
    <hyperlink xmlns:r="http://schemas.openxmlformats.org/officeDocument/2006/relationships" ref="U5" r:id="rId10"/>
    <hyperlink xmlns:r="http://schemas.openxmlformats.org/officeDocument/2006/relationships" ref="AI5" r:id="rId11"/>
    <hyperlink xmlns:r="http://schemas.openxmlformats.org/officeDocument/2006/relationships" ref="G6" r:id="rId12"/>
    <hyperlink xmlns:r="http://schemas.openxmlformats.org/officeDocument/2006/relationships" ref="J6" r:id="rId13"/>
    <hyperlink xmlns:r="http://schemas.openxmlformats.org/officeDocument/2006/relationships" ref="U6" r:id="rId14"/>
    <hyperlink xmlns:r="http://schemas.openxmlformats.org/officeDocument/2006/relationships" ref="AI6" r:id="rId15"/>
    <hyperlink xmlns:r="http://schemas.openxmlformats.org/officeDocument/2006/relationships" ref="G7" r:id="rId16"/>
    <hyperlink xmlns:r="http://schemas.openxmlformats.org/officeDocument/2006/relationships" ref="J7" r:id="rId17"/>
    <hyperlink xmlns:r="http://schemas.openxmlformats.org/officeDocument/2006/relationships" ref="U7" r:id="rId18"/>
    <hyperlink xmlns:r="http://schemas.openxmlformats.org/officeDocument/2006/relationships" ref="G8" r:id="rId19"/>
    <hyperlink xmlns:r="http://schemas.openxmlformats.org/officeDocument/2006/relationships" ref="J8" r:id="rId20"/>
    <hyperlink xmlns:r="http://schemas.openxmlformats.org/officeDocument/2006/relationships" ref="U8" r:id="rId21"/>
    <hyperlink xmlns:r="http://schemas.openxmlformats.org/officeDocument/2006/relationships" ref="G9" r:id="rId22"/>
    <hyperlink xmlns:r="http://schemas.openxmlformats.org/officeDocument/2006/relationships" ref="J9" r:id="rId23"/>
    <hyperlink xmlns:r="http://schemas.openxmlformats.org/officeDocument/2006/relationships" ref="U9" r:id="rId24"/>
    <hyperlink xmlns:r="http://schemas.openxmlformats.org/officeDocument/2006/relationships" ref="AI9" r:id="rId25"/>
    <hyperlink xmlns:r="http://schemas.openxmlformats.org/officeDocument/2006/relationships" ref="G10" r:id="rId26"/>
    <hyperlink xmlns:r="http://schemas.openxmlformats.org/officeDocument/2006/relationships" ref="J10" r:id="rId27"/>
    <hyperlink xmlns:r="http://schemas.openxmlformats.org/officeDocument/2006/relationships" ref="U10" r:id="rId28"/>
    <hyperlink xmlns:r="http://schemas.openxmlformats.org/officeDocument/2006/relationships" ref="G11" r:id="rId29"/>
    <hyperlink xmlns:r="http://schemas.openxmlformats.org/officeDocument/2006/relationships" ref="J11" r:id="rId30"/>
    <hyperlink xmlns:r="http://schemas.openxmlformats.org/officeDocument/2006/relationships" ref="U11" r:id="rId31"/>
    <hyperlink xmlns:r="http://schemas.openxmlformats.org/officeDocument/2006/relationships" ref="G12" r:id="rId32"/>
    <hyperlink xmlns:r="http://schemas.openxmlformats.org/officeDocument/2006/relationships" ref="J12" r:id="rId33"/>
    <hyperlink xmlns:r="http://schemas.openxmlformats.org/officeDocument/2006/relationships" ref="U12" r:id="rId34"/>
    <hyperlink xmlns:r="http://schemas.openxmlformats.org/officeDocument/2006/relationships" ref="G13" r:id="rId35"/>
    <hyperlink xmlns:r="http://schemas.openxmlformats.org/officeDocument/2006/relationships" ref="J13" r:id="rId36"/>
    <hyperlink xmlns:r="http://schemas.openxmlformats.org/officeDocument/2006/relationships" ref="U13" r:id="rId37"/>
    <hyperlink xmlns:r="http://schemas.openxmlformats.org/officeDocument/2006/relationships" ref="G14" r:id="rId38"/>
    <hyperlink xmlns:r="http://schemas.openxmlformats.org/officeDocument/2006/relationships" ref="J14" r:id="rId39"/>
    <hyperlink xmlns:r="http://schemas.openxmlformats.org/officeDocument/2006/relationships" ref="U14" r:id="rId40"/>
    <hyperlink xmlns:r="http://schemas.openxmlformats.org/officeDocument/2006/relationships" ref="G15" r:id="rId41"/>
    <hyperlink xmlns:r="http://schemas.openxmlformats.org/officeDocument/2006/relationships" ref="J15" r:id="rId42"/>
    <hyperlink xmlns:r="http://schemas.openxmlformats.org/officeDocument/2006/relationships" ref="U15" r:id="rId43"/>
    <hyperlink xmlns:r="http://schemas.openxmlformats.org/officeDocument/2006/relationships" ref="G16" r:id="rId44"/>
    <hyperlink xmlns:r="http://schemas.openxmlformats.org/officeDocument/2006/relationships" ref="J16" r:id="rId45"/>
    <hyperlink xmlns:r="http://schemas.openxmlformats.org/officeDocument/2006/relationships" ref="U16" r:id="rId46"/>
    <hyperlink xmlns:r="http://schemas.openxmlformats.org/officeDocument/2006/relationships" ref="G17" r:id="rId47"/>
    <hyperlink xmlns:r="http://schemas.openxmlformats.org/officeDocument/2006/relationships" ref="J17" r:id="rId48"/>
    <hyperlink xmlns:r="http://schemas.openxmlformats.org/officeDocument/2006/relationships" ref="U17" r:id="rId49"/>
    <hyperlink xmlns:r="http://schemas.openxmlformats.org/officeDocument/2006/relationships" ref="AI17" r:id="rId50"/>
    <hyperlink xmlns:r="http://schemas.openxmlformats.org/officeDocument/2006/relationships" ref="G18" r:id="rId51"/>
    <hyperlink xmlns:r="http://schemas.openxmlformats.org/officeDocument/2006/relationships" ref="J18" r:id="rId52"/>
    <hyperlink xmlns:r="http://schemas.openxmlformats.org/officeDocument/2006/relationships" ref="U18" r:id="rId53"/>
    <hyperlink xmlns:r="http://schemas.openxmlformats.org/officeDocument/2006/relationships" ref="G19" r:id="rId54"/>
    <hyperlink xmlns:r="http://schemas.openxmlformats.org/officeDocument/2006/relationships" ref="J19" r:id="rId55"/>
    <hyperlink xmlns:r="http://schemas.openxmlformats.org/officeDocument/2006/relationships" ref="U19" r:id="rId56"/>
    <hyperlink xmlns:r="http://schemas.openxmlformats.org/officeDocument/2006/relationships" ref="G20" r:id="rId57"/>
    <hyperlink xmlns:r="http://schemas.openxmlformats.org/officeDocument/2006/relationships" ref="J20" r:id="rId58"/>
    <hyperlink xmlns:r="http://schemas.openxmlformats.org/officeDocument/2006/relationships" ref="U20" r:id="rId59"/>
    <hyperlink xmlns:r="http://schemas.openxmlformats.org/officeDocument/2006/relationships" ref="G21" r:id="rId60"/>
    <hyperlink xmlns:r="http://schemas.openxmlformats.org/officeDocument/2006/relationships" ref="J21" r:id="rId61"/>
    <hyperlink xmlns:r="http://schemas.openxmlformats.org/officeDocument/2006/relationships" ref="U21" r:id="rId62"/>
    <hyperlink xmlns:r="http://schemas.openxmlformats.org/officeDocument/2006/relationships" ref="AI21" r:id="rId63"/>
    <hyperlink xmlns:r="http://schemas.openxmlformats.org/officeDocument/2006/relationships" ref="G22" r:id="rId64"/>
    <hyperlink xmlns:r="http://schemas.openxmlformats.org/officeDocument/2006/relationships" ref="J22" r:id="rId65"/>
    <hyperlink xmlns:r="http://schemas.openxmlformats.org/officeDocument/2006/relationships" ref="U22" r:id="rId66"/>
    <hyperlink xmlns:r="http://schemas.openxmlformats.org/officeDocument/2006/relationships" ref="G23" r:id="rId67"/>
    <hyperlink xmlns:r="http://schemas.openxmlformats.org/officeDocument/2006/relationships" ref="J23" r:id="rId68"/>
    <hyperlink xmlns:r="http://schemas.openxmlformats.org/officeDocument/2006/relationships" ref="U23" r:id="rId69"/>
    <hyperlink xmlns:r="http://schemas.openxmlformats.org/officeDocument/2006/relationships" ref="G24" r:id="rId70"/>
    <hyperlink xmlns:r="http://schemas.openxmlformats.org/officeDocument/2006/relationships" ref="J24" r:id="rId71"/>
    <hyperlink xmlns:r="http://schemas.openxmlformats.org/officeDocument/2006/relationships" ref="U24" r:id="rId72"/>
    <hyperlink xmlns:r="http://schemas.openxmlformats.org/officeDocument/2006/relationships" ref="G25" r:id="rId73"/>
    <hyperlink xmlns:r="http://schemas.openxmlformats.org/officeDocument/2006/relationships" ref="J25" r:id="rId74"/>
    <hyperlink xmlns:r="http://schemas.openxmlformats.org/officeDocument/2006/relationships" ref="U25" r:id="rId75"/>
    <hyperlink xmlns:r="http://schemas.openxmlformats.org/officeDocument/2006/relationships" ref="AI25" r:id="rId76"/>
    <hyperlink xmlns:r="http://schemas.openxmlformats.org/officeDocument/2006/relationships" ref="G26" r:id="rId77"/>
    <hyperlink xmlns:r="http://schemas.openxmlformats.org/officeDocument/2006/relationships" ref="J26" r:id="rId78"/>
    <hyperlink xmlns:r="http://schemas.openxmlformats.org/officeDocument/2006/relationships" ref="U26" r:id="rId79"/>
    <hyperlink xmlns:r="http://schemas.openxmlformats.org/officeDocument/2006/relationships" ref="G27" r:id="rId80"/>
    <hyperlink xmlns:r="http://schemas.openxmlformats.org/officeDocument/2006/relationships" ref="J27" r:id="rId81"/>
    <hyperlink xmlns:r="http://schemas.openxmlformats.org/officeDocument/2006/relationships" ref="U27" r:id="rId82"/>
    <hyperlink xmlns:r="http://schemas.openxmlformats.org/officeDocument/2006/relationships" ref="G28" r:id="rId83"/>
    <hyperlink xmlns:r="http://schemas.openxmlformats.org/officeDocument/2006/relationships" ref="J28" r:id="rId84"/>
    <hyperlink xmlns:r="http://schemas.openxmlformats.org/officeDocument/2006/relationships" ref="U28" r:id="rId85"/>
    <hyperlink xmlns:r="http://schemas.openxmlformats.org/officeDocument/2006/relationships" ref="G29" r:id="rId86"/>
    <hyperlink xmlns:r="http://schemas.openxmlformats.org/officeDocument/2006/relationships" ref="J29" r:id="rId87"/>
    <hyperlink xmlns:r="http://schemas.openxmlformats.org/officeDocument/2006/relationships" ref="U29" r:id="rId88"/>
    <hyperlink xmlns:r="http://schemas.openxmlformats.org/officeDocument/2006/relationships" ref="G30" r:id="rId89"/>
    <hyperlink xmlns:r="http://schemas.openxmlformats.org/officeDocument/2006/relationships" ref="J30" r:id="rId90"/>
    <hyperlink xmlns:r="http://schemas.openxmlformats.org/officeDocument/2006/relationships" ref="U30" r:id="rId91"/>
    <hyperlink xmlns:r="http://schemas.openxmlformats.org/officeDocument/2006/relationships" ref="G31" r:id="rId92"/>
    <hyperlink xmlns:r="http://schemas.openxmlformats.org/officeDocument/2006/relationships" ref="J31" r:id="rId93"/>
    <hyperlink xmlns:r="http://schemas.openxmlformats.org/officeDocument/2006/relationships" ref="U31" r:id="rId94"/>
    <hyperlink xmlns:r="http://schemas.openxmlformats.org/officeDocument/2006/relationships" ref="G32" r:id="rId95"/>
    <hyperlink xmlns:r="http://schemas.openxmlformats.org/officeDocument/2006/relationships" ref="J32" r:id="rId96"/>
    <hyperlink xmlns:r="http://schemas.openxmlformats.org/officeDocument/2006/relationships" ref="U32" r:id="rId97"/>
    <hyperlink xmlns:r="http://schemas.openxmlformats.org/officeDocument/2006/relationships" ref="G33" r:id="rId98"/>
    <hyperlink xmlns:r="http://schemas.openxmlformats.org/officeDocument/2006/relationships" ref="J33" r:id="rId99"/>
    <hyperlink xmlns:r="http://schemas.openxmlformats.org/officeDocument/2006/relationships" ref="U33" r:id="rId100"/>
    <hyperlink xmlns:r="http://schemas.openxmlformats.org/officeDocument/2006/relationships" ref="G34" r:id="rId101"/>
    <hyperlink xmlns:r="http://schemas.openxmlformats.org/officeDocument/2006/relationships" ref="J34" r:id="rId102"/>
    <hyperlink xmlns:r="http://schemas.openxmlformats.org/officeDocument/2006/relationships" ref="U34" r:id="rId103"/>
    <hyperlink xmlns:r="http://schemas.openxmlformats.org/officeDocument/2006/relationships" ref="G35" r:id="rId104"/>
    <hyperlink xmlns:r="http://schemas.openxmlformats.org/officeDocument/2006/relationships" ref="J35" r:id="rId105"/>
    <hyperlink xmlns:r="http://schemas.openxmlformats.org/officeDocument/2006/relationships" ref="U35" r:id="rId106"/>
    <hyperlink xmlns:r="http://schemas.openxmlformats.org/officeDocument/2006/relationships" ref="G36" r:id="rId107"/>
    <hyperlink xmlns:r="http://schemas.openxmlformats.org/officeDocument/2006/relationships" ref="J36" r:id="rId108"/>
    <hyperlink xmlns:r="http://schemas.openxmlformats.org/officeDocument/2006/relationships" ref="U36" r:id="rId109"/>
    <hyperlink xmlns:r="http://schemas.openxmlformats.org/officeDocument/2006/relationships" ref="G37" r:id="rId110"/>
    <hyperlink xmlns:r="http://schemas.openxmlformats.org/officeDocument/2006/relationships" ref="J37" r:id="rId111"/>
    <hyperlink xmlns:r="http://schemas.openxmlformats.org/officeDocument/2006/relationships" ref="U37" r:id="rId112"/>
    <hyperlink xmlns:r="http://schemas.openxmlformats.org/officeDocument/2006/relationships" ref="AI37" r:id="rId113"/>
    <hyperlink xmlns:r="http://schemas.openxmlformats.org/officeDocument/2006/relationships" ref="G38" r:id="rId114"/>
    <hyperlink xmlns:r="http://schemas.openxmlformats.org/officeDocument/2006/relationships" ref="J38" r:id="rId115"/>
    <hyperlink xmlns:r="http://schemas.openxmlformats.org/officeDocument/2006/relationships" ref="U38" r:id="rId116"/>
    <hyperlink xmlns:r="http://schemas.openxmlformats.org/officeDocument/2006/relationships" ref="G39" r:id="rId117"/>
    <hyperlink xmlns:r="http://schemas.openxmlformats.org/officeDocument/2006/relationships" ref="J39" r:id="rId118"/>
    <hyperlink xmlns:r="http://schemas.openxmlformats.org/officeDocument/2006/relationships" ref="U39" r:id="rId119"/>
    <hyperlink xmlns:r="http://schemas.openxmlformats.org/officeDocument/2006/relationships" ref="G40" r:id="rId120"/>
    <hyperlink xmlns:r="http://schemas.openxmlformats.org/officeDocument/2006/relationships" ref="J40" r:id="rId121"/>
    <hyperlink xmlns:r="http://schemas.openxmlformats.org/officeDocument/2006/relationships" ref="U40" r:id="rId122"/>
    <hyperlink xmlns:r="http://schemas.openxmlformats.org/officeDocument/2006/relationships" ref="G41" r:id="rId123"/>
    <hyperlink xmlns:r="http://schemas.openxmlformats.org/officeDocument/2006/relationships" ref="J41" r:id="rId124"/>
    <hyperlink xmlns:r="http://schemas.openxmlformats.org/officeDocument/2006/relationships" ref="U41" r:id="rId125"/>
    <hyperlink xmlns:r="http://schemas.openxmlformats.org/officeDocument/2006/relationships" ref="AI41" r:id="rId126"/>
    <hyperlink xmlns:r="http://schemas.openxmlformats.org/officeDocument/2006/relationships" ref="G42" r:id="rId127"/>
    <hyperlink xmlns:r="http://schemas.openxmlformats.org/officeDocument/2006/relationships" ref="J42" r:id="rId128"/>
    <hyperlink xmlns:r="http://schemas.openxmlformats.org/officeDocument/2006/relationships" ref="U42" r:id="rId129"/>
    <hyperlink xmlns:r="http://schemas.openxmlformats.org/officeDocument/2006/relationships" ref="G43" r:id="rId130"/>
    <hyperlink xmlns:r="http://schemas.openxmlformats.org/officeDocument/2006/relationships" ref="J43" r:id="rId131"/>
    <hyperlink xmlns:r="http://schemas.openxmlformats.org/officeDocument/2006/relationships" ref="U43" r:id="rId132"/>
    <hyperlink xmlns:r="http://schemas.openxmlformats.org/officeDocument/2006/relationships" ref="G44" r:id="rId133"/>
    <hyperlink xmlns:r="http://schemas.openxmlformats.org/officeDocument/2006/relationships" ref="J44" r:id="rId134"/>
    <hyperlink xmlns:r="http://schemas.openxmlformats.org/officeDocument/2006/relationships" ref="U44" r:id="rId135"/>
    <hyperlink xmlns:r="http://schemas.openxmlformats.org/officeDocument/2006/relationships" ref="G45" r:id="rId136"/>
    <hyperlink xmlns:r="http://schemas.openxmlformats.org/officeDocument/2006/relationships" ref="J45" r:id="rId137"/>
    <hyperlink xmlns:r="http://schemas.openxmlformats.org/officeDocument/2006/relationships" ref="U45" r:id="rId138"/>
    <hyperlink xmlns:r="http://schemas.openxmlformats.org/officeDocument/2006/relationships" ref="G46" r:id="rId139"/>
    <hyperlink xmlns:r="http://schemas.openxmlformats.org/officeDocument/2006/relationships" ref="J46" r:id="rId140"/>
    <hyperlink xmlns:r="http://schemas.openxmlformats.org/officeDocument/2006/relationships" ref="U46" r:id="rId141"/>
    <hyperlink xmlns:r="http://schemas.openxmlformats.org/officeDocument/2006/relationships" ref="G47" r:id="rId142"/>
    <hyperlink xmlns:r="http://schemas.openxmlformats.org/officeDocument/2006/relationships" ref="J47" r:id="rId143"/>
    <hyperlink xmlns:r="http://schemas.openxmlformats.org/officeDocument/2006/relationships" ref="U47" r:id="rId144"/>
    <hyperlink xmlns:r="http://schemas.openxmlformats.org/officeDocument/2006/relationships" ref="AI47" r:id="rId145"/>
    <hyperlink xmlns:r="http://schemas.openxmlformats.org/officeDocument/2006/relationships" ref="G48" r:id="rId146"/>
    <hyperlink xmlns:r="http://schemas.openxmlformats.org/officeDocument/2006/relationships" ref="J48" r:id="rId147"/>
    <hyperlink xmlns:r="http://schemas.openxmlformats.org/officeDocument/2006/relationships" ref="U48" r:id="rId148"/>
    <hyperlink xmlns:r="http://schemas.openxmlformats.org/officeDocument/2006/relationships" ref="G49" r:id="rId149"/>
    <hyperlink xmlns:r="http://schemas.openxmlformats.org/officeDocument/2006/relationships" ref="J49" r:id="rId150"/>
    <hyperlink xmlns:r="http://schemas.openxmlformats.org/officeDocument/2006/relationships" ref="U49" r:id="rId151"/>
    <hyperlink xmlns:r="http://schemas.openxmlformats.org/officeDocument/2006/relationships" ref="G50" r:id="rId152"/>
    <hyperlink xmlns:r="http://schemas.openxmlformats.org/officeDocument/2006/relationships" ref="J50" r:id="rId153"/>
    <hyperlink xmlns:r="http://schemas.openxmlformats.org/officeDocument/2006/relationships" ref="U50" r:id="rId154"/>
    <hyperlink xmlns:r="http://schemas.openxmlformats.org/officeDocument/2006/relationships" ref="G51" r:id="rId155"/>
    <hyperlink xmlns:r="http://schemas.openxmlformats.org/officeDocument/2006/relationships" ref="J51" r:id="rId156"/>
    <hyperlink xmlns:r="http://schemas.openxmlformats.org/officeDocument/2006/relationships" ref="U51" r:id="rId157"/>
    <hyperlink xmlns:r="http://schemas.openxmlformats.org/officeDocument/2006/relationships" ref="G52" r:id="rId158"/>
    <hyperlink xmlns:r="http://schemas.openxmlformats.org/officeDocument/2006/relationships" ref="J52" r:id="rId159"/>
    <hyperlink xmlns:r="http://schemas.openxmlformats.org/officeDocument/2006/relationships" ref="U52" r:id="rId160"/>
    <hyperlink xmlns:r="http://schemas.openxmlformats.org/officeDocument/2006/relationships" ref="AI52" r:id="rId161"/>
    <hyperlink xmlns:r="http://schemas.openxmlformats.org/officeDocument/2006/relationships" ref="G53" r:id="rId162"/>
    <hyperlink xmlns:r="http://schemas.openxmlformats.org/officeDocument/2006/relationships" ref="J53" r:id="rId163"/>
    <hyperlink xmlns:r="http://schemas.openxmlformats.org/officeDocument/2006/relationships" ref="U53" r:id="rId164"/>
    <hyperlink xmlns:r="http://schemas.openxmlformats.org/officeDocument/2006/relationships" ref="G54" r:id="rId165"/>
    <hyperlink xmlns:r="http://schemas.openxmlformats.org/officeDocument/2006/relationships" ref="J54" r:id="rId166"/>
    <hyperlink xmlns:r="http://schemas.openxmlformats.org/officeDocument/2006/relationships" ref="U54" r:id="rId167"/>
    <hyperlink xmlns:r="http://schemas.openxmlformats.org/officeDocument/2006/relationships" ref="G55" r:id="rId168"/>
    <hyperlink xmlns:r="http://schemas.openxmlformats.org/officeDocument/2006/relationships" ref="J55" r:id="rId169"/>
    <hyperlink xmlns:r="http://schemas.openxmlformats.org/officeDocument/2006/relationships" ref="U55" r:id="rId170"/>
    <hyperlink xmlns:r="http://schemas.openxmlformats.org/officeDocument/2006/relationships" ref="AI55" r:id="rId171"/>
    <hyperlink xmlns:r="http://schemas.openxmlformats.org/officeDocument/2006/relationships" ref="G56" r:id="rId172"/>
    <hyperlink xmlns:r="http://schemas.openxmlformats.org/officeDocument/2006/relationships" ref="J56" r:id="rId173"/>
    <hyperlink xmlns:r="http://schemas.openxmlformats.org/officeDocument/2006/relationships" ref="U56" r:id="rId174"/>
    <hyperlink xmlns:r="http://schemas.openxmlformats.org/officeDocument/2006/relationships" ref="G57" r:id="rId175"/>
    <hyperlink xmlns:r="http://schemas.openxmlformats.org/officeDocument/2006/relationships" ref="J57" r:id="rId176"/>
    <hyperlink xmlns:r="http://schemas.openxmlformats.org/officeDocument/2006/relationships" ref="U57" r:id="rId177"/>
    <hyperlink xmlns:r="http://schemas.openxmlformats.org/officeDocument/2006/relationships" ref="G58" r:id="rId178"/>
    <hyperlink xmlns:r="http://schemas.openxmlformats.org/officeDocument/2006/relationships" ref="J58" r:id="rId179"/>
    <hyperlink xmlns:r="http://schemas.openxmlformats.org/officeDocument/2006/relationships" ref="U58" r:id="rId180"/>
    <hyperlink xmlns:r="http://schemas.openxmlformats.org/officeDocument/2006/relationships" ref="G59" r:id="rId181"/>
    <hyperlink xmlns:r="http://schemas.openxmlformats.org/officeDocument/2006/relationships" ref="J59" r:id="rId182"/>
    <hyperlink xmlns:r="http://schemas.openxmlformats.org/officeDocument/2006/relationships" ref="U59" r:id="rId183"/>
    <hyperlink xmlns:r="http://schemas.openxmlformats.org/officeDocument/2006/relationships" ref="G60" r:id="rId184"/>
    <hyperlink xmlns:r="http://schemas.openxmlformats.org/officeDocument/2006/relationships" ref="J60" r:id="rId185"/>
    <hyperlink xmlns:r="http://schemas.openxmlformats.org/officeDocument/2006/relationships" ref="U60" r:id="rId186"/>
    <hyperlink xmlns:r="http://schemas.openxmlformats.org/officeDocument/2006/relationships" ref="G61" r:id="rId187"/>
    <hyperlink xmlns:r="http://schemas.openxmlformats.org/officeDocument/2006/relationships" ref="J61" r:id="rId188"/>
    <hyperlink xmlns:r="http://schemas.openxmlformats.org/officeDocument/2006/relationships" ref="U61" r:id="rId189"/>
    <hyperlink xmlns:r="http://schemas.openxmlformats.org/officeDocument/2006/relationships" ref="G62" r:id="rId190"/>
    <hyperlink xmlns:r="http://schemas.openxmlformats.org/officeDocument/2006/relationships" ref="J62" r:id="rId191"/>
    <hyperlink xmlns:r="http://schemas.openxmlformats.org/officeDocument/2006/relationships" ref="U62" r:id="rId192"/>
    <hyperlink xmlns:r="http://schemas.openxmlformats.org/officeDocument/2006/relationships" ref="G63" r:id="rId193"/>
    <hyperlink xmlns:r="http://schemas.openxmlformats.org/officeDocument/2006/relationships" ref="J63" r:id="rId194"/>
    <hyperlink xmlns:r="http://schemas.openxmlformats.org/officeDocument/2006/relationships" ref="U63" r:id="rId195"/>
    <hyperlink xmlns:r="http://schemas.openxmlformats.org/officeDocument/2006/relationships" ref="G64" r:id="rId196"/>
    <hyperlink xmlns:r="http://schemas.openxmlformats.org/officeDocument/2006/relationships" ref="J64" r:id="rId197"/>
    <hyperlink xmlns:r="http://schemas.openxmlformats.org/officeDocument/2006/relationships" ref="U64" r:id="rId198"/>
    <hyperlink xmlns:r="http://schemas.openxmlformats.org/officeDocument/2006/relationships" ref="AI64" r:id="rId199"/>
    <hyperlink xmlns:r="http://schemas.openxmlformats.org/officeDocument/2006/relationships" ref="G65" r:id="rId200"/>
    <hyperlink xmlns:r="http://schemas.openxmlformats.org/officeDocument/2006/relationships" ref="J65" r:id="rId201"/>
    <hyperlink xmlns:r="http://schemas.openxmlformats.org/officeDocument/2006/relationships" ref="U65" r:id="rId202"/>
    <hyperlink xmlns:r="http://schemas.openxmlformats.org/officeDocument/2006/relationships" ref="G66" r:id="rId203"/>
    <hyperlink xmlns:r="http://schemas.openxmlformats.org/officeDocument/2006/relationships" ref="J66" r:id="rId204"/>
    <hyperlink xmlns:r="http://schemas.openxmlformats.org/officeDocument/2006/relationships" ref="U66" r:id="rId205"/>
    <hyperlink xmlns:r="http://schemas.openxmlformats.org/officeDocument/2006/relationships" ref="G67" r:id="rId206"/>
    <hyperlink xmlns:r="http://schemas.openxmlformats.org/officeDocument/2006/relationships" ref="J67" r:id="rId207"/>
    <hyperlink xmlns:r="http://schemas.openxmlformats.org/officeDocument/2006/relationships" ref="U67" r:id="rId208"/>
    <hyperlink xmlns:r="http://schemas.openxmlformats.org/officeDocument/2006/relationships" ref="G68" r:id="rId209"/>
    <hyperlink xmlns:r="http://schemas.openxmlformats.org/officeDocument/2006/relationships" ref="J68" r:id="rId210"/>
    <hyperlink xmlns:r="http://schemas.openxmlformats.org/officeDocument/2006/relationships" ref="U68" r:id="rId211"/>
    <hyperlink xmlns:r="http://schemas.openxmlformats.org/officeDocument/2006/relationships" ref="G69" r:id="rId212"/>
    <hyperlink xmlns:r="http://schemas.openxmlformats.org/officeDocument/2006/relationships" ref="J69" r:id="rId213"/>
    <hyperlink xmlns:r="http://schemas.openxmlformats.org/officeDocument/2006/relationships" ref="U69" r:id="rId214"/>
    <hyperlink xmlns:r="http://schemas.openxmlformats.org/officeDocument/2006/relationships" ref="G70" r:id="rId215"/>
    <hyperlink xmlns:r="http://schemas.openxmlformats.org/officeDocument/2006/relationships" ref="J70" r:id="rId216"/>
    <hyperlink xmlns:r="http://schemas.openxmlformats.org/officeDocument/2006/relationships" ref="U70" r:id="rId217"/>
    <hyperlink xmlns:r="http://schemas.openxmlformats.org/officeDocument/2006/relationships" ref="AI70" r:id="rId218"/>
    <hyperlink xmlns:r="http://schemas.openxmlformats.org/officeDocument/2006/relationships" ref="G71" r:id="rId219"/>
    <hyperlink xmlns:r="http://schemas.openxmlformats.org/officeDocument/2006/relationships" ref="J71" r:id="rId220"/>
    <hyperlink xmlns:r="http://schemas.openxmlformats.org/officeDocument/2006/relationships" ref="U71" r:id="rId221"/>
    <hyperlink xmlns:r="http://schemas.openxmlformats.org/officeDocument/2006/relationships" ref="AI71" r:id="rId222"/>
    <hyperlink xmlns:r="http://schemas.openxmlformats.org/officeDocument/2006/relationships" ref="G72" r:id="rId223"/>
    <hyperlink xmlns:r="http://schemas.openxmlformats.org/officeDocument/2006/relationships" ref="J72" r:id="rId224"/>
    <hyperlink xmlns:r="http://schemas.openxmlformats.org/officeDocument/2006/relationships" ref="U72" r:id="rId225"/>
    <hyperlink xmlns:r="http://schemas.openxmlformats.org/officeDocument/2006/relationships" ref="G73" r:id="rId226"/>
    <hyperlink xmlns:r="http://schemas.openxmlformats.org/officeDocument/2006/relationships" ref="J73" r:id="rId227"/>
    <hyperlink xmlns:r="http://schemas.openxmlformats.org/officeDocument/2006/relationships" ref="U73" r:id="rId228"/>
    <hyperlink xmlns:r="http://schemas.openxmlformats.org/officeDocument/2006/relationships" ref="G74" r:id="rId229"/>
    <hyperlink xmlns:r="http://schemas.openxmlformats.org/officeDocument/2006/relationships" ref="J74" r:id="rId230"/>
    <hyperlink xmlns:r="http://schemas.openxmlformats.org/officeDocument/2006/relationships" ref="U74" r:id="rId231"/>
    <hyperlink xmlns:r="http://schemas.openxmlformats.org/officeDocument/2006/relationships" ref="G75" r:id="rId232"/>
    <hyperlink xmlns:r="http://schemas.openxmlformats.org/officeDocument/2006/relationships" ref="J75" r:id="rId233"/>
    <hyperlink xmlns:r="http://schemas.openxmlformats.org/officeDocument/2006/relationships" ref="U75" r:id="rId234"/>
    <hyperlink xmlns:r="http://schemas.openxmlformats.org/officeDocument/2006/relationships" ref="G76" r:id="rId235"/>
    <hyperlink xmlns:r="http://schemas.openxmlformats.org/officeDocument/2006/relationships" ref="J76" r:id="rId236"/>
    <hyperlink xmlns:r="http://schemas.openxmlformats.org/officeDocument/2006/relationships" ref="U76" r:id="rId237"/>
    <hyperlink xmlns:r="http://schemas.openxmlformats.org/officeDocument/2006/relationships" ref="G77" r:id="rId238"/>
    <hyperlink xmlns:r="http://schemas.openxmlformats.org/officeDocument/2006/relationships" ref="J77" r:id="rId239"/>
    <hyperlink xmlns:r="http://schemas.openxmlformats.org/officeDocument/2006/relationships" ref="U77" r:id="rId240"/>
    <hyperlink xmlns:r="http://schemas.openxmlformats.org/officeDocument/2006/relationships" ref="G78" r:id="rId241"/>
    <hyperlink xmlns:r="http://schemas.openxmlformats.org/officeDocument/2006/relationships" ref="J78" r:id="rId242"/>
    <hyperlink xmlns:r="http://schemas.openxmlformats.org/officeDocument/2006/relationships" ref="U78" r:id="rId243"/>
    <hyperlink xmlns:r="http://schemas.openxmlformats.org/officeDocument/2006/relationships" ref="G79" r:id="rId244"/>
    <hyperlink xmlns:r="http://schemas.openxmlformats.org/officeDocument/2006/relationships" ref="J79" r:id="rId245"/>
    <hyperlink xmlns:r="http://schemas.openxmlformats.org/officeDocument/2006/relationships" ref="U79" r:id="rId246"/>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F9"/>
  <sheetViews>
    <sheetView workbookViewId="0">
      <selection activeCell="A1" sqref="A1"/>
    </sheetView>
  </sheetViews>
  <sheetFormatPr baseColWidth="8" defaultRowHeight="15"/>
  <cols>
    <col width="2" customWidth="1" min="1" max="1"/>
    <col width="30" customWidth="1" min="2" max="2"/>
    <col width="10" customWidth="1" min="3" max="3"/>
    <col width="16" customWidth="1" min="4" max="4"/>
    <col width="16" customWidth="1" min="5" max="5"/>
    <col width="14" customWidth="1" min="6" max="6"/>
  </cols>
  <sheetData>
    <row r="1">
      <c r="B1" s="22" t="inlineStr">
        <is>
          <t>Confirmed price per player (one row per city)</t>
        </is>
      </c>
    </row>
    <row r="2">
      <c r="B2" s="23" t="inlineStr">
        <is>
          <t>Drafts stay empty and Draftable says No until the London price is filled in. Never type TBC.</t>
        </is>
      </c>
    </row>
    <row r="4">
      <c r="B4" s="24" t="inlineStr">
        <is>
          <t>City</t>
        </is>
      </c>
      <c r="C4" s="24" t="inlineStr">
        <is>
          <t>Currency</t>
        </is>
      </c>
      <c r="D4" s="24" t="inlineStr">
        <is>
          <t>Price per player</t>
        </is>
      </c>
      <c r="E4" s="24" t="inlineStr">
        <is>
          <t>Confirmed by</t>
        </is>
      </c>
      <c r="F4" s="24" t="inlineStr">
        <is>
          <t>Confirmed on</t>
        </is>
      </c>
    </row>
    <row r="5">
      <c r="B5" s="25" t="inlineStr">
        <is>
          <t>London</t>
        </is>
      </c>
      <c r="C5" s="23" t="inlineStr">
        <is>
          <t>GBP</t>
        </is>
      </c>
      <c r="D5" s="26" t="n"/>
      <c r="E5" s="27" t="n"/>
      <c r="F5" s="28" t="n"/>
    </row>
    <row r="6">
      <c r="B6" s="25" t="inlineStr">
        <is>
          <t>Stockholm</t>
        </is>
      </c>
      <c r="C6" s="23" t="inlineStr">
        <is>
          <t>SEK</t>
        </is>
      </c>
      <c r="D6" s="29" t="n"/>
      <c r="E6" s="27" t="n"/>
      <c r="F6" s="28" t="n"/>
    </row>
    <row r="8">
      <c r="B8" s="25" t="inlineStr">
        <is>
          <t>Sender for this sheet</t>
        </is>
      </c>
      <c r="D8" s="27" t="inlineStr">
        <is>
          <t>Brian</t>
        </is>
      </c>
    </row>
    <row r="9">
      <c r="B9" s="25" t="inlineStr">
        <is>
          <t>Sending inbox</t>
        </is>
      </c>
      <c r="D9" s="23" t="inlineStr">
        <is>
          <t>brian@fcurban.com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32" customWidth="1" min="1" max="1"/>
    <col width="46" customWidth="1" min="2" max="2"/>
    <col width="14" customWidth="1" min="3" max="3"/>
    <col width="10" customWidth="1" min="4" max="4"/>
    <col width="14" customWidth="1" min="5" max="5"/>
    <col width="9" customWidth="1" min="6" max="6"/>
    <col width="14" customWidth="1" min="7" max="7"/>
    <col width="40" customWidth="1" min="8" max="8"/>
  </cols>
  <sheetData>
    <row r="1">
      <c r="A1" s="30" t="inlineStr">
        <is>
          <t>Pitch</t>
        </is>
      </c>
      <c r="B1" s="30" t="inlineStr">
        <is>
          <t>Offer in email</t>
        </is>
      </c>
      <c r="C1" s="30" t="inlineStr">
        <is>
          <t>Recurring or one-off</t>
        </is>
      </c>
      <c r="D1" s="30" t="inlineStr">
        <is>
          <t>Format</t>
        </is>
      </c>
      <c r="E1" s="30" t="inlineStr">
        <is>
          <t>First date</t>
        </is>
      </c>
      <c r="F1" s="30" t="inlineStr">
        <is>
          <t>Kick-off</t>
        </is>
      </c>
      <c r="G1" s="30" t="inlineStr">
        <is>
          <t>Open Mon–Thu 17:30–20:00 slots (next 3 weeks)</t>
        </is>
      </c>
      <c r="H1" s="30" t="inlineStr">
        <is>
          <t>Booking source</t>
        </is>
      </c>
    </row>
    <row r="2">
      <c r="A2" s="23" t="inlineStr">
        <is>
          <t>Market Road</t>
        </is>
      </c>
      <c r="B2" s="23" t="inlineStr">
        <is>
          <t>Monday 28 September at 18:00</t>
        </is>
      </c>
      <c r="C2" s="23" t="inlineStr">
        <is>
          <t>One-off</t>
        </is>
      </c>
      <c r="D2" s="23" t="inlineStr">
        <is>
          <t>5-a-side</t>
        </is>
      </c>
      <c r="E2" s="31" t="n">
        <v>46293</v>
      </c>
      <c r="F2" s="23" t="inlineStr">
        <is>
          <t>18:00</t>
        </is>
      </c>
      <c r="G2" s="23" t="n">
        <v>1</v>
      </c>
      <c r="H2" s="23" t="inlineStr">
        <is>
          <t>Better (GLL) - Islington Tennis Centre</t>
        </is>
      </c>
    </row>
    <row r="3">
      <c r="A3" s="23" t="inlineStr">
        <is>
          <t>Old St - Moreland Primary School</t>
        </is>
      </c>
      <c r="B3" s="23" t="inlineStr">
        <is>
          <t>Monday 12 October at 18:00</t>
        </is>
      </c>
      <c r="C3" s="23" t="inlineStr">
        <is>
          <t>One-off</t>
        </is>
      </c>
      <c r="D3" s="23" t="inlineStr">
        <is>
          <t>6-a-side</t>
        </is>
      </c>
      <c r="E3" s="31" t="n">
        <v>46307</v>
      </c>
      <c r="F3" s="23" t="inlineStr">
        <is>
          <t>18:00</t>
        </is>
      </c>
      <c r="G3" s="23" t="n">
        <v>3</v>
      </c>
      <c r="H3" s="23" t="inlineStr">
        <is>
          <t>PlayFootball</t>
        </is>
      </c>
    </row>
    <row r="4">
      <c r="A4" s="23" t="inlineStr">
        <is>
          <t>Shoreditch Powerleague</t>
        </is>
      </c>
      <c r="B4" s="23" t="inlineStr">
        <is>
          <t>Monday 28 September at 17:40</t>
        </is>
      </c>
      <c r="C4" s="23" t="inlineStr">
        <is>
          <t>One-off</t>
        </is>
      </c>
      <c r="D4" s="23" t="inlineStr">
        <is>
          <t>5-a-side</t>
        </is>
      </c>
      <c r="E4" s="31" t="n">
        <v>46293</v>
      </c>
      <c r="F4" s="23" t="inlineStr">
        <is>
          <t>17:40</t>
        </is>
      </c>
      <c r="G4" s="23" t="n">
        <v>4</v>
      </c>
      <c r="H4" s="23" t="inlineStr">
        <is>
          <t>Powerleague official website (online booking)</t>
        </is>
      </c>
    </row>
    <row r="5">
      <c r="A5" s="23" t="inlineStr">
        <is>
          <t>Shoreditch Rooftop</t>
        </is>
      </c>
      <c r="B5" s="23" t="inlineStr">
        <is>
          <t>Monday 28 September at 18:00</t>
        </is>
      </c>
      <c r="C5" s="23" t="inlineStr">
        <is>
          <t>One-off</t>
        </is>
      </c>
      <c r="D5" s="23" t="inlineStr">
        <is>
          <t>5-a-side</t>
        </is>
      </c>
      <c r="E5" s="31" t="n">
        <v>46293</v>
      </c>
      <c r="F5" s="23" t="inlineStr">
        <is>
          <t>18:00</t>
        </is>
      </c>
      <c r="G5" s="23" t="n">
        <v>1</v>
      </c>
      <c r="H5" s="23" t="inlineStr">
        <is>
          <t>Better (GLL)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70" customWidth="1" min="1" max="1"/>
  </cols>
  <sheetData>
    <row r="1">
      <c r="A1" s="22" t="inlineStr">
        <is>
          <t>FC Urban · London after-work football leads</t>
        </is>
      </c>
    </row>
    <row r="2">
      <c r="A2" s="23" t="inlineStr">
        <is>
          <t>77 companies (60 ready once the price is set, 17 on hold) with a published email on their own domain, an office within a 15-minute walk of a pitch that has an open Mon–Thu 17:30–20:00 slot in the next 3 weeks.</t>
        </is>
      </c>
    </row>
    <row r="3">
      <c r="A3" s="23" t="inlineStr"/>
    </row>
    <row r="4">
      <c r="A4" s="25" t="inlineStr">
        <is>
          <t>How it was built</t>
        </is>
      </c>
    </row>
    <row r="5">
      <c r="A5" s="23" t="inlineStr">
        <is>
          <t>1. Companies House bulk data: active London companies filing full, medium or group accounts; SIC for law, finance/accounting, insurance, consultancy, tech/software, architecture, recruitment, marketing/agencies (LLPs by name).</t>
        </is>
      </c>
    </row>
    <row r="6">
      <c r="A6" s="23" t="inlineStr">
        <is>
          <t>2. Removed shells, holding/fund/property vehicles, schools, charities, public bodies, hospitality, retail, clinics, formation-agent addresses (&gt;12 brands at one address), and anything in an earlier FC Urban sheet.</t>
        </is>
      </c>
    </row>
    <row r="7">
      <c r="A7" s="23" t="inlineStr">
        <is>
          <t>3. Suppression: brian@fcurban.com Sent (last 90 days) checked domain by domain, plus senders of opt-out / "no thanks" / "not interested" replies.</t>
        </is>
      </c>
    </row>
    <row r="8">
      <c r="A8" s="23" t="inlineStr">
        <is>
          <t>4. Website found and read for each firm: working office from its own contact page (registered office only when the site shows no address, labelled in Office basis).</t>
        </is>
      </c>
    </row>
    <row r="9">
      <c r="A9" s="23" t="inlineStr">
        <is>
          <t>5. Walk = straight line × 1.3 at 4.8 km/h to the nearest pitch with a confirmed open slot (Slots tab). Kept ≤ 15 minutes.</t>
        </is>
      </c>
    </row>
    <row r="10">
      <c r="A10" s="23" t="inlineStr">
        <is>
          <t>6. Contact order: named HR / People / Office / Operations person → named partner/director/founder (firms under ~100) → general inbox on the firm's own domain. No press, privacy, careers, support, sales or other-country inboxes. Emails were only taken where published; none guessed.</t>
        </is>
      </c>
    </row>
    <row r="11">
      <c r="A11" s="23" t="inlineStr">
        <is>
          <t>7. Headcount from the firm's own site where stated; firms under 20 or over 500 removed; "Not stated" otherwise.</t>
        </is>
      </c>
    </row>
    <row r="12">
      <c r="A12" s="23" t="inlineStr">
        <is>
          <t>8. Personal line: one fact from the firm's own pages (source linked). Blank when nothing real was found.</t>
        </is>
      </c>
    </row>
    <row r="13">
      <c r="A13" s="23" t="inlineStr">
        <is>
          <t>9. Every email was written individually from that research (Personalised email column). {PRICE} is replaced by the confirmed price on the Offer tab; until then Email draft stays empty. Rows the research flagged are on Hold with the reason.</t>
        </is>
      </c>
    </row>
    <row r="14">
      <c r="A14" s="23" t="inlineStr"/>
    </row>
    <row r="15">
      <c r="A15" s="25" t="inlineStr">
        <is>
          <t>Sending rules (for when the n8n workflow is switched on)</t>
        </is>
      </c>
    </row>
    <row r="16">
      <c r="A16" s="23" t="inlineStr">
        <is>
          <t>Max 150 per inbox per day, spread across working hours; one sender name per inbox (Brian on brian@fcurban.com); stop the batch if bounces exceed 3%; log Contacted on here and reply categories in Notion.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2026-09-25T19:01:31Z</dcterms:created>
  <dcterms:modified xsi:type="dcterms:W3CDTF">2026-09-25T19:01:31Z</dcterms:modified>
</cp:coreProperties>
</file>